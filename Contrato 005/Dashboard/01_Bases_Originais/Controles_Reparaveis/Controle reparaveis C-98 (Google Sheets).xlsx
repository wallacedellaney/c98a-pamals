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<sst xmlns="http://schemas.openxmlformats.org/spreadsheetml/2006/main" count="21792" uniqueCount="2752">
  <si>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CSV</t>
  </si>
  <si>
    <t>INFORMATIVO</t>
  </si>
  <si>
    <t>HOJE:</t>
  </si>
  <si>
    <t>Empresa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</si>
  <si>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</si>
  <si>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</si>
  <si>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</si>
  <si>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</si>
  <si>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</si>
  <si>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</si>
  <si>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</si>
  <si>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</si>
  <si>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</si>
  <si>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</si>
  <si>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</si>
  <si>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</si>
  <si>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</si>
  <si>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</si>
  <si>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</si>
  <si>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</si>
  <si>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</si>
  <si>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</si>
  <si>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</si>
  <si>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</si>
  <si>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</si>
  <si>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</si>
  <si>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</si>
  <si>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</si>
  <si>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</si>
  <si>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</si>
  <si>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</si>
  <si>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</si>
  <si>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</si>
  <si>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</si>
  <si>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</si>
  <si>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</si>
  <si>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REESTOQUE (OPUS)</t>
  </si>
  <si>
    <t>SUGESTÃO DE ESTOQUE (OPUS)</t>
  </si>
  <si>
    <t>3040249831</t>
  </si>
  <si>
    <t>EXTERNA</t>
  </si>
  <si>
    <t>REC</t>
  </si>
  <si>
    <t>U8</t>
  </si>
  <si>
    <t>066-01141-5101</t>
  </si>
  <si>
    <t>RECEIVER-TRANSMITTER,RADIO (KT71)</t>
  </si>
  <si>
    <t>M</t>
  </si>
  <si>
    <t>PAMALS</t>
  </si>
  <si>
    <t>LEP</t>
  </si>
  <si>
    <t>1S WELLINGTON</t>
  </si>
  <si>
    <t>3040250248</t>
  </si>
  <si>
    <t>Discrepancia</t>
  </si>
  <si>
    <t>NOMECLATURA</t>
  </si>
  <si>
    <t>452-0133</t>
  </si>
  <si>
    <t>QPA</t>
  </si>
  <si>
    <t>PREÇO</t>
  </si>
  <si>
    <t>BATTERY,NONRECHARGEABLE</t>
  </si>
  <si>
    <t>382750-016</t>
  </si>
  <si>
    <t>QTD TOTAL DE CADA PN (FAB)</t>
  </si>
  <si>
    <t>BABR</t>
  </si>
  <si>
    <t>GLOGAVI</t>
  </si>
  <si>
    <t>SO AZEVEDO</t>
  </si>
  <si>
    <t>BABE</t>
  </si>
  <si>
    <t>3040250249</t>
  </si>
  <si>
    <t>BACG</t>
  </si>
  <si>
    <t>BAMN</t>
  </si>
  <si>
    <t>BANT</t>
  </si>
  <si>
    <t>BACI</t>
  </si>
  <si>
    <t>BABV</t>
  </si>
  <si>
    <t>382750-023</t>
  </si>
  <si>
    <t>BAPV</t>
  </si>
  <si>
    <t>DATA DE DOWNLOAD SILOMS</t>
  </si>
  <si>
    <t>CLA</t>
  </si>
  <si>
    <t>BASM</t>
  </si>
  <si>
    <t>SMAV</t>
  </si>
  <si>
    <t>DACTAII</t>
  </si>
  <si>
    <t>SO MAXIMILIANO</t>
  </si>
  <si>
    <t>EEAR</t>
  </si>
  <si>
    <t>EPCAR</t>
  </si>
  <si>
    <t>3040250234</t>
  </si>
  <si>
    <t>BOMBA DE COMBUSTÍVEL</t>
  </si>
  <si>
    <t>QTD TOTAL DE CADA PN (SUGESTÃO OPUS)</t>
  </si>
  <si>
    <t>2S SPINATO</t>
  </si>
  <si>
    <t>3040250816</t>
  </si>
  <si>
    <t>453-5000-710</t>
  </si>
  <si>
    <t>INFORMAÇÕES DO  SILOMS</t>
  </si>
  <si>
    <t>453-5060</t>
  </si>
  <si>
    <t>BEACON,DISTRESS</t>
  </si>
  <si>
    <t>EMERGENCY LOCATOR TRANSMITTER</t>
  </si>
  <si>
    <t>REPARÁVEL</t>
  </si>
  <si>
    <t xml:space="preserve">INFORMAÇÕES DA EMPRESA </t>
  </si>
  <si>
    <t>3040250831</t>
  </si>
  <si>
    <t>799-1</t>
  </si>
  <si>
    <t>TRANSDUCER</t>
  </si>
  <si>
    <t>COMREC/ACERTO VIRTUAL</t>
  </si>
  <si>
    <t>-</t>
  </si>
  <si>
    <t>SAA-29</t>
  </si>
  <si>
    <t>SO MARDEN</t>
  </si>
  <si>
    <t>3040250827</t>
  </si>
  <si>
    <t>2622083-18</t>
  </si>
  <si>
    <t>Qt</t>
  </si>
  <si>
    <t>GUINHOL DO FLAPE</t>
  </si>
  <si>
    <t>51539-012N</t>
  </si>
  <si>
    <t>CONTROL UNIT ASSY-GENERATOR</t>
  </si>
  <si>
    <t>P1916</t>
  </si>
  <si>
    <t>E</t>
  </si>
  <si>
    <t xml:space="preserve">DATA INICIO </t>
  </si>
  <si>
    <t>ST_OS</t>
  </si>
  <si>
    <t xml:space="preserve">TAT SILOMS </t>
  </si>
  <si>
    <t>OBSERVAÇÃO COORDENADORIA / FISCAL</t>
  </si>
  <si>
    <t>2613440-1</t>
  </si>
  <si>
    <t>TAT REAL( Ainda não confiável)</t>
  </si>
  <si>
    <t xml:space="preserve">TAT </t>
  </si>
  <si>
    <t>HASTE DIANT. COMANDO DO PROFUNDOR</t>
  </si>
  <si>
    <t>OBSERVAÇÃO VEE ONE</t>
  </si>
  <si>
    <t xml:space="preserve">Data de devolução empresa </t>
  </si>
  <si>
    <t>Data de devolução empresa pela (OS ABA 1.10 RMA)</t>
  </si>
  <si>
    <t>ONDE SE ENCONTRA</t>
  </si>
  <si>
    <t>3040250828</t>
  </si>
  <si>
    <t>RECIBO CASO TENHA</t>
  </si>
  <si>
    <t>CONDIÇÃO</t>
  </si>
  <si>
    <t>SN TROCADO (EXCHANGE)</t>
  </si>
  <si>
    <t>AVI</t>
  </si>
  <si>
    <t>2S BERTIN</t>
  </si>
  <si>
    <t>TERMO DE RECEBIMENTO</t>
  </si>
  <si>
    <t>DATA DO TERMO</t>
  </si>
  <si>
    <t>RECEBIMENTO DO TERMO</t>
  </si>
  <si>
    <t>9514A-1</t>
  </si>
  <si>
    <t>SOLICITAR ACERTO à Vee One</t>
  </si>
  <si>
    <t>BOMBA DE CIRCULAÇÃO DO TKS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</si>
  <si>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</si>
  <si>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</si>
  <si>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</si>
  <si>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</si>
  <si>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</si>
  <si>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</si>
  <si>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</si>
  <si>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</si>
  <si>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</si>
  <si>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</si>
  <si>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3040250830</t>
  </si>
  <si>
    <t>REC OPERADOR</t>
  </si>
  <si>
    <t>1</t>
  </si>
  <si>
    <t>2641014-1</t>
  </si>
  <si>
    <t>MOLA CENTRAL TREM DE POUSO PRINCIPAL</t>
  </si>
  <si>
    <t>BACO</t>
  </si>
  <si>
    <t>AVIH3</t>
  </si>
  <si>
    <t>2S MICHELLE</t>
  </si>
  <si>
    <t>3040250832</t>
  </si>
  <si>
    <t>9910338-4</t>
  </si>
  <si>
    <t>FUEL TOTALIZER INDICATOR</t>
  </si>
  <si>
    <t>2641012-1</t>
  </si>
  <si>
    <t>0215-217</t>
  </si>
  <si>
    <t>TRUNNION LH</t>
  </si>
  <si>
    <t>MNU</t>
  </si>
  <si>
    <t>1S CERQUEIRA</t>
  </si>
  <si>
    <t>3040250833</t>
  </si>
  <si>
    <t>9910586-4</t>
  </si>
  <si>
    <t>7EK50</t>
  </si>
  <si>
    <t>FLAP ACTUATOR AND MOTOR ASSEMBLY</t>
  </si>
  <si>
    <t>2641012-2</t>
  </si>
  <si>
    <t>TRUNNION RH</t>
  </si>
  <si>
    <t>ALA 3</t>
  </si>
  <si>
    <t>5LMNT2</t>
  </si>
  <si>
    <t>SO OLIVEIRA</t>
  </si>
  <si>
    <t>3040250835</t>
  </si>
  <si>
    <t>ASG12000-2</t>
  </si>
  <si>
    <t>ALTERNATOR</t>
  </si>
  <si>
    <t>2641013-1</t>
  </si>
  <si>
    <t>K010158</t>
  </si>
  <si>
    <t>MOLA TREM DE POUSO PRINCIPAL</t>
  </si>
  <si>
    <t>ALA 5</t>
  </si>
  <si>
    <t>2S AVERALDO</t>
  </si>
  <si>
    <t>3040250841</t>
  </si>
  <si>
    <t>2641008-1</t>
  </si>
  <si>
    <t>PINO FIXAÇÃO TREM DE POUSO PRINCIPAL</t>
  </si>
  <si>
    <t>C661030-0301</t>
  </si>
  <si>
    <t>TURN BANK</t>
  </si>
  <si>
    <t>9911-257</t>
  </si>
  <si>
    <t>1S RAMOS</t>
  </si>
  <si>
    <t>2641011-1</t>
  </si>
  <si>
    <t>EIXO DO TREM DE POUSO PRINCIPAL</t>
  </si>
  <si>
    <t>3040250842</t>
  </si>
  <si>
    <t>C662041-0102</t>
  </si>
  <si>
    <t>INDICATOR FUEL</t>
  </si>
  <si>
    <t>AVI-C</t>
  </si>
  <si>
    <t>1S DANILLO</t>
  </si>
  <si>
    <t>2641010-1</t>
  </si>
  <si>
    <t>SUPORTE DO EIXO DE TREM DE POUSO PRINCIPAL</t>
  </si>
  <si>
    <t>3040250844</t>
  </si>
  <si>
    <t>ALA 9</t>
  </si>
  <si>
    <t>GLOGBEI</t>
  </si>
  <si>
    <t>SO RHODSON</t>
  </si>
  <si>
    <t>2643062-1</t>
  </si>
  <si>
    <t>MOLA DE TREM DE POUSO AUXILIAR</t>
  </si>
  <si>
    <t>3040250722</t>
  </si>
  <si>
    <t>GLOGBET</t>
  </si>
  <si>
    <t>1S EDER</t>
  </si>
  <si>
    <t>3040250719</t>
  </si>
  <si>
    <t>2643045-1</t>
  </si>
  <si>
    <t>2643045-202</t>
  </si>
  <si>
    <t>060-0017-00</t>
  </si>
  <si>
    <t>FLIGHT DIR HOR</t>
  </si>
  <si>
    <t>KI256-25711</t>
  </si>
  <si>
    <t>TREM DE POUSO AUXILIAR</t>
  </si>
  <si>
    <t>LLM</t>
  </si>
  <si>
    <t>SO DUARTE</t>
  </si>
  <si>
    <t>3040250723</t>
  </si>
  <si>
    <t>2643030-1</t>
  </si>
  <si>
    <t>SUPORTE DA MOLA DO TREM DE POUSO AUXILIAR</t>
  </si>
  <si>
    <t>SO JEFERSON</t>
  </si>
  <si>
    <t>3040250724</t>
  </si>
  <si>
    <t>066-04035-1101</t>
  </si>
  <si>
    <t>DISPLAY UNIT,RADAR</t>
  </si>
  <si>
    <t>KMD540-10071</t>
  </si>
  <si>
    <t>2643031-1</t>
  </si>
  <si>
    <t>GARFO DA MOLA DO TREM DE POUSO AUXILIAR</t>
  </si>
  <si>
    <t>3040250732</t>
  </si>
  <si>
    <t>069-1025-25</t>
  </si>
  <si>
    <t>RECEIVER-TRANSMITTER,RADIO - KX165</t>
  </si>
  <si>
    <t>162-11800</t>
  </si>
  <si>
    <t>SEMI-CUBO EXTERNO PRINCIPAL</t>
  </si>
  <si>
    <t>TCQI</t>
  </si>
  <si>
    <t>SO JACKSON</t>
  </si>
  <si>
    <t>3040250716</t>
  </si>
  <si>
    <t>030-18200</t>
  </si>
  <si>
    <t>MAIN WHEEL BRAKE</t>
  </si>
  <si>
    <t>5028A</t>
  </si>
  <si>
    <t>161-12800</t>
  </si>
  <si>
    <t>SEMI-CUBO INTERNO PRINCIPAL</t>
  </si>
  <si>
    <t>SMNT</t>
  </si>
  <si>
    <t>1S SOUZA AGUIAR</t>
  </si>
  <si>
    <t>3040250773</t>
  </si>
  <si>
    <t>161-11700</t>
  </si>
  <si>
    <t>INNER WHEEL HALF ASSY</t>
  </si>
  <si>
    <t>161-117-00</t>
  </si>
  <si>
    <t>2S BRUNO CAMPOS</t>
  </si>
  <si>
    <t>SEMI-CUBO EXTERNO NARIZ</t>
  </si>
  <si>
    <t>3040250792</t>
  </si>
  <si>
    <t>2643090-1</t>
  </si>
  <si>
    <t>SHIMMY DAMPENE</t>
  </si>
  <si>
    <t>162-107-00</t>
  </si>
  <si>
    <t>SEMI-CUBO INTERNO NARIZ</t>
  </si>
  <si>
    <t>SMHI</t>
  </si>
  <si>
    <t>2S CONDACK</t>
  </si>
  <si>
    <t>3040250791</t>
  </si>
  <si>
    <t>C482001-0402</t>
  </si>
  <si>
    <t>VÁLVULA DE ALÍVIO DE VÁCUO</t>
  </si>
  <si>
    <t>SHA-29</t>
  </si>
  <si>
    <t>1S ADONIAS</t>
  </si>
  <si>
    <t>3040252191</t>
  </si>
  <si>
    <t>A210507</t>
  </si>
  <si>
    <t>GOVERNADOR DE SOBREVELOCIDADE</t>
  </si>
  <si>
    <t>C611008-0101</t>
  </si>
  <si>
    <t>ALTERNATOR CONTROL UNIT</t>
  </si>
  <si>
    <t>LS0414</t>
  </si>
  <si>
    <t>3S NORBERTO</t>
  </si>
  <si>
    <t>2651022-1</t>
  </si>
  <si>
    <t>ANEL DO BERÇO DO MONTANTE</t>
  </si>
  <si>
    <t>2</t>
  </si>
  <si>
    <t>3040252161</t>
  </si>
  <si>
    <t>065-0042-03</t>
  </si>
  <si>
    <t>COMPUTER PA</t>
  </si>
  <si>
    <t>R50653</t>
  </si>
  <si>
    <t>ALA 10</t>
  </si>
  <si>
    <t>STAA-29</t>
  </si>
  <si>
    <t>2S LUISE</t>
  </si>
  <si>
    <t>2651023-1</t>
  </si>
  <si>
    <t>BERÇO DO MOTOR</t>
  </si>
  <si>
    <t>3040252162</t>
  </si>
  <si>
    <t>EMU-A-010-3</t>
  </si>
  <si>
    <t>PROCESSADOR SISTEMA ADAS+</t>
  </si>
  <si>
    <t>3040252164</t>
  </si>
  <si>
    <t>DAAS-A-010-1</t>
  </si>
  <si>
    <t>PROCESSADOR SISTEMA ADAS-D</t>
  </si>
  <si>
    <t>3040252159</t>
  </si>
  <si>
    <t>011-00916-00</t>
  </si>
  <si>
    <t>0TRC3</t>
  </si>
  <si>
    <t>DISPLAY UNIT GDU 1040A</t>
  </si>
  <si>
    <t>200SGL119Q</t>
  </si>
  <si>
    <t>ARRANQUE GERADOR</t>
  </si>
  <si>
    <t>3S REIS</t>
  </si>
  <si>
    <t>3040252166</t>
  </si>
  <si>
    <t>065-0059-01</t>
  </si>
  <si>
    <t>SERVO PITCH</t>
  </si>
  <si>
    <t>065-0061-36</t>
  </si>
  <si>
    <t>ACTUATOR TRIM (KS272A)</t>
  </si>
  <si>
    <t>3040252172</t>
  </si>
  <si>
    <t>066-03064-0005</t>
  </si>
  <si>
    <t>ALTIMETER,SERVO CONTROLLED,AUTOMATIC PRESSURE</t>
  </si>
  <si>
    <t>066-3059-01</t>
  </si>
  <si>
    <t>ADF INDICATOR - DUAL (KI228)
ADF INDICATOR - SINGLE (KI227)</t>
  </si>
  <si>
    <t>3040252173</t>
  </si>
  <si>
    <t>C661065-0237</t>
  </si>
  <si>
    <t>AIRSPEED INDICATOR</t>
  </si>
  <si>
    <t>3040252170</t>
  </si>
  <si>
    <t>ALA 7</t>
  </si>
  <si>
    <t>SSEI</t>
  </si>
  <si>
    <t>2S TAYANA LIMA</t>
  </si>
  <si>
    <t>011-00134-00</t>
  </si>
  <si>
    <t>ANTENNA ACCESSORY</t>
  </si>
  <si>
    <t>071-1378-00</t>
  </si>
  <si>
    <t>ANTENNA RADAR</t>
  </si>
  <si>
    <t>3040252181</t>
  </si>
  <si>
    <t>066-1072-04</t>
  </si>
  <si>
    <t>RECEIVER,RADIO</t>
  </si>
  <si>
    <t>PAMASP</t>
  </si>
  <si>
    <t>CI268-60</t>
  </si>
  <si>
    <t>TSAM</t>
  </si>
  <si>
    <t>ANTENNA VHF COMM</t>
  </si>
  <si>
    <t>2S ISMAEL</t>
  </si>
  <si>
    <t>3040252939</t>
  </si>
  <si>
    <t>C163030-1001</t>
  </si>
  <si>
    <t>MAIN W BRAKE A</t>
  </si>
  <si>
    <t>1882C</t>
  </si>
  <si>
    <t>066-1055-00</t>
  </si>
  <si>
    <t>AUDIO CONTROL PANEL (KMA-24)</t>
  </si>
  <si>
    <t>3040252936</t>
  </si>
  <si>
    <t>HIDH3</t>
  </si>
  <si>
    <t>1S TASSO</t>
  </si>
  <si>
    <t>AUTOPILOT COMPUTER</t>
  </si>
  <si>
    <t>3040253172</t>
  </si>
  <si>
    <t>WHEEL HALF ASSY-INNER</t>
  </si>
  <si>
    <t>UNK01</t>
  </si>
  <si>
    <t>24535-026</t>
  </si>
  <si>
    <t>BATTERY
BATTERY NICKEL CADMIUM
BATTERY NONRECHARGEABLE
BATTERY STORAGE 
BATTERY-MARATHON TSP410 NICAD</t>
  </si>
  <si>
    <t>SO SATYRO</t>
  </si>
  <si>
    <t>3040253168</t>
  </si>
  <si>
    <t>2682001-1</t>
  </si>
  <si>
    <t>BRAKE CYL MAST</t>
  </si>
  <si>
    <t>HID</t>
  </si>
  <si>
    <t>2S LUCCA</t>
  </si>
  <si>
    <t>3040253173</t>
  </si>
  <si>
    <t>164-22201</t>
  </si>
  <si>
    <t>BRAKE DISC</t>
  </si>
  <si>
    <t>3</t>
  </si>
  <si>
    <t>3040253177</t>
  </si>
  <si>
    <t>162-10700</t>
  </si>
  <si>
    <t>OUTER WHEEL HALF ASSY</t>
  </si>
  <si>
    <t>064-1019-05</t>
  </si>
  <si>
    <t>VHF TRANSCEIVE KY196</t>
  </si>
  <si>
    <t>CHID</t>
  </si>
  <si>
    <t>3040253178</t>
  </si>
  <si>
    <t>TURN COORD</t>
  </si>
  <si>
    <t>3040253180</t>
  </si>
  <si>
    <t>WHEEL HALF ASSY-OUTER</t>
  </si>
  <si>
    <t>3040253182</t>
  </si>
  <si>
    <t>066-1070-01</t>
  </si>
  <si>
    <t>TRANSCEIVER DME (KN63)</t>
  </si>
  <si>
    <t>3040253529</t>
  </si>
  <si>
    <t>MD82-4</t>
  </si>
  <si>
    <t>DSM-MN</t>
  </si>
  <si>
    <t>TORQUE INDICATOR
TORQUE INDICATOR MECHANICAL</t>
  </si>
  <si>
    <t>MOAV</t>
  </si>
  <si>
    <t>1T LENIL</t>
  </si>
  <si>
    <t>3040253530</t>
  </si>
  <si>
    <t>RECEIVER-TRANSMITTER RADIO - KX165
RECEIVER-TRANSMITTER RADIO
RECEIVER VOR/LOC (KNS81)
RECEIVER-TRANSMITTER RADIO (KT71)
RECEIVER ADF (KING KR87)
RECEIVER-TRANSMITTER SUBASSEMBLY
RECEPTOR-TRANSMISSOR DE RADIO</t>
  </si>
  <si>
    <t>3S WESLEY</t>
  </si>
  <si>
    <t>3040253531</t>
  </si>
  <si>
    <t>168394-05</t>
  </si>
  <si>
    <t>071-1242-06</t>
  </si>
  <si>
    <t>SLAVING ACCESS SPEC</t>
  </si>
  <si>
    <t>3S T. BARROS</t>
  </si>
  <si>
    <t>3040253532</t>
  </si>
  <si>
    <t>065-0065-01</t>
  </si>
  <si>
    <t>SELECTOR ALT</t>
  </si>
  <si>
    <t>3040253535</t>
  </si>
  <si>
    <t>2643099-4</t>
  </si>
  <si>
    <t>SUPPORT ASSY FOWARD, NLG SPRING</t>
  </si>
  <si>
    <t>GLOGHID</t>
  </si>
  <si>
    <t>SO R. CUNHA</t>
  </si>
  <si>
    <t>066-1061-03</t>
  </si>
  <si>
    <t>RT RADAR ALTIM (KRA10A)</t>
  </si>
  <si>
    <t>3040254195</t>
  </si>
  <si>
    <t>540-1407-4</t>
  </si>
  <si>
    <t>077L2</t>
  </si>
  <si>
    <t>VALVE,BLEED,TURBINEENGINE</t>
  </si>
  <si>
    <t>071-01519-0101</t>
  </si>
  <si>
    <t>RECEIVER-EXCITER RADAR</t>
  </si>
  <si>
    <t>3040254201</t>
  </si>
  <si>
    <t>2643090-3</t>
  </si>
  <si>
    <t>SHIMMY DAMPER-NOSE GEAR</t>
  </si>
  <si>
    <t>066-3114-00</t>
  </si>
  <si>
    <t>3040254205</t>
  </si>
  <si>
    <t>RECEIVER RADAR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</si>
  <si>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</si>
  <si>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</si>
  <si>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</si>
  <si>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</si>
  <si>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</si>
  <si>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</si>
  <si>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</si>
  <si>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</si>
  <si>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</si>
  <si>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</si>
  <si>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</si>
  <si>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</si>
  <si>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</si>
  <si>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4</t>
  </si>
  <si>
    <t>3040254210</t>
  </si>
  <si>
    <t>ALTERNATOR CONTROL UNIT
ALTERNATOR CONTROL UNIT ASSY</t>
  </si>
  <si>
    <t>SAC-95</t>
  </si>
  <si>
    <t>SO DEIVY</t>
  </si>
  <si>
    <t>3040254770</t>
  </si>
  <si>
    <t>C414007-0102</t>
  </si>
  <si>
    <t>BLOWER ASSY</t>
  </si>
  <si>
    <t>1S ALAMAR</t>
  </si>
  <si>
    <t>3040254792</t>
  </si>
  <si>
    <t>2606013-1RX</t>
  </si>
  <si>
    <t>INDICATOR-PERCENT RPM</t>
  </si>
  <si>
    <t>011-00882-10</t>
  </si>
  <si>
    <t>COMPUTER AIR DATA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</si>
  <si>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</si>
  <si>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</si>
  <si>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</si>
  <si>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</si>
  <si>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</si>
  <si>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</si>
  <si>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</si>
  <si>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</si>
  <si>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060-0015-00</t>
  </si>
  <si>
    <t>CONTROL DIRECTIONAL AUTOMATIC PILOT</t>
  </si>
  <si>
    <t>3040254803</t>
  </si>
  <si>
    <t>X-467664</t>
  </si>
  <si>
    <t>2 ETA</t>
  </si>
  <si>
    <t>EMU</t>
  </si>
  <si>
    <t>SO VIEIRA</t>
  </si>
  <si>
    <t>3040254806</t>
  </si>
  <si>
    <t>066-3046-01</t>
  </si>
  <si>
    <t>VOR INDICATOR
CONTROL INDICATOR</t>
  </si>
  <si>
    <t>X-330970</t>
  </si>
  <si>
    <t>3040254816</t>
  </si>
  <si>
    <t>VACUUM REGULAT</t>
  </si>
  <si>
    <t>7AC</t>
  </si>
  <si>
    <t>064-1016-00</t>
  </si>
  <si>
    <t>CONTROL RECEIVER</t>
  </si>
  <si>
    <t>LAV</t>
  </si>
  <si>
    <t>3040254815</t>
  </si>
  <si>
    <t>3244897-4</t>
  </si>
  <si>
    <t>FUEL CONTROL UNIT
FUEL CONTROL MAIN TURBINE ENGINE</t>
  </si>
  <si>
    <t>5AL</t>
  </si>
  <si>
    <t>3040254793</t>
  </si>
  <si>
    <t>D145-00-46-2</t>
  </si>
  <si>
    <t>FLAP ACTUATOR ASSY</t>
  </si>
  <si>
    <t>702801-5</t>
  </si>
  <si>
    <t>FUEL PUMP</t>
  </si>
  <si>
    <t>SO REZENDE</t>
  </si>
  <si>
    <t>3040254795</t>
  </si>
  <si>
    <t>C661053-0101</t>
  </si>
  <si>
    <t>GYRO HORIZON
GYRO DIRECTION</t>
  </si>
  <si>
    <t>SO WALBE</t>
  </si>
  <si>
    <t>3040254785</t>
  </si>
  <si>
    <t>363761-060</t>
  </si>
  <si>
    <t>3S EVELYN ORNELLAS</t>
  </si>
  <si>
    <t>066-3084-32</t>
  </si>
  <si>
    <t>IND RDR 2000 IN-182A
COLOR RADAR INDICATOR</t>
  </si>
  <si>
    <t>3040254789</t>
  </si>
  <si>
    <t>369783-021</t>
  </si>
  <si>
    <t>066-3060-00</t>
  </si>
  <si>
    <t>IND RMI KNI582</t>
  </si>
  <si>
    <t>3040254788</t>
  </si>
  <si>
    <t>363749-030</t>
  </si>
  <si>
    <t>3040254787</t>
  </si>
  <si>
    <t>2606013-1AM</t>
  </si>
  <si>
    <t>INDICADOR PERCENTUAL RPM</t>
  </si>
  <si>
    <t>BATTERY PACK,AIRCRAFT</t>
  </si>
  <si>
    <t>376422-005</t>
  </si>
  <si>
    <t>DACTA II</t>
  </si>
  <si>
    <t>CAV</t>
  </si>
  <si>
    <t>3040254786</t>
  </si>
  <si>
    <t>376415-037</t>
  </si>
  <si>
    <t>011-01105-01</t>
  </si>
  <si>
    <t>INTEGRATED AVIONICS UNIT GIA63W</t>
  </si>
  <si>
    <t>5</t>
  </si>
  <si>
    <t>3040254784</t>
  </si>
  <si>
    <t>363749-085</t>
  </si>
  <si>
    <t>011-00870-00</t>
  </si>
  <si>
    <t>MAGNETOMETER GMU 44</t>
  </si>
  <si>
    <t>3040255326</t>
  </si>
  <si>
    <t>62800-00</t>
  </si>
  <si>
    <t>MICROPHONE</t>
  </si>
  <si>
    <t>3040255319</t>
  </si>
  <si>
    <t>S4J</t>
  </si>
  <si>
    <t>1S CLAUDINEI</t>
  </si>
  <si>
    <t>011-00883-20</t>
  </si>
  <si>
    <t>RADAR GWX 68 WEATHER</t>
  </si>
  <si>
    <t>3040255461</t>
  </si>
  <si>
    <t>1YQ22</t>
  </si>
  <si>
    <t>ADAS-D PROCESSOR</t>
  </si>
  <si>
    <t>5934PAD-3</t>
  </si>
  <si>
    <t>ALTIMETER
ENCODING ALTIM - KEA130A</t>
  </si>
  <si>
    <t>3040255589</t>
  </si>
  <si>
    <t>U0625</t>
  </si>
  <si>
    <t>RECEIVER-EXCITER,RADAR</t>
  </si>
  <si>
    <t>SO VANESSA</t>
  </si>
  <si>
    <t>C660501-0102</t>
  </si>
  <si>
    <t>COMPASS ASSY</t>
  </si>
  <si>
    <t>3040256114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</si>
  <si>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</si>
  <si>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</si>
  <si>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</si>
  <si>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</si>
  <si>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</si>
  <si>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</si>
  <si>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</si>
  <si>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</si>
  <si>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C662504-0101</t>
  </si>
  <si>
    <t>GAGE VOLT AMME</t>
  </si>
  <si>
    <t>3S CINTIA</t>
  </si>
  <si>
    <t>3040256112</t>
  </si>
  <si>
    <t>3S GABRIELLE XAVIER</t>
  </si>
  <si>
    <t>3040256314</t>
  </si>
  <si>
    <t>066-4010-12</t>
  </si>
  <si>
    <t>FUEL QUANTITY INDICA</t>
  </si>
  <si>
    <t>RECEIVER VOR/LOC (KNS81)</t>
  </si>
  <si>
    <t>2S RAPHAELA</t>
  </si>
  <si>
    <t>3040256708</t>
  </si>
  <si>
    <t>D210507</t>
  </si>
  <si>
    <t>GOVERNOR,OVERSPEED</t>
  </si>
  <si>
    <t>2C6-8</t>
  </si>
  <si>
    <t>FUEL BOOST PUMP</t>
  </si>
  <si>
    <t>3040256698</t>
  </si>
  <si>
    <t>K517</t>
  </si>
  <si>
    <t>0901-1</t>
  </si>
  <si>
    <t>SO M. MOREIRA</t>
  </si>
  <si>
    <t>3040256671</t>
  </si>
  <si>
    <t>FAN ASSY-VENTE</t>
  </si>
  <si>
    <t>A4H-106-02</t>
  </si>
  <si>
    <t>3040256713</t>
  </si>
  <si>
    <t>22A703</t>
  </si>
  <si>
    <t>016B</t>
  </si>
  <si>
    <t>GENERATOR TACHOMETER</t>
  </si>
  <si>
    <t>SIPAAI</t>
  </si>
  <si>
    <t>SO MUNIZ</t>
  </si>
  <si>
    <t>3040256672</t>
  </si>
  <si>
    <t>8210-002</t>
  </si>
  <si>
    <t>B4H-018</t>
  </si>
  <si>
    <t>GOVERNOR CONSTANT SPEED DRIVE
GOVERNOR FUEL CONTROL</t>
  </si>
  <si>
    <t>3040256696</t>
  </si>
  <si>
    <t>011-00877-00</t>
  </si>
  <si>
    <t>GSA-80 SERVO ROL YAW SPEC</t>
  </si>
  <si>
    <t>3040256792</t>
  </si>
  <si>
    <t>6</t>
  </si>
  <si>
    <t>GSA-80 SERVO ROL,YAW,SPEC</t>
  </si>
  <si>
    <t>3040256828</t>
  </si>
  <si>
    <t>3040256787</t>
  </si>
  <si>
    <t>3107453-01</t>
  </si>
  <si>
    <t>HOUSING</t>
  </si>
  <si>
    <t>3040256709</t>
  </si>
  <si>
    <t>3121248-03</t>
  </si>
  <si>
    <t>VALVE ASSEMBLY,COMPRESSOR BLEED</t>
  </si>
  <si>
    <t>28A403</t>
  </si>
  <si>
    <t>2S RONILDO</t>
  </si>
  <si>
    <t>324843-2020</t>
  </si>
  <si>
    <t>HEADSET-MICROPHONE
HEADSET-MICROPHONE PHONE-MICROPHONE ASSY</t>
  </si>
  <si>
    <t>3040256673</t>
  </si>
  <si>
    <t>3040257095</t>
  </si>
  <si>
    <t>15W008701</t>
  </si>
  <si>
    <t>2606015-2</t>
  </si>
  <si>
    <t>IND OIL TEMP/P
INDICATOR-OIL TEMP/OIL PRESS</t>
  </si>
  <si>
    <t>SO DAVID SANTOS</t>
  </si>
  <si>
    <t>3040257096</t>
  </si>
  <si>
    <t>15W006615</t>
  </si>
  <si>
    <t>2S DYANA</t>
  </si>
  <si>
    <t>3040257093</t>
  </si>
  <si>
    <t>2606014-1</t>
  </si>
  <si>
    <t>065-00183-0501</t>
  </si>
  <si>
    <t>INDICATOR PROPELLER RPM</t>
  </si>
  <si>
    <t>AUTOPILOT COMPUTER KFC225</t>
  </si>
  <si>
    <t>3040257094</t>
  </si>
  <si>
    <t>066-1069-00</t>
  </si>
  <si>
    <t>INDICATOR BEARING-DISTANCE-HEADING (KDI572)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</si>
  <si>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</si>
  <si>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</si>
  <si>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</si>
  <si>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</si>
  <si>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</si>
  <si>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</si>
  <si>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</si>
  <si>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</si>
  <si>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</si>
  <si>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9910338-8</t>
  </si>
  <si>
    <t>INDICATOR FUEL FLOW</t>
  </si>
  <si>
    <t>1S ITAMUR</t>
  </si>
  <si>
    <t>3040257438</t>
  </si>
  <si>
    <t>1S REIS</t>
  </si>
  <si>
    <t>3040257439</t>
  </si>
  <si>
    <t>S3326-2</t>
  </si>
  <si>
    <t>INDICATOR HORIZONTAL SITUATION
INDICATOR COURSE DEVIATION</t>
  </si>
  <si>
    <t>3040257440</t>
  </si>
  <si>
    <t>SHC-95</t>
  </si>
  <si>
    <t>SO JEMILSON</t>
  </si>
  <si>
    <t>3040257441</t>
  </si>
  <si>
    <t>066-3054-01</t>
  </si>
  <si>
    <t>015A</t>
  </si>
  <si>
    <t>INDICATOR RADAR ALTIMETER - TYPE KI250</t>
  </si>
  <si>
    <t>2S JOÃO PAULO</t>
  </si>
  <si>
    <t>3040258303</t>
  </si>
  <si>
    <t>066-3038-00</t>
  </si>
  <si>
    <t>INDICATOR RADIO-MAGNETIC COMPASS - MODEL KI229</t>
  </si>
  <si>
    <t>3040258306</t>
  </si>
  <si>
    <t>7</t>
  </si>
  <si>
    <t>3040250829</t>
  </si>
  <si>
    <t>1S JATNIEL</t>
  </si>
  <si>
    <t>C661035-0101</t>
  </si>
  <si>
    <t>INDICATOR VERTICAL VELOCITY</t>
  </si>
  <si>
    <t>3040258309</t>
  </si>
  <si>
    <t>12253839V</t>
  </si>
  <si>
    <t>2606012-1</t>
  </si>
  <si>
    <t>INDICATOR-INTER-TURBINE TEMPERATURE</t>
  </si>
  <si>
    <t>SO PAULO</t>
  </si>
  <si>
    <t>3040258422</t>
  </si>
  <si>
    <t>2601188-8</t>
  </si>
  <si>
    <t>COMPRESSOR DRIVE ASSY R134A</t>
  </si>
  <si>
    <t>2S FREDERICO</t>
  </si>
  <si>
    <t>3040258421</t>
  </si>
  <si>
    <t>3106347-01</t>
  </si>
  <si>
    <t>MANIFOLD FLUID AIRCRAFT</t>
  </si>
  <si>
    <t>1S ARINOS</t>
  </si>
  <si>
    <t>3040258419</t>
  </si>
  <si>
    <t>069-01034-0102</t>
  </si>
  <si>
    <t>NAVIGATION SET SATELLITE SIGNALS KLN-94</t>
  </si>
  <si>
    <t>3040258420</t>
  </si>
  <si>
    <t>1S MONTEIRO</t>
  </si>
  <si>
    <t>011-00412-00</t>
  </si>
  <si>
    <t>RECEIVER</t>
  </si>
  <si>
    <t>3040258764</t>
  </si>
  <si>
    <t>NAVIGATION SET,SATELLITE SIGNALS KLN-94</t>
  </si>
  <si>
    <t>8</t>
  </si>
  <si>
    <t>011-00054-00</t>
  </si>
  <si>
    <t>RECEIVER COORDINATE DATA</t>
  </si>
  <si>
    <t>3040259151</t>
  </si>
  <si>
    <t>K0268</t>
  </si>
  <si>
    <t>TRANSPONDER,RADAR</t>
  </si>
  <si>
    <t>3040259152</t>
  </si>
  <si>
    <t>066-01148-0101</t>
  </si>
  <si>
    <t>RECEIVER GPS KLN-89B</t>
  </si>
  <si>
    <t>SO TIAGO</t>
  </si>
  <si>
    <t>3040259251</t>
  </si>
  <si>
    <t>065-0058-01</t>
  </si>
  <si>
    <t>REMOTE MODE</t>
  </si>
  <si>
    <t>3040259146</t>
  </si>
  <si>
    <t>76-207-1</t>
  </si>
  <si>
    <t>SENSOR FUEL LEVEL</t>
  </si>
  <si>
    <t>1U149-015-15</t>
  </si>
  <si>
    <t>HORIZ. GYRO-STADBY</t>
  </si>
  <si>
    <t>T97147Q</t>
  </si>
  <si>
    <t>3040259147</t>
  </si>
  <si>
    <t>2643007-1</t>
  </si>
  <si>
    <t>SHIMMY DAMP AS
SHIMMY DAMPENE
SHIMMY DAMPENER ASSY</t>
  </si>
  <si>
    <t>3040259316</t>
  </si>
  <si>
    <t>2606015-4</t>
  </si>
  <si>
    <t>08AF1</t>
  </si>
  <si>
    <t>INDICATOR-OIL TEMP/OIL PRESS</t>
  </si>
  <si>
    <t>D12-10002</t>
  </si>
  <si>
    <t>RFN3934</t>
  </si>
  <si>
    <t>T5 SET</t>
  </si>
  <si>
    <t>1S RIBAS</t>
  </si>
  <si>
    <t>3040259694</t>
  </si>
  <si>
    <t>025323-150</t>
  </si>
  <si>
    <t>9910338-6</t>
  </si>
  <si>
    <t>TRANSMITTER RATE OF FLOW
FUEL TOTALIZER INDICATOR</t>
  </si>
  <si>
    <t>3040259924</t>
  </si>
  <si>
    <t>0801LS</t>
  </si>
  <si>
    <t>1S MARIANA</t>
  </si>
  <si>
    <t>3049038-03</t>
  </si>
  <si>
    <t>VALVE COMPRESSOR BLEED</t>
  </si>
  <si>
    <t>3040259928</t>
  </si>
  <si>
    <t>0707LS</t>
  </si>
  <si>
    <t>011-00779-10</t>
  </si>
  <si>
    <t>TRANSPONDER RADIO GTX33</t>
  </si>
  <si>
    <t>3040259922</t>
  </si>
  <si>
    <t>1S SUELLEN</t>
  </si>
  <si>
    <t>011-00868-10</t>
  </si>
  <si>
    <t>3040259918</t>
  </si>
  <si>
    <t>UNIT-AHRS</t>
  </si>
  <si>
    <t>H9817</t>
  </si>
  <si>
    <t>1S BRUNO GARCIA</t>
  </si>
  <si>
    <t>3040259949</t>
  </si>
  <si>
    <t>8095536-8101</t>
  </si>
  <si>
    <t>065-0060-01</t>
  </si>
  <si>
    <t>SENSOR-RADAR</t>
  </si>
  <si>
    <t>CONTROL,SERVO,AUTOMATIC PILOT</t>
  </si>
  <si>
    <t>3S BORGES</t>
  </si>
  <si>
    <t>3040259950</t>
  </si>
  <si>
    <t>3040259946</t>
  </si>
  <si>
    <t>066-3046-07</t>
  </si>
  <si>
    <t>CONTROL,INDICATOR</t>
  </si>
  <si>
    <t>C668540-0102</t>
  </si>
  <si>
    <t>SUCTION GAGE</t>
  </si>
  <si>
    <t>SO EDSON</t>
  </si>
  <si>
    <t>3040259944</t>
  </si>
  <si>
    <t>9</t>
  </si>
  <si>
    <t>156-0019G</t>
  </si>
  <si>
    <t>LIGHT STROB RH</t>
  </si>
  <si>
    <t>3040260209</t>
  </si>
  <si>
    <t>C622010-0101</t>
  </si>
  <si>
    <t>LIGHT STROBE LH</t>
  </si>
  <si>
    <t>3040260208</t>
  </si>
  <si>
    <t>324843-W020</t>
  </si>
  <si>
    <t>HEADSET-MICROPHONE</t>
  </si>
  <si>
    <t>073200G02170010AE</t>
  </si>
  <si>
    <t>3040260389</t>
  </si>
  <si>
    <t>251500-0141-1</t>
  </si>
  <si>
    <t>SD5H14C4527</t>
  </si>
  <si>
    <t>AIR COMPRESSOR</t>
  </si>
  <si>
    <t>PRESSURE SWITCH</t>
  </si>
  <si>
    <t>3040260388</t>
  </si>
  <si>
    <t>3100829-03</t>
  </si>
  <si>
    <t>VALVE ASSEMBLY COMP
VALVE ASSEMBLY COMPRESSOR BLEED
VALVE BLEED TURBINEENGINE
BLEED VALVE</t>
  </si>
  <si>
    <t>3040260382</t>
  </si>
  <si>
    <t>KC225-3029</t>
  </si>
  <si>
    <t>SO YAMAMOTO</t>
  </si>
  <si>
    <t>VANE ASSEMBLY TURBINE</t>
  </si>
  <si>
    <t>3040260516</t>
  </si>
  <si>
    <t>A-183643</t>
  </si>
  <si>
    <t>MD41-448</t>
  </si>
  <si>
    <t>GPS ANNUNCIATION CONTROL UNIT</t>
  </si>
  <si>
    <t>3040260524</t>
  </si>
  <si>
    <t>51539-012M</t>
  </si>
  <si>
    <t>3040260522</t>
  </si>
  <si>
    <t>C611505-0102</t>
  </si>
  <si>
    <t>GENERATOR ENGINE ACCESSORY</t>
  </si>
  <si>
    <t>9910592-2</t>
  </si>
  <si>
    <t>ALTERNADOR</t>
  </si>
  <si>
    <t>A-134709</t>
  </si>
  <si>
    <t>3S BRENDA</t>
  </si>
  <si>
    <t>3040260523</t>
  </si>
  <si>
    <t>FLOW DIVIDER</t>
  </si>
  <si>
    <t>A-180560</t>
  </si>
  <si>
    <t>3040260545</t>
  </si>
  <si>
    <t>2654014-15</t>
  </si>
  <si>
    <t>EXHAUST DUCT ASSY-PRIMARY
EXHAUST DUCT ASSY-PRIMARY U/O ENGINE PT6A-114
EXAUSHT DUCT</t>
  </si>
  <si>
    <t>2S BRAGA</t>
  </si>
  <si>
    <t>3040260544</t>
  </si>
  <si>
    <t>071-00097-0100</t>
  </si>
  <si>
    <t>ELECTRONIC MODULE STANDARDIZED</t>
  </si>
  <si>
    <t>3040260548</t>
  </si>
  <si>
    <t>LSEAM3218</t>
  </si>
  <si>
    <t>3S PORTELA</t>
  </si>
  <si>
    <t>CONTROL SERVO AUTOMATIC PILOT</t>
  </si>
  <si>
    <t>3040260546</t>
  </si>
  <si>
    <t>80-0583-3</t>
  </si>
  <si>
    <t>ANNUNCIATOR PA
ANNUNCIATOR PANEL</t>
  </si>
  <si>
    <t>3040260551</t>
  </si>
  <si>
    <t>01B</t>
  </si>
  <si>
    <t>ADAPTER ASSEMBLY IN
ADAPTER ASSEMBLY MA</t>
  </si>
  <si>
    <t>3040260550</t>
  </si>
  <si>
    <t>LSEAM3167</t>
  </si>
  <si>
    <t>3040260549</t>
  </si>
  <si>
    <t>065-00178-2200</t>
  </si>
  <si>
    <t>SERVO-PITCH KS270C</t>
  </si>
  <si>
    <t>3040260543</t>
  </si>
  <si>
    <t>10</t>
  </si>
  <si>
    <t>073200G90080062AE</t>
  </si>
  <si>
    <t>C661053-0103</t>
  </si>
  <si>
    <t>GIRO DIRECTION</t>
  </si>
  <si>
    <t>3040260539</t>
  </si>
  <si>
    <t>073200G90080045AE</t>
  </si>
  <si>
    <t>071-1052-00</t>
  </si>
  <si>
    <t>TRANSMITTER INDUCTION COMPASS
FLUX DETECTOR TYPE KMT 112</t>
  </si>
  <si>
    <t>3040260538</t>
  </si>
  <si>
    <t>073200G02170034AE</t>
  </si>
  <si>
    <t>1H101-4</t>
  </si>
  <si>
    <t>FLOW CONTROL VALVE</t>
  </si>
  <si>
    <t>3040260542</t>
  </si>
  <si>
    <t>073200G02170087AE</t>
  </si>
  <si>
    <t>3040260597</t>
  </si>
  <si>
    <t>2601188-204</t>
  </si>
  <si>
    <t>COMPRESSOR DRIVE ASSY</t>
  </si>
  <si>
    <t>CEL</t>
  </si>
  <si>
    <t>1S V. MARINHO</t>
  </si>
  <si>
    <t>3040260595</t>
  </si>
  <si>
    <t>011-00809-00</t>
  </si>
  <si>
    <t>AUDIO PANEL GMA-1347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</si>
  <si>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</si>
  <si>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</si>
  <si>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</si>
  <si>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</si>
  <si>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</si>
  <si>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</si>
  <si>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</si>
  <si>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</si>
  <si>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064-1017-01</t>
  </si>
  <si>
    <t>AMPLIFIER ANTE
AMPLIFIER-ANTENNA C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</si>
  <si>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</si>
  <si>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</si>
  <si>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</si>
  <si>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</si>
  <si>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</si>
  <si>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</si>
  <si>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</si>
  <si>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</si>
  <si>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</si>
  <si>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ADAPTER FUEL
ADAPTER FUEL MANIFO</t>
  </si>
  <si>
    <t>3040260923</t>
  </si>
  <si>
    <t>2L094</t>
  </si>
  <si>
    <t>2S AZEREDO</t>
  </si>
  <si>
    <t>011-01020-10</t>
  </si>
  <si>
    <t>3040260811</t>
  </si>
  <si>
    <t>AFCS MODE CONTROLLER GMC 710</t>
  </si>
  <si>
    <t>MOT</t>
  </si>
  <si>
    <t>2S J. MAIA</t>
  </si>
  <si>
    <t>3040261389</t>
  </si>
  <si>
    <t>2661215-1</t>
  </si>
  <si>
    <t>ACTUATOR ASSY-ELEVATOR TRIM TAB</t>
  </si>
  <si>
    <t>SO FLAVIO</t>
  </si>
  <si>
    <t>3040261373</t>
  </si>
  <si>
    <t>C661065-0240</t>
  </si>
  <si>
    <t>T49816</t>
  </si>
  <si>
    <t>065-0030-00</t>
  </si>
  <si>
    <t>PLATE MOUNTING</t>
  </si>
  <si>
    <t>1S GARCIA</t>
  </si>
  <si>
    <t>3040261371</t>
  </si>
  <si>
    <t>TFF2905-13</t>
  </si>
  <si>
    <t>FUEL FLOW TRANSDUCER</t>
  </si>
  <si>
    <t>SO GEORJACIR</t>
  </si>
  <si>
    <t>C664503-0101</t>
  </si>
  <si>
    <t>HOURMETER-FLIGHT RECORDER</t>
  </si>
  <si>
    <t>3040261375</t>
  </si>
  <si>
    <t>C661065-0240RX</t>
  </si>
  <si>
    <t>INDICATOR, AIRSPEED</t>
  </si>
  <si>
    <t>T49314</t>
  </si>
  <si>
    <t>1S LORENA</t>
  </si>
  <si>
    <t>3040261322</t>
  </si>
  <si>
    <t>C145-350</t>
  </si>
  <si>
    <t>011-00831-00</t>
  </si>
  <si>
    <t>MOTOR DIRECT CURRENT</t>
  </si>
  <si>
    <t>ENGINE INTERFA,SPEC</t>
  </si>
  <si>
    <t>BEI</t>
  </si>
  <si>
    <t>2S DESIRREE</t>
  </si>
  <si>
    <t>3040261327</t>
  </si>
  <si>
    <t>SO MAINEL</t>
  </si>
  <si>
    <t>3040261331</t>
  </si>
  <si>
    <t>2S BASSANI</t>
  </si>
  <si>
    <t>3040261334</t>
  </si>
  <si>
    <t>KAS297B-A23223</t>
  </si>
  <si>
    <t>3040261335</t>
  </si>
  <si>
    <t>3040261336</t>
  </si>
  <si>
    <t>066-01141-0101</t>
  </si>
  <si>
    <t>3040261342</t>
  </si>
  <si>
    <t>066-3084-02</t>
  </si>
  <si>
    <t>COLOR RADAR INDICATOR</t>
  </si>
  <si>
    <t>11</t>
  </si>
  <si>
    <t>3S DELEON</t>
  </si>
  <si>
    <t>3040261340</t>
  </si>
  <si>
    <t>066-1053-00</t>
  </si>
  <si>
    <t>1S JULIANA PAIM</t>
  </si>
  <si>
    <t>3040261377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</si>
  <si>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</si>
  <si>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</si>
  <si>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</si>
  <si>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</si>
  <si>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</si>
  <si>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</si>
  <si>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</si>
  <si>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</si>
  <si>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</si>
  <si>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</si>
  <si>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</si>
  <si>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</si>
  <si>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</si>
  <si>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</si>
  <si>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</si>
  <si>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</si>
  <si>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</si>
  <si>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</si>
  <si>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</si>
  <si>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</si>
  <si>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</si>
  <si>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</si>
  <si>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</si>
  <si>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</si>
  <si>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</si>
  <si>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</si>
  <si>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</si>
  <si>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</si>
  <si>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</si>
  <si>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</si>
  <si>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</si>
  <si>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</si>
  <si>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</si>
  <si>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</si>
  <si>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</si>
  <si>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</si>
  <si>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</si>
  <si>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</si>
  <si>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</si>
  <si>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</si>
  <si>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</si>
  <si>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</si>
  <si>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</si>
  <si>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</si>
  <si>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</si>
  <si>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</si>
  <si>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</si>
  <si>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</si>
  <si>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</si>
  <si>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</si>
  <si>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</si>
  <si>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</si>
  <si>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</si>
  <si>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</si>
  <si>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12</t>
  </si>
  <si>
    <t>2S ROCHA</t>
  </si>
  <si>
    <t>3040250834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</si>
  <si>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</si>
  <si>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</si>
  <si>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</si>
  <si>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</si>
  <si>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</si>
  <si>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</si>
  <si>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</si>
  <si>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</si>
  <si>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</si>
  <si>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</si>
  <si>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</si>
  <si>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3S ALCEMIR</t>
  </si>
  <si>
    <t>3040262772</t>
  </si>
  <si>
    <t>3040262770</t>
  </si>
  <si>
    <t>3040262745</t>
  </si>
  <si>
    <t>2S AVELLAR</t>
  </si>
  <si>
    <t>3040262746</t>
  </si>
  <si>
    <t>3040262747</t>
  </si>
  <si>
    <t>13</t>
  </si>
  <si>
    <t>066-1072-00</t>
  </si>
  <si>
    <t>RECEIVER ADF (KING KR87)</t>
  </si>
  <si>
    <t>SSET</t>
  </si>
  <si>
    <t>2S CLODERSON</t>
  </si>
  <si>
    <t>3040262767</t>
  </si>
  <si>
    <t>3040262768</t>
  </si>
  <si>
    <t>3040262769</t>
  </si>
  <si>
    <t>2S MATHEUS</t>
  </si>
  <si>
    <t>3040262748</t>
  </si>
  <si>
    <t>3040262630</t>
  </si>
  <si>
    <t>LSEAM3269</t>
  </si>
  <si>
    <t>3040262791</t>
  </si>
  <si>
    <t>3040262792</t>
  </si>
  <si>
    <t>3040262633</t>
  </si>
  <si>
    <t>3040262634</t>
  </si>
  <si>
    <t>LSEAM3168</t>
  </si>
  <si>
    <t>3040262637</t>
  </si>
  <si>
    <t>3040262635</t>
  </si>
  <si>
    <t>3040262636</t>
  </si>
  <si>
    <t>B4H-038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</si>
  <si>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</si>
  <si>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</si>
  <si>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</si>
  <si>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</si>
  <si>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</si>
  <si>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</si>
  <si>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</si>
  <si>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</si>
  <si>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</si>
  <si>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</si>
  <si>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3040262708</t>
  </si>
  <si>
    <t>3040262709</t>
  </si>
  <si>
    <t>3040262711</t>
  </si>
  <si>
    <t>14</t>
  </si>
  <si>
    <t>2S CARROCINO</t>
  </si>
  <si>
    <t>3040262712</t>
  </si>
  <si>
    <t>1469-5</t>
  </si>
  <si>
    <t>3040262713</t>
  </si>
  <si>
    <t>3S FERREIRA</t>
  </si>
  <si>
    <t>3040262714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</si>
  <si>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</si>
  <si>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</si>
  <si>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</si>
  <si>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</si>
  <si>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</si>
  <si>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</si>
  <si>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</si>
  <si>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</si>
  <si>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</si>
  <si>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</si>
  <si>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</si>
  <si>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</si>
  <si>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</si>
  <si>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</si>
  <si>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</si>
  <si>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</si>
  <si>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</si>
  <si>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</si>
  <si>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</si>
  <si>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</si>
  <si>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</si>
  <si>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15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</si>
  <si>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</si>
  <si>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</si>
  <si>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</si>
  <si>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</si>
  <si>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</si>
  <si>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</si>
  <si>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</si>
  <si>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</si>
  <si>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</si>
  <si>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</si>
  <si>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</si>
  <si>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3040263320</t>
  </si>
  <si>
    <t>3040263317</t>
  </si>
  <si>
    <t>3040263316</t>
  </si>
  <si>
    <t>3040263336</t>
  </si>
  <si>
    <t>3040263335</t>
  </si>
  <si>
    <t>3040263286</t>
  </si>
  <si>
    <t>T36593</t>
  </si>
  <si>
    <t>3040263326</t>
  </si>
  <si>
    <t>2S FERNANDES</t>
  </si>
  <si>
    <t>3040263322</t>
  </si>
  <si>
    <t>16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</si>
  <si>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</si>
  <si>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</si>
  <si>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</si>
  <si>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</si>
  <si>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</si>
  <si>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</si>
  <si>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</si>
  <si>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</si>
  <si>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</si>
  <si>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</si>
  <si>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</si>
  <si>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</si>
  <si>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</si>
  <si>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</si>
  <si>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</si>
  <si>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3040263338</t>
  </si>
  <si>
    <t>3040263434</t>
  </si>
  <si>
    <t>3040263435</t>
  </si>
  <si>
    <t>3040263433</t>
  </si>
  <si>
    <t>3040263417</t>
  </si>
  <si>
    <t>3040263416</t>
  </si>
  <si>
    <t>2S MARLON REIS</t>
  </si>
  <si>
    <t>17</t>
  </si>
  <si>
    <t>3040263415</t>
  </si>
  <si>
    <t>2S TATIANE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</si>
  <si>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</si>
  <si>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</si>
  <si>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</si>
  <si>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</si>
  <si>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</si>
  <si>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</si>
  <si>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</si>
  <si>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</si>
  <si>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</si>
  <si>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</si>
  <si>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</si>
  <si>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</si>
  <si>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</si>
  <si>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3040263572</t>
  </si>
  <si>
    <t>3040263571</t>
  </si>
  <si>
    <t>3040263449</t>
  </si>
  <si>
    <t>2618510-10</t>
  </si>
  <si>
    <t>ALTERNATOR CONTROL UNIT ASSY</t>
  </si>
  <si>
    <t>3040263448</t>
  </si>
  <si>
    <t>3040263878</t>
  </si>
  <si>
    <t>3040263877</t>
  </si>
  <si>
    <t>18</t>
  </si>
  <si>
    <t>3040250843</t>
  </si>
  <si>
    <t>1328-5</t>
  </si>
  <si>
    <t>3040263798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</si>
  <si>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</si>
  <si>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</si>
  <si>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</si>
  <si>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</si>
  <si>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</si>
  <si>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</si>
  <si>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</si>
  <si>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19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</si>
  <si>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</si>
  <si>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</si>
  <si>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</si>
  <si>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</si>
  <si>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</si>
  <si>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</si>
  <si>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</si>
  <si>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</si>
  <si>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</si>
  <si>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</si>
  <si>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3040264262</t>
  </si>
  <si>
    <t>INDICATOR,FUEL FLOW</t>
  </si>
  <si>
    <t>3040264238</t>
  </si>
  <si>
    <t>070407983320096AE</t>
  </si>
  <si>
    <t>3040264240</t>
  </si>
  <si>
    <t>070407983320130AE</t>
  </si>
  <si>
    <t>20</t>
  </si>
  <si>
    <t>3040250720</t>
  </si>
  <si>
    <t>3040264241</t>
  </si>
  <si>
    <t>070407983320111AE</t>
  </si>
  <si>
    <t>3040264242</t>
  </si>
  <si>
    <t>070407910680166AE</t>
  </si>
  <si>
    <t>3040264264</t>
  </si>
  <si>
    <t>070407983320094AE</t>
  </si>
  <si>
    <t>3040264577</t>
  </si>
  <si>
    <t xml:space="preserve"> NÃO POSSUIMOS TR/RECIBO</t>
  </si>
  <si>
    <t>TSAU</t>
  </si>
  <si>
    <t>3S RAFAELA COSTA</t>
  </si>
  <si>
    <t>3040264576</t>
  </si>
  <si>
    <t>21</t>
  </si>
  <si>
    <t>3040264574</t>
  </si>
  <si>
    <t>3040264573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</si>
  <si>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</si>
  <si>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</si>
  <si>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</si>
  <si>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</si>
  <si>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</si>
  <si>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</si>
  <si>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</si>
  <si>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</si>
  <si>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</si>
  <si>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</si>
  <si>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</si>
  <si>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</si>
  <si>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</si>
  <si>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</si>
  <si>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</si>
  <si>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</si>
  <si>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</si>
  <si>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</si>
  <si>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</si>
  <si>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</si>
  <si>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</si>
  <si>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22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</si>
  <si>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</si>
  <si>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</si>
  <si>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</si>
  <si>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</si>
  <si>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</si>
  <si>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</si>
  <si>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</si>
  <si>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</si>
  <si>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</si>
  <si>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</si>
  <si>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</si>
  <si>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</si>
  <si>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</si>
  <si>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</si>
  <si>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</si>
  <si>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</si>
  <si>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</si>
  <si>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</si>
  <si>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</si>
  <si>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</si>
  <si>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</si>
  <si>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</si>
  <si>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</si>
  <si>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23</t>
  </si>
  <si>
    <t>3040250721</t>
  </si>
  <si>
    <t>3040264734</t>
  </si>
  <si>
    <t>3040264736</t>
  </si>
  <si>
    <t>2S BRUNO COSTA</t>
  </si>
  <si>
    <t>3040264735</t>
  </si>
  <si>
    <t>24</t>
  </si>
  <si>
    <t>3040250725</t>
  </si>
  <si>
    <t>3040264726</t>
  </si>
  <si>
    <t>E05-11026</t>
  </si>
  <si>
    <t>3040264725</t>
  </si>
  <si>
    <t>00D175</t>
  </si>
  <si>
    <t>3040264712</t>
  </si>
  <si>
    <t>S00006XL2</t>
  </si>
  <si>
    <t>25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</si>
  <si>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</si>
  <si>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</si>
  <si>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</si>
  <si>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</si>
  <si>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</si>
  <si>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</si>
  <si>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</si>
  <si>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</si>
  <si>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</si>
  <si>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</si>
  <si>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</si>
  <si>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</si>
  <si>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</si>
  <si>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</si>
  <si>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</si>
  <si>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</si>
  <si>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</si>
  <si>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</si>
  <si>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</si>
  <si>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</si>
  <si>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</si>
  <si>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</si>
  <si>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</si>
  <si>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</si>
  <si>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</si>
  <si>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</si>
  <si>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26</t>
  </si>
  <si>
    <t>3040264961</t>
  </si>
  <si>
    <t>F66912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</si>
  <si>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</si>
  <si>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</si>
  <si>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</si>
  <si>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</si>
  <si>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</si>
  <si>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</si>
  <si>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</si>
  <si>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</si>
  <si>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</si>
  <si>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27</t>
  </si>
  <si>
    <t>3040250782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</si>
  <si>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</si>
  <si>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</si>
  <si>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</si>
  <si>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</si>
  <si>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</si>
  <si>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</si>
  <si>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</si>
  <si>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</si>
  <si>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28</t>
  </si>
  <si>
    <t>3040250775</t>
  </si>
  <si>
    <t>3040265530</t>
  </si>
  <si>
    <t>A102704</t>
  </si>
  <si>
    <t>3040265528</t>
  </si>
  <si>
    <t>3040265724</t>
  </si>
  <si>
    <t>C66691</t>
  </si>
  <si>
    <t>3040265474</t>
  </si>
  <si>
    <t>E0211</t>
  </si>
  <si>
    <t>29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</si>
  <si>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</si>
  <si>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</si>
  <si>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</si>
  <si>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</si>
  <si>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</si>
  <si>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</si>
  <si>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</si>
  <si>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</si>
  <si>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</si>
  <si>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</si>
  <si>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</si>
  <si>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</si>
  <si>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</si>
  <si>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</si>
  <si>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</si>
  <si>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</si>
  <si>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</si>
  <si>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</si>
  <si>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</si>
  <si>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</si>
  <si>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</si>
  <si>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</si>
  <si>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</si>
  <si>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</si>
  <si>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</si>
  <si>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</si>
  <si>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</si>
  <si>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</t>
  </si>
  <si>
    <t>3040265668</t>
  </si>
  <si>
    <t>3040250718</t>
  </si>
  <si>
    <t>A-180215</t>
  </si>
  <si>
    <t>3040265678</t>
  </si>
  <si>
    <t>H-S111135</t>
  </si>
  <si>
    <t>3040265679</t>
  </si>
  <si>
    <t>3040265680</t>
  </si>
  <si>
    <t>3040265726</t>
  </si>
  <si>
    <t>31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</si>
  <si>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</si>
  <si>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</si>
  <si>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</si>
  <si>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</si>
  <si>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</si>
  <si>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</si>
  <si>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</si>
  <si>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</si>
  <si>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</si>
  <si>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</si>
  <si>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</si>
  <si>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</si>
  <si>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</si>
  <si>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</si>
  <si>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</si>
  <si>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</si>
  <si>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</si>
  <si>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32</t>
  </si>
  <si>
    <t>3040250717</t>
  </si>
  <si>
    <t>3040265743</t>
  </si>
  <si>
    <t>3040265744</t>
  </si>
  <si>
    <t>3040265745</t>
  </si>
  <si>
    <t>3040265746</t>
  </si>
  <si>
    <t>33</t>
  </si>
  <si>
    <t>3040250780</t>
  </si>
  <si>
    <t>3040265747</t>
  </si>
  <si>
    <t>30994-001</t>
  </si>
  <si>
    <t>BATTERY-MARATHON TSP410 NICAD</t>
  </si>
  <si>
    <t>3040265748</t>
  </si>
  <si>
    <t>3040265749</t>
  </si>
  <si>
    <t>3040265750</t>
  </si>
  <si>
    <t>34</t>
  </si>
  <si>
    <t>3040265751</t>
  </si>
  <si>
    <t>3040250781</t>
  </si>
  <si>
    <t>392-000003</t>
  </si>
  <si>
    <t>3040265752</t>
  </si>
  <si>
    <t>830-5</t>
  </si>
  <si>
    <t>35</t>
  </si>
  <si>
    <t>3040250778</t>
  </si>
  <si>
    <t>36</t>
  </si>
  <si>
    <t>3040250776</t>
  </si>
  <si>
    <t>37</t>
  </si>
  <si>
    <t>3040250790</t>
  </si>
  <si>
    <t>38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</si>
  <si>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</si>
  <si>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</si>
  <si>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</si>
  <si>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</si>
  <si>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</si>
  <si>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</si>
  <si>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</si>
  <si>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</si>
  <si>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</si>
  <si>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</si>
  <si>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</si>
  <si>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</si>
  <si>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</si>
  <si>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</si>
  <si>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</si>
  <si>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</si>
  <si>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</si>
  <si>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</si>
  <si>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</si>
  <si>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</si>
  <si>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</si>
  <si>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</si>
  <si>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</si>
  <si>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</si>
  <si>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</si>
  <si>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</si>
  <si>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</si>
  <si>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</si>
  <si>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</si>
  <si>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39</t>
  </si>
  <si>
    <t>053851C30080014AE</t>
  </si>
  <si>
    <t>3040265895</t>
  </si>
  <si>
    <t>053851C30080023AE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</si>
  <si>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</si>
  <si>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</si>
  <si>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</si>
  <si>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</si>
  <si>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</si>
  <si>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</si>
  <si>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</si>
  <si>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</si>
  <si>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</si>
  <si>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</si>
  <si>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</si>
  <si>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</si>
  <si>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</si>
  <si>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</si>
  <si>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</si>
  <si>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</si>
  <si>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</si>
  <si>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</si>
  <si>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</si>
  <si>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</si>
  <si>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</si>
  <si>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</si>
  <si>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</si>
  <si>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</si>
  <si>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</si>
  <si>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</si>
  <si>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</si>
  <si>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</si>
  <si>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</si>
  <si>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</si>
  <si>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</si>
  <si>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</si>
  <si>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</si>
  <si>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</si>
  <si>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</si>
  <si>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</si>
  <si>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</si>
  <si>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</si>
  <si>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</si>
  <si>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</si>
  <si>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</si>
  <si>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</si>
  <si>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</si>
  <si>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</si>
  <si>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</si>
  <si>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</si>
  <si>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</si>
  <si>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</si>
  <si>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</si>
  <si>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</si>
  <si>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</si>
  <si>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</si>
  <si>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</si>
  <si>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</si>
  <si>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</si>
  <si>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Dados Manuais</t>
  </si>
  <si>
    <t>Divulgação</t>
  </si>
  <si>
    <t>10/02/2025</t>
  </si>
  <si>
    <t>22373</t>
  </si>
  <si>
    <t>3859</t>
  </si>
  <si>
    <t>26/02/2025</t>
  </si>
  <si>
    <t>78286</t>
  </si>
  <si>
    <t>75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</si>
  <si>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</si>
  <si>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</si>
  <si>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</si>
  <si>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</si>
  <si>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</si>
  <si>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</si>
  <si>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</si>
  <si>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</si>
  <si>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</si>
  <si>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</si>
  <si>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</si>
  <si>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</si>
  <si>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</si>
  <si>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</si>
  <si>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</si>
  <si>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</si>
  <si>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</si>
  <si>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</si>
  <si>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76</t>
  </si>
  <si>
    <t>3040253179</t>
  </si>
  <si>
    <t>791</t>
  </si>
  <si>
    <t>2S DANILLO</t>
  </si>
  <si>
    <t>7077</t>
  </si>
  <si>
    <t>3890</t>
  </si>
  <si>
    <t>SO ALDEMIR</t>
  </si>
  <si>
    <t>KI256-25707</t>
  </si>
  <si>
    <t>77</t>
  </si>
  <si>
    <t>3040253181</t>
  </si>
  <si>
    <t>3885</t>
  </si>
  <si>
    <t>3861</t>
  </si>
  <si>
    <t>17143</t>
  </si>
  <si>
    <t>96782</t>
  </si>
  <si>
    <t>SO MAMEDE</t>
  </si>
  <si>
    <t>78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</si>
  <si>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</si>
  <si>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</si>
  <si>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</si>
  <si>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</si>
  <si>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</si>
  <si>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</si>
  <si>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</si>
  <si>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</si>
  <si>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</si>
  <si>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</si>
  <si>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</si>
  <si>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</si>
  <si>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</si>
  <si>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</si>
  <si>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</si>
  <si>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79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</si>
  <si>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</si>
  <si>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</si>
  <si>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</si>
  <si>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</si>
  <si>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</si>
  <si>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</si>
  <si>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</si>
  <si>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</si>
  <si>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</si>
  <si>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</si>
  <si>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</si>
  <si>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</si>
  <si>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</si>
  <si>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</si>
  <si>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</si>
  <si>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</si>
  <si>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</si>
  <si>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</si>
  <si>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</si>
  <si>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80</t>
  </si>
  <si>
    <t>3040253536</t>
  </si>
  <si>
    <t>38197</t>
  </si>
  <si>
    <t>85131</t>
  </si>
  <si>
    <t>86012</t>
  </si>
  <si>
    <t>85068</t>
  </si>
  <si>
    <t>84459</t>
  </si>
  <si>
    <t>AAT5599</t>
  </si>
  <si>
    <t>81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</si>
  <si>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</si>
  <si>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</si>
  <si>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</si>
  <si>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</si>
  <si>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</si>
  <si>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</si>
  <si>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</si>
  <si>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</si>
  <si>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</si>
  <si>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</si>
  <si>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</si>
  <si>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</si>
  <si>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</si>
  <si>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278</t>
  </si>
  <si>
    <t>967</t>
  </si>
  <si>
    <t>82</t>
  </si>
  <si>
    <t>3040253528</t>
  </si>
  <si>
    <t>772</t>
  </si>
  <si>
    <t>01</t>
  </si>
  <si>
    <t>289</t>
  </si>
  <si>
    <t>969</t>
  </si>
  <si>
    <t>83</t>
  </si>
  <si>
    <t>05/06/2025</t>
  </si>
  <si>
    <t>1311</t>
  </si>
  <si>
    <t>3945</t>
  </si>
  <si>
    <t>35378</t>
  </si>
  <si>
    <t>2469</t>
  </si>
  <si>
    <t>292</t>
  </si>
  <si>
    <t>197</t>
  </si>
  <si>
    <t>3040253526</t>
  </si>
  <si>
    <t>10603744</t>
  </si>
  <si>
    <t>2S RODRIGUES</t>
  </si>
  <si>
    <t>3040253527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</si>
  <si>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</si>
  <si>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</si>
  <si>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</si>
  <si>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</si>
  <si>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</si>
  <si>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</si>
  <si>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</si>
  <si>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</si>
  <si>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</si>
  <si>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BACGINAT</t>
  </si>
  <si>
    <t>SSHID</t>
  </si>
  <si>
    <t>908</t>
  </si>
  <si>
    <t>84</t>
  </si>
  <si>
    <t>02/07/2025</t>
  </si>
  <si>
    <t>26055</t>
  </si>
  <si>
    <t>203103</t>
  </si>
  <si>
    <t>56422</t>
  </si>
  <si>
    <t>3040254799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</si>
  <si>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</si>
  <si>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</si>
  <si>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</si>
  <si>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</si>
  <si>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</si>
  <si>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</si>
  <si>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</si>
  <si>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</si>
  <si>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</si>
  <si>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</si>
  <si>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</si>
  <si>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</si>
  <si>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</si>
  <si>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6132</t>
  </si>
  <si>
    <t>030998</t>
  </si>
  <si>
    <t>3040254794</t>
  </si>
  <si>
    <t>26/01/2026</t>
  </si>
  <si>
    <t>85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</si>
  <si>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</si>
  <si>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</si>
  <si>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</si>
  <si>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</si>
  <si>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</si>
  <si>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</si>
  <si>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</si>
  <si>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</si>
  <si>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</si>
  <si>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</si>
  <si>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</si>
  <si>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3040254796</t>
  </si>
  <si>
    <t>9902509</t>
  </si>
  <si>
    <t>SSBAT</t>
  </si>
  <si>
    <t>74703</t>
  </si>
  <si>
    <t>86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</si>
  <si>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</si>
  <si>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</si>
  <si>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</si>
  <si>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</si>
  <si>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</si>
  <si>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</si>
  <si>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</si>
  <si>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</si>
  <si>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</si>
  <si>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</si>
  <si>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</si>
  <si>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</si>
  <si>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</si>
  <si>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</si>
  <si>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</si>
  <si>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</si>
  <si>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</si>
  <si>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</si>
  <si>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Data de modificação V1.:</t>
  </si>
  <si>
    <t>71306307</t>
  </si>
  <si>
    <t>DATA INICIO</t>
  </si>
  <si>
    <t>TAT SILOMS</t>
  </si>
  <si>
    <t>TAT VEE ONE</t>
  </si>
  <si>
    <t>47204432</t>
  </si>
  <si>
    <t>3040256115</t>
  </si>
  <si>
    <t>409496</t>
  </si>
  <si>
    <t>EM REPARO</t>
  </si>
  <si>
    <t>LEAP</t>
  </si>
  <si>
    <t>71308676</t>
  </si>
  <si>
    <t>87</t>
  </si>
  <si>
    <t>282/FAB/25</t>
  </si>
  <si>
    <t>3040256120</t>
  </si>
  <si>
    <t>86819178</t>
  </si>
  <si>
    <t>CONDENADO</t>
  </si>
  <si>
    <t>VEE ONE</t>
  </si>
  <si>
    <t>AMA - VEE ONE</t>
  </si>
  <si>
    <t>13/08/2025</t>
  </si>
  <si>
    <t>8259</t>
  </si>
  <si>
    <t>AV AERONAUTICA</t>
  </si>
  <si>
    <t>208/FAB/26</t>
  </si>
  <si>
    <t>3040256311</t>
  </si>
  <si>
    <t>22A805</t>
  </si>
  <si>
    <t>271/FAB/26</t>
  </si>
  <si>
    <t>P2033</t>
  </si>
  <si>
    <t>1082/2025</t>
  </si>
  <si>
    <t>3040256704</t>
  </si>
  <si>
    <t>22/08/2025</t>
  </si>
  <si>
    <t>161/FAB/25</t>
  </si>
  <si>
    <t>122/C98/2025</t>
  </si>
  <si>
    <t>1S DANIELE</t>
  </si>
  <si>
    <t>103/C98/2025</t>
  </si>
  <si>
    <t>148515‐04</t>
  </si>
  <si>
    <t>3040256707</t>
  </si>
  <si>
    <t>168393-11</t>
  </si>
  <si>
    <t>15508160</t>
  </si>
  <si>
    <t>352/FAB/26</t>
  </si>
  <si>
    <t>1049/2025</t>
  </si>
  <si>
    <t>12056029</t>
  </si>
  <si>
    <t>88</t>
  </si>
  <si>
    <t>PAMA-LS</t>
  </si>
  <si>
    <t>3040256702</t>
  </si>
  <si>
    <t>159/C98/2025</t>
  </si>
  <si>
    <t>045/C98/2025</t>
  </si>
  <si>
    <t>3040256703</t>
  </si>
  <si>
    <t>T25426</t>
  </si>
  <si>
    <t>REPARADO</t>
  </si>
  <si>
    <t>V1 PAMA-LS</t>
  </si>
  <si>
    <t>3040256662</t>
  </si>
  <si>
    <t>WILLIAM</t>
  </si>
  <si>
    <t>03</t>
  </si>
  <si>
    <t>C98</t>
  </si>
  <si>
    <t>263/FAB/26</t>
  </si>
  <si>
    <t>3040256665</t>
  </si>
  <si>
    <t>778</t>
  </si>
  <si>
    <t>1034/2025</t>
  </si>
  <si>
    <t>223/FAB/26</t>
  </si>
  <si>
    <t>3040256666</t>
  </si>
  <si>
    <t>356</t>
  </si>
  <si>
    <t>89</t>
  </si>
  <si>
    <t>NO ESTADO</t>
  </si>
  <si>
    <t>3040256667</t>
  </si>
  <si>
    <t>3040256668</t>
  </si>
  <si>
    <t xml:space="preserve">EM REPARO </t>
  </si>
  <si>
    <t>048F</t>
  </si>
  <si>
    <t>176/FAB/26</t>
  </si>
  <si>
    <t>3040256669</t>
  </si>
  <si>
    <t>133/FAB/25</t>
  </si>
  <si>
    <t>3270</t>
  </si>
  <si>
    <t>PROCURANDO</t>
  </si>
  <si>
    <t>3040256670</t>
  </si>
  <si>
    <t>LSEAM3250</t>
  </si>
  <si>
    <t>039-c98-2025</t>
  </si>
  <si>
    <t>210012‐01</t>
  </si>
  <si>
    <t>108/C98/2025</t>
  </si>
  <si>
    <t>3040256694</t>
  </si>
  <si>
    <t>209717‐10</t>
  </si>
  <si>
    <t>935</t>
  </si>
  <si>
    <t>DEVOLViDO NO ESTADO</t>
  </si>
  <si>
    <t>TERMO 027/2025</t>
  </si>
  <si>
    <t>148515-04</t>
  </si>
  <si>
    <t>EM REPARO EM GARANTIA</t>
  </si>
  <si>
    <t>3040256675</t>
  </si>
  <si>
    <t>108</t>
  </si>
  <si>
    <t>1049/LS-C98/2025</t>
  </si>
  <si>
    <t>90</t>
  </si>
  <si>
    <t>438/FAB/26</t>
  </si>
  <si>
    <t>66306636</t>
  </si>
  <si>
    <t>161/C98/2025</t>
  </si>
  <si>
    <t>143/C98/2025</t>
  </si>
  <si>
    <t>66305791</t>
  </si>
  <si>
    <t>47203806</t>
  </si>
  <si>
    <t>25/08/2025</t>
  </si>
  <si>
    <t>479</t>
  </si>
  <si>
    <t>29/08/2025</t>
  </si>
  <si>
    <t>Por acaso o sn é 5263 ?</t>
  </si>
  <si>
    <t>329/FAB/26</t>
  </si>
  <si>
    <t>2953</t>
  </si>
  <si>
    <t>083/FAB/25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</si>
  <si>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</si>
  <si>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</si>
  <si>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</si>
  <si>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</si>
  <si>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</si>
  <si>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</si>
  <si>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</si>
  <si>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</si>
  <si>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</si>
  <si>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condenado</t>
  </si>
  <si>
    <t>T20874</t>
  </si>
  <si>
    <t>SO MAICON</t>
  </si>
  <si>
    <t>07213</t>
  </si>
  <si>
    <t>162/FAB/25</t>
  </si>
  <si>
    <t>182/FAB/25</t>
  </si>
  <si>
    <t>15W005529</t>
  </si>
  <si>
    <t>3040257450</t>
  </si>
  <si>
    <t>3244809-4</t>
  </si>
  <si>
    <t>C25208</t>
  </si>
  <si>
    <t>140/FAB/25</t>
  </si>
  <si>
    <t>3S LUCAS CARDOSO</t>
  </si>
  <si>
    <t>91</t>
  </si>
  <si>
    <t>571</t>
  </si>
  <si>
    <t>NÃO TEVE MOVIMENTAÇÃO</t>
  </si>
  <si>
    <t>3040257436</t>
  </si>
  <si>
    <t>290/FAB/26</t>
  </si>
  <si>
    <t>3040257444</t>
  </si>
  <si>
    <t>198/FAB/25</t>
  </si>
  <si>
    <t>776</t>
  </si>
  <si>
    <t>228/FAB/25</t>
  </si>
  <si>
    <t>3040257447</t>
  </si>
  <si>
    <t>LSEAM3239</t>
  </si>
  <si>
    <t>DEVOLVODO NO ESTADO</t>
  </si>
  <si>
    <t>MATERIAL VOLTOU EM GARANTIA</t>
  </si>
  <si>
    <t>10603742</t>
  </si>
  <si>
    <t>329/FAB/25</t>
  </si>
  <si>
    <t>92</t>
  </si>
  <si>
    <t>1096/LS-C98/2025</t>
  </si>
  <si>
    <t>327</t>
  </si>
  <si>
    <t>282/FAB/2026</t>
  </si>
  <si>
    <t>1087/PAMA-LS/2025</t>
  </si>
  <si>
    <t>07/10/2025</t>
  </si>
  <si>
    <t>16389901</t>
  </si>
  <si>
    <t>3040258310</t>
  </si>
  <si>
    <t>18384912</t>
  </si>
  <si>
    <t>1116/LS-C98/2026</t>
  </si>
  <si>
    <t>MOTH3</t>
  </si>
  <si>
    <t>2S CARDOSO</t>
  </si>
  <si>
    <t>362/FAB/26</t>
  </si>
  <si>
    <t>1112/LS-C98/2026</t>
  </si>
  <si>
    <t>3040258308</t>
  </si>
  <si>
    <t>12245097V</t>
  </si>
  <si>
    <t>3040258307</t>
  </si>
  <si>
    <t>16940865</t>
  </si>
  <si>
    <t>2S BRITTO</t>
  </si>
  <si>
    <t>490/FAB/26</t>
  </si>
  <si>
    <t>3200G02170010</t>
  </si>
  <si>
    <t>66307595</t>
  </si>
  <si>
    <t>VAI SER DEVOLVIDO SEM REPARO</t>
  </si>
  <si>
    <t>339/FAB/25</t>
  </si>
  <si>
    <t>09/10/2025</t>
  </si>
  <si>
    <t>058/FAB/26</t>
  </si>
  <si>
    <t>66307562</t>
  </si>
  <si>
    <t>3040260552</t>
  </si>
  <si>
    <t>66306759</t>
  </si>
  <si>
    <t>3200G02170087</t>
  </si>
  <si>
    <t>195/FAB/26</t>
  </si>
  <si>
    <t>3200G02170034</t>
  </si>
  <si>
    <t>66307058</t>
  </si>
  <si>
    <t>3200G90080045</t>
  </si>
  <si>
    <t>269/FAB/26</t>
  </si>
  <si>
    <t>3040260547</t>
  </si>
  <si>
    <t>16/10/2025</t>
  </si>
  <si>
    <t>21107</t>
  </si>
  <si>
    <t>93</t>
  </si>
  <si>
    <t>04/11/2025</t>
  </si>
  <si>
    <t>1318</t>
  </si>
  <si>
    <t>1608</t>
  </si>
  <si>
    <t>3200G90080062</t>
  </si>
  <si>
    <t>06/11/2025</t>
  </si>
  <si>
    <t>17869</t>
  </si>
  <si>
    <t>063/FAB/26</t>
  </si>
  <si>
    <t>EM QUARENTENA</t>
  </si>
  <si>
    <t>07/11/2025</t>
  </si>
  <si>
    <t>86887</t>
  </si>
  <si>
    <t>485/FAB/26</t>
  </si>
  <si>
    <t>07</t>
  </si>
  <si>
    <t>261/FAB/26</t>
  </si>
  <si>
    <t>3040259148</t>
  </si>
  <si>
    <t>VALVE,COMPRESSOR BLEED</t>
  </si>
  <si>
    <t>6891</t>
  </si>
  <si>
    <t>498/FAB/26</t>
  </si>
  <si>
    <t>2AY7</t>
  </si>
  <si>
    <t>SMC-95</t>
  </si>
  <si>
    <t>2S FILIPE</t>
  </si>
  <si>
    <t>10/11/2025</t>
  </si>
  <si>
    <t>3040259564</t>
  </si>
  <si>
    <t>17/11/2025</t>
  </si>
  <si>
    <t>0709LS</t>
  </si>
  <si>
    <t>PARA REPARO</t>
  </si>
  <si>
    <t>3040259568</t>
  </si>
  <si>
    <t>H9533</t>
  </si>
  <si>
    <t>STIM</t>
  </si>
  <si>
    <t>SO GENIVAL</t>
  </si>
  <si>
    <t>3040259570</t>
  </si>
  <si>
    <t>1902269</t>
  </si>
  <si>
    <t>KAS297B-A2322</t>
  </si>
  <si>
    <t>18/11/2025</t>
  </si>
  <si>
    <t>99167</t>
  </si>
  <si>
    <t>1439</t>
  </si>
  <si>
    <t>25/11/2025</t>
  </si>
  <si>
    <t>182</t>
  </si>
  <si>
    <t>94</t>
  </si>
  <si>
    <t>3040262273</t>
  </si>
  <si>
    <t>3200G02170082</t>
  </si>
  <si>
    <t>448/FAB/26</t>
  </si>
  <si>
    <t>3040262275</t>
  </si>
  <si>
    <t>3200G91260061</t>
  </si>
  <si>
    <t>37940</t>
  </si>
  <si>
    <t>39816</t>
  </si>
  <si>
    <t>3040259947</t>
  </si>
  <si>
    <t>89292</t>
  </si>
  <si>
    <t>392/FAB/26</t>
  </si>
  <si>
    <t>379/FAB/26</t>
  </si>
  <si>
    <t>461/FAB/26</t>
  </si>
  <si>
    <t>96293</t>
  </si>
  <si>
    <t>89287</t>
  </si>
  <si>
    <t>09/12/2025</t>
  </si>
  <si>
    <t>86805429</t>
  </si>
  <si>
    <t>3040262646</t>
  </si>
  <si>
    <t>1938-XL</t>
  </si>
  <si>
    <t>3040262639</t>
  </si>
  <si>
    <t>3711XL</t>
  </si>
  <si>
    <t>32108</t>
  </si>
  <si>
    <t>3040262766</t>
  </si>
  <si>
    <t>3040260204</t>
  </si>
  <si>
    <t>073200G71030137AE</t>
  </si>
  <si>
    <t>3040260205</t>
  </si>
  <si>
    <t>073200G71360003AE</t>
  </si>
  <si>
    <t>3040262632</t>
  </si>
  <si>
    <t>95</t>
  </si>
  <si>
    <t>16/12/2025</t>
  </si>
  <si>
    <t>01381310971</t>
  </si>
  <si>
    <t>1141111980</t>
  </si>
  <si>
    <t>3040260517</t>
  </si>
  <si>
    <t>19/12/2025</t>
  </si>
  <si>
    <t>3201</t>
  </si>
  <si>
    <t>3040262966</t>
  </si>
  <si>
    <t>ATE2717</t>
  </si>
  <si>
    <t>3040262968</t>
  </si>
  <si>
    <t>ATE2714</t>
  </si>
  <si>
    <t>06/01/2026</t>
  </si>
  <si>
    <t>822</t>
  </si>
  <si>
    <t>3040263315</t>
  </si>
  <si>
    <t>447/FAB/26</t>
  </si>
  <si>
    <t>795</t>
  </si>
  <si>
    <t>96</t>
  </si>
  <si>
    <t>355/FAB/26</t>
  </si>
  <si>
    <t>784</t>
  </si>
  <si>
    <t>482</t>
  </si>
  <si>
    <t>3040263332</t>
  </si>
  <si>
    <t>3S FRANÇA</t>
  </si>
  <si>
    <t>409/FAB/26</t>
  </si>
  <si>
    <t>3040260541</t>
  </si>
  <si>
    <t>073200G02170089AE</t>
  </si>
  <si>
    <t>3040260540</t>
  </si>
  <si>
    <t>073200G63200008AE</t>
  </si>
  <si>
    <t>435/FAB/26</t>
  </si>
  <si>
    <t>3040263576</t>
  </si>
  <si>
    <t>97</t>
  </si>
  <si>
    <t>3040264122</t>
  </si>
  <si>
    <t>431/FAB/26</t>
  </si>
  <si>
    <t>2165</t>
  </si>
  <si>
    <t>2309-5</t>
  </si>
  <si>
    <t>1270</t>
  </si>
  <si>
    <t>3040264263</t>
  </si>
  <si>
    <t>9933-49</t>
  </si>
  <si>
    <t>3040264121</t>
  </si>
  <si>
    <t>14/01/2026</t>
  </si>
  <si>
    <t>3040260752</t>
  </si>
  <si>
    <t>C66477</t>
  </si>
  <si>
    <t>3040260753</t>
  </si>
  <si>
    <t>1S LOSCHI</t>
  </si>
  <si>
    <t>486/FAB/26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</si>
  <si>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</si>
  <si>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</si>
  <si>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</si>
  <si>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</si>
  <si>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</si>
  <si>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</si>
  <si>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</si>
  <si>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</si>
  <si>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98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</si>
  <si>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</si>
  <si>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</si>
  <si>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</si>
  <si>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</si>
  <si>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</si>
  <si>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</si>
  <si>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</si>
  <si>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</si>
  <si>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99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</si>
  <si>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</si>
  <si>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</si>
  <si>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</si>
  <si>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</si>
  <si>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</si>
  <si>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</si>
  <si>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</si>
  <si>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</si>
  <si>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</si>
  <si>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</si>
  <si>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48741</t>
  </si>
  <si>
    <t>21940</t>
  </si>
  <si>
    <t>22950</t>
  </si>
  <si>
    <t>100</t>
  </si>
  <si>
    <t>7310</t>
  </si>
  <si>
    <t>11154</t>
  </si>
  <si>
    <t>17714</t>
  </si>
  <si>
    <t>8306</t>
  </si>
  <si>
    <t>101</t>
  </si>
  <si>
    <t>3040261357</t>
  </si>
  <si>
    <t>S4H004</t>
  </si>
  <si>
    <t>1S ARTHUR</t>
  </si>
  <si>
    <t>0919</t>
  </si>
  <si>
    <t>3040261355</t>
  </si>
  <si>
    <t>B4H-015</t>
  </si>
  <si>
    <t>2S MAGNO CESAR</t>
  </si>
  <si>
    <t>102</t>
  </si>
  <si>
    <t>20675473</t>
  </si>
  <si>
    <t>24/02/2026</t>
  </si>
  <si>
    <t>470055</t>
  </si>
  <si>
    <t>471591</t>
  </si>
  <si>
    <t>04/03/2026</t>
  </si>
  <si>
    <t>8868</t>
  </si>
  <si>
    <t>103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</si>
  <si>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</si>
  <si>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</si>
  <si>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</si>
  <si>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</si>
  <si>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</si>
  <si>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</si>
  <si>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</si>
  <si>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</si>
  <si>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</si>
  <si>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</si>
  <si>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073200G02170082AE</t>
  </si>
  <si>
    <t>073200G91260061AE</t>
  </si>
  <si>
    <t>1S FRAGOSO</t>
  </si>
  <si>
    <t>3040262363</t>
  </si>
  <si>
    <t>3040262368</t>
  </si>
  <si>
    <t>104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</si>
  <si>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</si>
  <si>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</si>
  <si>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</si>
  <si>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</si>
  <si>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</si>
  <si>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</si>
  <si>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</si>
  <si>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</si>
  <si>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</si>
  <si>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</si>
  <si>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</si>
  <si>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</si>
  <si>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</si>
  <si>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</si>
  <si>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</si>
  <si>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105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</si>
  <si>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</si>
  <si>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</si>
  <si>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</si>
  <si>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</si>
  <si>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</si>
  <si>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</si>
  <si>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</si>
  <si>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</si>
  <si>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</si>
  <si>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</si>
  <si>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</si>
  <si>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</si>
  <si>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</si>
  <si>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</si>
  <si>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</si>
  <si>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</si>
  <si>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</si>
  <si>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</si>
  <si>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</si>
  <si>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</si>
  <si>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</si>
  <si>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</si>
  <si>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</si>
  <si>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</si>
  <si>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</si>
  <si>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</si>
  <si>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</si>
  <si>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</si>
  <si>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</si>
  <si>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</si>
  <si>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</si>
  <si>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</si>
  <si>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</si>
  <si>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</si>
  <si>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</si>
  <si>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</si>
  <si>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</si>
  <si>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</si>
  <si>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</si>
  <si>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106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</si>
  <si>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</si>
  <si>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</si>
  <si>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</si>
  <si>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</si>
  <si>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</si>
  <si>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</si>
  <si>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</si>
  <si>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</si>
  <si>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</si>
  <si>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</si>
  <si>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</si>
  <si>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</si>
  <si>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</si>
  <si>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</si>
  <si>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2S MENDES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</si>
  <si>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</si>
  <si>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</si>
  <si>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</si>
  <si>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</si>
  <si>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</si>
  <si>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</si>
  <si>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</si>
  <si>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</si>
  <si>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</si>
  <si>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</si>
  <si>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107</t>
  </si>
  <si>
    <t>1088/PAMALS</t>
  </si>
  <si>
    <t>3040263069</t>
  </si>
  <si>
    <t>1042/2025</t>
  </si>
  <si>
    <t>ELT C406-N</t>
  </si>
  <si>
    <t>1008/2025</t>
  </si>
  <si>
    <t>30/04/2026</t>
  </si>
  <si>
    <t>1062</t>
  </si>
  <si>
    <t>28/04/2026</t>
  </si>
  <si>
    <t>05/05/2026</t>
  </si>
  <si>
    <t>3040111096</t>
  </si>
  <si>
    <t>1065/2025</t>
  </si>
  <si>
    <t>RECEIVER/TRANSM RADIO</t>
  </si>
  <si>
    <t>1085/PAMALS</t>
  </si>
  <si>
    <t>8619</t>
  </si>
  <si>
    <t>3040144137</t>
  </si>
  <si>
    <t>GPS</t>
  </si>
  <si>
    <t>4136</t>
  </si>
  <si>
    <t>1096/LS-C-98/2025</t>
  </si>
  <si>
    <t>3040309923</t>
  </si>
  <si>
    <t>RECIVER TRANSM</t>
  </si>
  <si>
    <t>1031/2025</t>
  </si>
  <si>
    <t>3040312644</t>
  </si>
  <si>
    <t>RECEP RADAR</t>
  </si>
  <si>
    <t>26/05/2026</t>
  </si>
  <si>
    <t>3040317874</t>
  </si>
  <si>
    <t>1063/2005</t>
  </si>
  <si>
    <t>ART2000-14856</t>
  </si>
  <si>
    <t>INNER WHEEL AUX</t>
  </si>
  <si>
    <t>20238</t>
  </si>
  <si>
    <t>159/C 98/25</t>
  </si>
  <si>
    <t>304250073782</t>
  </si>
  <si>
    <t>3040308554</t>
  </si>
  <si>
    <t>161/FAB/26</t>
  </si>
  <si>
    <t>102549</t>
  </si>
  <si>
    <t>01/11/2025</t>
  </si>
  <si>
    <t>01/01/2026</t>
  </si>
  <si>
    <t>3040295440</t>
  </si>
  <si>
    <t>015/FAB/2026</t>
  </si>
  <si>
    <t>16784</t>
  </si>
  <si>
    <t>598/FAB/2026</t>
  </si>
  <si>
    <t>3040317876</t>
  </si>
  <si>
    <t>16810</t>
  </si>
  <si>
    <t>WHEEL INNER MAIN ESQ/DIR</t>
  </si>
  <si>
    <t>127/FAB/2025</t>
  </si>
  <si>
    <t>3040316939</t>
  </si>
  <si>
    <t>250/FAB/2025</t>
  </si>
  <si>
    <t>108207</t>
  </si>
  <si>
    <t>160/C-98/2025</t>
  </si>
  <si>
    <t>3040199902</t>
  </si>
  <si>
    <t>145/C98/2025</t>
  </si>
  <si>
    <t>4152</t>
  </si>
  <si>
    <t>3040309924</t>
  </si>
  <si>
    <t>A4H-024-03</t>
  </si>
  <si>
    <t>96123</t>
  </si>
  <si>
    <t>3040312962</t>
  </si>
  <si>
    <t>4100932</t>
  </si>
  <si>
    <t>3040312963</t>
  </si>
  <si>
    <t>328/2026</t>
  </si>
  <si>
    <t>WHEEL OUTER AUX</t>
  </si>
  <si>
    <t>3040312431</t>
  </si>
  <si>
    <t>015/FAB/26</t>
  </si>
  <si>
    <t>30316</t>
  </si>
  <si>
    <t>01/03/2026</t>
  </si>
  <si>
    <t>3040246980</t>
  </si>
  <si>
    <t>WHEEL OUTER MAIN ESQ/DIR</t>
  </si>
  <si>
    <t>92E</t>
  </si>
  <si>
    <t>009/FAB/2025</t>
  </si>
  <si>
    <t>4155</t>
  </si>
  <si>
    <t>3040311258</t>
  </si>
  <si>
    <t>18685</t>
  </si>
  <si>
    <t>3040311508</t>
  </si>
  <si>
    <t>86815595</t>
  </si>
  <si>
    <t>3040300102</t>
  </si>
  <si>
    <t>86816588</t>
  </si>
  <si>
    <t>11AL75</t>
  </si>
  <si>
    <t>3040297852</t>
  </si>
  <si>
    <t>143/2025</t>
  </si>
  <si>
    <t>GIRO HORIZ</t>
  </si>
  <si>
    <t>STARTER</t>
  </si>
  <si>
    <t>2741XL</t>
  </si>
  <si>
    <t>86815646</t>
  </si>
  <si>
    <t>1040/2025</t>
  </si>
  <si>
    <t>2325XL</t>
  </si>
  <si>
    <t>3040296082</t>
  </si>
  <si>
    <t>S00103XL2</t>
  </si>
  <si>
    <t>S00200XL</t>
  </si>
  <si>
    <t>1039/2025</t>
  </si>
  <si>
    <t>COMPRES DRIVE</t>
  </si>
  <si>
    <t>N/A</t>
  </si>
  <si>
    <t>3040326012</t>
  </si>
  <si>
    <t>99K124C</t>
  </si>
  <si>
    <t>55/2025</t>
  </si>
  <si>
    <t>2606013-1</t>
  </si>
  <si>
    <t>IND PERCEN RPM</t>
  </si>
  <si>
    <t>3040326010</t>
  </si>
  <si>
    <t>1021/2025</t>
  </si>
  <si>
    <t>IND RPM</t>
  </si>
  <si>
    <t>98J183</t>
  </si>
  <si>
    <t>38C7</t>
  </si>
  <si>
    <t>1049/LS/2025</t>
  </si>
  <si>
    <t>3040324490</t>
  </si>
  <si>
    <t>109</t>
  </si>
  <si>
    <t>1035/2025</t>
  </si>
  <si>
    <t>IND TEMP OLEO</t>
  </si>
  <si>
    <t>J23379</t>
  </si>
  <si>
    <t>3040324489</t>
  </si>
  <si>
    <t>080/FAB/26</t>
  </si>
  <si>
    <t>F07-10625</t>
  </si>
  <si>
    <t>1090/PAMALS</t>
  </si>
  <si>
    <t>3040326011</t>
  </si>
  <si>
    <t>1007/2025</t>
  </si>
  <si>
    <t>822-5</t>
  </si>
  <si>
    <t>4112112</t>
  </si>
  <si>
    <t>1033/2025</t>
  </si>
  <si>
    <t>3040312965</t>
  </si>
  <si>
    <t>2305-5</t>
  </si>
  <si>
    <t>06/05/2026</t>
  </si>
  <si>
    <t>30559</t>
  </si>
  <si>
    <t>11/05/2026</t>
  </si>
  <si>
    <t>228/FAB/26</t>
  </si>
  <si>
    <t>3040316902</t>
  </si>
  <si>
    <t>237/FAB/26</t>
  </si>
  <si>
    <t>34851</t>
  </si>
  <si>
    <t>3040319929</t>
  </si>
  <si>
    <t>3958</t>
  </si>
  <si>
    <t>2641014-9</t>
  </si>
  <si>
    <t>SPRING ASSY</t>
  </si>
  <si>
    <t>01/06/2026</t>
  </si>
  <si>
    <t>110</t>
  </si>
  <si>
    <t>55/C-98/2025</t>
  </si>
  <si>
    <t>3040317879</t>
  </si>
  <si>
    <t>SEM N/S</t>
  </si>
  <si>
    <t>4157</t>
  </si>
  <si>
    <t>SHIMMY DAMPER</t>
  </si>
  <si>
    <t>3040315566</t>
  </si>
  <si>
    <t>2913</t>
  </si>
  <si>
    <t>3040314519</t>
  </si>
  <si>
    <t>2643100-206</t>
  </si>
  <si>
    <t>161/C-98/2025</t>
  </si>
  <si>
    <t>4129</t>
  </si>
  <si>
    <t>TREM NARIZ</t>
  </si>
  <si>
    <t>129/FAB</t>
  </si>
  <si>
    <t>3040323016</t>
  </si>
  <si>
    <t>S4H003</t>
  </si>
  <si>
    <t>K295-4</t>
  </si>
  <si>
    <t>12/05/2026</t>
  </si>
  <si>
    <t>142/2025</t>
  </si>
  <si>
    <t>3040326281</t>
  </si>
  <si>
    <t>111</t>
  </si>
  <si>
    <t>07/05/2026</t>
  </si>
  <si>
    <t>3040326318</t>
  </si>
  <si>
    <t>198/FAB/2025</t>
  </si>
  <si>
    <t>30-182A</t>
  </si>
  <si>
    <t>LS04</t>
  </si>
  <si>
    <t>111/2025</t>
  </si>
  <si>
    <t>3040326319</t>
  </si>
  <si>
    <t>282/FAB/2025</t>
  </si>
  <si>
    <t>BLADE VALVE</t>
  </si>
  <si>
    <t>1037/C-98/LS/2025</t>
  </si>
  <si>
    <t>35511</t>
  </si>
  <si>
    <t>01/02/2026</t>
  </si>
  <si>
    <t>3074154-01</t>
  </si>
  <si>
    <t>3040258407</t>
  </si>
  <si>
    <t>321/FAB/25</t>
  </si>
  <si>
    <t>487/TRA/2026</t>
  </si>
  <si>
    <t>85023</t>
  </si>
  <si>
    <t>15/05/2026</t>
  </si>
  <si>
    <t>3040284801</t>
  </si>
  <si>
    <t>112</t>
  </si>
  <si>
    <t>BATERIA</t>
  </si>
  <si>
    <t>131/FAB/2025</t>
  </si>
  <si>
    <t>64318</t>
  </si>
  <si>
    <t>BATERIA MARAT</t>
  </si>
  <si>
    <t>3040308132</t>
  </si>
  <si>
    <t>VALVE ASSY BLADE</t>
  </si>
  <si>
    <t>162/FAB/2025</t>
  </si>
  <si>
    <t>83287</t>
  </si>
  <si>
    <t>3H399</t>
  </si>
  <si>
    <t>136/FAB/2025</t>
  </si>
  <si>
    <t>3040297976</t>
  </si>
  <si>
    <t>C66689</t>
  </si>
  <si>
    <t>21/2025</t>
  </si>
  <si>
    <t>C66726</t>
  </si>
  <si>
    <t>FCU</t>
  </si>
  <si>
    <t>C66369</t>
  </si>
  <si>
    <t>25424</t>
  </si>
  <si>
    <t>B10555</t>
  </si>
  <si>
    <t>3040313660</t>
  </si>
  <si>
    <t>14/5/2025 E 25/07/2025</t>
  </si>
  <si>
    <t>107/2025</t>
  </si>
  <si>
    <t>24970</t>
  </si>
  <si>
    <t>113</t>
  </si>
  <si>
    <t>3040310539</t>
  </si>
  <si>
    <t>327/FAB/25</t>
  </si>
  <si>
    <t>145/2025</t>
  </si>
  <si>
    <t>B1025</t>
  </si>
  <si>
    <t>21156</t>
  </si>
  <si>
    <t>137/FAB/25</t>
  </si>
  <si>
    <t>3040312970</t>
  </si>
  <si>
    <t>C65376</t>
  </si>
  <si>
    <t>248/FAB/25</t>
  </si>
  <si>
    <t>1652</t>
  </si>
  <si>
    <t>3040306480</t>
  </si>
  <si>
    <t>1713</t>
  </si>
  <si>
    <t>3040312972</t>
  </si>
  <si>
    <t>22/05/2026</t>
  </si>
  <si>
    <t>453-0421-710</t>
  </si>
  <si>
    <t>ELT</t>
  </si>
  <si>
    <t>18/05/2026</t>
  </si>
  <si>
    <t>114</t>
  </si>
  <si>
    <t>3040325494</t>
  </si>
  <si>
    <t>453-5000</t>
  </si>
  <si>
    <t>170-11243</t>
  </si>
  <si>
    <t>3040325495</t>
  </si>
  <si>
    <t>29/05/2026</t>
  </si>
  <si>
    <t>4154</t>
  </si>
  <si>
    <t>27/05/2026</t>
  </si>
  <si>
    <t>02/06/2026</t>
  </si>
  <si>
    <t>3040315568</t>
  </si>
  <si>
    <t>159/C 98/2025</t>
  </si>
  <si>
    <t>4164</t>
  </si>
  <si>
    <t>3040317884</t>
  </si>
  <si>
    <t>VALVE BLEED</t>
  </si>
  <si>
    <t>1055/C 98/2025</t>
  </si>
  <si>
    <t>3040327373</t>
  </si>
  <si>
    <t>GA1536</t>
  </si>
  <si>
    <t>95/FAB/2025</t>
  </si>
  <si>
    <t>ALTIMETER PRESS</t>
  </si>
  <si>
    <t>3040314544</t>
  </si>
  <si>
    <t>1043/2025</t>
  </si>
  <si>
    <t>62800-001</t>
  </si>
  <si>
    <t>MICROFONE</t>
  </si>
  <si>
    <t>1088/2025</t>
  </si>
  <si>
    <t>95270</t>
  </si>
  <si>
    <t>3040313703</t>
  </si>
  <si>
    <t>21/05/2026</t>
  </si>
  <si>
    <t>3040327236</t>
  </si>
  <si>
    <t>28/05/2026</t>
  </si>
  <si>
    <t>03/06/2026</t>
  </si>
  <si>
    <t>3040312880</t>
  </si>
  <si>
    <t>0612</t>
  </si>
  <si>
    <t>3040287420</t>
  </si>
  <si>
    <t>GOV SPEED</t>
  </si>
  <si>
    <t>822-1543-201</t>
  </si>
  <si>
    <t>FILE SERVER</t>
  </si>
  <si>
    <t>4D98H3</t>
  </si>
  <si>
    <t>4C409V</t>
  </si>
  <si>
    <t>3040302343</t>
  </si>
  <si>
    <t>45/2025</t>
  </si>
  <si>
    <t>3040287128</t>
  </si>
  <si>
    <t>196/2026</t>
  </si>
  <si>
    <t>3040287127</t>
  </si>
  <si>
    <t>9912034-1</t>
  </si>
  <si>
    <t>GENERATOR,TACHOMETER</t>
  </si>
  <si>
    <t>115</t>
  </si>
  <si>
    <t>1006/2025</t>
  </si>
  <si>
    <t>AIFP</t>
  </si>
  <si>
    <t>3040292324</t>
  </si>
  <si>
    <t>592/FAB/26</t>
  </si>
  <si>
    <t>K060493</t>
  </si>
  <si>
    <t>1054/2025</t>
  </si>
  <si>
    <t>3040292323</t>
  </si>
  <si>
    <t>H-T101006</t>
  </si>
  <si>
    <t>ASG12000-2RX</t>
  </si>
  <si>
    <t>H-U041059</t>
  </si>
  <si>
    <t>3040327238</t>
  </si>
  <si>
    <t>IPLR</t>
  </si>
  <si>
    <t>529/FAB/26</t>
  </si>
  <si>
    <t>EXTINTOR</t>
  </si>
  <si>
    <t>89177</t>
  </si>
  <si>
    <t>14/05/2026</t>
  </si>
  <si>
    <t>20/05/2026</t>
  </si>
  <si>
    <t>3040313698</t>
  </si>
  <si>
    <t>X-375447</t>
  </si>
  <si>
    <t>1062/C98/2025</t>
  </si>
  <si>
    <t>25304</t>
  </si>
  <si>
    <t>438/FAB/2026</t>
  </si>
  <si>
    <t>3040317881</t>
  </si>
  <si>
    <t>X330991</t>
  </si>
  <si>
    <t>1062/C98/25</t>
  </si>
  <si>
    <t>94934</t>
  </si>
  <si>
    <t>3040317882</t>
  </si>
  <si>
    <t>X330926</t>
  </si>
  <si>
    <t>X-468923</t>
  </si>
  <si>
    <t>5155</t>
  </si>
  <si>
    <t>Y-299709</t>
  </si>
  <si>
    <t>3040313689</t>
  </si>
  <si>
    <t>X-690164</t>
  </si>
  <si>
    <t>2333</t>
  </si>
  <si>
    <t>3040316665</t>
  </si>
  <si>
    <t>3040264579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</si>
  <si>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</si>
  <si>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</si>
  <si>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</si>
  <si>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</si>
  <si>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</si>
  <si>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</si>
  <si>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</si>
  <si>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</si>
  <si>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116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</si>
  <si>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</si>
  <si>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</si>
  <si>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</si>
  <si>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</si>
  <si>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</si>
  <si>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</si>
  <si>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</si>
  <si>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</si>
  <si>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</si>
  <si>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</si>
  <si>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</si>
  <si>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</si>
  <si>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</si>
  <si>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</si>
  <si>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</si>
  <si>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</si>
  <si>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</si>
  <si>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</si>
  <si>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</si>
  <si>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</si>
  <si>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</si>
  <si>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</si>
  <si>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</si>
  <si>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</si>
  <si>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</si>
  <si>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</si>
  <si>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</si>
  <si>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</si>
  <si>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</si>
  <si>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</si>
  <si>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</si>
  <si>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</si>
  <si>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</si>
  <si>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</si>
  <si>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117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</si>
  <si>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</si>
  <si>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</si>
  <si>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</si>
  <si>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</si>
  <si>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</si>
  <si>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</si>
  <si>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</si>
  <si>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</si>
  <si>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</si>
  <si>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</si>
  <si>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</si>
  <si>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</si>
  <si>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</si>
  <si>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</si>
  <si>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</si>
  <si>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</si>
  <si>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</si>
  <si>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</si>
  <si>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</si>
  <si>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</si>
  <si>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</si>
  <si>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</si>
  <si>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</si>
  <si>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118</t>
  </si>
  <si>
    <t>ATUAD FLAP</t>
  </si>
  <si>
    <t>269/2026</t>
  </si>
  <si>
    <t>CUBO EXTERNO</t>
  </si>
  <si>
    <t>CUBO RODA</t>
  </si>
  <si>
    <t>CUBO INTERO</t>
  </si>
  <si>
    <t>23/06/2026</t>
  </si>
  <si>
    <t>18/06/2026</t>
  </si>
  <si>
    <t>24/06/2026</t>
  </si>
  <si>
    <t>3040232651</t>
  </si>
  <si>
    <t>GMM 202667113000655</t>
  </si>
  <si>
    <t>LDG150Y4</t>
  </si>
  <si>
    <t>CONTAC MAGN</t>
  </si>
  <si>
    <t>R32928</t>
  </si>
  <si>
    <t>Q33475</t>
  </si>
  <si>
    <t>Q35885</t>
  </si>
  <si>
    <t>3040307754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</si>
  <si>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</si>
  <si>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</si>
  <si>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</si>
  <si>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</si>
  <si>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</si>
  <si>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</si>
  <si>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</si>
  <si>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</si>
  <si>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</si>
  <si>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</si>
  <si>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</si>
  <si>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</si>
  <si>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</si>
  <si>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</si>
  <si>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</si>
  <si>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119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</si>
  <si>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</si>
  <si>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</si>
  <si>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</si>
  <si>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</si>
  <si>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</si>
  <si>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</si>
  <si>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</si>
  <si>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</si>
  <si>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</si>
  <si>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</si>
  <si>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</si>
  <si>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</si>
  <si>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</si>
  <si>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</si>
  <si>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</si>
  <si>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</si>
  <si>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</si>
  <si>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</si>
  <si>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</si>
  <si>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</si>
  <si>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</si>
  <si>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</si>
  <si>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</si>
  <si>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</si>
  <si>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</si>
  <si>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120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</si>
  <si>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</si>
  <si>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</si>
  <si>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</si>
  <si>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</si>
  <si>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</si>
  <si>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</si>
  <si>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</si>
  <si>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</si>
  <si>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</si>
  <si>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</si>
  <si>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</si>
  <si>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</si>
  <si>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121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</si>
  <si>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</si>
  <si>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</si>
  <si>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</si>
  <si>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</si>
  <si>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</si>
  <si>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</si>
  <si>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</si>
  <si>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</si>
  <si>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</si>
  <si>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</si>
  <si>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</si>
  <si>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</si>
  <si>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</si>
  <si>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</si>
  <si>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</si>
  <si>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</si>
  <si>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</si>
  <si>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</si>
  <si>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</si>
  <si>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</si>
  <si>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</si>
  <si>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</si>
  <si>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</si>
  <si>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</si>
  <si>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</si>
  <si>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</si>
  <si>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123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</si>
  <si>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</si>
  <si>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</si>
  <si>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</si>
  <si>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</si>
  <si>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</si>
  <si>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</si>
  <si>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</si>
  <si>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</si>
  <si>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</si>
  <si>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</si>
  <si>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</si>
  <si>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124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</si>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</sst>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</font>
    <font>
      <sz val="8.0"/>
      <color theme="1"/>
      <name val="Arial"/>
    </font>
    <font>
      <sz val="14.0"/>
      <color theme="1"/>
      <name val="Calibri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2" fillId="2" fontId="1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3" fillId="3" fontId="5" numFmtId="0" xfId="0" applyAlignment="1" applyBorder="1" applyFont="1">
      <alignment horizontal="center" vertical="center"/>
    </xf>
    <xf borderId="4" fillId="0" fontId="6" numFmtId="0" xfId="0" applyBorder="1" applyFont="1"/>
    <xf borderId="0" fillId="0" fontId="4" numFmtId="49" xfId="0" applyAlignment="1" applyFont="1" applyNumberFormat="1">
      <alignment horizontal="center" vertical="center"/>
    </xf>
    <xf borderId="0" fillId="0" fontId="4" numFmtId="49" xfId="0" applyAlignment="1" applyFont="1" applyNumberFormat="1">
      <alignment horizontal="left" vertical="center"/>
    </xf>
    <xf borderId="2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0" fillId="2" fontId="8" numFmtId="49" xfId="0" applyAlignment="1" applyFont="1" applyNumberFormat="1">
      <alignment horizontal="center" readingOrder="0" vertical="center"/>
    </xf>
    <xf borderId="0" fillId="0" fontId="4" numFmtId="0" xfId="0" applyAlignment="1" applyFont="1">
      <alignment horizontal="left" readingOrder="0" vertical="center"/>
    </xf>
    <xf borderId="6" fillId="6" fontId="5" numFmtId="0" xfId="0" applyAlignment="1" applyBorder="1" applyFill="1" applyFont="1">
      <alignment horizontal="center" vertical="center"/>
    </xf>
    <xf borderId="7" fillId="2" fontId="9" numFmtId="14" xfId="0" applyAlignment="1" applyBorder="1" applyFont="1" applyNumberFormat="1">
      <alignment horizontal="center" readingOrder="0" vertical="center"/>
    </xf>
    <xf borderId="2" fillId="7" fontId="7" numFmtId="0" xfId="0" applyAlignment="1" applyBorder="1" applyFill="1" applyFont="1">
      <alignment horizontal="center" vertical="center"/>
    </xf>
    <xf borderId="7" fillId="2" fontId="5" numFmtId="0" xfId="0" applyAlignment="1" applyBorder="1" applyFont="1">
      <alignment horizontal="center" vertical="center"/>
    </xf>
    <xf borderId="7" fillId="2" fontId="5" numFmtId="0" xfId="0" applyAlignment="1" applyBorder="1" applyFont="1">
      <alignment horizontal="center" vertical="center"/>
    </xf>
    <xf borderId="7" fillId="2" fontId="5" numFmtId="14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7" fillId="2" fontId="5" numFmtId="164" xfId="0" applyAlignment="1" applyBorder="1" applyFont="1" applyNumberForma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2" fillId="8" fontId="3" numFmtId="0" xfId="0" applyAlignment="1" applyBorder="1" applyFill="1" applyFont="1">
      <alignment horizontal="center" vertical="center"/>
    </xf>
    <xf borderId="7" fillId="2" fontId="5" numFmtId="49" xfId="0" applyAlignment="1" applyBorder="1" applyFont="1" applyNumberFormat="1">
      <alignment horizontal="center" vertical="center"/>
    </xf>
    <xf borderId="7" fillId="2" fontId="5" numFmtId="1" xfId="0" applyAlignment="1" applyBorder="1" applyFont="1" applyNumberFormat="1">
      <alignment horizontal="center" vertical="center"/>
    </xf>
    <xf borderId="7" fillId="9" fontId="5" numFmtId="0" xfId="0" applyAlignment="1" applyBorder="1" applyFill="1" applyFon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7" fillId="9" fontId="5" numFmtId="164" xfId="0" applyAlignment="1" applyBorder="1" applyFont="1" applyNumberFormat="1">
      <alignment horizontal="center" vertical="center"/>
    </xf>
    <xf borderId="0" fillId="9" fontId="5" numFmtId="164" xfId="0" applyAlignment="1" applyFont="1" applyNumberFormat="1">
      <alignment horizontal="center" vertical="center"/>
    </xf>
    <xf borderId="8" fillId="9" fontId="1" numFmtId="0" xfId="0" applyAlignment="1" applyBorder="1" applyFont="1">
      <alignment horizontal="center" vertical="center"/>
    </xf>
    <xf borderId="8" fillId="10" fontId="7" numFmtId="0" xfId="0" applyAlignment="1" applyBorder="1" applyFont="1">
      <alignment horizontal="center" shrinkToFit="0" vertical="center" wrapText="1"/>
    </xf>
    <xf borderId="8" fillId="9" fontId="1" numFmtId="166" xfId="0" applyAlignment="1" applyBorder="1" applyFont="1" applyNumberFormat="1">
      <alignment horizontal="center" vertical="center"/>
    </xf>
    <xf borderId="0" fillId="10" fontId="7" numFmtId="0" xfId="0" applyAlignment="1" applyFont="1">
      <alignment horizontal="center" shrinkToFit="0" vertical="center" wrapText="1"/>
    </xf>
    <xf borderId="8" fillId="9" fontId="5" numFmtId="164" xfId="0" applyAlignment="1" applyBorder="1" applyFont="1" applyNumberFormat="1">
      <alignment horizontal="center" vertical="center"/>
    </xf>
    <xf borderId="9" fillId="10" fontId="7" numFmtId="0" xfId="0" applyAlignment="1" applyBorder="1" applyFont="1">
      <alignment horizontal="center" vertical="center"/>
    </xf>
    <xf borderId="7" fillId="2" fontId="7" numFmtId="0" xfId="0" applyAlignment="1" applyBorder="1" applyFont="1">
      <alignment horizontal="center" readingOrder="0" vertical="center"/>
    </xf>
    <xf borderId="0" fillId="9" fontId="5" numFmtId="0" xfId="0" applyAlignment="1" applyFont="1">
      <alignment horizontal="center" vertical="center"/>
    </xf>
    <xf borderId="0" fillId="9" fontId="1" numFmtId="0" xfId="0" applyAlignment="1" applyFont="1">
      <alignment horizontal="center" vertical="center"/>
    </xf>
    <xf borderId="0" fillId="9" fontId="1" numFmtId="166" xfId="0" applyAlignment="1" applyFont="1" applyNumberFormat="1">
      <alignment horizontal="center" vertical="center"/>
    </xf>
    <xf borderId="8" fillId="0" fontId="5" numFmtId="0" xfId="0" applyAlignment="1" applyBorder="1" applyFon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8" fillId="0" fontId="5" numFmtId="167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7" fillId="0" fontId="6" numFmtId="0" xfId="0" applyBorder="1" applyFont="1"/>
    <xf borderId="8" fillId="0" fontId="10" numFmtId="0" xfId="0" applyAlignment="1" applyBorder="1" applyFont="1">
      <alignment horizontal="center" shrinkToFit="0" vertical="center" wrapText="1"/>
    </xf>
    <xf borderId="10" fillId="11" fontId="7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0" fillId="0" fontId="4" numFmtId="168" xfId="0" applyAlignment="1" applyFont="1" applyNumberFormat="1">
      <alignment horizontal="center" readingOrder="0" vertical="center"/>
    </xf>
    <xf borderId="8" fillId="2" fontId="1" numFmtId="0" xfId="0" applyAlignment="1" applyBorder="1" applyFont="1">
      <alignment horizontal="center" readingOrder="0" shrinkToFit="0" vertical="center" wrapText="1"/>
    </xf>
    <xf borderId="8" fillId="0" fontId="11" numFmtId="0" xfId="0" applyAlignment="1" applyBorder="1" applyFont="1">
      <alignment horizontal="center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9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9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5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2" fillId="2" fontId="7" numFmtId="49" xfId="0" applyAlignment="1" applyBorder="1" applyFont="1" applyNumberFormat="1">
      <alignment horizontal="left" shrinkToFit="0" vertical="top" wrapText="1"/>
    </xf>
    <xf borderId="8" fillId="2" fontId="5" numFmtId="14" xfId="0" applyAlignment="1" applyBorder="1" applyFont="1" applyNumberFormat="1">
      <alignment horizontal="center" vertical="top"/>
    </xf>
    <xf borderId="8" fillId="2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2" fontId="12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2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3" fontId="5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5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3" fontId="5" numFmtId="49" xfId="0" applyAlignment="1" applyBorder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14" fontId="5" numFmtId="1" xfId="0" applyAlignment="1" applyBorder="1" applyFill="1" applyFont="1" applyNumberFormat="1">
      <alignment horizontal="center" vertical="top"/>
    </xf>
    <xf borderId="8" fillId="13" fontId="5" numFmtId="1" xfId="0" applyAlignment="1" applyBorder="1" applyFont="1" applyNumberFormat="1">
      <alignment horizontal="center" vertical="top"/>
    </xf>
    <xf borderId="8" fillId="12" fontId="5" numFmtId="0" xfId="0" applyAlignment="1" applyBorder="1" applyFon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9" fontId="16" numFmtId="0" xfId="0" applyAlignment="1" applyBorder="1" applyFont="1">
      <alignment horizontal="center" shrinkToFit="0" wrapText="1"/>
    </xf>
    <xf borderId="8" fillId="9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9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9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0" fillId="0" fontId="4" numFmtId="170" xfId="0" applyAlignment="1" applyFont="1" applyNumberFormat="1">
      <alignment horizontal="center" readingOrder="0" vertical="center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4" numFmtId="49" xfId="0" applyFont="1" applyNumberFormat="1"/>
    <xf borderId="0" fillId="0" fontId="4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1</v>
      </c>
      <c r="B1" s="7"/>
      <c r="C1" s="7"/>
      <c r="D1" s="7"/>
      <c r="E1" s="7"/>
      <c r="F1" s="7"/>
      <c r="G1" s="7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8"/>
      <c r="Y1" s="15"/>
      <c r="Z1" s="17" t="s">
        <v>36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8"/>
      <c r="AN1" s="15"/>
      <c r="AO1" s="24" t="s">
        <v>37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8"/>
    </row>
    <row r="2">
      <c r="A2" s="28" t="s">
        <v>14</v>
      </c>
      <c r="B2" s="28" t="s">
        <v>49</v>
      </c>
      <c r="C2" s="28" t="s">
        <v>15</v>
      </c>
      <c r="D2" s="28" t="s">
        <v>50</v>
      </c>
      <c r="E2" s="28" t="s">
        <v>52</v>
      </c>
      <c r="F2" s="28" t="s">
        <v>53</v>
      </c>
      <c r="G2" s="28" t="s">
        <v>9</v>
      </c>
      <c r="H2" s="32" t="s">
        <v>56</v>
      </c>
      <c r="I2" s="34"/>
      <c r="J2" s="15"/>
      <c r="K2" s="36" t="s">
        <v>45</v>
      </c>
      <c r="L2" s="36" t="s">
        <v>60</v>
      </c>
      <c r="M2" s="36" t="s">
        <v>57</v>
      </c>
      <c r="N2" s="36" t="s">
        <v>62</v>
      </c>
      <c r="O2" s="36" t="s">
        <v>63</v>
      </c>
      <c r="P2" s="36" t="s">
        <v>64</v>
      </c>
      <c r="Q2" s="36" t="s">
        <v>65</v>
      </c>
      <c r="R2" s="36" t="s">
        <v>66</v>
      </c>
      <c r="S2" s="36" t="s">
        <v>68</v>
      </c>
      <c r="T2" s="36" t="s">
        <v>70</v>
      </c>
      <c r="U2" s="36" t="s">
        <v>71</v>
      </c>
      <c r="V2" s="36" t="s">
        <v>73</v>
      </c>
      <c r="W2" s="36" t="s">
        <v>75</v>
      </c>
      <c r="X2" s="36" t="s">
        <v>76</v>
      </c>
      <c r="Y2" s="15"/>
      <c r="Z2" s="28" t="s">
        <v>45</v>
      </c>
      <c r="AA2" s="28" t="s">
        <v>60</v>
      </c>
      <c r="AB2" s="28" t="s">
        <v>57</v>
      </c>
      <c r="AC2" s="28" t="s">
        <v>62</v>
      </c>
      <c r="AD2" s="28" t="s">
        <v>63</v>
      </c>
      <c r="AE2" s="28" t="s">
        <v>64</v>
      </c>
      <c r="AF2" s="28" t="s">
        <v>65</v>
      </c>
      <c r="AG2" s="28" t="s">
        <v>66</v>
      </c>
      <c r="AH2" s="28" t="s">
        <v>68</v>
      </c>
      <c r="AI2" s="28" t="s">
        <v>70</v>
      </c>
      <c r="AJ2" s="28" t="s">
        <v>71</v>
      </c>
      <c r="AK2" s="28" t="s">
        <v>73</v>
      </c>
      <c r="AL2" s="28" t="s">
        <v>75</v>
      </c>
      <c r="AM2" s="28" t="s">
        <v>76</v>
      </c>
      <c r="AN2" s="15"/>
      <c r="AO2" s="32" t="s">
        <v>79</v>
      </c>
      <c r="AP2" s="28" t="s">
        <v>45</v>
      </c>
      <c r="AQ2" s="28" t="s">
        <v>60</v>
      </c>
      <c r="AR2" s="28" t="s">
        <v>57</v>
      </c>
      <c r="AS2" s="28" t="s">
        <v>62</v>
      </c>
      <c r="AT2" s="28" t="s">
        <v>63</v>
      </c>
      <c r="AU2" s="28" t="s">
        <v>64</v>
      </c>
      <c r="AV2" s="28" t="s">
        <v>65</v>
      </c>
      <c r="AW2" s="28" t="s">
        <v>66</v>
      </c>
      <c r="AX2" s="28" t="s">
        <v>68</v>
      </c>
      <c r="AY2" s="28" t="s">
        <v>70</v>
      </c>
      <c r="AZ2" s="28" t="s">
        <v>71</v>
      </c>
      <c r="BA2" s="28" t="s">
        <v>73</v>
      </c>
      <c r="BB2" s="28" t="s">
        <v>75</v>
      </c>
      <c r="BC2" s="28" t="s">
        <v>76</v>
      </c>
    </row>
    <row r="3">
      <c r="A3" s="41" t="s">
        <v>82</v>
      </c>
      <c r="B3" s="41"/>
      <c r="C3" s="41">
        <v>18560.0</v>
      </c>
      <c r="D3" s="41" t="s">
        <v>86</v>
      </c>
      <c r="E3" s="41">
        <v>1.0</v>
      </c>
      <c r="F3" s="44">
        <v>1065.31</v>
      </c>
      <c r="G3" s="41" t="s">
        <v>87</v>
      </c>
      <c r="H3" s="41">
        <v>1.0</v>
      </c>
      <c r="I3" s="45"/>
      <c r="J3" s="15"/>
      <c r="K3" s="41">
        <v>1.0</v>
      </c>
      <c r="L3" s="47">
        <v>0.0</v>
      </c>
      <c r="M3" s="47">
        <v>0.0</v>
      </c>
      <c r="N3" s="47">
        <v>0.0</v>
      </c>
      <c r="O3" s="47">
        <v>0.0</v>
      </c>
      <c r="P3" s="47">
        <v>0.0</v>
      </c>
      <c r="Q3" s="47">
        <v>0.0</v>
      </c>
      <c r="R3" s="47">
        <v>0.0</v>
      </c>
      <c r="S3" s="47">
        <v>0.0</v>
      </c>
      <c r="T3" s="47">
        <v>0.0</v>
      </c>
      <c r="U3" s="47">
        <v>0.0</v>
      </c>
      <c r="V3" s="47">
        <v>0.0</v>
      </c>
      <c r="W3" s="47">
        <v>0.0</v>
      </c>
      <c r="X3" s="47">
        <v>0.0</v>
      </c>
      <c r="Y3" s="15"/>
      <c r="Z3" s="41"/>
      <c r="AA3" s="41"/>
      <c r="AB3" s="41"/>
      <c r="AC3" s="41"/>
      <c r="AD3" s="41">
        <v>1.0</v>
      </c>
      <c r="AE3" s="41"/>
      <c r="AF3" s="41"/>
      <c r="AG3" s="41" t="s">
        <v>93</v>
      </c>
      <c r="AH3" s="41" t="s">
        <v>93</v>
      </c>
      <c r="AI3" s="41" t="s">
        <v>93</v>
      </c>
      <c r="AJ3" s="41" t="s">
        <v>93</v>
      </c>
      <c r="AK3" s="41" t="s">
        <v>93</v>
      </c>
      <c r="AL3" s="41" t="s">
        <v>93</v>
      </c>
      <c r="AM3" s="41" t="s">
        <v>93</v>
      </c>
      <c r="AN3" s="15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93</v>
      </c>
      <c r="AX3" s="41" t="s">
        <v>93</v>
      </c>
      <c r="AY3" s="41" t="s">
        <v>93</v>
      </c>
      <c r="AZ3" s="41" t="s">
        <v>93</v>
      </c>
      <c r="BA3" s="41" t="s">
        <v>93</v>
      </c>
      <c r="BB3" s="41" t="s">
        <v>93</v>
      </c>
      <c r="BC3" s="41" t="s">
        <v>93</v>
      </c>
    </row>
    <row r="4">
      <c r="A4" s="41" t="s">
        <v>97</v>
      </c>
      <c r="B4" s="41"/>
      <c r="C4" s="41"/>
      <c r="D4" s="41" t="s">
        <v>99</v>
      </c>
      <c r="E4" s="41">
        <v>1.0</v>
      </c>
      <c r="F4" s="44">
        <v>1035.2</v>
      </c>
      <c r="G4" s="41" t="s">
        <v>87</v>
      </c>
      <c r="H4" s="41">
        <v>8.0</v>
      </c>
      <c r="I4" s="45"/>
      <c r="J4" s="15"/>
      <c r="K4" s="41">
        <v>6.0</v>
      </c>
      <c r="L4" s="47">
        <v>0.0</v>
      </c>
      <c r="M4" s="47">
        <v>0.0</v>
      </c>
      <c r="N4" s="47">
        <v>0.0</v>
      </c>
      <c r="O4" s="47">
        <v>1.0</v>
      </c>
      <c r="P4" s="47">
        <v>0.0</v>
      </c>
      <c r="Q4" s="47">
        <v>0.0</v>
      </c>
      <c r="R4" s="47">
        <v>0.0</v>
      </c>
      <c r="S4" s="47">
        <v>0.0</v>
      </c>
      <c r="T4" s="47">
        <v>0.0</v>
      </c>
      <c r="U4" s="47">
        <v>1.0</v>
      </c>
      <c r="V4" s="47">
        <v>0.0</v>
      </c>
      <c r="W4" s="47">
        <v>0.0</v>
      </c>
      <c r="X4" s="47">
        <v>0.0</v>
      </c>
      <c r="Y4" s="15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93</v>
      </c>
      <c r="AH4" s="41" t="s">
        <v>93</v>
      </c>
      <c r="AI4" s="41" t="s">
        <v>93</v>
      </c>
      <c r="AJ4" s="41" t="s">
        <v>93</v>
      </c>
      <c r="AK4" s="41" t="s">
        <v>93</v>
      </c>
      <c r="AL4" s="41" t="s">
        <v>93</v>
      </c>
      <c r="AM4" s="41" t="s">
        <v>93</v>
      </c>
      <c r="AN4" s="15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93</v>
      </c>
      <c r="AX4" s="41" t="s">
        <v>93</v>
      </c>
      <c r="AY4" s="41" t="s">
        <v>93</v>
      </c>
      <c r="AZ4" s="41" t="s">
        <v>93</v>
      </c>
      <c r="BA4" s="41" t="s">
        <v>93</v>
      </c>
      <c r="BB4" s="41" t="s">
        <v>93</v>
      </c>
      <c r="BC4" s="41" t="s">
        <v>93</v>
      </c>
    </row>
    <row r="5">
      <c r="A5" s="41" t="s">
        <v>108</v>
      </c>
      <c r="B5" s="41"/>
      <c r="C5" s="41"/>
      <c r="D5" s="41" t="s">
        <v>111</v>
      </c>
      <c r="E5" s="41">
        <v>1.0</v>
      </c>
      <c r="F5" s="44">
        <v>858.78</v>
      </c>
      <c r="G5" s="41" t="s">
        <v>87</v>
      </c>
      <c r="H5" s="41">
        <v>2.0</v>
      </c>
      <c r="I5" s="45"/>
      <c r="J5" s="15"/>
      <c r="K5" s="41">
        <v>1.0</v>
      </c>
      <c r="L5" s="52">
        <v>1.0</v>
      </c>
      <c r="M5" s="52">
        <v>0.0</v>
      </c>
      <c r="N5" s="52">
        <v>0.0</v>
      </c>
      <c r="O5" s="52">
        <v>0.0</v>
      </c>
      <c r="P5" s="52">
        <v>0.0</v>
      </c>
      <c r="Q5" s="52">
        <v>0.0</v>
      </c>
      <c r="R5" s="52">
        <v>0.0</v>
      </c>
      <c r="S5" s="52">
        <v>0.0</v>
      </c>
      <c r="T5" s="52">
        <v>0.0</v>
      </c>
      <c r="U5" s="52">
        <v>0.0</v>
      </c>
      <c r="V5" s="52">
        <v>0.0</v>
      </c>
      <c r="W5" s="52">
        <v>0.0</v>
      </c>
      <c r="X5" s="52">
        <v>0.0</v>
      </c>
      <c r="Y5" s="15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93</v>
      </c>
      <c r="AH5" s="41" t="s">
        <v>93</v>
      </c>
      <c r="AI5" s="41" t="s">
        <v>93</v>
      </c>
      <c r="AJ5" s="41" t="s">
        <v>93</v>
      </c>
      <c r="AK5" s="41" t="s">
        <v>93</v>
      </c>
      <c r="AL5" s="41" t="s">
        <v>93</v>
      </c>
      <c r="AM5" s="41" t="s">
        <v>93</v>
      </c>
      <c r="AN5" s="15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93</v>
      </c>
      <c r="AX5" s="41" t="s">
        <v>93</v>
      </c>
      <c r="AY5" s="41" t="s">
        <v>93</v>
      </c>
      <c r="AZ5" s="41" t="s">
        <v>93</v>
      </c>
      <c r="BA5" s="41" t="s">
        <v>93</v>
      </c>
      <c r="BB5" s="41" t="s">
        <v>93</v>
      </c>
      <c r="BC5" s="41" t="s">
        <v>93</v>
      </c>
    </row>
    <row r="6">
      <c r="A6" s="41" t="s">
        <v>125</v>
      </c>
      <c r="B6" s="41"/>
      <c r="C6" s="41"/>
      <c r="D6" s="41" t="s">
        <v>127</v>
      </c>
      <c r="E6" s="41">
        <v>2.0</v>
      </c>
      <c r="F6" s="44">
        <v>12095.62</v>
      </c>
      <c r="G6" s="41" t="s">
        <v>87</v>
      </c>
      <c r="H6" s="41">
        <v>0.0</v>
      </c>
      <c r="I6" s="45"/>
      <c r="J6" s="15"/>
      <c r="K6" s="41">
        <v>0.0</v>
      </c>
      <c r="L6" s="52">
        <v>0.0</v>
      </c>
      <c r="M6" s="52">
        <v>0.0</v>
      </c>
      <c r="N6" s="52">
        <v>0.0</v>
      </c>
      <c r="O6" s="52">
        <v>0.0</v>
      </c>
      <c r="P6" s="52">
        <v>0.0</v>
      </c>
      <c r="Q6" s="52">
        <v>0.0</v>
      </c>
      <c r="R6" s="52">
        <v>0.0</v>
      </c>
      <c r="S6" s="52">
        <v>0.0</v>
      </c>
      <c r="T6" s="52">
        <v>0.0</v>
      </c>
      <c r="U6" s="52">
        <v>0.0</v>
      </c>
      <c r="V6" s="52">
        <v>0.0</v>
      </c>
      <c r="W6" s="52">
        <v>0.0</v>
      </c>
      <c r="X6" s="52">
        <v>0.0</v>
      </c>
      <c r="Y6" s="15"/>
      <c r="Z6" s="41"/>
      <c r="AA6" s="41"/>
      <c r="AB6" s="41"/>
      <c r="AC6" s="41"/>
      <c r="AD6" s="41"/>
      <c r="AE6" s="41"/>
      <c r="AF6" s="41"/>
      <c r="AG6" s="41" t="s">
        <v>93</v>
      </c>
      <c r="AH6" s="41" t="s">
        <v>93</v>
      </c>
      <c r="AI6" s="41" t="s">
        <v>93</v>
      </c>
      <c r="AJ6" s="41" t="s">
        <v>93</v>
      </c>
      <c r="AK6" s="41" t="s">
        <v>93</v>
      </c>
      <c r="AL6" s="41" t="s">
        <v>93</v>
      </c>
      <c r="AM6" s="41" t="s">
        <v>93</v>
      </c>
      <c r="AN6" s="15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93</v>
      </c>
      <c r="AX6" s="41" t="s">
        <v>93</v>
      </c>
      <c r="AY6" s="41" t="s">
        <v>93</v>
      </c>
      <c r="AZ6" s="41" t="s">
        <v>93</v>
      </c>
      <c r="BA6" s="41" t="s">
        <v>93</v>
      </c>
      <c r="BB6" s="41" t="s">
        <v>93</v>
      </c>
      <c r="BC6" s="41" t="s">
        <v>93</v>
      </c>
    </row>
    <row r="7">
      <c r="A7" s="41" t="s">
        <v>141</v>
      </c>
      <c r="B7" s="41"/>
      <c r="C7" s="41"/>
      <c r="D7" s="41" t="s">
        <v>142</v>
      </c>
      <c r="E7" s="41">
        <v>1.0</v>
      </c>
      <c r="F7" s="44">
        <v>6539.14</v>
      </c>
      <c r="G7" s="41" t="s">
        <v>87</v>
      </c>
      <c r="H7" s="41">
        <v>4.0</v>
      </c>
      <c r="I7" s="45"/>
      <c r="J7" s="15"/>
      <c r="K7" s="41">
        <v>4.0</v>
      </c>
      <c r="L7" s="52">
        <v>0.0</v>
      </c>
      <c r="M7" s="52">
        <v>0.0</v>
      </c>
      <c r="N7" s="52">
        <v>0.0</v>
      </c>
      <c r="O7" s="52">
        <v>0.0</v>
      </c>
      <c r="P7" s="52">
        <v>0.0</v>
      </c>
      <c r="Q7" s="52">
        <v>0.0</v>
      </c>
      <c r="R7" s="52">
        <v>0.0</v>
      </c>
      <c r="S7" s="52">
        <v>0.0</v>
      </c>
      <c r="T7" s="52">
        <v>0.0</v>
      </c>
      <c r="U7" s="52">
        <v>0.0</v>
      </c>
      <c r="V7" s="52">
        <v>0.0</v>
      </c>
      <c r="W7" s="52">
        <v>0.0</v>
      </c>
      <c r="X7" s="52">
        <v>0.0</v>
      </c>
      <c r="Y7" s="15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93</v>
      </c>
      <c r="AH7" s="41" t="s">
        <v>93</v>
      </c>
      <c r="AI7" s="41" t="s">
        <v>93</v>
      </c>
      <c r="AJ7" s="41" t="s">
        <v>93</v>
      </c>
      <c r="AK7" s="41" t="s">
        <v>93</v>
      </c>
      <c r="AL7" s="41" t="s">
        <v>93</v>
      </c>
      <c r="AM7" s="41" t="s">
        <v>93</v>
      </c>
      <c r="AN7" s="15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93</v>
      </c>
      <c r="AX7" s="41" t="s">
        <v>93</v>
      </c>
      <c r="AY7" s="41" t="s">
        <v>93</v>
      </c>
      <c r="AZ7" s="41" t="s">
        <v>93</v>
      </c>
      <c r="BA7" s="41" t="s">
        <v>93</v>
      </c>
      <c r="BB7" s="41" t="s">
        <v>93</v>
      </c>
      <c r="BC7" s="41" t="s">
        <v>93</v>
      </c>
    </row>
    <row r="8">
      <c r="A8" s="41" t="s">
        <v>149</v>
      </c>
      <c r="B8" s="41"/>
      <c r="C8" s="41"/>
      <c r="D8" s="41" t="s">
        <v>151</v>
      </c>
      <c r="E8" s="41">
        <v>1.0</v>
      </c>
      <c r="F8" s="44">
        <v>1864.06</v>
      </c>
      <c r="G8" s="41" t="s">
        <v>87</v>
      </c>
      <c r="H8" s="41">
        <v>13.0</v>
      </c>
      <c r="I8" s="45"/>
      <c r="J8" s="15"/>
      <c r="K8" s="41">
        <v>9.0</v>
      </c>
      <c r="L8" s="52">
        <v>0.0</v>
      </c>
      <c r="M8" s="52">
        <v>0.0</v>
      </c>
      <c r="N8" s="52">
        <v>0.0</v>
      </c>
      <c r="O8" s="52">
        <v>0.0</v>
      </c>
      <c r="P8" s="52">
        <v>1.0</v>
      </c>
      <c r="Q8" s="52">
        <v>0.0</v>
      </c>
      <c r="R8" s="52">
        <v>0.0</v>
      </c>
      <c r="S8" s="52">
        <v>0.0</v>
      </c>
      <c r="T8" s="52">
        <v>2.0</v>
      </c>
      <c r="U8" s="52">
        <v>0.0</v>
      </c>
      <c r="V8" s="52">
        <v>1.0</v>
      </c>
      <c r="W8" s="52">
        <v>0.0</v>
      </c>
      <c r="X8" s="52">
        <v>0.0</v>
      </c>
      <c r="Y8" s="15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93</v>
      </c>
      <c r="AH8" s="41" t="s">
        <v>93</v>
      </c>
      <c r="AI8" s="41" t="s">
        <v>93</v>
      </c>
      <c r="AJ8" s="41" t="s">
        <v>93</v>
      </c>
      <c r="AK8" s="41" t="s">
        <v>93</v>
      </c>
      <c r="AL8" s="41" t="s">
        <v>93</v>
      </c>
      <c r="AM8" s="41" t="s">
        <v>93</v>
      </c>
      <c r="AN8" s="15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93</v>
      </c>
      <c r="AX8" s="41" t="s">
        <v>93</v>
      </c>
      <c r="AY8" s="41" t="s">
        <v>93</v>
      </c>
      <c r="AZ8" s="41" t="s">
        <v>93</v>
      </c>
      <c r="BA8" s="41" t="s">
        <v>93</v>
      </c>
      <c r="BB8" s="41" t="s">
        <v>93</v>
      </c>
      <c r="BC8" s="41" t="s">
        <v>93</v>
      </c>
    </row>
    <row r="9">
      <c r="A9" s="41" t="s">
        <v>158</v>
      </c>
      <c r="B9" s="41"/>
      <c r="C9" s="41"/>
      <c r="D9" s="41" t="s">
        <v>159</v>
      </c>
      <c r="E9" s="41">
        <v>1.0</v>
      </c>
      <c r="F9" s="44">
        <v>2084.42</v>
      </c>
      <c r="G9" s="41" t="s">
        <v>87</v>
      </c>
      <c r="H9" s="41">
        <v>7.0</v>
      </c>
      <c r="I9" s="45"/>
      <c r="J9" s="15"/>
      <c r="K9" s="41">
        <v>6.0</v>
      </c>
      <c r="L9" s="52">
        <v>0.0</v>
      </c>
      <c r="M9" s="52">
        <v>0.0</v>
      </c>
      <c r="N9" s="52">
        <v>0.0</v>
      </c>
      <c r="O9" s="52">
        <v>0.0</v>
      </c>
      <c r="P9" s="52">
        <v>0.0</v>
      </c>
      <c r="Q9" s="52">
        <v>0.0</v>
      </c>
      <c r="R9" s="52">
        <v>0.0</v>
      </c>
      <c r="S9" s="52">
        <v>0.0</v>
      </c>
      <c r="T9" s="52">
        <v>0.0</v>
      </c>
      <c r="U9" s="52">
        <v>0.0</v>
      </c>
      <c r="V9" s="52">
        <v>0.0</v>
      </c>
      <c r="W9" s="52">
        <v>1.0</v>
      </c>
      <c r="X9" s="52">
        <v>0.0</v>
      </c>
      <c r="Y9" s="15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93</v>
      </c>
      <c r="AH9" s="41" t="s">
        <v>93</v>
      </c>
      <c r="AI9" s="41" t="s">
        <v>93</v>
      </c>
      <c r="AJ9" s="41" t="s">
        <v>93</v>
      </c>
      <c r="AK9" s="41" t="s">
        <v>93</v>
      </c>
      <c r="AL9" s="41" t="s">
        <v>93</v>
      </c>
      <c r="AM9" s="41" t="s">
        <v>93</v>
      </c>
      <c r="AN9" s="15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93</v>
      </c>
      <c r="AX9" s="41" t="s">
        <v>93</v>
      </c>
      <c r="AY9" s="41" t="s">
        <v>93</v>
      </c>
      <c r="AZ9" s="41" t="s">
        <v>93</v>
      </c>
      <c r="BA9" s="41" t="s">
        <v>93</v>
      </c>
      <c r="BB9" s="41" t="s">
        <v>93</v>
      </c>
      <c r="BC9" s="41" t="s">
        <v>93</v>
      </c>
    </row>
    <row r="10">
      <c r="A10" s="41" t="s">
        <v>166</v>
      </c>
      <c r="B10" s="41"/>
      <c r="C10" s="41"/>
      <c r="D10" s="41" t="s">
        <v>168</v>
      </c>
      <c r="E10" s="41">
        <v>1.0</v>
      </c>
      <c r="F10" s="44">
        <v>3133.82</v>
      </c>
      <c r="G10" s="41" t="s">
        <v>87</v>
      </c>
      <c r="H10" s="41">
        <v>8.0</v>
      </c>
      <c r="I10" s="45"/>
      <c r="J10" s="15"/>
      <c r="K10" s="41">
        <v>8.0</v>
      </c>
      <c r="L10" s="52">
        <v>0.0</v>
      </c>
      <c r="M10" s="52">
        <v>0.0</v>
      </c>
      <c r="N10" s="52">
        <v>0.0</v>
      </c>
      <c r="O10" s="52">
        <v>0.0</v>
      </c>
      <c r="P10" s="52">
        <v>0.0</v>
      </c>
      <c r="Q10" s="52">
        <v>0.0</v>
      </c>
      <c r="R10" s="52">
        <v>0.0</v>
      </c>
      <c r="S10" s="52">
        <v>0.0</v>
      </c>
      <c r="T10" s="52">
        <v>0.0</v>
      </c>
      <c r="U10" s="52">
        <v>0.0</v>
      </c>
      <c r="V10" s="52">
        <v>0.0</v>
      </c>
      <c r="W10" s="52">
        <v>0.0</v>
      </c>
      <c r="X10" s="52">
        <v>0.0</v>
      </c>
      <c r="Y10" s="15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93</v>
      </c>
      <c r="AH10" s="41" t="s">
        <v>93</v>
      </c>
      <c r="AI10" s="41" t="s">
        <v>93</v>
      </c>
      <c r="AJ10" s="41" t="s">
        <v>93</v>
      </c>
      <c r="AK10" s="41" t="s">
        <v>93</v>
      </c>
      <c r="AL10" s="41" t="s">
        <v>93</v>
      </c>
      <c r="AM10" s="41" t="s">
        <v>93</v>
      </c>
      <c r="AN10" s="15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93</v>
      </c>
      <c r="AX10" s="41" t="s">
        <v>93</v>
      </c>
      <c r="AY10" s="41" t="s">
        <v>93</v>
      </c>
      <c r="AZ10" s="41" t="s">
        <v>93</v>
      </c>
      <c r="BA10" s="41" t="s">
        <v>93</v>
      </c>
      <c r="BB10" s="41" t="s">
        <v>93</v>
      </c>
      <c r="BC10" s="41" t="s">
        <v>93</v>
      </c>
    </row>
    <row r="11">
      <c r="A11" s="41" t="s">
        <v>172</v>
      </c>
      <c r="B11" s="41"/>
      <c r="C11" s="41"/>
      <c r="D11" s="41" t="s">
        <v>173</v>
      </c>
      <c r="E11" s="41">
        <v>1.0</v>
      </c>
      <c r="F11" s="44">
        <v>270.71</v>
      </c>
      <c r="G11" s="41" t="s">
        <v>87</v>
      </c>
      <c r="H11" s="41">
        <v>16.0</v>
      </c>
      <c r="I11" s="45"/>
      <c r="J11" s="15"/>
      <c r="K11" s="41">
        <v>16.0</v>
      </c>
      <c r="L11" s="52">
        <v>0.0</v>
      </c>
      <c r="M11" s="52">
        <v>0.0</v>
      </c>
      <c r="N11" s="52">
        <v>0.0</v>
      </c>
      <c r="O11" s="52">
        <v>0.0</v>
      </c>
      <c r="P11" s="52">
        <v>0.0</v>
      </c>
      <c r="Q11" s="52">
        <v>0.0</v>
      </c>
      <c r="R11" s="52">
        <v>0.0</v>
      </c>
      <c r="S11" s="52">
        <v>0.0</v>
      </c>
      <c r="T11" s="52">
        <v>0.0</v>
      </c>
      <c r="U11" s="52">
        <v>0.0</v>
      </c>
      <c r="V11" s="52">
        <v>0.0</v>
      </c>
      <c r="W11" s="52">
        <v>0.0</v>
      </c>
      <c r="X11" s="52">
        <v>0.0</v>
      </c>
      <c r="Y11" s="15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93</v>
      </c>
      <c r="AH11" s="41" t="s">
        <v>93</v>
      </c>
      <c r="AI11" s="41" t="s">
        <v>93</v>
      </c>
      <c r="AJ11" s="41" t="s">
        <v>93</v>
      </c>
      <c r="AK11" s="41" t="s">
        <v>93</v>
      </c>
      <c r="AL11" s="41" t="s">
        <v>93</v>
      </c>
      <c r="AM11" s="41" t="s">
        <v>93</v>
      </c>
      <c r="AN11" s="15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93</v>
      </c>
      <c r="AX11" s="41" t="s">
        <v>93</v>
      </c>
      <c r="AY11" s="41" t="s">
        <v>93</v>
      </c>
      <c r="AZ11" s="41" t="s">
        <v>93</v>
      </c>
      <c r="BA11" s="41" t="s">
        <v>93</v>
      </c>
      <c r="BB11" s="41" t="s">
        <v>93</v>
      </c>
      <c r="BC11" s="41" t="s">
        <v>93</v>
      </c>
    </row>
    <row r="12">
      <c r="A12" s="41" t="s">
        <v>178</v>
      </c>
      <c r="B12" s="41"/>
      <c r="C12" s="41" t="s">
        <v>156</v>
      </c>
      <c r="D12" s="41" t="s">
        <v>179</v>
      </c>
      <c r="E12" s="41">
        <v>1.0</v>
      </c>
      <c r="F12" s="44">
        <v>1000.69</v>
      </c>
      <c r="G12" s="41" t="s">
        <v>87</v>
      </c>
      <c r="H12" s="41">
        <v>6.0</v>
      </c>
      <c r="I12" s="45"/>
      <c r="J12" s="15"/>
      <c r="K12" s="41">
        <v>3.0</v>
      </c>
      <c r="L12" s="52">
        <v>0.0</v>
      </c>
      <c r="M12" s="52">
        <v>0.0</v>
      </c>
      <c r="N12" s="52">
        <v>0.0</v>
      </c>
      <c r="O12" s="52">
        <v>0.0</v>
      </c>
      <c r="P12" s="52">
        <v>1.0</v>
      </c>
      <c r="Q12" s="52">
        <v>0.0</v>
      </c>
      <c r="R12" s="52">
        <v>0.0</v>
      </c>
      <c r="S12" s="52">
        <v>2.0</v>
      </c>
      <c r="T12" s="52">
        <v>0.0</v>
      </c>
      <c r="U12" s="52">
        <v>0.0</v>
      </c>
      <c r="V12" s="52">
        <v>0.0</v>
      </c>
      <c r="W12" s="52">
        <v>0.0</v>
      </c>
      <c r="X12" s="52">
        <v>0.0</v>
      </c>
      <c r="Y12" s="15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93</v>
      </c>
      <c r="AH12" s="41" t="s">
        <v>93</v>
      </c>
      <c r="AI12" s="41" t="s">
        <v>93</v>
      </c>
      <c r="AJ12" s="41" t="s">
        <v>93</v>
      </c>
      <c r="AK12" s="41" t="s">
        <v>93</v>
      </c>
      <c r="AL12" s="41" t="s">
        <v>93</v>
      </c>
      <c r="AM12" s="41" t="s">
        <v>93</v>
      </c>
      <c r="AN12" s="15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93</v>
      </c>
      <c r="AX12" s="41" t="s">
        <v>93</v>
      </c>
      <c r="AY12" s="41" t="s">
        <v>93</v>
      </c>
      <c r="AZ12" s="41" t="s">
        <v>93</v>
      </c>
      <c r="BA12" s="41" t="s">
        <v>93</v>
      </c>
      <c r="BB12" s="41" t="s">
        <v>93</v>
      </c>
      <c r="BC12" s="41" t="s">
        <v>93</v>
      </c>
    </row>
    <row r="13">
      <c r="A13" s="41" t="s">
        <v>185</v>
      </c>
      <c r="B13" s="41"/>
      <c r="C13" s="41"/>
      <c r="D13" s="41" t="s">
        <v>186</v>
      </c>
      <c r="E13" s="41">
        <v>1.0</v>
      </c>
      <c r="F13" s="44">
        <v>825.08</v>
      </c>
      <c r="G13" s="41" t="s">
        <v>87</v>
      </c>
      <c r="H13" s="41">
        <v>20.0</v>
      </c>
      <c r="I13" s="45"/>
      <c r="J13" s="15"/>
      <c r="K13" s="41">
        <v>18.0</v>
      </c>
      <c r="L13" s="52">
        <v>0.0</v>
      </c>
      <c r="M13" s="52">
        <v>0.0</v>
      </c>
      <c r="N13" s="52">
        <v>0.0</v>
      </c>
      <c r="O13" s="52">
        <v>0.0</v>
      </c>
      <c r="P13" s="52">
        <v>0.0</v>
      </c>
      <c r="Q13" s="52">
        <v>0.0</v>
      </c>
      <c r="R13" s="52">
        <v>0.0</v>
      </c>
      <c r="S13" s="52">
        <v>2.0</v>
      </c>
      <c r="T13" s="52">
        <v>0.0</v>
      </c>
      <c r="U13" s="52">
        <v>0.0</v>
      </c>
      <c r="V13" s="52">
        <v>0.0</v>
      </c>
      <c r="W13" s="52">
        <v>0.0</v>
      </c>
      <c r="X13" s="52">
        <v>0.0</v>
      </c>
      <c r="Y13" s="15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93</v>
      </c>
      <c r="AH13" s="41" t="s">
        <v>93</v>
      </c>
      <c r="AI13" s="41" t="s">
        <v>93</v>
      </c>
      <c r="AJ13" s="41" t="s">
        <v>93</v>
      </c>
      <c r="AK13" s="41" t="s">
        <v>93</v>
      </c>
      <c r="AL13" s="41" t="s">
        <v>93</v>
      </c>
      <c r="AM13" s="41" t="s">
        <v>93</v>
      </c>
      <c r="AN13" s="15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93</v>
      </c>
      <c r="AX13" s="41" t="s">
        <v>93</v>
      </c>
      <c r="AY13" s="41" t="s">
        <v>93</v>
      </c>
      <c r="AZ13" s="41" t="s">
        <v>93</v>
      </c>
      <c r="BA13" s="41" t="s">
        <v>93</v>
      </c>
      <c r="BB13" s="41" t="s">
        <v>93</v>
      </c>
      <c r="BC13" s="41" t="s">
        <v>93</v>
      </c>
    </row>
    <row r="14">
      <c r="A14" s="41" t="s">
        <v>191</v>
      </c>
      <c r="B14" s="41"/>
      <c r="C14" s="41"/>
      <c r="D14" s="41" t="s">
        <v>192</v>
      </c>
      <c r="E14" s="41">
        <v>1.0</v>
      </c>
      <c r="F14" s="44">
        <v>2495.05</v>
      </c>
      <c r="G14" s="41" t="s">
        <v>87</v>
      </c>
      <c r="H14" s="41">
        <v>8.0</v>
      </c>
      <c r="I14" s="45"/>
      <c r="J14" s="15"/>
      <c r="K14" s="41">
        <v>6.0</v>
      </c>
      <c r="L14" s="52">
        <v>0.0</v>
      </c>
      <c r="M14" s="52">
        <v>0.0</v>
      </c>
      <c r="N14" s="52">
        <v>0.0</v>
      </c>
      <c r="O14" s="52">
        <v>0.0</v>
      </c>
      <c r="P14" s="52">
        <v>0.0</v>
      </c>
      <c r="Q14" s="52">
        <v>0.0</v>
      </c>
      <c r="R14" s="52">
        <v>1.0</v>
      </c>
      <c r="S14" s="52">
        <v>0.0</v>
      </c>
      <c r="T14" s="52">
        <v>1.0</v>
      </c>
      <c r="U14" s="52">
        <v>0.0</v>
      </c>
      <c r="V14" s="52">
        <v>0.0</v>
      </c>
      <c r="W14" s="52">
        <v>0.0</v>
      </c>
      <c r="X14" s="52">
        <v>0.0</v>
      </c>
      <c r="Y14" s="15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93</v>
      </c>
      <c r="AH14" s="41" t="s">
        <v>93</v>
      </c>
      <c r="AI14" s="41" t="s">
        <v>93</v>
      </c>
      <c r="AJ14" s="41" t="s">
        <v>93</v>
      </c>
      <c r="AK14" s="41" t="s">
        <v>93</v>
      </c>
      <c r="AL14" s="41" t="s">
        <v>93</v>
      </c>
      <c r="AM14" s="41" t="s">
        <v>93</v>
      </c>
      <c r="AN14" s="15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93</v>
      </c>
      <c r="AX14" s="41" t="s">
        <v>93</v>
      </c>
      <c r="AY14" s="41" t="s">
        <v>93</v>
      </c>
      <c r="AZ14" s="41" t="s">
        <v>93</v>
      </c>
      <c r="BA14" s="41" t="s">
        <v>93</v>
      </c>
      <c r="BB14" s="41" t="s">
        <v>93</v>
      </c>
      <c r="BC14" s="41" t="s">
        <v>93</v>
      </c>
    </row>
    <row r="15">
      <c r="A15" s="41" t="s">
        <v>197</v>
      </c>
      <c r="B15" s="41" t="s">
        <v>198</v>
      </c>
      <c r="C15" s="41" t="s">
        <v>156</v>
      </c>
      <c r="D15" s="41" t="s">
        <v>202</v>
      </c>
      <c r="E15" s="41">
        <v>1.0</v>
      </c>
      <c r="F15" s="44">
        <v>39536.05</v>
      </c>
      <c r="G15" s="41" t="s">
        <v>87</v>
      </c>
      <c r="H15" s="41">
        <v>0.0</v>
      </c>
      <c r="I15" s="45"/>
      <c r="J15" s="15"/>
      <c r="K15" s="41">
        <v>0.0</v>
      </c>
      <c r="L15" s="52">
        <v>0.0</v>
      </c>
      <c r="M15" s="52">
        <v>0.0</v>
      </c>
      <c r="N15" s="52">
        <v>0.0</v>
      </c>
      <c r="O15" s="52">
        <v>0.0</v>
      </c>
      <c r="P15" s="52">
        <v>0.0</v>
      </c>
      <c r="Q15" s="52">
        <v>0.0</v>
      </c>
      <c r="R15" s="52">
        <v>0.0</v>
      </c>
      <c r="S15" s="52">
        <v>0.0</v>
      </c>
      <c r="T15" s="52">
        <v>0.0</v>
      </c>
      <c r="U15" s="52">
        <v>0.0</v>
      </c>
      <c r="V15" s="52">
        <v>0.0</v>
      </c>
      <c r="W15" s="52">
        <v>0.0</v>
      </c>
      <c r="X15" s="52">
        <v>0.0</v>
      </c>
      <c r="Y15" s="15"/>
      <c r="Z15" s="41"/>
      <c r="AA15" s="41"/>
      <c r="AB15" s="41"/>
      <c r="AC15" s="41"/>
      <c r="AD15" s="41"/>
      <c r="AE15" s="41"/>
      <c r="AF15" s="41"/>
      <c r="AG15" s="41" t="s">
        <v>93</v>
      </c>
      <c r="AH15" s="41" t="s">
        <v>93</v>
      </c>
      <c r="AI15" s="41" t="s">
        <v>93</v>
      </c>
      <c r="AJ15" s="41" t="s">
        <v>93</v>
      </c>
      <c r="AK15" s="41" t="s">
        <v>93</v>
      </c>
      <c r="AL15" s="41" t="s">
        <v>93</v>
      </c>
      <c r="AM15" s="41" t="s">
        <v>93</v>
      </c>
      <c r="AN15" s="15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93</v>
      </c>
      <c r="AX15" s="41" t="s">
        <v>93</v>
      </c>
      <c r="AY15" s="41" t="s">
        <v>93</v>
      </c>
      <c r="AZ15" s="41" t="s">
        <v>93</v>
      </c>
      <c r="BA15" s="41" t="s">
        <v>93</v>
      </c>
      <c r="BB15" s="41" t="s">
        <v>93</v>
      </c>
      <c r="BC15" s="41" t="s">
        <v>93</v>
      </c>
    </row>
    <row r="16">
      <c r="A16" s="41" t="s">
        <v>206</v>
      </c>
      <c r="B16" s="41"/>
      <c r="C16" s="41"/>
      <c r="D16" s="41" t="s">
        <v>207</v>
      </c>
      <c r="E16" s="41">
        <v>1.0</v>
      </c>
      <c r="F16" s="44">
        <v>958.28</v>
      </c>
      <c r="G16" s="41" t="s">
        <v>87</v>
      </c>
      <c r="H16" s="41">
        <v>9.0</v>
      </c>
      <c r="I16" s="45"/>
      <c r="J16" s="15"/>
      <c r="K16" s="41">
        <v>3.0</v>
      </c>
      <c r="L16" s="52">
        <v>0.0</v>
      </c>
      <c r="M16" s="52">
        <v>1.0</v>
      </c>
      <c r="N16" s="52">
        <v>1.0</v>
      </c>
      <c r="O16" s="52">
        <v>0.0</v>
      </c>
      <c r="P16" s="52">
        <v>2.0</v>
      </c>
      <c r="Q16" s="52">
        <v>0.0</v>
      </c>
      <c r="R16" s="52">
        <v>1.0</v>
      </c>
      <c r="S16" s="52">
        <v>0.0</v>
      </c>
      <c r="T16" s="52">
        <v>0.0</v>
      </c>
      <c r="U16" s="52">
        <v>1.0</v>
      </c>
      <c r="V16" s="52">
        <v>0.0</v>
      </c>
      <c r="W16" s="52">
        <v>0.0</v>
      </c>
      <c r="X16" s="52">
        <v>0.0</v>
      </c>
      <c r="Y16" s="15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93</v>
      </c>
      <c r="AH16" s="41" t="s">
        <v>93</v>
      </c>
      <c r="AI16" s="41" t="s">
        <v>93</v>
      </c>
      <c r="AJ16" s="41" t="s">
        <v>93</v>
      </c>
      <c r="AK16" s="41" t="s">
        <v>93</v>
      </c>
      <c r="AL16" s="41" t="s">
        <v>93</v>
      </c>
      <c r="AM16" s="41" t="s">
        <v>93</v>
      </c>
      <c r="AN16" s="15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93</v>
      </c>
      <c r="AX16" s="41" t="s">
        <v>93</v>
      </c>
      <c r="AY16" s="41" t="s">
        <v>93</v>
      </c>
      <c r="AZ16" s="41" t="s">
        <v>93</v>
      </c>
      <c r="BA16" s="41" t="s">
        <v>93</v>
      </c>
      <c r="BB16" s="41" t="s">
        <v>93</v>
      </c>
      <c r="BC16" s="41" t="s">
        <v>93</v>
      </c>
    </row>
    <row r="17">
      <c r="A17" s="41" t="s">
        <v>213</v>
      </c>
      <c r="B17" s="41"/>
      <c r="C17" s="41"/>
      <c r="D17" s="41" t="s">
        <v>214</v>
      </c>
      <c r="E17" s="41">
        <v>1.0</v>
      </c>
      <c r="F17" s="44">
        <v>831.34</v>
      </c>
      <c r="G17" s="41" t="s">
        <v>87</v>
      </c>
      <c r="H17" s="41">
        <v>4.0</v>
      </c>
      <c r="I17" s="45"/>
      <c r="J17" s="15"/>
      <c r="K17" s="41">
        <v>4.0</v>
      </c>
      <c r="L17" s="52">
        <v>0.0</v>
      </c>
      <c r="M17" s="52">
        <v>0.0</v>
      </c>
      <c r="N17" s="52">
        <v>0.0</v>
      </c>
      <c r="O17" s="52">
        <v>0.0</v>
      </c>
      <c r="P17" s="52">
        <v>0.0</v>
      </c>
      <c r="Q17" s="52">
        <v>0.0</v>
      </c>
      <c r="R17" s="52">
        <v>0.0</v>
      </c>
      <c r="S17" s="52">
        <v>0.0</v>
      </c>
      <c r="T17" s="52">
        <v>0.0</v>
      </c>
      <c r="U17" s="52">
        <v>0.0</v>
      </c>
      <c r="V17" s="52">
        <v>0.0</v>
      </c>
      <c r="W17" s="52">
        <v>0.0</v>
      </c>
      <c r="X17" s="52">
        <v>0.0</v>
      </c>
      <c r="Y17" s="15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93</v>
      </c>
      <c r="AH17" s="41" t="s">
        <v>93</v>
      </c>
      <c r="AI17" s="41" t="s">
        <v>93</v>
      </c>
      <c r="AJ17" s="41" t="s">
        <v>93</v>
      </c>
      <c r="AK17" s="41" t="s">
        <v>93</v>
      </c>
      <c r="AL17" s="41" t="s">
        <v>93</v>
      </c>
      <c r="AM17" s="41" t="s">
        <v>93</v>
      </c>
      <c r="AN17" s="15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93</v>
      </c>
      <c r="AX17" s="41" t="s">
        <v>93</v>
      </c>
      <c r="AY17" s="41" t="s">
        <v>93</v>
      </c>
      <c r="AZ17" s="41" t="s">
        <v>93</v>
      </c>
      <c r="BA17" s="41" t="s">
        <v>93</v>
      </c>
      <c r="BB17" s="41" t="s">
        <v>93</v>
      </c>
      <c r="BC17" s="41" t="s">
        <v>93</v>
      </c>
    </row>
    <row r="18">
      <c r="A18" s="41" t="s">
        <v>218</v>
      </c>
      <c r="B18" s="41"/>
      <c r="C18" s="41">
        <v>33269.0</v>
      </c>
      <c r="D18" s="41" t="s">
        <v>219</v>
      </c>
      <c r="E18" s="41">
        <v>2.0</v>
      </c>
      <c r="F18" s="44">
        <v>526.97</v>
      </c>
      <c r="G18" s="41" t="s">
        <v>87</v>
      </c>
      <c r="H18" s="41">
        <v>7.0</v>
      </c>
      <c r="I18" s="45"/>
      <c r="J18" s="15"/>
      <c r="K18" s="41">
        <v>3.0</v>
      </c>
      <c r="L18" s="52">
        <v>0.0</v>
      </c>
      <c r="M18" s="52">
        <v>0.0</v>
      </c>
      <c r="N18" s="52">
        <v>0.0</v>
      </c>
      <c r="O18" s="52">
        <v>0.0</v>
      </c>
      <c r="P18" s="52">
        <v>0.0</v>
      </c>
      <c r="Q18" s="52">
        <v>0.0</v>
      </c>
      <c r="R18" s="52">
        <v>0.0</v>
      </c>
      <c r="S18" s="52">
        <v>2.0</v>
      </c>
      <c r="T18" s="52">
        <v>1.0</v>
      </c>
      <c r="U18" s="52">
        <v>0.0</v>
      </c>
      <c r="V18" s="52">
        <v>1.0</v>
      </c>
      <c r="W18" s="52">
        <v>0.0</v>
      </c>
      <c r="X18" s="52">
        <v>0.0</v>
      </c>
      <c r="Y18" s="15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93</v>
      </c>
      <c r="AH18" s="41" t="s">
        <v>93</v>
      </c>
      <c r="AI18" s="41" t="s">
        <v>93</v>
      </c>
      <c r="AJ18" s="41" t="s">
        <v>93</v>
      </c>
      <c r="AK18" s="41" t="s">
        <v>93</v>
      </c>
      <c r="AL18" s="41" t="s">
        <v>93</v>
      </c>
      <c r="AM18" s="41" t="s">
        <v>93</v>
      </c>
      <c r="AN18" s="15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93</v>
      </c>
      <c r="AX18" s="41" t="s">
        <v>93</v>
      </c>
      <c r="AY18" s="41" t="s">
        <v>93</v>
      </c>
      <c r="AZ18" s="41" t="s">
        <v>93</v>
      </c>
      <c r="BA18" s="41" t="s">
        <v>93</v>
      </c>
      <c r="BB18" s="41" t="s">
        <v>93</v>
      </c>
      <c r="BC18" s="41" t="s">
        <v>93</v>
      </c>
    </row>
    <row r="19">
      <c r="A19" s="41" t="s">
        <v>226</v>
      </c>
      <c r="B19" s="41"/>
      <c r="C19" s="41"/>
      <c r="D19" s="41" t="s">
        <v>227</v>
      </c>
      <c r="E19" s="41">
        <v>2.0</v>
      </c>
      <c r="F19" s="44">
        <v>485.68</v>
      </c>
      <c r="G19" s="41" t="s">
        <v>87</v>
      </c>
      <c r="H19" s="41">
        <v>10.0</v>
      </c>
      <c r="I19" s="45"/>
      <c r="J19" s="15"/>
      <c r="K19" s="41">
        <v>3.0</v>
      </c>
      <c r="L19" s="52">
        <v>0.0</v>
      </c>
      <c r="M19" s="52">
        <v>0.0</v>
      </c>
      <c r="N19" s="52">
        <v>0.0</v>
      </c>
      <c r="O19" s="52">
        <v>2.0</v>
      </c>
      <c r="P19" s="52">
        <v>0.0</v>
      </c>
      <c r="Q19" s="52">
        <v>0.0</v>
      </c>
      <c r="R19" s="52">
        <v>0.0</v>
      </c>
      <c r="S19" s="52">
        <v>2.0</v>
      </c>
      <c r="T19" s="52">
        <v>1.0</v>
      </c>
      <c r="U19" s="52">
        <v>1.0</v>
      </c>
      <c r="V19" s="52">
        <v>1.0</v>
      </c>
      <c r="W19" s="52">
        <v>0.0</v>
      </c>
      <c r="X19" s="52">
        <v>0.0</v>
      </c>
      <c r="Y19" s="15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93</v>
      </c>
      <c r="AH19" s="41" t="s">
        <v>93</v>
      </c>
      <c r="AI19" s="41" t="s">
        <v>93</v>
      </c>
      <c r="AJ19" s="41" t="s">
        <v>93</v>
      </c>
      <c r="AK19" s="41" t="s">
        <v>93</v>
      </c>
      <c r="AL19" s="41" t="s">
        <v>93</v>
      </c>
      <c r="AM19" s="41" t="s">
        <v>93</v>
      </c>
      <c r="AN19" s="15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93</v>
      </c>
      <c r="AX19" s="41" t="s">
        <v>93</v>
      </c>
      <c r="AY19" s="41" t="s">
        <v>93</v>
      </c>
      <c r="AZ19" s="41" t="s">
        <v>93</v>
      </c>
      <c r="BA19" s="41" t="s">
        <v>93</v>
      </c>
      <c r="BB19" s="41" t="s">
        <v>93</v>
      </c>
      <c r="BC19" s="41" t="s">
        <v>93</v>
      </c>
    </row>
    <row r="20">
      <c r="A20" s="41" t="s">
        <v>233</v>
      </c>
      <c r="B20" s="41"/>
      <c r="C20" s="41" t="s">
        <v>156</v>
      </c>
      <c r="D20" s="41" t="s">
        <v>235</v>
      </c>
      <c r="E20" s="41">
        <v>1.0</v>
      </c>
      <c r="F20" s="44">
        <v>1569.44</v>
      </c>
      <c r="G20" s="41" t="s">
        <v>87</v>
      </c>
      <c r="H20" s="41">
        <v>0.0</v>
      </c>
      <c r="I20" s="45"/>
      <c r="J20" s="15"/>
      <c r="K20" s="41">
        <v>0.0</v>
      </c>
      <c r="L20" s="52">
        <v>0.0</v>
      </c>
      <c r="M20" s="52">
        <v>0.0</v>
      </c>
      <c r="N20" s="52">
        <v>0.0</v>
      </c>
      <c r="O20" s="52">
        <v>0.0</v>
      </c>
      <c r="P20" s="52">
        <v>0.0</v>
      </c>
      <c r="Q20" s="52">
        <v>0.0</v>
      </c>
      <c r="R20" s="52">
        <v>0.0</v>
      </c>
      <c r="S20" s="52">
        <v>0.0</v>
      </c>
      <c r="T20" s="52">
        <v>0.0</v>
      </c>
      <c r="U20" s="52">
        <v>0.0</v>
      </c>
      <c r="V20" s="52">
        <v>0.0</v>
      </c>
      <c r="W20" s="52">
        <v>0.0</v>
      </c>
      <c r="X20" s="52">
        <v>0.0</v>
      </c>
      <c r="Y20" s="15"/>
      <c r="Z20" s="41"/>
      <c r="AA20" s="41"/>
      <c r="AB20" s="41"/>
      <c r="AC20" s="41"/>
      <c r="AD20" s="41"/>
      <c r="AE20" s="41"/>
      <c r="AF20" s="41"/>
      <c r="AG20" s="41" t="s">
        <v>93</v>
      </c>
      <c r="AH20" s="41" t="s">
        <v>93</v>
      </c>
      <c r="AI20" s="41" t="s">
        <v>93</v>
      </c>
      <c r="AJ20" s="41" t="s">
        <v>93</v>
      </c>
      <c r="AK20" s="41" t="s">
        <v>93</v>
      </c>
      <c r="AL20" s="41" t="s">
        <v>93</v>
      </c>
      <c r="AM20" s="41" t="s">
        <v>93</v>
      </c>
      <c r="AN20" s="15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93</v>
      </c>
      <c r="AX20" s="41" t="s">
        <v>93</v>
      </c>
      <c r="AY20" s="41" t="s">
        <v>93</v>
      </c>
      <c r="AZ20" s="41" t="s">
        <v>93</v>
      </c>
      <c r="BA20" s="41" t="s">
        <v>93</v>
      </c>
      <c r="BB20" s="41" t="s">
        <v>93</v>
      </c>
      <c r="BC20" s="41" t="s">
        <v>93</v>
      </c>
    </row>
    <row r="21">
      <c r="A21" s="41" t="s">
        <v>239</v>
      </c>
      <c r="B21" s="41"/>
      <c r="C21" s="41" t="s">
        <v>156</v>
      </c>
      <c r="D21" s="41" t="s">
        <v>240</v>
      </c>
      <c r="E21" s="41">
        <v>1.0</v>
      </c>
      <c r="F21" s="44">
        <v>1569.44</v>
      </c>
      <c r="G21" s="41" t="s">
        <v>87</v>
      </c>
      <c r="H21" s="41">
        <v>0.0</v>
      </c>
      <c r="I21" s="45"/>
      <c r="J21" s="15"/>
      <c r="K21" s="41">
        <v>0.0</v>
      </c>
      <c r="L21" s="52">
        <v>0.0</v>
      </c>
      <c r="M21" s="52">
        <v>0.0</v>
      </c>
      <c r="N21" s="52">
        <v>0.0</v>
      </c>
      <c r="O21" s="52">
        <v>0.0</v>
      </c>
      <c r="P21" s="52">
        <v>0.0</v>
      </c>
      <c r="Q21" s="52">
        <v>0.0</v>
      </c>
      <c r="R21" s="52">
        <v>0.0</v>
      </c>
      <c r="S21" s="52">
        <v>0.0</v>
      </c>
      <c r="T21" s="52">
        <v>0.0</v>
      </c>
      <c r="U21" s="52">
        <v>0.0</v>
      </c>
      <c r="V21" s="52">
        <v>0.0</v>
      </c>
      <c r="W21" s="52">
        <v>0.0</v>
      </c>
      <c r="X21" s="52">
        <v>0.0</v>
      </c>
      <c r="Y21" s="15"/>
      <c r="Z21" s="41"/>
      <c r="AA21" s="41"/>
      <c r="AB21" s="41"/>
      <c r="AC21" s="41"/>
      <c r="AD21" s="41"/>
      <c r="AE21" s="41"/>
      <c r="AF21" s="41"/>
      <c r="AG21" s="41" t="s">
        <v>93</v>
      </c>
      <c r="AH21" s="41" t="s">
        <v>93</v>
      </c>
      <c r="AI21" s="41" t="s">
        <v>93</v>
      </c>
      <c r="AJ21" s="41" t="s">
        <v>93</v>
      </c>
      <c r="AK21" s="41" t="s">
        <v>93</v>
      </c>
      <c r="AL21" s="41" t="s">
        <v>93</v>
      </c>
      <c r="AM21" s="41" t="s">
        <v>93</v>
      </c>
      <c r="AN21" s="15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93</v>
      </c>
      <c r="AX21" s="41" t="s">
        <v>93</v>
      </c>
      <c r="AY21" s="41" t="s">
        <v>93</v>
      </c>
      <c r="AZ21" s="41" t="s">
        <v>93</v>
      </c>
      <c r="BA21" s="41" t="s">
        <v>93</v>
      </c>
      <c r="BB21" s="41" t="s">
        <v>93</v>
      </c>
      <c r="BC21" s="41" t="s">
        <v>93</v>
      </c>
    </row>
    <row r="22">
      <c r="A22" s="41" t="s">
        <v>244</v>
      </c>
      <c r="B22" s="41"/>
      <c r="C22" s="41" t="s">
        <v>156</v>
      </c>
      <c r="D22" s="41" t="s">
        <v>245</v>
      </c>
      <c r="E22" s="41">
        <v>1.0</v>
      </c>
      <c r="F22" s="44">
        <v>1005.81</v>
      </c>
      <c r="G22" s="41" t="s">
        <v>87</v>
      </c>
      <c r="H22" s="41">
        <v>3.0</v>
      </c>
      <c r="I22" s="45"/>
      <c r="J22" s="15"/>
      <c r="K22" s="41">
        <v>2.0</v>
      </c>
      <c r="L22" s="52">
        <v>0.0</v>
      </c>
      <c r="M22" s="52">
        <v>0.0</v>
      </c>
      <c r="N22" s="52">
        <v>0.0</v>
      </c>
      <c r="O22" s="52">
        <v>1.0</v>
      </c>
      <c r="P22" s="52">
        <v>0.0</v>
      </c>
      <c r="Q22" s="52">
        <v>0.0</v>
      </c>
      <c r="R22" s="52">
        <v>0.0</v>
      </c>
      <c r="S22" s="52">
        <v>0.0</v>
      </c>
      <c r="T22" s="52">
        <v>0.0</v>
      </c>
      <c r="U22" s="52">
        <v>0.0</v>
      </c>
      <c r="V22" s="52">
        <v>0.0</v>
      </c>
      <c r="W22" s="52">
        <v>0.0</v>
      </c>
      <c r="X22" s="52">
        <v>0.0</v>
      </c>
      <c r="Y22" s="15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93</v>
      </c>
      <c r="AH22" s="41" t="s">
        <v>93</v>
      </c>
      <c r="AI22" s="41" t="s">
        <v>93</v>
      </c>
      <c r="AJ22" s="41" t="s">
        <v>93</v>
      </c>
      <c r="AK22" s="41" t="s">
        <v>93</v>
      </c>
      <c r="AL22" s="41" t="s">
        <v>93</v>
      </c>
      <c r="AM22" s="41" t="s">
        <v>93</v>
      </c>
      <c r="AN22" s="15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93</v>
      </c>
      <c r="AX22" s="41" t="s">
        <v>93</v>
      </c>
      <c r="AY22" s="41" t="s">
        <v>93</v>
      </c>
      <c r="AZ22" s="41" t="s">
        <v>93</v>
      </c>
      <c r="BA22" s="41" t="s">
        <v>93</v>
      </c>
      <c r="BB22" s="41" t="s">
        <v>93</v>
      </c>
      <c r="BC22" s="41" t="s">
        <v>93</v>
      </c>
    </row>
    <row r="23">
      <c r="A23" s="41" t="s">
        <v>249</v>
      </c>
      <c r="B23" s="41"/>
      <c r="C23" s="41"/>
      <c r="D23" s="41" t="s">
        <v>250</v>
      </c>
      <c r="E23" s="41">
        <v>1.0</v>
      </c>
      <c r="F23" s="44">
        <v>3128.59</v>
      </c>
      <c r="G23" s="41" t="s">
        <v>87</v>
      </c>
      <c r="H23" s="41">
        <v>9.0</v>
      </c>
      <c r="I23" s="45"/>
      <c r="J23" s="15"/>
      <c r="K23" s="41">
        <v>9.0</v>
      </c>
      <c r="L23" s="52">
        <v>0.0</v>
      </c>
      <c r="M23" s="52">
        <v>0.0</v>
      </c>
      <c r="N23" s="52">
        <v>0.0</v>
      </c>
      <c r="O23" s="52">
        <v>0.0</v>
      </c>
      <c r="P23" s="52">
        <v>0.0</v>
      </c>
      <c r="Q23" s="52">
        <v>0.0</v>
      </c>
      <c r="R23" s="52">
        <v>0.0</v>
      </c>
      <c r="S23" s="52">
        <v>0.0</v>
      </c>
      <c r="T23" s="52">
        <v>0.0</v>
      </c>
      <c r="U23" s="52">
        <v>0.0</v>
      </c>
      <c r="V23" s="52">
        <v>0.0</v>
      </c>
      <c r="W23" s="52">
        <v>0.0</v>
      </c>
      <c r="X23" s="52">
        <v>0.0</v>
      </c>
      <c r="Y23" s="15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93</v>
      </c>
      <c r="AH23" s="41" t="s">
        <v>93</v>
      </c>
      <c r="AI23" s="41" t="s">
        <v>93</v>
      </c>
      <c r="AJ23" s="41" t="s">
        <v>93</v>
      </c>
      <c r="AK23" s="41" t="s">
        <v>93</v>
      </c>
      <c r="AL23" s="41" t="s">
        <v>93</v>
      </c>
      <c r="AM23" s="41" t="s">
        <v>93</v>
      </c>
      <c r="AN23" s="15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93</v>
      </c>
      <c r="AX23" s="41" t="s">
        <v>93</v>
      </c>
      <c r="AY23" s="41" t="s">
        <v>93</v>
      </c>
      <c r="AZ23" s="41" t="s">
        <v>93</v>
      </c>
      <c r="BA23" s="41" t="s">
        <v>93</v>
      </c>
      <c r="BB23" s="41" t="s">
        <v>93</v>
      </c>
      <c r="BC23" s="41" t="s">
        <v>93</v>
      </c>
    </row>
    <row r="24">
      <c r="A24" s="41" t="s">
        <v>255</v>
      </c>
      <c r="B24" s="41"/>
      <c r="C24" s="41" t="s">
        <v>156</v>
      </c>
      <c r="D24" s="41" t="s">
        <v>256</v>
      </c>
      <c r="E24" s="41">
        <v>1.0</v>
      </c>
      <c r="F24" s="44">
        <v>6062.85</v>
      </c>
      <c r="G24" s="41" t="s">
        <v>87</v>
      </c>
      <c r="H24" s="41">
        <v>3.0</v>
      </c>
      <c r="I24" s="45"/>
      <c r="J24" s="15"/>
      <c r="K24" s="41">
        <v>3.0</v>
      </c>
      <c r="L24" s="52">
        <v>0.0</v>
      </c>
      <c r="M24" s="52">
        <v>0.0</v>
      </c>
      <c r="N24" s="52">
        <v>0.0</v>
      </c>
      <c r="O24" s="52">
        <v>0.0</v>
      </c>
      <c r="P24" s="52">
        <v>0.0</v>
      </c>
      <c r="Q24" s="52">
        <v>0.0</v>
      </c>
      <c r="R24" s="52">
        <v>0.0</v>
      </c>
      <c r="S24" s="52">
        <v>0.0</v>
      </c>
      <c r="T24" s="52">
        <v>0.0</v>
      </c>
      <c r="U24" s="52">
        <v>0.0</v>
      </c>
      <c r="V24" s="52">
        <v>0.0</v>
      </c>
      <c r="W24" s="52">
        <v>0.0</v>
      </c>
      <c r="X24" s="52">
        <v>0.0</v>
      </c>
      <c r="Y24" s="15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93</v>
      </c>
      <c r="AH24" s="41" t="s">
        <v>93</v>
      </c>
      <c r="AI24" s="41" t="s">
        <v>93</v>
      </c>
      <c r="AJ24" s="41" t="s">
        <v>93</v>
      </c>
      <c r="AK24" s="41" t="s">
        <v>93</v>
      </c>
      <c r="AL24" s="41" t="s">
        <v>93</v>
      </c>
      <c r="AM24" s="41" t="s">
        <v>93</v>
      </c>
      <c r="AN24" s="15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93</v>
      </c>
      <c r="AX24" s="41" t="s">
        <v>93</v>
      </c>
      <c r="AY24" s="41" t="s">
        <v>93</v>
      </c>
      <c r="AZ24" s="41" t="s">
        <v>93</v>
      </c>
      <c r="BA24" s="41" t="s">
        <v>93</v>
      </c>
      <c r="BB24" s="41" t="s">
        <v>93</v>
      </c>
      <c r="BC24" s="41" t="s">
        <v>93</v>
      </c>
    </row>
    <row r="25">
      <c r="A25" s="41" t="s">
        <v>265</v>
      </c>
      <c r="B25" s="41"/>
      <c r="C25" s="41" t="s">
        <v>156</v>
      </c>
      <c r="D25" s="41" t="s">
        <v>266</v>
      </c>
      <c r="E25" s="41">
        <v>1.0</v>
      </c>
      <c r="F25" s="44">
        <v>5469.37</v>
      </c>
      <c r="G25" s="41" t="s">
        <v>87</v>
      </c>
      <c r="H25" s="41">
        <v>1.0</v>
      </c>
      <c r="I25" s="45"/>
      <c r="J25" s="15"/>
      <c r="K25" s="41">
        <v>1.0</v>
      </c>
      <c r="L25" s="52">
        <v>0.0</v>
      </c>
      <c r="M25" s="52">
        <v>0.0</v>
      </c>
      <c r="N25" s="52">
        <v>0.0</v>
      </c>
      <c r="O25" s="52">
        <v>0.0</v>
      </c>
      <c r="P25" s="52">
        <v>0.0</v>
      </c>
      <c r="Q25" s="52">
        <v>0.0</v>
      </c>
      <c r="R25" s="52">
        <v>0.0</v>
      </c>
      <c r="S25" s="52">
        <v>0.0</v>
      </c>
      <c r="T25" s="52">
        <v>0.0</v>
      </c>
      <c r="U25" s="52">
        <v>0.0</v>
      </c>
      <c r="V25" s="52">
        <v>0.0</v>
      </c>
      <c r="W25" s="52">
        <v>0.0</v>
      </c>
      <c r="X25" s="52">
        <v>0.0</v>
      </c>
      <c r="Y25" s="15"/>
      <c r="Z25" s="41"/>
      <c r="AA25" s="41"/>
      <c r="AB25" s="41"/>
      <c r="AC25" s="41"/>
      <c r="AD25" s="41">
        <v>1.0</v>
      </c>
      <c r="AE25" s="41"/>
      <c r="AF25" s="41"/>
      <c r="AG25" s="41" t="s">
        <v>93</v>
      </c>
      <c r="AH25" s="41" t="s">
        <v>93</v>
      </c>
      <c r="AI25" s="41" t="s">
        <v>93</v>
      </c>
      <c r="AJ25" s="41" t="s">
        <v>93</v>
      </c>
      <c r="AK25" s="41" t="s">
        <v>93</v>
      </c>
      <c r="AL25" s="41" t="s">
        <v>93</v>
      </c>
      <c r="AM25" s="41" t="s">
        <v>93</v>
      </c>
      <c r="AN25" s="15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93</v>
      </c>
      <c r="AX25" s="41" t="s">
        <v>93</v>
      </c>
      <c r="AY25" s="41" t="s">
        <v>93</v>
      </c>
      <c r="AZ25" s="41" t="s">
        <v>93</v>
      </c>
      <c r="BA25" s="41" t="s">
        <v>93</v>
      </c>
      <c r="BB25" s="41" t="s">
        <v>93</v>
      </c>
      <c r="BC25" s="41" t="s">
        <v>93</v>
      </c>
    </row>
    <row r="26">
      <c r="A26" s="41" t="s">
        <v>268</v>
      </c>
      <c r="B26" s="41"/>
      <c r="C26" s="41"/>
      <c r="D26" s="41" t="s">
        <v>269</v>
      </c>
      <c r="E26" s="41">
        <v>1.0</v>
      </c>
      <c r="F26" s="44">
        <v>17500.0</v>
      </c>
      <c r="G26" s="41" t="s">
        <v>87</v>
      </c>
      <c r="H26" s="41">
        <v>36.0</v>
      </c>
      <c r="I26" s="45"/>
      <c r="J26" s="15"/>
      <c r="K26" s="41">
        <v>35.0</v>
      </c>
      <c r="L26" s="52">
        <v>1.0</v>
      </c>
      <c r="M26" s="52">
        <v>0.0</v>
      </c>
      <c r="N26" s="52">
        <v>0.0</v>
      </c>
      <c r="O26" s="52">
        <v>0.0</v>
      </c>
      <c r="P26" s="52">
        <v>0.0</v>
      </c>
      <c r="Q26" s="52">
        <v>0.0</v>
      </c>
      <c r="R26" s="52">
        <v>0.0</v>
      </c>
      <c r="S26" s="52">
        <v>0.0</v>
      </c>
      <c r="T26" s="52">
        <v>0.0</v>
      </c>
      <c r="U26" s="52">
        <v>0.0</v>
      </c>
      <c r="V26" s="52">
        <v>0.0</v>
      </c>
      <c r="W26" s="52">
        <v>0.0</v>
      </c>
      <c r="X26" s="52">
        <v>0.0</v>
      </c>
      <c r="Y26" s="15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93</v>
      </c>
      <c r="AH26" s="41" t="s">
        <v>93</v>
      </c>
      <c r="AI26" s="41" t="s">
        <v>93</v>
      </c>
      <c r="AJ26" s="41" t="s">
        <v>93</v>
      </c>
      <c r="AK26" s="41" t="s">
        <v>93</v>
      </c>
      <c r="AL26" s="41" t="s">
        <v>93</v>
      </c>
      <c r="AM26" s="41" t="s">
        <v>93</v>
      </c>
      <c r="AN26" s="15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93</v>
      </c>
      <c r="AX26" s="41" t="s">
        <v>93</v>
      </c>
      <c r="AY26" s="41" t="s">
        <v>93</v>
      </c>
      <c r="AZ26" s="41" t="s">
        <v>93</v>
      </c>
      <c r="BA26" s="41" t="s">
        <v>93</v>
      </c>
      <c r="BB26" s="41" t="s">
        <v>93</v>
      </c>
      <c r="BC26" s="41" t="s">
        <v>93</v>
      </c>
    </row>
    <row r="27">
      <c r="A27" s="41" t="s">
        <v>271</v>
      </c>
      <c r="B27" s="41"/>
      <c r="C27" s="41"/>
      <c r="D27" s="41" t="s">
        <v>272</v>
      </c>
      <c r="E27" s="41">
        <v>1.0</v>
      </c>
      <c r="F27" s="44">
        <v>16751.8</v>
      </c>
      <c r="G27" s="41" t="s">
        <v>87</v>
      </c>
      <c r="H27" s="41">
        <v>1.0</v>
      </c>
      <c r="I27" s="45"/>
      <c r="J27" s="15"/>
      <c r="K27" s="41">
        <v>1.0</v>
      </c>
      <c r="L27" s="52">
        <v>0.0</v>
      </c>
      <c r="M27" s="52">
        <v>0.0</v>
      </c>
      <c r="N27" s="52">
        <v>0.0</v>
      </c>
      <c r="O27" s="52">
        <v>0.0</v>
      </c>
      <c r="P27" s="52">
        <v>0.0</v>
      </c>
      <c r="Q27" s="52">
        <v>0.0</v>
      </c>
      <c r="R27" s="52">
        <v>0.0</v>
      </c>
      <c r="S27" s="52">
        <v>0.0</v>
      </c>
      <c r="T27" s="52">
        <v>0.0</v>
      </c>
      <c r="U27" s="52">
        <v>0.0</v>
      </c>
      <c r="V27" s="52">
        <v>0.0</v>
      </c>
      <c r="W27" s="52">
        <v>0.0</v>
      </c>
      <c r="X27" s="52">
        <v>0.0</v>
      </c>
      <c r="Y27" s="15"/>
      <c r="Z27" s="41"/>
      <c r="AA27" s="41"/>
      <c r="AB27" s="41"/>
      <c r="AC27" s="41"/>
      <c r="AD27" s="41">
        <v>1.0</v>
      </c>
      <c r="AE27" s="41"/>
      <c r="AF27" s="41"/>
      <c r="AG27" s="41" t="s">
        <v>93</v>
      </c>
      <c r="AH27" s="41" t="s">
        <v>93</v>
      </c>
      <c r="AI27" s="41" t="s">
        <v>93</v>
      </c>
      <c r="AJ27" s="41" t="s">
        <v>93</v>
      </c>
      <c r="AK27" s="41" t="s">
        <v>93</v>
      </c>
      <c r="AL27" s="41" t="s">
        <v>93</v>
      </c>
      <c r="AM27" s="41" t="s">
        <v>93</v>
      </c>
      <c r="AN27" s="15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93</v>
      </c>
      <c r="AX27" s="41" t="s">
        <v>93</v>
      </c>
      <c r="AY27" s="41" t="s">
        <v>93</v>
      </c>
      <c r="AZ27" s="41" t="s">
        <v>93</v>
      </c>
      <c r="BA27" s="41" t="s">
        <v>93</v>
      </c>
      <c r="BB27" s="41" t="s">
        <v>93</v>
      </c>
      <c r="BC27" s="41" t="s">
        <v>93</v>
      </c>
    </row>
    <row r="28">
      <c r="A28" s="41" t="s">
        <v>277</v>
      </c>
      <c r="B28" s="41"/>
      <c r="C28" s="41"/>
      <c r="D28" s="41" t="s">
        <v>278</v>
      </c>
      <c r="E28" s="41">
        <v>1.0</v>
      </c>
      <c r="F28" s="44">
        <v>20999.78</v>
      </c>
      <c r="G28" s="41" t="s">
        <v>87</v>
      </c>
      <c r="H28" s="41">
        <v>6.0</v>
      </c>
      <c r="I28" s="45"/>
      <c r="J28" s="15"/>
      <c r="K28" s="41">
        <v>5.0</v>
      </c>
      <c r="L28" s="52">
        <v>0.0</v>
      </c>
      <c r="M28" s="52">
        <v>0.0</v>
      </c>
      <c r="N28" s="52">
        <v>1.0</v>
      </c>
      <c r="O28" s="52">
        <v>0.0</v>
      </c>
      <c r="P28" s="52">
        <v>0.0</v>
      </c>
      <c r="Q28" s="52">
        <v>0.0</v>
      </c>
      <c r="R28" s="52">
        <v>0.0</v>
      </c>
      <c r="S28" s="52">
        <v>0.0</v>
      </c>
      <c r="T28" s="52">
        <v>0.0</v>
      </c>
      <c r="U28" s="52">
        <v>0.0</v>
      </c>
      <c r="V28" s="52">
        <v>0.0</v>
      </c>
      <c r="W28" s="52">
        <v>0.0</v>
      </c>
      <c r="X28" s="52">
        <v>0.0</v>
      </c>
      <c r="Y28" s="15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93</v>
      </c>
      <c r="AH28" s="41" t="s">
        <v>93</v>
      </c>
      <c r="AI28" s="41" t="s">
        <v>93</v>
      </c>
      <c r="AJ28" s="41" t="s">
        <v>93</v>
      </c>
      <c r="AK28" s="41" t="s">
        <v>93</v>
      </c>
      <c r="AL28" s="41" t="s">
        <v>93</v>
      </c>
      <c r="AM28" s="41" t="s">
        <v>93</v>
      </c>
      <c r="AN28" s="15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93</v>
      </c>
      <c r="AX28" s="41" t="s">
        <v>93</v>
      </c>
      <c r="AY28" s="41" t="s">
        <v>93</v>
      </c>
      <c r="AZ28" s="41" t="s">
        <v>93</v>
      </c>
      <c r="BA28" s="41" t="s">
        <v>93</v>
      </c>
      <c r="BB28" s="41" t="s">
        <v>93</v>
      </c>
      <c r="BC28" s="41" t="s">
        <v>93</v>
      </c>
    </row>
    <row r="29">
      <c r="A29" s="41" t="s">
        <v>283</v>
      </c>
      <c r="B29" s="41"/>
      <c r="C29" s="41"/>
      <c r="D29" s="41" t="s">
        <v>284</v>
      </c>
      <c r="E29" s="41">
        <v>1.0</v>
      </c>
      <c r="F29" s="44">
        <v>8905.83</v>
      </c>
      <c r="G29" s="41" t="s">
        <v>87</v>
      </c>
      <c r="H29" s="41">
        <v>5.0</v>
      </c>
      <c r="I29" s="45"/>
      <c r="J29" s="15"/>
      <c r="K29" s="41">
        <v>5.0</v>
      </c>
      <c r="L29" s="52">
        <v>0.0</v>
      </c>
      <c r="M29" s="52">
        <v>0.0</v>
      </c>
      <c r="N29" s="52">
        <v>0.0</v>
      </c>
      <c r="O29" s="52">
        <v>0.0</v>
      </c>
      <c r="P29" s="52">
        <v>0.0</v>
      </c>
      <c r="Q29" s="52">
        <v>0.0</v>
      </c>
      <c r="R29" s="52">
        <v>0.0</v>
      </c>
      <c r="S29" s="52">
        <v>0.0</v>
      </c>
      <c r="T29" s="52">
        <v>0.0</v>
      </c>
      <c r="U29" s="52">
        <v>0.0</v>
      </c>
      <c r="V29" s="52">
        <v>0.0</v>
      </c>
      <c r="W29" s="52">
        <v>0.0</v>
      </c>
      <c r="X29" s="52">
        <v>0.0</v>
      </c>
      <c r="Y29" s="15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93</v>
      </c>
      <c r="AH29" s="41" t="s">
        <v>93</v>
      </c>
      <c r="AI29" s="41" t="s">
        <v>93</v>
      </c>
      <c r="AJ29" s="41" t="s">
        <v>93</v>
      </c>
      <c r="AK29" s="41" t="s">
        <v>93</v>
      </c>
      <c r="AL29" s="41" t="s">
        <v>93</v>
      </c>
      <c r="AM29" s="41" t="s">
        <v>93</v>
      </c>
      <c r="AN29" s="15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93</v>
      </c>
      <c r="AX29" s="41" t="s">
        <v>93</v>
      </c>
      <c r="AY29" s="41" t="s">
        <v>93</v>
      </c>
      <c r="AZ29" s="41" t="s">
        <v>93</v>
      </c>
      <c r="BA29" s="41" t="s">
        <v>93</v>
      </c>
      <c r="BB29" s="41" t="s">
        <v>93</v>
      </c>
      <c r="BC29" s="41" t="s">
        <v>93</v>
      </c>
    </row>
    <row r="30">
      <c r="A30" s="41" t="s">
        <v>288</v>
      </c>
      <c r="B30" s="41"/>
      <c r="C30" s="41">
        <v>22373.0</v>
      </c>
      <c r="D30" s="41" t="s">
        <v>289</v>
      </c>
      <c r="E30" s="41">
        <v>1.0</v>
      </c>
      <c r="F30" s="44">
        <v>917.42</v>
      </c>
      <c r="G30" s="41" t="s">
        <v>87</v>
      </c>
      <c r="H30" s="41">
        <v>1.0</v>
      </c>
      <c r="I30" s="45"/>
      <c r="J30" s="15"/>
      <c r="K30" s="41">
        <v>0.0</v>
      </c>
      <c r="L30" s="52">
        <v>0.0</v>
      </c>
      <c r="M30" s="52">
        <v>0.0</v>
      </c>
      <c r="N30" s="52">
        <v>0.0</v>
      </c>
      <c r="O30" s="52">
        <v>0.0</v>
      </c>
      <c r="P30" s="52">
        <v>0.0</v>
      </c>
      <c r="Q30" s="52">
        <v>0.0</v>
      </c>
      <c r="R30" s="47">
        <v>1.0</v>
      </c>
      <c r="S30" s="52">
        <v>0.0</v>
      </c>
      <c r="T30" s="52">
        <v>0.0</v>
      </c>
      <c r="U30" s="52">
        <v>0.0</v>
      </c>
      <c r="V30" s="52">
        <v>0.0</v>
      </c>
      <c r="W30" s="52">
        <v>0.0</v>
      </c>
      <c r="X30" s="52">
        <v>0.0</v>
      </c>
      <c r="Y30" s="15"/>
      <c r="Z30" s="41"/>
      <c r="AA30" s="41"/>
      <c r="AB30" s="41"/>
      <c r="AC30" s="41"/>
      <c r="AD30" s="41"/>
      <c r="AE30" s="41">
        <v>1.0</v>
      </c>
      <c r="AF30" s="41"/>
      <c r="AG30" s="41" t="s">
        <v>93</v>
      </c>
      <c r="AH30" s="41" t="s">
        <v>93</v>
      </c>
      <c r="AI30" s="41" t="s">
        <v>93</v>
      </c>
      <c r="AJ30" s="41" t="s">
        <v>93</v>
      </c>
      <c r="AK30" s="41" t="s">
        <v>93</v>
      </c>
      <c r="AL30" s="41" t="s">
        <v>93</v>
      </c>
      <c r="AM30" s="41" t="s">
        <v>93</v>
      </c>
      <c r="AN30" s="15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93</v>
      </c>
      <c r="AX30" s="41" t="s">
        <v>93</v>
      </c>
      <c r="AY30" s="41" t="s">
        <v>93</v>
      </c>
      <c r="AZ30" s="41" t="s">
        <v>93</v>
      </c>
      <c r="BA30" s="41" t="s">
        <v>93</v>
      </c>
      <c r="BB30" s="41" t="s">
        <v>93</v>
      </c>
      <c r="BC30" s="41" t="s">
        <v>93</v>
      </c>
    </row>
    <row r="31">
      <c r="A31" s="41" t="s">
        <v>291</v>
      </c>
      <c r="B31" s="41"/>
      <c r="C31" s="41"/>
      <c r="D31" s="41" t="s">
        <v>292</v>
      </c>
      <c r="E31" s="41">
        <v>1.0</v>
      </c>
      <c r="F31" s="44">
        <v>1034.96</v>
      </c>
      <c r="G31" s="41" t="s">
        <v>87</v>
      </c>
      <c r="H31" s="41">
        <v>13.0</v>
      </c>
      <c r="I31" s="45"/>
      <c r="J31" s="15"/>
      <c r="K31" s="41">
        <v>13.0</v>
      </c>
      <c r="L31" s="52">
        <v>0.0</v>
      </c>
      <c r="M31" s="52">
        <v>0.0</v>
      </c>
      <c r="N31" s="52">
        <v>0.0</v>
      </c>
      <c r="O31" s="52">
        <v>0.0</v>
      </c>
      <c r="P31" s="52">
        <v>0.0</v>
      </c>
      <c r="Q31" s="52">
        <v>0.0</v>
      </c>
      <c r="R31" s="52">
        <v>0.0</v>
      </c>
      <c r="S31" s="52">
        <v>0.0</v>
      </c>
      <c r="T31" s="52">
        <v>0.0</v>
      </c>
      <c r="U31" s="52">
        <v>0.0</v>
      </c>
      <c r="V31" s="52">
        <v>0.0</v>
      </c>
      <c r="W31" s="52">
        <v>0.0</v>
      </c>
      <c r="X31" s="52">
        <v>0.0</v>
      </c>
      <c r="Y31" s="15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93</v>
      </c>
      <c r="AH31" s="41" t="s">
        <v>93</v>
      </c>
      <c r="AI31" s="41" t="s">
        <v>93</v>
      </c>
      <c r="AJ31" s="41" t="s">
        <v>93</v>
      </c>
      <c r="AK31" s="41" t="s">
        <v>93</v>
      </c>
      <c r="AL31" s="41" t="s">
        <v>93</v>
      </c>
      <c r="AM31" s="41" t="s">
        <v>93</v>
      </c>
      <c r="AN31" s="15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93</v>
      </c>
      <c r="AX31" s="41" t="s">
        <v>93</v>
      </c>
      <c r="AY31" s="41" t="s">
        <v>93</v>
      </c>
      <c r="AZ31" s="41" t="s">
        <v>93</v>
      </c>
      <c r="BA31" s="41" t="s">
        <v>93</v>
      </c>
      <c r="BB31" s="41" t="s">
        <v>93</v>
      </c>
      <c r="BC31" s="41" t="s">
        <v>93</v>
      </c>
    </row>
    <row r="32">
      <c r="A32" s="41" t="s">
        <v>297</v>
      </c>
      <c r="B32" s="41"/>
      <c r="C32" s="41"/>
      <c r="D32" s="41" t="s">
        <v>298</v>
      </c>
      <c r="E32" s="41">
        <v>1.0</v>
      </c>
      <c r="F32" s="44">
        <v>532.33</v>
      </c>
      <c r="G32" s="41" t="s">
        <v>87</v>
      </c>
      <c r="H32" s="41">
        <v>38.0</v>
      </c>
      <c r="I32" s="45"/>
      <c r="J32" s="15"/>
      <c r="K32" s="41">
        <v>38.0</v>
      </c>
      <c r="L32" s="52">
        <v>0.0</v>
      </c>
      <c r="M32" s="52">
        <v>0.0</v>
      </c>
      <c r="N32" s="52">
        <v>0.0</v>
      </c>
      <c r="O32" s="52">
        <v>0.0</v>
      </c>
      <c r="P32" s="52">
        <v>0.0</v>
      </c>
      <c r="Q32" s="52">
        <v>0.0</v>
      </c>
      <c r="R32" s="52">
        <v>0.0</v>
      </c>
      <c r="S32" s="52">
        <v>0.0</v>
      </c>
      <c r="T32" s="52">
        <v>0.0</v>
      </c>
      <c r="U32" s="52">
        <v>0.0</v>
      </c>
      <c r="V32" s="52">
        <v>0.0</v>
      </c>
      <c r="W32" s="52">
        <v>0.0</v>
      </c>
      <c r="X32" s="52">
        <v>0.0</v>
      </c>
      <c r="Y32" s="15"/>
      <c r="Z32" s="41" t="s">
        <v>93</v>
      </c>
      <c r="AA32" s="41">
        <v>4.0</v>
      </c>
      <c r="AB32" s="41" t="s">
        <v>93</v>
      </c>
      <c r="AC32" s="41" t="s">
        <v>93</v>
      </c>
      <c r="AD32" s="41">
        <v>23.0</v>
      </c>
      <c r="AE32" s="41" t="s">
        <v>93</v>
      </c>
      <c r="AF32" s="41">
        <v>11.0</v>
      </c>
      <c r="AG32" s="41" t="s">
        <v>93</v>
      </c>
      <c r="AH32" s="41" t="s">
        <v>93</v>
      </c>
      <c r="AI32" s="41" t="s">
        <v>93</v>
      </c>
      <c r="AJ32" s="41" t="s">
        <v>93</v>
      </c>
      <c r="AK32" s="41" t="s">
        <v>93</v>
      </c>
      <c r="AL32" s="41" t="s">
        <v>93</v>
      </c>
      <c r="AM32" s="41" t="s">
        <v>93</v>
      </c>
      <c r="AN32" s="15"/>
      <c r="AO32" s="41">
        <v>38.0</v>
      </c>
      <c r="AP32" s="41" t="s">
        <v>93</v>
      </c>
      <c r="AQ32" s="41">
        <v>4.0</v>
      </c>
      <c r="AR32" s="41" t="s">
        <v>93</v>
      </c>
      <c r="AS32" s="41" t="s">
        <v>93</v>
      </c>
      <c r="AT32" s="41">
        <v>23.0</v>
      </c>
      <c r="AU32" s="41" t="s">
        <v>93</v>
      </c>
      <c r="AV32" s="41">
        <v>11.0</v>
      </c>
      <c r="AW32" s="41" t="s">
        <v>93</v>
      </c>
      <c r="AX32" s="41" t="s">
        <v>93</v>
      </c>
      <c r="AY32" s="41" t="s">
        <v>93</v>
      </c>
      <c r="AZ32" s="41" t="s">
        <v>93</v>
      </c>
      <c r="BA32" s="41" t="s">
        <v>93</v>
      </c>
      <c r="BB32" s="41" t="s">
        <v>93</v>
      </c>
      <c r="BC32" s="41" t="s">
        <v>93</v>
      </c>
    </row>
    <row r="33">
      <c r="A33" s="41" t="s">
        <v>299</v>
      </c>
      <c r="B33" s="41"/>
      <c r="C33" s="41"/>
      <c r="D33" s="41" t="s">
        <v>300</v>
      </c>
      <c r="E33" s="41">
        <v>1.0</v>
      </c>
      <c r="F33" s="44">
        <v>13787.11</v>
      </c>
      <c r="G33" s="41" t="s">
        <v>87</v>
      </c>
      <c r="H33" s="41">
        <v>8.0</v>
      </c>
      <c r="I33" s="45"/>
      <c r="J33" s="15"/>
      <c r="K33" s="41">
        <v>8.0</v>
      </c>
      <c r="L33" s="52">
        <v>0.0</v>
      </c>
      <c r="M33" s="52">
        <v>0.0</v>
      </c>
      <c r="N33" s="52">
        <v>0.0</v>
      </c>
      <c r="O33" s="52">
        <v>0.0</v>
      </c>
      <c r="P33" s="52">
        <v>0.0</v>
      </c>
      <c r="Q33" s="52">
        <v>0.0</v>
      </c>
      <c r="R33" s="52">
        <v>0.0</v>
      </c>
      <c r="S33" s="52">
        <v>0.0</v>
      </c>
      <c r="T33" s="52">
        <v>0.0</v>
      </c>
      <c r="U33" s="52">
        <v>0.0</v>
      </c>
      <c r="V33" s="52">
        <v>0.0</v>
      </c>
      <c r="W33" s="52">
        <v>0.0</v>
      </c>
      <c r="X33" s="52">
        <v>0.0</v>
      </c>
      <c r="Y33" s="15"/>
      <c r="Z33" s="41" t="s">
        <v>93</v>
      </c>
      <c r="AA33" s="41">
        <v>2.0</v>
      </c>
      <c r="AB33" s="41" t="s">
        <v>93</v>
      </c>
      <c r="AC33" s="41" t="s">
        <v>93</v>
      </c>
      <c r="AD33" s="41">
        <v>3.0</v>
      </c>
      <c r="AE33" s="41" t="s">
        <v>93</v>
      </c>
      <c r="AF33" s="41">
        <v>3.0</v>
      </c>
      <c r="AG33" s="41" t="s">
        <v>93</v>
      </c>
      <c r="AH33" s="41" t="s">
        <v>93</v>
      </c>
      <c r="AI33" s="41" t="s">
        <v>93</v>
      </c>
      <c r="AJ33" s="41" t="s">
        <v>93</v>
      </c>
      <c r="AK33" s="41" t="s">
        <v>93</v>
      </c>
      <c r="AL33" s="41" t="s">
        <v>93</v>
      </c>
      <c r="AM33" s="41" t="s">
        <v>93</v>
      </c>
      <c r="AN33" s="15"/>
      <c r="AO33" s="41">
        <v>8.0</v>
      </c>
      <c r="AP33" s="41" t="s">
        <v>93</v>
      </c>
      <c r="AQ33" s="41">
        <v>2.0</v>
      </c>
      <c r="AR33" s="41" t="s">
        <v>93</v>
      </c>
      <c r="AS33" s="41" t="s">
        <v>93</v>
      </c>
      <c r="AT33" s="41">
        <v>3.0</v>
      </c>
      <c r="AU33" s="41" t="s">
        <v>93</v>
      </c>
      <c r="AV33" s="41">
        <v>3.0</v>
      </c>
      <c r="AW33" s="41" t="s">
        <v>93</v>
      </c>
      <c r="AX33" s="41" t="s">
        <v>93</v>
      </c>
      <c r="AY33" s="41" t="s">
        <v>93</v>
      </c>
      <c r="AZ33" s="41" t="s">
        <v>93</v>
      </c>
      <c r="BA33" s="41" t="s">
        <v>93</v>
      </c>
      <c r="BB33" s="41" t="s">
        <v>93</v>
      </c>
      <c r="BC33" s="41" t="s">
        <v>93</v>
      </c>
    </row>
    <row r="34">
      <c r="A34" s="41" t="s">
        <v>305</v>
      </c>
      <c r="B34" s="41"/>
      <c r="C34" s="41"/>
      <c r="D34" s="41" t="s">
        <v>307</v>
      </c>
      <c r="E34" s="41">
        <v>1.0</v>
      </c>
      <c r="F34" s="44">
        <v>1399.52</v>
      </c>
      <c r="G34" s="41" t="s">
        <v>87</v>
      </c>
      <c r="H34" s="41">
        <v>9.0</v>
      </c>
      <c r="I34" s="45"/>
      <c r="J34" s="15"/>
      <c r="K34" s="41">
        <v>7.0</v>
      </c>
      <c r="L34" s="52">
        <v>0.0</v>
      </c>
      <c r="M34" s="47">
        <v>1.0</v>
      </c>
      <c r="N34" s="52">
        <v>0.0</v>
      </c>
      <c r="O34" s="52">
        <v>0.0</v>
      </c>
      <c r="P34" s="52">
        <v>0.0</v>
      </c>
      <c r="Q34" s="52">
        <v>0.0</v>
      </c>
      <c r="R34" s="52">
        <v>0.0</v>
      </c>
      <c r="S34" s="47">
        <v>1.0</v>
      </c>
      <c r="T34" s="52">
        <v>0.0</v>
      </c>
      <c r="U34" s="52">
        <v>0.0</v>
      </c>
      <c r="V34" s="52">
        <v>0.0</v>
      </c>
      <c r="W34" s="52">
        <v>0.0</v>
      </c>
      <c r="X34" s="52">
        <v>0.0</v>
      </c>
      <c r="Y34" s="15"/>
      <c r="Z34" s="41" t="s">
        <v>93</v>
      </c>
      <c r="AA34" s="41">
        <v>2.0</v>
      </c>
      <c r="AB34" s="41" t="s">
        <v>93</v>
      </c>
      <c r="AC34" s="41" t="s">
        <v>93</v>
      </c>
      <c r="AD34" s="41">
        <v>4.0</v>
      </c>
      <c r="AE34" s="41" t="s">
        <v>93</v>
      </c>
      <c r="AF34" s="41">
        <v>3.0</v>
      </c>
      <c r="AG34" s="41" t="s">
        <v>93</v>
      </c>
      <c r="AH34" s="41" t="s">
        <v>93</v>
      </c>
      <c r="AI34" s="41" t="s">
        <v>93</v>
      </c>
      <c r="AJ34" s="41" t="s">
        <v>93</v>
      </c>
      <c r="AK34" s="41" t="s">
        <v>93</v>
      </c>
      <c r="AL34" s="41" t="s">
        <v>93</v>
      </c>
      <c r="AM34" s="41" t="s">
        <v>93</v>
      </c>
      <c r="AN34" s="15"/>
      <c r="AO34" s="41">
        <v>9.0</v>
      </c>
      <c r="AP34" s="41" t="s">
        <v>93</v>
      </c>
      <c r="AQ34" s="41">
        <v>2.0</v>
      </c>
      <c r="AR34" s="41" t="s">
        <v>93</v>
      </c>
      <c r="AS34" s="41" t="s">
        <v>93</v>
      </c>
      <c r="AT34" s="41">
        <v>4.0</v>
      </c>
      <c r="AU34" s="41" t="s">
        <v>93</v>
      </c>
      <c r="AV34" s="41">
        <v>3.0</v>
      </c>
      <c r="AW34" s="41" t="s">
        <v>93</v>
      </c>
      <c r="AX34" s="41" t="s">
        <v>93</v>
      </c>
      <c r="AY34" s="41" t="s">
        <v>93</v>
      </c>
      <c r="AZ34" s="41" t="s">
        <v>93</v>
      </c>
      <c r="BA34" s="41" t="s">
        <v>93</v>
      </c>
      <c r="BB34" s="41" t="s">
        <v>93</v>
      </c>
      <c r="BC34" s="41" t="s">
        <v>93</v>
      </c>
    </row>
    <row r="35">
      <c r="A35" s="41" t="s">
        <v>313</v>
      </c>
      <c r="B35" s="41"/>
      <c r="C35" s="41"/>
      <c r="D35" s="41" t="s">
        <v>314</v>
      </c>
      <c r="E35" s="41">
        <v>1.0</v>
      </c>
      <c r="F35" s="44">
        <v>1742.25</v>
      </c>
      <c r="G35" s="41" t="s">
        <v>87</v>
      </c>
      <c r="H35" s="41">
        <v>13.0</v>
      </c>
      <c r="I35" s="45"/>
      <c r="J35" s="15"/>
      <c r="K35" s="41">
        <v>12.0</v>
      </c>
      <c r="L35" s="52">
        <v>0.0</v>
      </c>
      <c r="M35" s="52">
        <v>0.0</v>
      </c>
      <c r="N35" s="52">
        <v>0.0</v>
      </c>
      <c r="O35" s="52">
        <v>0.0</v>
      </c>
      <c r="P35" s="52">
        <v>0.0</v>
      </c>
      <c r="Q35" s="52">
        <v>0.0</v>
      </c>
      <c r="R35" s="52">
        <v>0.0</v>
      </c>
      <c r="S35" s="52">
        <v>0.0</v>
      </c>
      <c r="T35" s="47">
        <v>1.0</v>
      </c>
      <c r="U35" s="52">
        <v>0.0</v>
      </c>
      <c r="V35" s="52">
        <v>0.0</v>
      </c>
      <c r="W35" s="52">
        <v>0.0</v>
      </c>
      <c r="X35" s="52">
        <v>0.0</v>
      </c>
      <c r="Y35" s="15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93</v>
      </c>
      <c r="AH35" s="41" t="s">
        <v>93</v>
      </c>
      <c r="AI35" s="41" t="s">
        <v>93</v>
      </c>
      <c r="AJ35" s="41" t="s">
        <v>93</v>
      </c>
      <c r="AK35" s="41" t="s">
        <v>93</v>
      </c>
      <c r="AL35" s="41" t="s">
        <v>93</v>
      </c>
      <c r="AM35" s="41" t="s">
        <v>93</v>
      </c>
      <c r="AN35" s="15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93</v>
      </c>
      <c r="AX35" s="41" t="s">
        <v>93</v>
      </c>
      <c r="AY35" s="41" t="s">
        <v>93</v>
      </c>
      <c r="AZ35" s="41" t="s">
        <v>93</v>
      </c>
      <c r="BA35" s="41" t="s">
        <v>93</v>
      </c>
      <c r="BB35" s="41" t="s">
        <v>93</v>
      </c>
      <c r="BC35" s="41" t="s">
        <v>93</v>
      </c>
    </row>
    <row r="36">
      <c r="A36" s="41" t="s">
        <v>259</v>
      </c>
      <c r="B36" s="41"/>
      <c r="C36" s="41"/>
      <c r="D36" s="41" t="s">
        <v>318</v>
      </c>
      <c r="E36" s="41">
        <v>1.0</v>
      </c>
      <c r="F36" s="44">
        <v>10292.41</v>
      </c>
      <c r="G36" s="41" t="s">
        <v>87</v>
      </c>
      <c r="H36" s="41">
        <v>10.0</v>
      </c>
      <c r="I36" s="45"/>
      <c r="J36" s="15"/>
      <c r="K36" s="41">
        <v>8.0</v>
      </c>
      <c r="L36" s="52">
        <v>0.0</v>
      </c>
      <c r="M36" s="52">
        <v>0.0</v>
      </c>
      <c r="N36" s="52">
        <v>0.0</v>
      </c>
      <c r="O36" s="52">
        <v>0.0</v>
      </c>
      <c r="P36" s="52">
        <v>0.0</v>
      </c>
      <c r="Q36" s="52">
        <v>0.0</v>
      </c>
      <c r="R36" s="52">
        <v>0.0</v>
      </c>
      <c r="S36" s="52">
        <v>0.0</v>
      </c>
      <c r="T36" s="52">
        <v>0.0</v>
      </c>
      <c r="U36" s="52">
        <v>0.0</v>
      </c>
      <c r="V36" s="52">
        <v>0.0</v>
      </c>
      <c r="W36" s="47">
        <v>2.0</v>
      </c>
      <c r="X36" s="52">
        <v>0.0</v>
      </c>
      <c r="Y36" s="15"/>
      <c r="Z36" s="41" t="s">
        <v>93</v>
      </c>
      <c r="AA36" s="41">
        <v>3.0</v>
      </c>
      <c r="AB36" s="41" t="s">
        <v>93</v>
      </c>
      <c r="AC36" s="41" t="s">
        <v>93</v>
      </c>
      <c r="AD36" s="41">
        <v>4.0</v>
      </c>
      <c r="AE36" s="41" t="s">
        <v>93</v>
      </c>
      <c r="AF36" s="41">
        <v>3.0</v>
      </c>
      <c r="AG36" s="41" t="s">
        <v>93</v>
      </c>
      <c r="AH36" s="41" t="s">
        <v>93</v>
      </c>
      <c r="AI36" s="41" t="s">
        <v>93</v>
      </c>
      <c r="AJ36" s="41" t="s">
        <v>93</v>
      </c>
      <c r="AK36" s="41" t="s">
        <v>93</v>
      </c>
      <c r="AL36" s="41" t="s">
        <v>93</v>
      </c>
      <c r="AM36" s="41" t="s">
        <v>93</v>
      </c>
      <c r="AN36" s="15"/>
      <c r="AO36" s="41">
        <v>10.0</v>
      </c>
      <c r="AP36" s="41" t="s">
        <v>93</v>
      </c>
      <c r="AQ36" s="41">
        <v>3.0</v>
      </c>
      <c r="AR36" s="41" t="s">
        <v>93</v>
      </c>
      <c r="AS36" s="41" t="s">
        <v>93</v>
      </c>
      <c r="AT36" s="41">
        <v>4.0</v>
      </c>
      <c r="AU36" s="41" t="s">
        <v>93</v>
      </c>
      <c r="AV36" s="41">
        <v>3.0</v>
      </c>
      <c r="AW36" s="41" t="s">
        <v>93</v>
      </c>
      <c r="AX36" s="41" t="s">
        <v>93</v>
      </c>
      <c r="AY36" s="41" t="s">
        <v>93</v>
      </c>
      <c r="AZ36" s="41" t="s">
        <v>93</v>
      </c>
      <c r="BA36" s="41" t="s">
        <v>93</v>
      </c>
      <c r="BB36" s="41" t="s">
        <v>93</v>
      </c>
      <c r="BC36" s="41" t="s">
        <v>93</v>
      </c>
    </row>
    <row r="37">
      <c r="A37" s="41" t="s">
        <v>322</v>
      </c>
      <c r="B37" s="41"/>
      <c r="C37" s="41"/>
      <c r="D37" s="41" t="s">
        <v>323</v>
      </c>
      <c r="E37" s="41">
        <v>1.0</v>
      </c>
      <c r="F37" s="44">
        <v>3379.72</v>
      </c>
      <c r="G37" s="41" t="s">
        <v>87</v>
      </c>
      <c r="H37" s="41">
        <v>6.0</v>
      </c>
      <c r="I37" s="45"/>
      <c r="J37" s="15"/>
      <c r="K37" s="41">
        <v>6.0</v>
      </c>
      <c r="L37" s="52">
        <v>0.0</v>
      </c>
      <c r="M37" s="52">
        <v>0.0</v>
      </c>
      <c r="N37" s="52">
        <v>0.0</v>
      </c>
      <c r="O37" s="52">
        <v>0.0</v>
      </c>
      <c r="P37" s="52">
        <v>0.0</v>
      </c>
      <c r="Q37" s="52">
        <v>0.0</v>
      </c>
      <c r="R37" s="52">
        <v>0.0</v>
      </c>
      <c r="S37" s="52">
        <v>0.0</v>
      </c>
      <c r="T37" s="52">
        <v>0.0</v>
      </c>
      <c r="U37" s="52">
        <v>0.0</v>
      </c>
      <c r="V37" s="52">
        <v>0.0</v>
      </c>
      <c r="W37" s="52">
        <v>0.0</v>
      </c>
      <c r="X37" s="52">
        <v>0.0</v>
      </c>
      <c r="Y37" s="15"/>
      <c r="Z37" s="41" t="s">
        <v>93</v>
      </c>
      <c r="AA37" s="41">
        <v>1.0</v>
      </c>
      <c r="AB37" s="41" t="s">
        <v>93</v>
      </c>
      <c r="AC37" s="41" t="s">
        <v>93</v>
      </c>
      <c r="AD37" s="41">
        <v>3.0</v>
      </c>
      <c r="AE37" s="41" t="s">
        <v>93</v>
      </c>
      <c r="AF37" s="41">
        <v>2.0</v>
      </c>
      <c r="AG37" s="41" t="s">
        <v>93</v>
      </c>
      <c r="AH37" s="41" t="s">
        <v>93</v>
      </c>
      <c r="AI37" s="41" t="s">
        <v>93</v>
      </c>
      <c r="AJ37" s="41" t="s">
        <v>93</v>
      </c>
      <c r="AK37" s="41" t="s">
        <v>93</v>
      </c>
      <c r="AL37" s="41" t="s">
        <v>93</v>
      </c>
      <c r="AM37" s="41" t="s">
        <v>93</v>
      </c>
      <c r="AN37" s="15"/>
      <c r="AO37" s="41">
        <v>6.0</v>
      </c>
      <c r="AP37" s="41" t="s">
        <v>93</v>
      </c>
      <c r="AQ37" s="41">
        <v>1.0</v>
      </c>
      <c r="AR37" s="41" t="s">
        <v>93</v>
      </c>
      <c r="AS37" s="41" t="s">
        <v>93</v>
      </c>
      <c r="AT37" s="41">
        <v>3.0</v>
      </c>
      <c r="AU37" s="41" t="s">
        <v>93</v>
      </c>
      <c r="AV37" s="41">
        <v>2.0</v>
      </c>
      <c r="AW37" s="41" t="s">
        <v>93</v>
      </c>
      <c r="AX37" s="41" t="s">
        <v>93</v>
      </c>
      <c r="AY37" s="41" t="s">
        <v>93</v>
      </c>
      <c r="AZ37" s="41" t="s">
        <v>93</v>
      </c>
      <c r="BA37" s="41" t="s">
        <v>93</v>
      </c>
      <c r="BB37" s="41" t="s">
        <v>93</v>
      </c>
      <c r="BC37" s="41" t="s">
        <v>93</v>
      </c>
    </row>
    <row r="38">
      <c r="A38" s="41" t="s">
        <v>326</v>
      </c>
      <c r="B38" s="41"/>
      <c r="C38" s="41" t="s">
        <v>156</v>
      </c>
      <c r="D38" s="41" t="s">
        <v>327</v>
      </c>
      <c r="E38" s="41">
        <v>2.0</v>
      </c>
      <c r="F38" s="44">
        <v>633.28</v>
      </c>
      <c r="G38" s="41" t="s">
        <v>87</v>
      </c>
      <c r="H38" s="41">
        <v>0.0</v>
      </c>
      <c r="I38" s="45"/>
      <c r="J38" s="15"/>
      <c r="K38" s="41">
        <v>0.0</v>
      </c>
      <c r="L38" s="47">
        <v>0.0</v>
      </c>
      <c r="M38" s="47">
        <v>0.0</v>
      </c>
      <c r="N38" s="47">
        <v>0.0</v>
      </c>
      <c r="O38" s="47">
        <v>0.0</v>
      </c>
      <c r="P38" s="47">
        <v>0.0</v>
      </c>
      <c r="Q38" s="47">
        <v>0.0</v>
      </c>
      <c r="R38" s="47">
        <v>0.0</v>
      </c>
      <c r="S38" s="47">
        <v>0.0</v>
      </c>
      <c r="T38" s="47">
        <v>0.0</v>
      </c>
      <c r="U38" s="47">
        <v>0.0</v>
      </c>
      <c r="V38" s="47">
        <v>0.0</v>
      </c>
      <c r="W38" s="47">
        <v>0.0</v>
      </c>
      <c r="X38" s="47">
        <v>0.0</v>
      </c>
      <c r="Y38" s="15"/>
      <c r="Z38" s="41"/>
      <c r="AA38" s="41"/>
      <c r="AB38" s="41"/>
      <c r="AC38" s="41"/>
      <c r="AD38" s="41"/>
      <c r="AE38" s="41"/>
      <c r="AF38" s="41"/>
      <c r="AG38" s="41" t="s">
        <v>93</v>
      </c>
      <c r="AH38" s="41" t="s">
        <v>93</v>
      </c>
      <c r="AI38" s="41" t="s">
        <v>93</v>
      </c>
      <c r="AJ38" s="41" t="s">
        <v>93</v>
      </c>
      <c r="AK38" s="41" t="s">
        <v>93</v>
      </c>
      <c r="AL38" s="41" t="s">
        <v>93</v>
      </c>
      <c r="AM38" s="41" t="s">
        <v>93</v>
      </c>
      <c r="AN38" s="15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93</v>
      </c>
      <c r="AX38" s="41" t="s">
        <v>93</v>
      </c>
      <c r="AY38" s="41" t="s">
        <v>93</v>
      </c>
      <c r="AZ38" s="41" t="s">
        <v>93</v>
      </c>
      <c r="BA38" s="41" t="s">
        <v>93</v>
      </c>
      <c r="BB38" s="41" t="s">
        <v>93</v>
      </c>
      <c r="BC38" s="41" t="s">
        <v>93</v>
      </c>
    </row>
    <row r="39">
      <c r="A39" s="41" t="s">
        <v>331</v>
      </c>
      <c r="B39" s="41"/>
      <c r="C39" s="41" t="s">
        <v>156</v>
      </c>
      <c r="D39" s="41" t="s">
        <v>332</v>
      </c>
      <c r="E39" s="41">
        <v>2.0</v>
      </c>
      <c r="F39" s="44">
        <v>203.83</v>
      </c>
      <c r="G39" s="41" t="s">
        <v>87</v>
      </c>
      <c r="H39" s="41">
        <v>0.0</v>
      </c>
      <c r="I39" s="45"/>
      <c r="J39" s="15"/>
      <c r="K39" s="41">
        <v>0.0</v>
      </c>
      <c r="L39" s="47">
        <v>0.0</v>
      </c>
      <c r="M39" s="47">
        <v>0.0</v>
      </c>
      <c r="N39" s="47">
        <v>0.0</v>
      </c>
      <c r="O39" s="47">
        <v>0.0</v>
      </c>
      <c r="P39" s="47">
        <v>0.0</v>
      </c>
      <c r="Q39" s="47">
        <v>0.0</v>
      </c>
      <c r="R39" s="47">
        <v>0.0</v>
      </c>
      <c r="S39" s="47">
        <v>0.0</v>
      </c>
      <c r="T39" s="47">
        <v>0.0</v>
      </c>
      <c r="U39" s="47">
        <v>0.0</v>
      </c>
      <c r="V39" s="47">
        <v>0.0</v>
      </c>
      <c r="W39" s="47">
        <v>0.0</v>
      </c>
      <c r="X39" s="47">
        <v>0.0</v>
      </c>
      <c r="Y39" s="15"/>
      <c r="Z39" s="41"/>
      <c r="AA39" s="41"/>
      <c r="AB39" s="41"/>
      <c r="AC39" s="41"/>
      <c r="AD39" s="41"/>
      <c r="AE39" s="41"/>
      <c r="AF39" s="41"/>
      <c r="AG39" s="41" t="s">
        <v>93</v>
      </c>
      <c r="AH39" s="41" t="s">
        <v>93</v>
      </c>
      <c r="AI39" s="41" t="s">
        <v>93</v>
      </c>
      <c r="AJ39" s="41" t="s">
        <v>93</v>
      </c>
      <c r="AK39" s="41" t="s">
        <v>93</v>
      </c>
      <c r="AL39" s="41" t="s">
        <v>93</v>
      </c>
      <c r="AM39" s="41" t="s">
        <v>93</v>
      </c>
      <c r="AN39" s="15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93</v>
      </c>
      <c r="AX39" s="41" t="s">
        <v>93</v>
      </c>
      <c r="AY39" s="41" t="s">
        <v>93</v>
      </c>
      <c r="AZ39" s="41" t="s">
        <v>93</v>
      </c>
      <c r="BA39" s="41" t="s">
        <v>93</v>
      </c>
      <c r="BB39" s="41" t="s">
        <v>93</v>
      </c>
      <c r="BC39" s="41" t="s">
        <v>93</v>
      </c>
    </row>
    <row r="40">
      <c r="A40" s="41" t="s">
        <v>337</v>
      </c>
      <c r="B40" s="41"/>
      <c r="C40" s="41">
        <v>22373.0</v>
      </c>
      <c r="D40" s="41" t="s">
        <v>338</v>
      </c>
      <c r="E40" s="41">
        <v>1.0</v>
      </c>
      <c r="F40" s="44">
        <v>1412.98</v>
      </c>
      <c r="G40" s="41" t="s">
        <v>87</v>
      </c>
      <c r="H40" s="41">
        <v>1.0</v>
      </c>
      <c r="I40" s="45"/>
      <c r="J40" s="15"/>
      <c r="K40" s="41">
        <v>0.0</v>
      </c>
      <c r="L40" s="47">
        <v>0.0</v>
      </c>
      <c r="M40" s="47">
        <v>0.0</v>
      </c>
      <c r="N40" s="47">
        <v>0.0</v>
      </c>
      <c r="O40" s="47">
        <v>0.0</v>
      </c>
      <c r="P40" s="47">
        <v>0.0</v>
      </c>
      <c r="Q40" s="47">
        <v>0.0</v>
      </c>
      <c r="R40" s="47">
        <v>0.0</v>
      </c>
      <c r="S40" s="47">
        <v>0.0</v>
      </c>
      <c r="T40" s="47">
        <v>1.0</v>
      </c>
      <c r="U40" s="47">
        <v>0.0</v>
      </c>
      <c r="V40" s="47">
        <v>0.0</v>
      </c>
      <c r="W40" s="47">
        <v>0.0</v>
      </c>
      <c r="X40" s="47">
        <v>0.0</v>
      </c>
      <c r="Y40" s="15"/>
      <c r="Z40" s="41"/>
      <c r="AA40" s="41"/>
      <c r="AB40" s="41"/>
      <c r="AC40" s="41"/>
      <c r="AD40" s="41"/>
      <c r="AE40" s="41">
        <v>1.0</v>
      </c>
      <c r="AF40" s="41"/>
      <c r="AG40" s="41" t="s">
        <v>93</v>
      </c>
      <c r="AH40" s="41" t="s">
        <v>93</v>
      </c>
      <c r="AI40" s="41" t="s">
        <v>93</v>
      </c>
      <c r="AJ40" s="41" t="s">
        <v>93</v>
      </c>
      <c r="AK40" s="41" t="s">
        <v>93</v>
      </c>
      <c r="AL40" s="41" t="s">
        <v>93</v>
      </c>
      <c r="AM40" s="41" t="s">
        <v>93</v>
      </c>
      <c r="AN40" s="15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93</v>
      </c>
      <c r="AX40" s="41" t="s">
        <v>93</v>
      </c>
      <c r="AY40" s="41" t="s">
        <v>93</v>
      </c>
      <c r="AZ40" s="41" t="s">
        <v>93</v>
      </c>
      <c r="BA40" s="41" t="s">
        <v>93</v>
      </c>
      <c r="BB40" s="41" t="s">
        <v>93</v>
      </c>
      <c r="BC40" s="41" t="s">
        <v>93</v>
      </c>
    </row>
    <row r="41">
      <c r="A41" s="41" t="s">
        <v>174</v>
      </c>
      <c r="B41" s="41"/>
      <c r="C41" s="41"/>
      <c r="D41" s="41" t="s">
        <v>341</v>
      </c>
      <c r="E41" s="41">
        <v>1.0</v>
      </c>
      <c r="F41" s="44">
        <v>766.76</v>
      </c>
      <c r="G41" s="41" t="s">
        <v>87</v>
      </c>
      <c r="H41" s="41">
        <v>10.0</v>
      </c>
      <c r="I41" s="45"/>
      <c r="J41" s="15"/>
      <c r="K41" s="41">
        <v>9.0</v>
      </c>
      <c r="L41" s="52">
        <v>0.0</v>
      </c>
      <c r="M41" s="52">
        <v>0.0</v>
      </c>
      <c r="N41" s="52">
        <v>0.0</v>
      </c>
      <c r="O41" s="52">
        <v>0.0</v>
      </c>
      <c r="P41" s="52">
        <v>0.0</v>
      </c>
      <c r="Q41" s="52">
        <v>0.0</v>
      </c>
      <c r="R41" s="52">
        <v>0.0</v>
      </c>
      <c r="S41" s="52">
        <v>0.0</v>
      </c>
      <c r="T41" s="47">
        <v>1.0</v>
      </c>
      <c r="U41" s="52">
        <v>0.0</v>
      </c>
      <c r="V41" s="52">
        <v>0.0</v>
      </c>
      <c r="W41" s="52">
        <v>0.0</v>
      </c>
      <c r="X41" s="52">
        <v>0.0</v>
      </c>
      <c r="Y41" s="15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93</v>
      </c>
      <c r="AH41" s="41" t="s">
        <v>93</v>
      </c>
      <c r="AI41" s="41" t="s">
        <v>93</v>
      </c>
      <c r="AJ41" s="41" t="s">
        <v>93</v>
      </c>
      <c r="AK41" s="41" t="s">
        <v>93</v>
      </c>
      <c r="AL41" s="41" t="s">
        <v>93</v>
      </c>
      <c r="AM41" s="41" t="s">
        <v>93</v>
      </c>
      <c r="AN41" s="15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93</v>
      </c>
      <c r="AX41" s="41" t="s">
        <v>93</v>
      </c>
      <c r="AY41" s="41" t="s">
        <v>93</v>
      </c>
      <c r="AZ41" s="41" t="s">
        <v>93</v>
      </c>
      <c r="BA41" s="41" t="s">
        <v>93</v>
      </c>
      <c r="BB41" s="41" t="s">
        <v>93</v>
      </c>
      <c r="BC41" s="41" t="s">
        <v>93</v>
      </c>
    </row>
    <row r="42">
      <c r="A42" s="41" t="s">
        <v>90</v>
      </c>
      <c r="B42" s="41"/>
      <c r="C42" s="41">
        <v>83326.0</v>
      </c>
      <c r="D42" s="41" t="s">
        <v>91</v>
      </c>
      <c r="E42" s="41">
        <v>1.0</v>
      </c>
      <c r="F42" s="44">
        <v>3089.89</v>
      </c>
      <c r="G42" s="41" t="s">
        <v>87</v>
      </c>
      <c r="H42" s="41">
        <v>2.0</v>
      </c>
      <c r="I42" s="45"/>
      <c r="J42" s="15"/>
      <c r="K42" s="41">
        <v>1.0</v>
      </c>
      <c r="L42" s="52">
        <v>0.0</v>
      </c>
      <c r="M42" s="47">
        <v>1.0</v>
      </c>
      <c r="N42" s="52">
        <v>0.0</v>
      </c>
      <c r="O42" s="52">
        <v>0.0</v>
      </c>
      <c r="P42" s="52">
        <v>0.0</v>
      </c>
      <c r="Q42" s="52">
        <v>0.0</v>
      </c>
      <c r="R42" s="52">
        <v>0.0</v>
      </c>
      <c r="S42" s="52">
        <v>0.0</v>
      </c>
      <c r="T42" s="52">
        <v>0.0</v>
      </c>
      <c r="U42" s="52">
        <v>0.0</v>
      </c>
      <c r="V42" s="52">
        <v>0.0</v>
      </c>
      <c r="W42" s="52">
        <v>0.0</v>
      </c>
      <c r="X42" s="52">
        <v>0.0</v>
      </c>
      <c r="Y42" s="15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93</v>
      </c>
      <c r="AH42" s="41" t="s">
        <v>93</v>
      </c>
      <c r="AI42" s="41" t="s">
        <v>93</v>
      </c>
      <c r="AJ42" s="41" t="s">
        <v>93</v>
      </c>
      <c r="AK42" s="41" t="s">
        <v>93</v>
      </c>
      <c r="AL42" s="41" t="s">
        <v>93</v>
      </c>
      <c r="AM42" s="41" t="s">
        <v>93</v>
      </c>
      <c r="AN42" s="15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93</v>
      </c>
      <c r="AX42" s="41" t="s">
        <v>93</v>
      </c>
      <c r="AY42" s="41" t="s">
        <v>93</v>
      </c>
      <c r="AZ42" s="41" t="s">
        <v>93</v>
      </c>
      <c r="BA42" s="41" t="s">
        <v>93</v>
      </c>
      <c r="BB42" s="41" t="s">
        <v>93</v>
      </c>
      <c r="BC42" s="41" t="s">
        <v>93</v>
      </c>
    </row>
    <row r="43">
      <c r="A43" s="41" t="s">
        <v>345</v>
      </c>
      <c r="B43" s="41"/>
      <c r="C43" s="41"/>
      <c r="D43" s="41" t="s">
        <v>346</v>
      </c>
      <c r="E43" s="41">
        <v>1.0</v>
      </c>
      <c r="F43" s="44">
        <v>1250.0</v>
      </c>
      <c r="G43" s="41" t="s">
        <v>87</v>
      </c>
      <c r="H43" s="41">
        <v>6.0</v>
      </c>
      <c r="I43" s="45"/>
      <c r="J43" s="15"/>
      <c r="K43" s="41">
        <v>6.0</v>
      </c>
      <c r="L43" s="52">
        <v>0.0</v>
      </c>
      <c r="M43" s="52">
        <v>0.0</v>
      </c>
      <c r="N43" s="52">
        <v>0.0</v>
      </c>
      <c r="O43" s="52">
        <v>0.0</v>
      </c>
      <c r="P43" s="52">
        <v>0.0</v>
      </c>
      <c r="Q43" s="52">
        <v>0.0</v>
      </c>
      <c r="R43" s="52">
        <v>0.0</v>
      </c>
      <c r="S43" s="52">
        <v>0.0</v>
      </c>
      <c r="T43" s="52">
        <v>0.0</v>
      </c>
      <c r="U43" s="52">
        <v>0.0</v>
      </c>
      <c r="V43" s="52">
        <v>0.0</v>
      </c>
      <c r="W43" s="52">
        <v>0.0</v>
      </c>
      <c r="X43" s="52">
        <v>0.0</v>
      </c>
      <c r="Y43" s="15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93</v>
      </c>
      <c r="AH43" s="41" t="s">
        <v>93</v>
      </c>
      <c r="AI43" s="41" t="s">
        <v>93</v>
      </c>
      <c r="AJ43" s="41" t="s">
        <v>93</v>
      </c>
      <c r="AK43" s="41" t="s">
        <v>93</v>
      </c>
      <c r="AL43" s="41" t="s">
        <v>93</v>
      </c>
      <c r="AM43" s="41" t="s">
        <v>93</v>
      </c>
      <c r="AN43" s="15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93</v>
      </c>
      <c r="AX43" s="41" t="s">
        <v>93</v>
      </c>
      <c r="AY43" s="41" t="s">
        <v>93</v>
      </c>
      <c r="AZ43" s="41" t="s">
        <v>93</v>
      </c>
      <c r="BA43" s="41" t="s">
        <v>93</v>
      </c>
      <c r="BB43" s="41" t="s">
        <v>93</v>
      </c>
      <c r="BC43" s="41" t="s">
        <v>93</v>
      </c>
    </row>
    <row r="44">
      <c r="A44" s="41" t="s">
        <v>348</v>
      </c>
      <c r="B44" s="41"/>
      <c r="C44" s="41"/>
      <c r="D44" s="41" t="s">
        <v>350</v>
      </c>
      <c r="E44" s="41">
        <v>1.0</v>
      </c>
      <c r="F44" s="44">
        <v>3325.66</v>
      </c>
      <c r="G44" s="41" t="s">
        <v>87</v>
      </c>
      <c r="H44" s="41">
        <v>22.0</v>
      </c>
      <c r="I44" s="45"/>
      <c r="J44" s="15"/>
      <c r="K44" s="41">
        <v>22.0</v>
      </c>
      <c r="L44" s="52">
        <v>0.0</v>
      </c>
      <c r="M44" s="52">
        <v>0.0</v>
      </c>
      <c r="N44" s="52">
        <v>0.0</v>
      </c>
      <c r="O44" s="52">
        <v>0.0</v>
      </c>
      <c r="P44" s="52">
        <v>0.0</v>
      </c>
      <c r="Q44" s="52">
        <v>0.0</v>
      </c>
      <c r="R44" s="52">
        <v>0.0</v>
      </c>
      <c r="S44" s="52">
        <v>0.0</v>
      </c>
      <c r="T44" s="52">
        <v>0.0</v>
      </c>
      <c r="U44" s="52">
        <v>0.0</v>
      </c>
      <c r="V44" s="52">
        <v>0.0</v>
      </c>
      <c r="W44" s="52">
        <v>0.0</v>
      </c>
      <c r="X44" s="52">
        <v>0.0</v>
      </c>
      <c r="Y44" s="15"/>
      <c r="Z44" s="41" t="s">
        <v>93</v>
      </c>
      <c r="AA44" s="41">
        <v>4.0</v>
      </c>
      <c r="AB44" s="41" t="s">
        <v>93</v>
      </c>
      <c r="AC44" s="41" t="s">
        <v>93</v>
      </c>
      <c r="AD44" s="41">
        <v>12.0</v>
      </c>
      <c r="AE44" s="41" t="s">
        <v>93</v>
      </c>
      <c r="AF44" s="41">
        <v>6.0</v>
      </c>
      <c r="AG44" s="41" t="s">
        <v>93</v>
      </c>
      <c r="AH44" s="41" t="s">
        <v>93</v>
      </c>
      <c r="AI44" s="41" t="s">
        <v>93</v>
      </c>
      <c r="AJ44" s="41" t="s">
        <v>93</v>
      </c>
      <c r="AK44" s="41" t="s">
        <v>93</v>
      </c>
      <c r="AL44" s="41" t="s">
        <v>93</v>
      </c>
      <c r="AM44" s="41" t="s">
        <v>93</v>
      </c>
      <c r="AN44" s="15"/>
      <c r="AO44" s="41">
        <v>22.0</v>
      </c>
      <c r="AP44" s="41" t="s">
        <v>93</v>
      </c>
      <c r="AQ44" s="41">
        <v>4.0</v>
      </c>
      <c r="AR44" s="41" t="s">
        <v>93</v>
      </c>
      <c r="AS44" s="41" t="s">
        <v>93</v>
      </c>
      <c r="AT44" s="41">
        <v>12.0</v>
      </c>
      <c r="AU44" s="41" t="s">
        <v>93</v>
      </c>
      <c r="AV44" s="41">
        <v>6.0</v>
      </c>
      <c r="AW44" s="41" t="s">
        <v>93</v>
      </c>
      <c r="AX44" s="41" t="s">
        <v>93</v>
      </c>
      <c r="AY44" s="41" t="s">
        <v>93</v>
      </c>
      <c r="AZ44" s="41" t="s">
        <v>93</v>
      </c>
      <c r="BA44" s="41" t="s">
        <v>93</v>
      </c>
      <c r="BB44" s="41" t="s">
        <v>93</v>
      </c>
      <c r="BC44" s="41" t="s">
        <v>93</v>
      </c>
    </row>
    <row r="45">
      <c r="A45" s="41" t="s">
        <v>216</v>
      </c>
      <c r="B45" s="41"/>
      <c r="C45" s="41"/>
      <c r="D45" s="41" t="s">
        <v>354</v>
      </c>
      <c r="E45" s="41">
        <v>1.0</v>
      </c>
      <c r="F45" s="44">
        <v>5710.68</v>
      </c>
      <c r="G45" s="41" t="s">
        <v>87</v>
      </c>
      <c r="H45" s="41">
        <v>101.0</v>
      </c>
      <c r="I45" s="45"/>
      <c r="J45" s="15"/>
      <c r="K45" s="41">
        <v>99.0</v>
      </c>
      <c r="L45" s="52">
        <v>0.0</v>
      </c>
      <c r="M45" s="52">
        <v>0.0</v>
      </c>
      <c r="N45" s="52">
        <v>0.0</v>
      </c>
      <c r="O45" s="52">
        <v>0.0</v>
      </c>
      <c r="P45" s="52">
        <v>0.0</v>
      </c>
      <c r="Q45" s="52">
        <v>0.0</v>
      </c>
      <c r="R45" s="52">
        <v>1.0</v>
      </c>
      <c r="S45" s="52">
        <v>1.0</v>
      </c>
      <c r="T45" s="52">
        <v>0.0</v>
      </c>
      <c r="U45" s="52">
        <v>0.0</v>
      </c>
      <c r="V45" s="52">
        <v>0.0</v>
      </c>
      <c r="W45" s="52">
        <v>0.0</v>
      </c>
      <c r="X45" s="52">
        <v>0.0</v>
      </c>
      <c r="Y45" s="15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93</v>
      </c>
      <c r="AH45" s="41" t="s">
        <v>93</v>
      </c>
      <c r="AI45" s="41" t="s">
        <v>93</v>
      </c>
      <c r="AJ45" s="41" t="s">
        <v>93</v>
      </c>
      <c r="AK45" s="41" t="s">
        <v>93</v>
      </c>
      <c r="AL45" s="41" t="s">
        <v>93</v>
      </c>
      <c r="AM45" s="41" t="s">
        <v>93</v>
      </c>
      <c r="AN45" s="15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93</v>
      </c>
      <c r="AX45" s="41" t="s">
        <v>93</v>
      </c>
      <c r="AY45" s="41" t="s">
        <v>93</v>
      </c>
      <c r="AZ45" s="41" t="s">
        <v>93</v>
      </c>
      <c r="BA45" s="41" t="s">
        <v>93</v>
      </c>
      <c r="BB45" s="41" t="s">
        <v>93</v>
      </c>
      <c r="BC45" s="41" t="s">
        <v>93</v>
      </c>
    </row>
    <row r="46">
      <c r="A46" s="41" t="s">
        <v>358</v>
      </c>
      <c r="B46" s="41"/>
      <c r="C46" s="41">
        <v>22373.0</v>
      </c>
      <c r="D46" s="41" t="s">
        <v>359</v>
      </c>
      <c r="E46" s="41">
        <v>1.0</v>
      </c>
      <c r="F46" s="44">
        <v>482.87</v>
      </c>
      <c r="G46" s="41" t="s">
        <v>87</v>
      </c>
      <c r="H46" s="41">
        <v>2.0</v>
      </c>
      <c r="I46" s="45"/>
      <c r="J46" s="15"/>
      <c r="K46" s="41">
        <v>1.0</v>
      </c>
      <c r="L46" s="52">
        <v>0.0</v>
      </c>
      <c r="M46" s="47">
        <v>1.0</v>
      </c>
      <c r="N46" s="52">
        <v>0.0</v>
      </c>
      <c r="O46" s="52">
        <v>0.0</v>
      </c>
      <c r="P46" s="52">
        <v>0.0</v>
      </c>
      <c r="Q46" s="52">
        <v>0.0</v>
      </c>
      <c r="R46" s="52">
        <v>0.0</v>
      </c>
      <c r="S46" s="52">
        <v>0.0</v>
      </c>
      <c r="T46" s="52">
        <v>0.0</v>
      </c>
      <c r="U46" s="52">
        <v>0.0</v>
      </c>
      <c r="V46" s="52">
        <v>0.0</v>
      </c>
      <c r="W46" s="52">
        <v>0.0</v>
      </c>
      <c r="X46" s="52">
        <v>0.0</v>
      </c>
      <c r="Y46" s="15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93</v>
      </c>
      <c r="AH46" s="41" t="s">
        <v>93</v>
      </c>
      <c r="AI46" s="41" t="s">
        <v>93</v>
      </c>
      <c r="AJ46" s="41" t="s">
        <v>93</v>
      </c>
      <c r="AK46" s="41" t="s">
        <v>93</v>
      </c>
      <c r="AL46" s="41" t="s">
        <v>93</v>
      </c>
      <c r="AM46" s="41" t="s">
        <v>93</v>
      </c>
      <c r="AN46" s="15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93</v>
      </c>
      <c r="AX46" s="41" t="s">
        <v>93</v>
      </c>
      <c r="AY46" s="41" t="s">
        <v>93</v>
      </c>
      <c r="AZ46" s="41" t="s">
        <v>93</v>
      </c>
      <c r="BA46" s="41" t="s">
        <v>93</v>
      </c>
      <c r="BB46" s="41" t="s">
        <v>93</v>
      </c>
      <c r="BC46" s="41" t="s">
        <v>93</v>
      </c>
    </row>
    <row r="47">
      <c r="A47" s="41" t="s">
        <v>362</v>
      </c>
      <c r="B47" s="41"/>
      <c r="C47" s="41"/>
      <c r="D47" s="41" t="s">
        <v>363</v>
      </c>
      <c r="E47" s="41">
        <v>1.0</v>
      </c>
      <c r="F47" s="44">
        <v>8704.7</v>
      </c>
      <c r="G47" s="41" t="s">
        <v>87</v>
      </c>
      <c r="H47" s="41">
        <v>6.0</v>
      </c>
      <c r="I47" s="45"/>
      <c r="J47" s="15"/>
      <c r="K47" s="41">
        <v>6.0</v>
      </c>
      <c r="L47" s="52">
        <v>0.0</v>
      </c>
      <c r="M47" s="52">
        <v>0.0</v>
      </c>
      <c r="N47" s="52">
        <v>0.0</v>
      </c>
      <c r="O47" s="52">
        <v>0.0</v>
      </c>
      <c r="P47" s="52">
        <v>0.0</v>
      </c>
      <c r="Q47" s="52">
        <v>0.0</v>
      </c>
      <c r="R47" s="52">
        <v>0.0</v>
      </c>
      <c r="S47" s="52">
        <v>0.0</v>
      </c>
      <c r="T47" s="52">
        <v>0.0</v>
      </c>
      <c r="U47" s="52">
        <v>0.0</v>
      </c>
      <c r="V47" s="52">
        <v>0.0</v>
      </c>
      <c r="W47" s="52">
        <v>0.0</v>
      </c>
      <c r="X47" s="52">
        <v>0.0</v>
      </c>
      <c r="Y47" s="15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93</v>
      </c>
      <c r="AH47" s="41" t="s">
        <v>93</v>
      </c>
      <c r="AI47" s="41" t="s">
        <v>93</v>
      </c>
      <c r="AJ47" s="41" t="s">
        <v>93</v>
      </c>
      <c r="AK47" s="41" t="s">
        <v>93</v>
      </c>
      <c r="AL47" s="41" t="s">
        <v>93</v>
      </c>
      <c r="AM47" s="41" t="s">
        <v>93</v>
      </c>
      <c r="AN47" s="15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93</v>
      </c>
      <c r="AX47" s="41" t="s">
        <v>93</v>
      </c>
      <c r="AY47" s="41" t="s">
        <v>93</v>
      </c>
      <c r="AZ47" s="41" t="s">
        <v>93</v>
      </c>
      <c r="BA47" s="41" t="s">
        <v>93</v>
      </c>
      <c r="BB47" s="41" t="s">
        <v>93</v>
      </c>
      <c r="BC47" s="41" t="s">
        <v>93</v>
      </c>
    </row>
    <row r="48">
      <c r="A48" s="41" t="s">
        <v>369</v>
      </c>
      <c r="B48" s="41"/>
      <c r="C48" s="41"/>
      <c r="D48" s="41" t="s">
        <v>370</v>
      </c>
      <c r="E48" s="41">
        <v>1.0</v>
      </c>
      <c r="F48" s="44">
        <v>8065.09</v>
      </c>
      <c r="G48" s="41" t="s">
        <v>87</v>
      </c>
      <c r="H48" s="41">
        <v>0.0</v>
      </c>
      <c r="I48" s="45"/>
      <c r="J48" s="15"/>
      <c r="K48" s="41">
        <v>0.0</v>
      </c>
      <c r="L48" s="52">
        <v>0.0</v>
      </c>
      <c r="M48" s="52">
        <v>0.0</v>
      </c>
      <c r="N48" s="52">
        <v>0.0</v>
      </c>
      <c r="O48" s="52">
        <v>0.0</v>
      </c>
      <c r="P48" s="52">
        <v>0.0</v>
      </c>
      <c r="Q48" s="52">
        <v>0.0</v>
      </c>
      <c r="R48" s="52">
        <v>0.0</v>
      </c>
      <c r="S48" s="52">
        <v>0.0</v>
      </c>
      <c r="T48" s="52">
        <v>0.0</v>
      </c>
      <c r="U48" s="52">
        <v>0.0</v>
      </c>
      <c r="V48" s="52">
        <v>0.0</v>
      </c>
      <c r="W48" s="52">
        <v>0.0</v>
      </c>
      <c r="X48" s="52">
        <v>0.0</v>
      </c>
      <c r="Y48" s="15"/>
      <c r="Z48" s="41"/>
      <c r="AA48" s="41"/>
      <c r="AB48" s="41"/>
      <c r="AC48" s="41"/>
      <c r="AD48" s="41"/>
      <c r="AE48" s="41"/>
      <c r="AF48" s="41"/>
      <c r="AG48" s="41" t="s">
        <v>93</v>
      </c>
      <c r="AH48" s="41" t="s">
        <v>93</v>
      </c>
      <c r="AI48" s="41" t="s">
        <v>93</v>
      </c>
      <c r="AJ48" s="41" t="s">
        <v>93</v>
      </c>
      <c r="AK48" s="41" t="s">
        <v>93</v>
      </c>
      <c r="AL48" s="41" t="s">
        <v>93</v>
      </c>
      <c r="AM48" s="41" t="s">
        <v>93</v>
      </c>
      <c r="AN48" s="15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93</v>
      </c>
      <c r="AX48" s="41" t="s">
        <v>93</v>
      </c>
      <c r="AY48" s="41" t="s">
        <v>93</v>
      </c>
      <c r="AZ48" s="41" t="s">
        <v>93</v>
      </c>
      <c r="BA48" s="41" t="s">
        <v>93</v>
      </c>
      <c r="BB48" s="41" t="s">
        <v>93</v>
      </c>
      <c r="BC48" s="41" t="s">
        <v>93</v>
      </c>
    </row>
    <row r="49">
      <c r="A49" s="41" t="s">
        <v>375</v>
      </c>
      <c r="B49" s="41"/>
      <c r="C49" s="41"/>
      <c r="D49" s="41" t="s">
        <v>376</v>
      </c>
      <c r="E49" s="41">
        <v>1.0</v>
      </c>
      <c r="F49" s="44">
        <v>36397.06</v>
      </c>
      <c r="G49" s="41" t="s">
        <v>87</v>
      </c>
      <c r="H49" s="41">
        <v>6.0</v>
      </c>
      <c r="I49" s="45"/>
      <c r="J49" s="15"/>
      <c r="K49" s="41">
        <v>5.0</v>
      </c>
      <c r="L49" s="52">
        <v>0.0</v>
      </c>
      <c r="M49" s="47">
        <v>1.0</v>
      </c>
      <c r="N49" s="52">
        <v>0.0</v>
      </c>
      <c r="O49" s="52">
        <v>0.0</v>
      </c>
      <c r="P49" s="52">
        <v>0.0</v>
      </c>
      <c r="Q49" s="52">
        <v>0.0</v>
      </c>
      <c r="R49" s="52">
        <v>0.0</v>
      </c>
      <c r="S49" s="52">
        <v>0.0</v>
      </c>
      <c r="T49" s="52">
        <v>0.0</v>
      </c>
      <c r="U49" s="52">
        <v>0.0</v>
      </c>
      <c r="V49" s="52">
        <v>0.0</v>
      </c>
      <c r="W49" s="52">
        <v>0.0</v>
      </c>
      <c r="X49" s="52">
        <v>0.0</v>
      </c>
      <c r="Y49" s="15"/>
      <c r="Z49" s="41" t="s">
        <v>93</v>
      </c>
      <c r="AA49" s="41">
        <v>2.0</v>
      </c>
      <c r="AB49" s="41" t="s">
        <v>93</v>
      </c>
      <c r="AC49" s="41" t="s">
        <v>93</v>
      </c>
      <c r="AD49" s="41">
        <v>2.0</v>
      </c>
      <c r="AE49" s="41" t="s">
        <v>93</v>
      </c>
      <c r="AF49" s="41">
        <v>2.0</v>
      </c>
      <c r="AG49" s="41" t="s">
        <v>93</v>
      </c>
      <c r="AH49" s="41" t="s">
        <v>93</v>
      </c>
      <c r="AI49" s="41" t="s">
        <v>93</v>
      </c>
      <c r="AJ49" s="41" t="s">
        <v>93</v>
      </c>
      <c r="AK49" s="41" t="s">
        <v>93</v>
      </c>
      <c r="AL49" s="41" t="s">
        <v>93</v>
      </c>
      <c r="AM49" s="41" t="s">
        <v>93</v>
      </c>
      <c r="AN49" s="15"/>
      <c r="AO49" s="41">
        <v>6.0</v>
      </c>
      <c r="AP49" s="41" t="s">
        <v>93</v>
      </c>
      <c r="AQ49" s="41">
        <v>2.0</v>
      </c>
      <c r="AR49" s="41" t="s">
        <v>93</v>
      </c>
      <c r="AS49" s="41" t="s">
        <v>93</v>
      </c>
      <c r="AT49" s="41">
        <v>2.0</v>
      </c>
      <c r="AU49" s="41" t="s">
        <v>93</v>
      </c>
      <c r="AV49" s="41">
        <v>2.0</v>
      </c>
      <c r="AW49" s="41" t="s">
        <v>93</v>
      </c>
      <c r="AX49" s="41" t="s">
        <v>93</v>
      </c>
      <c r="AY49" s="41" t="s">
        <v>93</v>
      </c>
      <c r="AZ49" s="41" t="s">
        <v>93</v>
      </c>
      <c r="BA49" s="41" t="s">
        <v>93</v>
      </c>
      <c r="BB49" s="41" t="s">
        <v>93</v>
      </c>
      <c r="BC49" s="41" t="s">
        <v>93</v>
      </c>
    </row>
    <row r="50">
      <c r="A50" s="41" t="s">
        <v>380</v>
      </c>
      <c r="B50" s="41"/>
      <c r="C50" s="41"/>
      <c r="D50" s="41" t="s">
        <v>382</v>
      </c>
      <c r="E50" s="41">
        <v>1.0</v>
      </c>
      <c r="F50" s="44">
        <v>4878.94</v>
      </c>
      <c r="G50" s="41" t="s">
        <v>87</v>
      </c>
      <c r="H50" s="41">
        <v>13.0</v>
      </c>
      <c r="I50" s="45"/>
      <c r="J50" s="15"/>
      <c r="K50" s="41">
        <v>13.0</v>
      </c>
      <c r="L50" s="52">
        <v>0.0</v>
      </c>
      <c r="M50" s="52">
        <v>0.0</v>
      </c>
      <c r="N50" s="52">
        <v>0.0</v>
      </c>
      <c r="O50" s="52">
        <v>0.0</v>
      </c>
      <c r="P50" s="52">
        <v>0.0</v>
      </c>
      <c r="Q50" s="52">
        <v>0.0</v>
      </c>
      <c r="R50" s="52">
        <v>0.0</v>
      </c>
      <c r="S50" s="52">
        <v>0.0</v>
      </c>
      <c r="T50" s="52">
        <v>0.0</v>
      </c>
      <c r="U50" s="52">
        <v>0.0</v>
      </c>
      <c r="V50" s="52">
        <v>0.0</v>
      </c>
      <c r="W50" s="52">
        <v>0.0</v>
      </c>
      <c r="X50" s="52">
        <v>0.0</v>
      </c>
      <c r="Y50" s="15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93</v>
      </c>
      <c r="AH50" s="41" t="s">
        <v>93</v>
      </c>
      <c r="AI50" s="41" t="s">
        <v>93</v>
      </c>
      <c r="AJ50" s="41" t="s">
        <v>93</v>
      </c>
      <c r="AK50" s="41" t="s">
        <v>93</v>
      </c>
      <c r="AL50" s="41" t="s">
        <v>93</v>
      </c>
      <c r="AM50" s="41" t="s">
        <v>93</v>
      </c>
      <c r="AN50" s="15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93</v>
      </c>
      <c r="AX50" s="41" t="s">
        <v>93</v>
      </c>
      <c r="AY50" s="41" t="s">
        <v>93</v>
      </c>
      <c r="AZ50" s="41" t="s">
        <v>93</v>
      </c>
      <c r="BA50" s="41" t="s">
        <v>93</v>
      </c>
      <c r="BB50" s="41" t="s">
        <v>93</v>
      </c>
      <c r="BC50" s="41" t="s">
        <v>93</v>
      </c>
    </row>
    <row r="51">
      <c r="A51" s="41" t="s">
        <v>274</v>
      </c>
      <c r="B51" s="41"/>
      <c r="C51" s="41"/>
      <c r="D51" s="41" t="s">
        <v>276</v>
      </c>
      <c r="E51" s="41">
        <v>1.0</v>
      </c>
      <c r="F51" s="44">
        <v>13607.99</v>
      </c>
      <c r="G51" s="41" t="s">
        <v>87</v>
      </c>
      <c r="H51" s="41">
        <v>7.0</v>
      </c>
      <c r="I51" s="45"/>
      <c r="J51" s="15"/>
      <c r="K51" s="41">
        <v>7.0</v>
      </c>
      <c r="L51" s="52">
        <v>0.0</v>
      </c>
      <c r="M51" s="52">
        <v>0.0</v>
      </c>
      <c r="N51" s="52">
        <v>0.0</v>
      </c>
      <c r="O51" s="52">
        <v>0.0</v>
      </c>
      <c r="P51" s="52">
        <v>0.0</v>
      </c>
      <c r="Q51" s="52">
        <v>0.0</v>
      </c>
      <c r="R51" s="52">
        <v>0.0</v>
      </c>
      <c r="S51" s="52">
        <v>0.0</v>
      </c>
      <c r="T51" s="52">
        <v>0.0</v>
      </c>
      <c r="U51" s="52">
        <v>0.0</v>
      </c>
      <c r="V51" s="52">
        <v>0.0</v>
      </c>
      <c r="W51" s="52">
        <v>0.0</v>
      </c>
      <c r="X51" s="52">
        <v>0.0</v>
      </c>
      <c r="Y51" s="15"/>
      <c r="Z51" s="41" t="s">
        <v>93</v>
      </c>
      <c r="AA51" s="41">
        <v>2.0</v>
      </c>
      <c r="AB51" s="41" t="s">
        <v>93</v>
      </c>
      <c r="AC51" s="41" t="s">
        <v>93</v>
      </c>
      <c r="AD51" s="41">
        <v>3.0</v>
      </c>
      <c r="AE51" s="41" t="s">
        <v>93</v>
      </c>
      <c r="AF51" s="41">
        <v>2.0</v>
      </c>
      <c r="AG51" s="41" t="s">
        <v>93</v>
      </c>
      <c r="AH51" s="41" t="s">
        <v>93</v>
      </c>
      <c r="AI51" s="41" t="s">
        <v>93</v>
      </c>
      <c r="AJ51" s="41" t="s">
        <v>93</v>
      </c>
      <c r="AK51" s="41" t="s">
        <v>93</v>
      </c>
      <c r="AL51" s="41" t="s">
        <v>93</v>
      </c>
      <c r="AM51" s="41" t="s">
        <v>93</v>
      </c>
      <c r="AN51" s="15"/>
      <c r="AO51" s="41">
        <v>7.0</v>
      </c>
      <c r="AP51" s="41" t="s">
        <v>93</v>
      </c>
      <c r="AQ51" s="41">
        <v>2.0</v>
      </c>
      <c r="AR51" s="41" t="s">
        <v>93</v>
      </c>
      <c r="AS51" s="41" t="s">
        <v>93</v>
      </c>
      <c r="AT51" s="41">
        <v>3.0</v>
      </c>
      <c r="AU51" s="41" t="s">
        <v>93</v>
      </c>
      <c r="AV51" s="41">
        <v>2.0</v>
      </c>
      <c r="AW51" s="41" t="s">
        <v>93</v>
      </c>
      <c r="AX51" s="41" t="s">
        <v>93</v>
      </c>
      <c r="AY51" s="41" t="s">
        <v>93</v>
      </c>
      <c r="AZ51" s="41" t="s">
        <v>93</v>
      </c>
      <c r="BA51" s="41" t="s">
        <v>93</v>
      </c>
      <c r="BB51" s="41" t="s">
        <v>93</v>
      </c>
      <c r="BC51" s="41" t="s">
        <v>93</v>
      </c>
    </row>
    <row r="52">
      <c r="A52" s="41" t="s">
        <v>199</v>
      </c>
      <c r="B52" s="41"/>
      <c r="C52" s="41">
        <v>22373.0</v>
      </c>
      <c r="D52" s="41" t="s">
        <v>200</v>
      </c>
      <c r="E52" s="41">
        <v>1.0</v>
      </c>
      <c r="F52" s="44">
        <v>1700.0</v>
      </c>
      <c r="G52" s="41" t="s">
        <v>87</v>
      </c>
      <c r="H52" s="41">
        <v>5.0</v>
      </c>
      <c r="I52" s="45"/>
      <c r="J52" s="15"/>
      <c r="K52" s="41">
        <v>5.0</v>
      </c>
      <c r="L52" s="52">
        <v>0.0</v>
      </c>
      <c r="M52" s="52">
        <v>0.0</v>
      </c>
      <c r="N52" s="52">
        <v>0.0</v>
      </c>
      <c r="O52" s="52">
        <v>0.0</v>
      </c>
      <c r="P52" s="52">
        <v>0.0</v>
      </c>
      <c r="Q52" s="52">
        <v>0.0</v>
      </c>
      <c r="R52" s="52">
        <v>0.0</v>
      </c>
      <c r="S52" s="52">
        <v>0.0</v>
      </c>
      <c r="T52" s="52">
        <v>0.0</v>
      </c>
      <c r="U52" s="52">
        <v>0.0</v>
      </c>
      <c r="V52" s="52">
        <v>0.0</v>
      </c>
      <c r="W52" s="52">
        <v>0.0</v>
      </c>
      <c r="X52" s="52">
        <v>0.0</v>
      </c>
      <c r="Y52" s="15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93</v>
      </c>
      <c r="AH52" s="41" t="s">
        <v>93</v>
      </c>
      <c r="AI52" s="41" t="s">
        <v>93</v>
      </c>
      <c r="AJ52" s="41" t="s">
        <v>93</v>
      </c>
      <c r="AK52" s="41" t="s">
        <v>93</v>
      </c>
      <c r="AL52" s="41" t="s">
        <v>93</v>
      </c>
      <c r="AM52" s="41" t="s">
        <v>93</v>
      </c>
      <c r="AN52" s="15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93</v>
      </c>
      <c r="AX52" s="41" t="s">
        <v>93</v>
      </c>
      <c r="AY52" s="41" t="s">
        <v>93</v>
      </c>
      <c r="AZ52" s="41" t="s">
        <v>93</v>
      </c>
      <c r="BA52" s="41" t="s">
        <v>93</v>
      </c>
      <c r="BB52" s="41" t="s">
        <v>93</v>
      </c>
      <c r="BC52" s="41" t="s">
        <v>93</v>
      </c>
    </row>
    <row r="53">
      <c r="A53" s="41" t="s">
        <v>251</v>
      </c>
      <c r="B53" s="41"/>
      <c r="C53" s="41"/>
      <c r="D53" s="41" t="s">
        <v>398</v>
      </c>
      <c r="E53" s="41">
        <v>1.0</v>
      </c>
      <c r="F53" s="44">
        <v>1821.41</v>
      </c>
      <c r="G53" s="41" t="s">
        <v>87</v>
      </c>
      <c r="H53" s="41">
        <v>26.0</v>
      </c>
      <c r="I53" s="45"/>
      <c r="J53" s="15"/>
      <c r="K53" s="41">
        <v>26.0</v>
      </c>
      <c r="L53" s="52">
        <v>0.0</v>
      </c>
      <c r="M53" s="52">
        <v>0.0</v>
      </c>
      <c r="N53" s="52">
        <v>0.0</v>
      </c>
      <c r="O53" s="52">
        <v>0.0</v>
      </c>
      <c r="P53" s="52">
        <v>0.0</v>
      </c>
      <c r="Q53" s="52">
        <v>0.0</v>
      </c>
      <c r="R53" s="52">
        <v>0.0</v>
      </c>
      <c r="S53" s="52">
        <v>0.0</v>
      </c>
      <c r="T53" s="52">
        <v>0.0</v>
      </c>
      <c r="U53" s="52">
        <v>0.0</v>
      </c>
      <c r="V53" s="52">
        <v>0.0</v>
      </c>
      <c r="W53" s="52">
        <v>0.0</v>
      </c>
      <c r="X53" s="52">
        <v>0.0</v>
      </c>
      <c r="Y53" s="15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93</v>
      </c>
      <c r="AH53" s="41" t="s">
        <v>93</v>
      </c>
      <c r="AI53" s="41" t="s">
        <v>93</v>
      </c>
      <c r="AJ53" s="41" t="s">
        <v>93</v>
      </c>
      <c r="AK53" s="41" t="s">
        <v>93</v>
      </c>
      <c r="AL53" s="41" t="s">
        <v>93</v>
      </c>
      <c r="AM53" s="41" t="s">
        <v>93</v>
      </c>
      <c r="AN53" s="15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93</v>
      </c>
      <c r="AX53" s="41" t="s">
        <v>93</v>
      </c>
      <c r="AY53" s="41" t="s">
        <v>93</v>
      </c>
      <c r="AZ53" s="41" t="s">
        <v>93</v>
      </c>
      <c r="BA53" s="41" t="s">
        <v>93</v>
      </c>
      <c r="BB53" s="41" t="s">
        <v>93</v>
      </c>
      <c r="BC53" s="41" t="s">
        <v>93</v>
      </c>
    </row>
    <row r="54">
      <c r="A54" s="41" t="s">
        <v>402</v>
      </c>
      <c r="B54" s="41"/>
      <c r="C54" s="41"/>
      <c r="D54" s="41" t="s">
        <v>403</v>
      </c>
      <c r="E54" s="41">
        <v>1.0</v>
      </c>
      <c r="F54" s="44">
        <v>446.4</v>
      </c>
      <c r="G54" s="41" t="s">
        <v>87</v>
      </c>
      <c r="H54" s="41">
        <v>11.0</v>
      </c>
      <c r="I54" s="45"/>
      <c r="J54" s="15"/>
      <c r="K54" s="41">
        <v>9.0</v>
      </c>
      <c r="L54" s="52">
        <v>0.0</v>
      </c>
      <c r="M54" s="52">
        <v>0.0</v>
      </c>
      <c r="N54" s="52">
        <v>0.0</v>
      </c>
      <c r="O54" s="52">
        <v>0.0</v>
      </c>
      <c r="P54" s="47">
        <v>1.0</v>
      </c>
      <c r="Q54" s="52">
        <v>0.0</v>
      </c>
      <c r="R54" s="52">
        <v>0.0</v>
      </c>
      <c r="S54" s="52">
        <v>0.0</v>
      </c>
      <c r="T54" s="52">
        <v>0.0</v>
      </c>
      <c r="U54" s="52">
        <v>0.0</v>
      </c>
      <c r="V54" s="52">
        <v>0.0</v>
      </c>
      <c r="W54" s="47">
        <v>1.0</v>
      </c>
      <c r="X54" s="52">
        <v>0.0</v>
      </c>
      <c r="Y54" s="15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93</v>
      </c>
      <c r="AH54" s="41" t="s">
        <v>93</v>
      </c>
      <c r="AI54" s="41" t="s">
        <v>93</v>
      </c>
      <c r="AJ54" s="41" t="s">
        <v>93</v>
      </c>
      <c r="AK54" s="41" t="s">
        <v>93</v>
      </c>
      <c r="AL54" s="41" t="s">
        <v>93</v>
      </c>
      <c r="AM54" s="41" t="s">
        <v>93</v>
      </c>
      <c r="AN54" s="15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93</v>
      </c>
      <c r="AX54" s="41" t="s">
        <v>93</v>
      </c>
      <c r="AY54" s="41" t="s">
        <v>93</v>
      </c>
      <c r="AZ54" s="41" t="s">
        <v>93</v>
      </c>
      <c r="BA54" s="41" t="s">
        <v>93</v>
      </c>
      <c r="BB54" s="41" t="s">
        <v>93</v>
      </c>
      <c r="BC54" s="41" t="s">
        <v>93</v>
      </c>
    </row>
    <row r="55">
      <c r="A55" s="41" t="s">
        <v>408</v>
      </c>
      <c r="B55" s="41"/>
      <c r="C55" s="41"/>
      <c r="D55" s="41" t="s">
        <v>409</v>
      </c>
      <c r="E55" s="41">
        <v>2.0</v>
      </c>
      <c r="F55" s="44">
        <v>5450.0</v>
      </c>
      <c r="G55" s="41" t="s">
        <v>87</v>
      </c>
      <c r="H55" s="41">
        <v>9.0</v>
      </c>
      <c r="I55" s="45"/>
      <c r="J55" s="15"/>
      <c r="K55" s="41">
        <v>9.0</v>
      </c>
      <c r="L55" s="52">
        <v>0.0</v>
      </c>
      <c r="M55" s="52">
        <v>0.0</v>
      </c>
      <c r="N55" s="52">
        <v>0.0</v>
      </c>
      <c r="O55" s="52">
        <v>0.0</v>
      </c>
      <c r="P55" s="52">
        <v>0.0</v>
      </c>
      <c r="Q55" s="52">
        <v>0.0</v>
      </c>
      <c r="R55" s="52">
        <v>0.0</v>
      </c>
      <c r="S55" s="52">
        <v>0.0</v>
      </c>
      <c r="T55" s="52">
        <v>0.0</v>
      </c>
      <c r="U55" s="52">
        <v>0.0</v>
      </c>
      <c r="V55" s="52">
        <v>0.0</v>
      </c>
      <c r="W55" s="52">
        <v>0.0</v>
      </c>
      <c r="X55" s="52">
        <v>0.0</v>
      </c>
      <c r="Y55" s="15"/>
      <c r="Z55" s="41" t="s">
        <v>93</v>
      </c>
      <c r="AA55" s="41">
        <v>2.0</v>
      </c>
      <c r="AB55" s="41" t="s">
        <v>93</v>
      </c>
      <c r="AC55" s="41" t="s">
        <v>93</v>
      </c>
      <c r="AD55" s="41">
        <v>4.0</v>
      </c>
      <c r="AE55" s="41" t="s">
        <v>93</v>
      </c>
      <c r="AF55" s="41">
        <v>3.0</v>
      </c>
      <c r="AG55" s="41" t="s">
        <v>93</v>
      </c>
      <c r="AH55" s="41" t="s">
        <v>93</v>
      </c>
      <c r="AI55" s="41" t="s">
        <v>93</v>
      </c>
      <c r="AJ55" s="41" t="s">
        <v>93</v>
      </c>
      <c r="AK55" s="41" t="s">
        <v>93</v>
      </c>
      <c r="AL55" s="41" t="s">
        <v>93</v>
      </c>
      <c r="AM55" s="41" t="s">
        <v>93</v>
      </c>
      <c r="AN55" s="15"/>
      <c r="AO55" s="41">
        <v>9.0</v>
      </c>
      <c r="AP55" s="41" t="s">
        <v>93</v>
      </c>
      <c r="AQ55" s="41">
        <v>2.0</v>
      </c>
      <c r="AR55" s="41" t="s">
        <v>93</v>
      </c>
      <c r="AS55" s="41" t="s">
        <v>93</v>
      </c>
      <c r="AT55" s="41">
        <v>4.0</v>
      </c>
      <c r="AU55" s="41" t="s">
        <v>93</v>
      </c>
      <c r="AV55" s="41">
        <v>3.0</v>
      </c>
      <c r="AW55" s="41" t="s">
        <v>93</v>
      </c>
      <c r="AX55" s="41" t="s">
        <v>93</v>
      </c>
      <c r="AY55" s="41" t="s">
        <v>93</v>
      </c>
      <c r="AZ55" s="41" t="s">
        <v>93</v>
      </c>
      <c r="BA55" s="41" t="s">
        <v>93</v>
      </c>
      <c r="BB55" s="41" t="s">
        <v>93</v>
      </c>
      <c r="BC55" s="41" t="s">
        <v>93</v>
      </c>
    </row>
    <row r="56">
      <c r="A56" s="41" t="s">
        <v>418</v>
      </c>
      <c r="B56" s="41"/>
      <c r="C56" s="41"/>
      <c r="D56" s="41" t="s">
        <v>419</v>
      </c>
      <c r="E56" s="41">
        <v>1.0</v>
      </c>
      <c r="F56" s="44">
        <v>4126.92</v>
      </c>
      <c r="G56" s="41" t="s">
        <v>87</v>
      </c>
      <c r="H56" s="41">
        <v>16.0</v>
      </c>
      <c r="I56" s="45"/>
      <c r="J56" s="15"/>
      <c r="K56" s="41">
        <v>16.0</v>
      </c>
      <c r="L56" s="52">
        <v>0.0</v>
      </c>
      <c r="M56" s="52">
        <v>0.0</v>
      </c>
      <c r="N56" s="52">
        <v>0.0</v>
      </c>
      <c r="O56" s="52">
        <v>0.0</v>
      </c>
      <c r="P56" s="52">
        <v>0.0</v>
      </c>
      <c r="Q56" s="52">
        <v>0.0</v>
      </c>
      <c r="R56" s="52">
        <v>0.0</v>
      </c>
      <c r="S56" s="52">
        <v>0.0</v>
      </c>
      <c r="T56" s="52">
        <v>0.0</v>
      </c>
      <c r="U56" s="52">
        <v>0.0</v>
      </c>
      <c r="V56" s="52">
        <v>0.0</v>
      </c>
      <c r="W56" s="52">
        <v>0.0</v>
      </c>
      <c r="X56" s="52">
        <v>0.0</v>
      </c>
      <c r="Y56" s="15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93</v>
      </c>
      <c r="AH56" s="41" t="s">
        <v>93</v>
      </c>
      <c r="AI56" s="41" t="s">
        <v>93</v>
      </c>
      <c r="AJ56" s="41" t="s">
        <v>93</v>
      </c>
      <c r="AK56" s="41" t="s">
        <v>93</v>
      </c>
      <c r="AL56" s="41" t="s">
        <v>93</v>
      </c>
      <c r="AM56" s="41" t="s">
        <v>93</v>
      </c>
      <c r="AN56" s="15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93</v>
      </c>
      <c r="AX56" s="41" t="s">
        <v>93</v>
      </c>
      <c r="AY56" s="41" t="s">
        <v>93</v>
      </c>
      <c r="AZ56" s="41" t="s">
        <v>93</v>
      </c>
      <c r="BA56" s="41" t="s">
        <v>93</v>
      </c>
      <c r="BB56" s="41" t="s">
        <v>93</v>
      </c>
      <c r="BC56" s="41" t="s">
        <v>93</v>
      </c>
    </row>
    <row r="57">
      <c r="A57" s="41" t="s">
        <v>426</v>
      </c>
      <c r="B57" s="41"/>
      <c r="C57" s="41"/>
      <c r="D57" s="41" t="s">
        <v>427</v>
      </c>
      <c r="E57" s="41">
        <v>1.0</v>
      </c>
      <c r="F57" s="44">
        <v>4091.38</v>
      </c>
      <c r="G57" s="41" t="s">
        <v>87</v>
      </c>
      <c r="H57" s="41">
        <v>39.0</v>
      </c>
      <c r="I57" s="45"/>
      <c r="J57" s="15"/>
      <c r="K57" s="41">
        <v>37.0</v>
      </c>
      <c r="L57" s="52">
        <v>0.0</v>
      </c>
      <c r="M57" s="47">
        <v>1.0</v>
      </c>
      <c r="N57" s="52">
        <v>0.0</v>
      </c>
      <c r="O57" s="52">
        <v>0.0</v>
      </c>
      <c r="P57" s="52">
        <v>0.0</v>
      </c>
      <c r="Q57" s="52">
        <v>0.0</v>
      </c>
      <c r="R57" s="52">
        <v>0.0</v>
      </c>
      <c r="S57" s="52">
        <v>0.0</v>
      </c>
      <c r="T57" s="52">
        <v>0.0</v>
      </c>
      <c r="U57" s="52">
        <v>0.0</v>
      </c>
      <c r="V57" s="52">
        <v>0.0</v>
      </c>
      <c r="W57" s="52">
        <v>1.0</v>
      </c>
      <c r="X57" s="52">
        <v>0.0</v>
      </c>
      <c r="Y57" s="15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93</v>
      </c>
      <c r="AH57" s="41" t="s">
        <v>93</v>
      </c>
      <c r="AI57" s="41" t="s">
        <v>93</v>
      </c>
      <c r="AJ57" s="41" t="s">
        <v>93</v>
      </c>
      <c r="AK57" s="41" t="s">
        <v>93</v>
      </c>
      <c r="AL57" s="41" t="s">
        <v>93</v>
      </c>
      <c r="AM57" s="41" t="s">
        <v>93</v>
      </c>
      <c r="AN57" s="15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93</v>
      </c>
      <c r="AX57" s="41" t="s">
        <v>93</v>
      </c>
      <c r="AY57" s="41" t="s">
        <v>93</v>
      </c>
      <c r="AZ57" s="41" t="s">
        <v>93</v>
      </c>
      <c r="BA57" s="41" t="s">
        <v>93</v>
      </c>
      <c r="BB57" s="41" t="s">
        <v>93</v>
      </c>
      <c r="BC57" s="41" t="s">
        <v>93</v>
      </c>
    </row>
    <row r="58">
      <c r="A58" s="41" t="s">
        <v>432</v>
      </c>
      <c r="B58" s="41"/>
      <c r="C58" s="41"/>
      <c r="D58" s="41" t="s">
        <v>433</v>
      </c>
      <c r="E58" s="41">
        <v>1.0</v>
      </c>
      <c r="F58" s="44">
        <v>6661.29</v>
      </c>
      <c r="G58" s="41" t="s">
        <v>87</v>
      </c>
      <c r="H58" s="41">
        <v>5.0</v>
      </c>
      <c r="I58" s="45"/>
      <c r="J58" s="15"/>
      <c r="K58" s="41">
        <v>4.0</v>
      </c>
      <c r="L58" s="52">
        <v>0.0</v>
      </c>
      <c r="M58" s="52">
        <v>0.0</v>
      </c>
      <c r="N58" s="52">
        <v>0.0</v>
      </c>
      <c r="O58" s="52">
        <v>0.0</v>
      </c>
      <c r="P58" s="47">
        <v>1.0</v>
      </c>
      <c r="Q58" s="52">
        <v>0.0</v>
      </c>
      <c r="R58" s="52">
        <v>0.0</v>
      </c>
      <c r="S58" s="52">
        <v>0.0</v>
      </c>
      <c r="T58" s="52">
        <v>0.0</v>
      </c>
      <c r="U58" s="52">
        <v>0.0</v>
      </c>
      <c r="V58" s="52">
        <v>0.0</v>
      </c>
      <c r="W58" s="52">
        <v>0.0</v>
      </c>
      <c r="X58" s="52">
        <v>0.0</v>
      </c>
      <c r="Y58" s="15"/>
      <c r="Z58" s="41" t="s">
        <v>93</v>
      </c>
      <c r="AA58" s="41">
        <v>1.0</v>
      </c>
      <c r="AB58" s="41" t="s">
        <v>93</v>
      </c>
      <c r="AC58" s="41" t="s">
        <v>93</v>
      </c>
      <c r="AD58" s="41">
        <v>2.0</v>
      </c>
      <c r="AE58" s="41" t="s">
        <v>93</v>
      </c>
      <c r="AF58" s="41">
        <v>2.0</v>
      </c>
      <c r="AG58" s="41" t="s">
        <v>93</v>
      </c>
      <c r="AH58" s="41" t="s">
        <v>93</v>
      </c>
      <c r="AI58" s="41" t="s">
        <v>93</v>
      </c>
      <c r="AJ58" s="41" t="s">
        <v>93</v>
      </c>
      <c r="AK58" s="41" t="s">
        <v>93</v>
      </c>
      <c r="AL58" s="41" t="s">
        <v>93</v>
      </c>
      <c r="AM58" s="41" t="s">
        <v>93</v>
      </c>
      <c r="AN58" s="15"/>
      <c r="AO58" s="41">
        <v>5.0</v>
      </c>
      <c r="AP58" s="41" t="s">
        <v>93</v>
      </c>
      <c r="AQ58" s="41">
        <v>1.0</v>
      </c>
      <c r="AR58" s="41" t="s">
        <v>93</v>
      </c>
      <c r="AS58" s="41" t="s">
        <v>93</v>
      </c>
      <c r="AT58" s="41">
        <v>2.0</v>
      </c>
      <c r="AU58" s="41" t="s">
        <v>93</v>
      </c>
      <c r="AV58" s="41">
        <v>2.0</v>
      </c>
      <c r="AW58" s="41" t="s">
        <v>93</v>
      </c>
      <c r="AX58" s="41" t="s">
        <v>93</v>
      </c>
      <c r="AY58" s="41" t="s">
        <v>93</v>
      </c>
      <c r="AZ58" s="41" t="s">
        <v>93</v>
      </c>
      <c r="BA58" s="41" t="s">
        <v>93</v>
      </c>
      <c r="BB58" s="41" t="s">
        <v>93</v>
      </c>
      <c r="BC58" s="41" t="s">
        <v>93</v>
      </c>
    </row>
    <row r="59">
      <c r="A59" s="41" t="s">
        <v>436</v>
      </c>
      <c r="B59" s="41"/>
      <c r="C59" s="41"/>
      <c r="D59" s="41" t="s">
        <v>437</v>
      </c>
      <c r="E59" s="41">
        <v>1.0</v>
      </c>
      <c r="F59" s="44">
        <v>24809.05</v>
      </c>
      <c r="G59" s="41" t="s">
        <v>87</v>
      </c>
      <c r="H59" s="41">
        <v>6.0</v>
      </c>
      <c r="I59" s="45"/>
      <c r="J59" s="15"/>
      <c r="K59" s="41">
        <v>6.0</v>
      </c>
      <c r="L59" s="52">
        <v>0.0</v>
      </c>
      <c r="M59" s="52">
        <v>0.0</v>
      </c>
      <c r="N59" s="52">
        <v>0.0</v>
      </c>
      <c r="O59" s="52">
        <v>0.0</v>
      </c>
      <c r="P59" s="52">
        <v>0.0</v>
      </c>
      <c r="Q59" s="52">
        <v>0.0</v>
      </c>
      <c r="R59" s="52">
        <v>0.0</v>
      </c>
      <c r="S59" s="52">
        <v>0.0</v>
      </c>
      <c r="T59" s="52">
        <v>0.0</v>
      </c>
      <c r="U59" s="52">
        <v>0.0</v>
      </c>
      <c r="V59" s="52">
        <v>0.0</v>
      </c>
      <c r="W59" s="52">
        <v>0.0</v>
      </c>
      <c r="X59" s="52">
        <v>0.0</v>
      </c>
      <c r="Y59" s="15"/>
      <c r="Z59" s="41" t="s">
        <v>93</v>
      </c>
      <c r="AA59" s="41">
        <v>1.0</v>
      </c>
      <c r="AB59" s="41" t="s">
        <v>93</v>
      </c>
      <c r="AC59" s="41" t="s">
        <v>93</v>
      </c>
      <c r="AD59" s="41">
        <v>3.0</v>
      </c>
      <c r="AE59" s="41" t="s">
        <v>93</v>
      </c>
      <c r="AF59" s="41">
        <v>2.0</v>
      </c>
      <c r="AG59" s="41" t="s">
        <v>93</v>
      </c>
      <c r="AH59" s="41" t="s">
        <v>93</v>
      </c>
      <c r="AI59" s="41" t="s">
        <v>93</v>
      </c>
      <c r="AJ59" s="41" t="s">
        <v>93</v>
      </c>
      <c r="AK59" s="41" t="s">
        <v>93</v>
      </c>
      <c r="AL59" s="41" t="s">
        <v>93</v>
      </c>
      <c r="AM59" s="41" t="s">
        <v>93</v>
      </c>
      <c r="AN59" s="15"/>
      <c r="AO59" s="41">
        <v>6.0</v>
      </c>
      <c r="AP59" s="41" t="s">
        <v>93</v>
      </c>
      <c r="AQ59" s="41">
        <v>1.0</v>
      </c>
      <c r="AR59" s="41" t="s">
        <v>93</v>
      </c>
      <c r="AS59" s="41" t="s">
        <v>93</v>
      </c>
      <c r="AT59" s="41">
        <v>3.0</v>
      </c>
      <c r="AU59" s="41" t="s">
        <v>93</v>
      </c>
      <c r="AV59" s="41">
        <v>2.0</v>
      </c>
      <c r="AW59" s="41" t="s">
        <v>93</v>
      </c>
      <c r="AX59" s="41" t="s">
        <v>93</v>
      </c>
      <c r="AY59" s="41" t="s">
        <v>93</v>
      </c>
      <c r="AZ59" s="41" t="s">
        <v>93</v>
      </c>
      <c r="BA59" s="41" t="s">
        <v>93</v>
      </c>
      <c r="BB59" s="41" t="s">
        <v>93</v>
      </c>
      <c r="BC59" s="41" t="s">
        <v>93</v>
      </c>
    </row>
    <row r="60">
      <c r="A60" s="41" t="s">
        <v>442</v>
      </c>
      <c r="B60" s="41"/>
      <c r="C60" s="41"/>
      <c r="D60" s="41" t="s">
        <v>443</v>
      </c>
      <c r="E60" s="41">
        <v>1.0</v>
      </c>
      <c r="F60" s="44">
        <v>13789.49</v>
      </c>
      <c r="G60" s="41" t="s">
        <v>87</v>
      </c>
      <c r="H60" s="41">
        <v>5.0</v>
      </c>
      <c r="I60" s="45"/>
      <c r="J60" s="15"/>
      <c r="K60" s="41">
        <v>5.0</v>
      </c>
      <c r="L60" s="52">
        <v>0.0</v>
      </c>
      <c r="M60" s="52">
        <v>0.0</v>
      </c>
      <c r="N60" s="52">
        <v>0.0</v>
      </c>
      <c r="O60" s="52">
        <v>0.0</v>
      </c>
      <c r="P60" s="52">
        <v>0.0</v>
      </c>
      <c r="Q60" s="52">
        <v>0.0</v>
      </c>
      <c r="R60" s="52">
        <v>0.0</v>
      </c>
      <c r="S60" s="52">
        <v>0.0</v>
      </c>
      <c r="T60" s="52">
        <v>0.0</v>
      </c>
      <c r="U60" s="52">
        <v>0.0</v>
      </c>
      <c r="V60" s="52">
        <v>0.0</v>
      </c>
      <c r="W60" s="52">
        <v>0.0</v>
      </c>
      <c r="X60" s="52">
        <v>0.0</v>
      </c>
      <c r="Y60" s="15"/>
      <c r="Z60" s="41" t="s">
        <v>93</v>
      </c>
      <c r="AA60" s="41">
        <v>1.0</v>
      </c>
      <c r="AB60" s="41" t="s">
        <v>93</v>
      </c>
      <c r="AC60" s="41" t="s">
        <v>93</v>
      </c>
      <c r="AD60" s="41">
        <v>2.0</v>
      </c>
      <c r="AE60" s="41" t="s">
        <v>93</v>
      </c>
      <c r="AF60" s="41">
        <v>2.0</v>
      </c>
      <c r="AG60" s="41" t="s">
        <v>93</v>
      </c>
      <c r="AH60" s="41" t="s">
        <v>93</v>
      </c>
      <c r="AI60" s="41" t="s">
        <v>93</v>
      </c>
      <c r="AJ60" s="41" t="s">
        <v>93</v>
      </c>
      <c r="AK60" s="41" t="s">
        <v>93</v>
      </c>
      <c r="AL60" s="41" t="s">
        <v>93</v>
      </c>
      <c r="AM60" s="41" t="s">
        <v>93</v>
      </c>
      <c r="AN60" s="15"/>
      <c r="AO60" s="41">
        <v>5.0</v>
      </c>
      <c r="AP60" s="41" t="s">
        <v>93</v>
      </c>
      <c r="AQ60" s="41">
        <v>1.0</v>
      </c>
      <c r="AR60" s="41" t="s">
        <v>93</v>
      </c>
      <c r="AS60" s="41" t="s">
        <v>93</v>
      </c>
      <c r="AT60" s="41">
        <v>2.0</v>
      </c>
      <c r="AU60" s="41" t="s">
        <v>93</v>
      </c>
      <c r="AV60" s="41">
        <v>2.0</v>
      </c>
      <c r="AW60" s="41" t="s">
        <v>93</v>
      </c>
      <c r="AX60" s="41" t="s">
        <v>93</v>
      </c>
      <c r="AY60" s="41" t="s">
        <v>93</v>
      </c>
      <c r="AZ60" s="41" t="s">
        <v>93</v>
      </c>
      <c r="BA60" s="41" t="s">
        <v>93</v>
      </c>
      <c r="BB60" s="41" t="s">
        <v>93</v>
      </c>
      <c r="BC60" s="41" t="s">
        <v>93</v>
      </c>
    </row>
    <row r="61">
      <c r="A61" s="41" t="s">
        <v>446</v>
      </c>
      <c r="B61" s="41"/>
      <c r="C61" s="41"/>
      <c r="D61" s="41" t="s">
        <v>447</v>
      </c>
      <c r="E61" s="41">
        <v>1.0</v>
      </c>
      <c r="F61" s="44">
        <v>2907.34</v>
      </c>
      <c r="G61" s="41" t="s">
        <v>87</v>
      </c>
      <c r="H61" s="41">
        <v>14.0</v>
      </c>
      <c r="I61" s="45"/>
      <c r="J61" s="15"/>
      <c r="K61" s="41">
        <v>14.0</v>
      </c>
      <c r="L61" s="52">
        <v>0.0</v>
      </c>
      <c r="M61" s="52">
        <v>0.0</v>
      </c>
      <c r="N61" s="52">
        <v>0.0</v>
      </c>
      <c r="O61" s="52">
        <v>0.0</v>
      </c>
      <c r="P61" s="52">
        <v>0.0</v>
      </c>
      <c r="Q61" s="52">
        <v>0.0</v>
      </c>
      <c r="R61" s="52">
        <v>0.0</v>
      </c>
      <c r="S61" s="52">
        <v>0.0</v>
      </c>
      <c r="T61" s="52">
        <v>0.0</v>
      </c>
      <c r="U61" s="52">
        <v>0.0</v>
      </c>
      <c r="V61" s="52">
        <v>0.0</v>
      </c>
      <c r="W61" s="52">
        <v>0.0</v>
      </c>
      <c r="X61" s="52">
        <v>0.0</v>
      </c>
      <c r="Y61" s="15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93</v>
      </c>
      <c r="AH61" s="41" t="s">
        <v>93</v>
      </c>
      <c r="AI61" s="41" t="s">
        <v>93</v>
      </c>
      <c r="AJ61" s="41" t="s">
        <v>93</v>
      </c>
      <c r="AK61" s="41" t="s">
        <v>93</v>
      </c>
      <c r="AL61" s="41" t="s">
        <v>93</v>
      </c>
      <c r="AM61" s="41" t="s">
        <v>93</v>
      </c>
      <c r="AN61" s="15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93</v>
      </c>
      <c r="AX61" s="41" t="s">
        <v>93</v>
      </c>
      <c r="AY61" s="41" t="s">
        <v>93</v>
      </c>
      <c r="AZ61" s="41" t="s">
        <v>93</v>
      </c>
      <c r="BA61" s="41" t="s">
        <v>93</v>
      </c>
      <c r="BB61" s="41" t="s">
        <v>93</v>
      </c>
      <c r="BC61" s="41" t="s">
        <v>93</v>
      </c>
    </row>
    <row r="62">
      <c r="A62" s="41" t="s">
        <v>452</v>
      </c>
      <c r="B62" s="41"/>
      <c r="C62" s="41"/>
      <c r="D62" s="41" t="s">
        <v>453</v>
      </c>
      <c r="E62" s="41">
        <v>1.0</v>
      </c>
      <c r="F62" s="44">
        <v>8155.36</v>
      </c>
      <c r="G62" s="41" t="s">
        <v>87</v>
      </c>
      <c r="H62" s="41">
        <v>4.0</v>
      </c>
      <c r="I62" s="45"/>
      <c r="J62" s="15"/>
      <c r="K62" s="41">
        <v>4.0</v>
      </c>
      <c r="L62" s="52">
        <v>0.0</v>
      </c>
      <c r="M62" s="52">
        <v>0.0</v>
      </c>
      <c r="N62" s="52">
        <v>0.0</v>
      </c>
      <c r="O62" s="52">
        <v>0.0</v>
      </c>
      <c r="P62" s="52">
        <v>0.0</v>
      </c>
      <c r="Q62" s="52">
        <v>0.0</v>
      </c>
      <c r="R62" s="52">
        <v>0.0</v>
      </c>
      <c r="S62" s="52">
        <v>0.0</v>
      </c>
      <c r="T62" s="52">
        <v>0.0</v>
      </c>
      <c r="U62" s="52">
        <v>0.0</v>
      </c>
      <c r="V62" s="52">
        <v>0.0</v>
      </c>
      <c r="W62" s="52">
        <v>0.0</v>
      </c>
      <c r="X62" s="52">
        <v>0.0</v>
      </c>
      <c r="Y62" s="15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93</v>
      </c>
      <c r="AH62" s="41" t="s">
        <v>93</v>
      </c>
      <c r="AI62" s="41" t="s">
        <v>93</v>
      </c>
      <c r="AJ62" s="41" t="s">
        <v>93</v>
      </c>
      <c r="AK62" s="41" t="s">
        <v>93</v>
      </c>
      <c r="AL62" s="41" t="s">
        <v>93</v>
      </c>
      <c r="AM62" s="41" t="s">
        <v>93</v>
      </c>
      <c r="AN62" s="15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93</v>
      </c>
      <c r="AX62" s="41" t="s">
        <v>93</v>
      </c>
      <c r="AY62" s="41" t="s">
        <v>93</v>
      </c>
      <c r="AZ62" s="41" t="s">
        <v>93</v>
      </c>
      <c r="BA62" s="41" t="s">
        <v>93</v>
      </c>
      <c r="BB62" s="41" t="s">
        <v>93</v>
      </c>
      <c r="BC62" s="41" t="s">
        <v>93</v>
      </c>
    </row>
    <row r="63">
      <c r="A63" s="41" t="s">
        <v>456</v>
      </c>
      <c r="B63" s="41"/>
      <c r="C63" s="41"/>
      <c r="D63" s="41" t="s">
        <v>457</v>
      </c>
      <c r="E63" s="41">
        <v>1.0</v>
      </c>
      <c r="F63" s="44">
        <v>5844.53</v>
      </c>
      <c r="G63" s="41" t="s">
        <v>87</v>
      </c>
      <c r="H63" s="41">
        <v>1.0</v>
      </c>
      <c r="I63" s="45"/>
      <c r="J63" s="15"/>
      <c r="K63" s="41">
        <v>1.0</v>
      </c>
      <c r="L63" s="52">
        <v>0.0</v>
      </c>
      <c r="M63" s="52">
        <v>0.0</v>
      </c>
      <c r="N63" s="52">
        <v>0.0</v>
      </c>
      <c r="O63" s="52">
        <v>0.0</v>
      </c>
      <c r="P63" s="52">
        <v>0.0</v>
      </c>
      <c r="Q63" s="52">
        <v>0.0</v>
      </c>
      <c r="R63" s="52">
        <v>0.0</v>
      </c>
      <c r="S63" s="52">
        <v>0.0</v>
      </c>
      <c r="T63" s="52">
        <v>0.0</v>
      </c>
      <c r="U63" s="52">
        <v>0.0</v>
      </c>
      <c r="V63" s="52">
        <v>0.0</v>
      </c>
      <c r="W63" s="52">
        <v>0.0</v>
      </c>
      <c r="X63" s="52">
        <v>0.0</v>
      </c>
      <c r="Y63" s="15"/>
      <c r="Z63" s="41"/>
      <c r="AA63" s="41"/>
      <c r="AB63" s="41"/>
      <c r="AC63" s="41"/>
      <c r="AD63" s="41"/>
      <c r="AE63" s="41">
        <v>1.0</v>
      </c>
      <c r="AF63" s="41"/>
      <c r="AG63" s="41" t="s">
        <v>93</v>
      </c>
      <c r="AH63" s="41" t="s">
        <v>93</v>
      </c>
      <c r="AI63" s="41" t="s">
        <v>93</v>
      </c>
      <c r="AJ63" s="41" t="s">
        <v>93</v>
      </c>
      <c r="AK63" s="41" t="s">
        <v>93</v>
      </c>
      <c r="AL63" s="41" t="s">
        <v>93</v>
      </c>
      <c r="AM63" s="41" t="s">
        <v>93</v>
      </c>
      <c r="AN63" s="15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93</v>
      </c>
      <c r="AX63" s="41" t="s">
        <v>93</v>
      </c>
      <c r="AY63" s="41" t="s">
        <v>93</v>
      </c>
      <c r="AZ63" s="41" t="s">
        <v>93</v>
      </c>
      <c r="BA63" s="41" t="s">
        <v>93</v>
      </c>
      <c r="BB63" s="41" t="s">
        <v>93</v>
      </c>
      <c r="BC63" s="41" t="s">
        <v>93</v>
      </c>
    </row>
    <row r="64">
      <c r="A64" s="41" t="s">
        <v>461</v>
      </c>
      <c r="B64" s="41"/>
      <c r="C64" s="41">
        <v>26055.0</v>
      </c>
      <c r="D64" s="41" t="s">
        <v>462</v>
      </c>
      <c r="E64" s="41">
        <v>1.0</v>
      </c>
      <c r="F64" s="44">
        <v>2276.26</v>
      </c>
      <c r="G64" s="41" t="s">
        <v>87</v>
      </c>
      <c r="H64" s="41">
        <v>1.0</v>
      </c>
      <c r="I64" s="45"/>
      <c r="J64" s="15"/>
      <c r="K64" s="41">
        <v>0.0</v>
      </c>
      <c r="L64" s="52">
        <v>0.0</v>
      </c>
      <c r="M64" s="52">
        <v>1.0</v>
      </c>
      <c r="N64" s="52">
        <v>0.0</v>
      </c>
      <c r="O64" s="52">
        <v>0.0</v>
      </c>
      <c r="P64" s="52">
        <v>0.0</v>
      </c>
      <c r="Q64" s="52">
        <v>0.0</v>
      </c>
      <c r="R64" s="52">
        <v>0.0</v>
      </c>
      <c r="S64" s="52">
        <v>0.0</v>
      </c>
      <c r="T64" s="52">
        <v>0.0</v>
      </c>
      <c r="U64" s="52">
        <v>0.0</v>
      </c>
      <c r="V64" s="52">
        <v>0.0</v>
      </c>
      <c r="W64" s="52">
        <v>0.0</v>
      </c>
      <c r="X64" s="52">
        <v>0.0</v>
      </c>
      <c r="Y64" s="15"/>
      <c r="Z64" s="41"/>
      <c r="AA64" s="41"/>
      <c r="AB64" s="41"/>
      <c r="AC64" s="41"/>
      <c r="AD64" s="41"/>
      <c r="AE64" s="41">
        <v>1.0</v>
      </c>
      <c r="AF64" s="41"/>
      <c r="AG64" s="41" t="s">
        <v>93</v>
      </c>
      <c r="AH64" s="41" t="s">
        <v>93</v>
      </c>
      <c r="AI64" s="41" t="s">
        <v>93</v>
      </c>
      <c r="AJ64" s="41" t="s">
        <v>93</v>
      </c>
      <c r="AK64" s="41" t="s">
        <v>93</v>
      </c>
      <c r="AL64" s="41" t="s">
        <v>93</v>
      </c>
      <c r="AM64" s="41" t="s">
        <v>93</v>
      </c>
      <c r="AN64" s="15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93</v>
      </c>
      <c r="AX64" s="41" t="s">
        <v>93</v>
      </c>
      <c r="AY64" s="41" t="s">
        <v>93</v>
      </c>
      <c r="AZ64" s="41" t="s">
        <v>93</v>
      </c>
      <c r="BA64" s="41" t="s">
        <v>93</v>
      </c>
      <c r="BB64" s="41" t="s">
        <v>93</v>
      </c>
      <c r="BC64" s="41" t="s">
        <v>93</v>
      </c>
    </row>
    <row r="65">
      <c r="A65" s="41" t="s">
        <v>469</v>
      </c>
      <c r="B65" s="41"/>
      <c r="C65" s="41"/>
      <c r="D65" s="41" t="s">
        <v>470</v>
      </c>
      <c r="E65" s="41">
        <v>2.0</v>
      </c>
      <c r="F65" s="44">
        <v>13256.69</v>
      </c>
      <c r="G65" s="41" t="s">
        <v>87</v>
      </c>
      <c r="H65" s="41">
        <v>3.0</v>
      </c>
      <c r="I65" s="45"/>
      <c r="J65" s="15"/>
      <c r="K65" s="41">
        <v>3.0</v>
      </c>
      <c r="L65" s="52">
        <v>0.0</v>
      </c>
      <c r="M65" s="52">
        <v>0.0</v>
      </c>
      <c r="N65" s="52">
        <v>0.0</v>
      </c>
      <c r="O65" s="52">
        <v>0.0</v>
      </c>
      <c r="P65" s="52">
        <v>0.0</v>
      </c>
      <c r="Q65" s="52">
        <v>0.0</v>
      </c>
      <c r="R65" s="52">
        <v>0.0</v>
      </c>
      <c r="S65" s="52">
        <v>0.0</v>
      </c>
      <c r="T65" s="52">
        <v>0.0</v>
      </c>
      <c r="U65" s="52">
        <v>0.0</v>
      </c>
      <c r="V65" s="52">
        <v>0.0</v>
      </c>
      <c r="W65" s="52">
        <v>0.0</v>
      </c>
      <c r="X65" s="52">
        <v>0.0</v>
      </c>
      <c r="Y65" s="15"/>
      <c r="Z65" s="41" t="s">
        <v>93</v>
      </c>
      <c r="AA65" s="41">
        <v>1.0</v>
      </c>
      <c r="AB65" s="41" t="s">
        <v>93</v>
      </c>
      <c r="AC65" s="41" t="s">
        <v>93</v>
      </c>
      <c r="AD65" s="41">
        <v>1.0</v>
      </c>
      <c r="AE65" s="41" t="s">
        <v>93</v>
      </c>
      <c r="AF65" s="41">
        <v>1.0</v>
      </c>
      <c r="AG65" s="41" t="s">
        <v>93</v>
      </c>
      <c r="AH65" s="41" t="s">
        <v>93</v>
      </c>
      <c r="AI65" s="41" t="s">
        <v>93</v>
      </c>
      <c r="AJ65" s="41" t="s">
        <v>93</v>
      </c>
      <c r="AK65" s="41" t="s">
        <v>93</v>
      </c>
      <c r="AL65" s="41" t="s">
        <v>93</v>
      </c>
      <c r="AM65" s="41" t="s">
        <v>93</v>
      </c>
      <c r="AN65" s="15"/>
      <c r="AO65" s="41">
        <v>3.0</v>
      </c>
      <c r="AP65" s="41" t="s">
        <v>93</v>
      </c>
      <c r="AQ65" s="41">
        <v>1.0</v>
      </c>
      <c r="AR65" s="41" t="s">
        <v>93</v>
      </c>
      <c r="AS65" s="41" t="s">
        <v>93</v>
      </c>
      <c r="AT65" s="41">
        <v>1.0</v>
      </c>
      <c r="AU65" s="41" t="s">
        <v>93</v>
      </c>
      <c r="AV65" s="41">
        <v>1.0</v>
      </c>
      <c r="AW65" s="41" t="s">
        <v>93</v>
      </c>
      <c r="AX65" s="41" t="s">
        <v>93</v>
      </c>
      <c r="AY65" s="41" t="s">
        <v>93</v>
      </c>
      <c r="AZ65" s="41" t="s">
        <v>93</v>
      </c>
      <c r="BA65" s="41" t="s">
        <v>93</v>
      </c>
      <c r="BB65" s="41" t="s">
        <v>93</v>
      </c>
      <c r="BC65" s="41" t="s">
        <v>93</v>
      </c>
    </row>
    <row r="66">
      <c r="A66" s="41" t="s">
        <v>474</v>
      </c>
      <c r="B66" s="41"/>
      <c r="C66" s="41"/>
      <c r="D66" s="41" t="s">
        <v>475</v>
      </c>
      <c r="E66" s="41">
        <v>1.0</v>
      </c>
      <c r="F66" s="44">
        <v>2450.0</v>
      </c>
      <c r="G66" s="41" t="s">
        <v>87</v>
      </c>
      <c r="H66" s="41">
        <v>6.0</v>
      </c>
      <c r="I66" s="45"/>
      <c r="J66" s="15"/>
      <c r="K66" s="41">
        <v>6.0</v>
      </c>
      <c r="L66" s="52">
        <v>0.0</v>
      </c>
      <c r="M66" s="52">
        <v>0.0</v>
      </c>
      <c r="N66" s="52">
        <v>0.0</v>
      </c>
      <c r="O66" s="52">
        <v>0.0</v>
      </c>
      <c r="P66" s="52">
        <v>0.0</v>
      </c>
      <c r="Q66" s="52">
        <v>0.0</v>
      </c>
      <c r="R66" s="52">
        <v>0.0</v>
      </c>
      <c r="S66" s="52">
        <v>0.0</v>
      </c>
      <c r="T66" s="52">
        <v>0.0</v>
      </c>
      <c r="U66" s="52">
        <v>0.0</v>
      </c>
      <c r="V66" s="52">
        <v>0.0</v>
      </c>
      <c r="W66" s="52">
        <v>0.0</v>
      </c>
      <c r="X66" s="52">
        <v>0.0</v>
      </c>
      <c r="Y66" s="15"/>
      <c r="Z66" s="41" t="s">
        <v>93</v>
      </c>
      <c r="AA66" s="41">
        <v>2.0</v>
      </c>
      <c r="AB66" s="41" t="s">
        <v>93</v>
      </c>
      <c r="AC66" s="41" t="s">
        <v>93</v>
      </c>
      <c r="AD66" s="41">
        <v>2.0</v>
      </c>
      <c r="AE66" s="41" t="s">
        <v>93</v>
      </c>
      <c r="AF66" s="41">
        <v>2.0</v>
      </c>
      <c r="AG66" s="41" t="s">
        <v>93</v>
      </c>
      <c r="AH66" s="41" t="s">
        <v>93</v>
      </c>
      <c r="AI66" s="41" t="s">
        <v>93</v>
      </c>
      <c r="AJ66" s="41" t="s">
        <v>93</v>
      </c>
      <c r="AK66" s="41" t="s">
        <v>93</v>
      </c>
      <c r="AL66" s="41" t="s">
        <v>93</v>
      </c>
      <c r="AM66" s="41" t="s">
        <v>93</v>
      </c>
      <c r="AN66" s="15"/>
      <c r="AO66" s="41">
        <v>6.0</v>
      </c>
      <c r="AP66" s="41" t="s">
        <v>93</v>
      </c>
      <c r="AQ66" s="41">
        <v>2.0</v>
      </c>
      <c r="AR66" s="41" t="s">
        <v>93</v>
      </c>
      <c r="AS66" s="41" t="s">
        <v>93</v>
      </c>
      <c r="AT66" s="41">
        <v>2.0</v>
      </c>
      <c r="AU66" s="41" t="s">
        <v>93</v>
      </c>
      <c r="AV66" s="41">
        <v>2.0</v>
      </c>
      <c r="AW66" s="41" t="s">
        <v>93</v>
      </c>
      <c r="AX66" s="41" t="s">
        <v>93</v>
      </c>
      <c r="AY66" s="41" t="s">
        <v>93</v>
      </c>
      <c r="AZ66" s="41" t="s">
        <v>93</v>
      </c>
      <c r="BA66" s="41" t="s">
        <v>93</v>
      </c>
      <c r="BB66" s="41" t="s">
        <v>93</v>
      </c>
      <c r="BC66" s="41" t="s">
        <v>93</v>
      </c>
    </row>
    <row r="67">
      <c r="A67" s="41" t="s">
        <v>477</v>
      </c>
      <c r="B67" s="41"/>
      <c r="C67" s="41"/>
      <c r="D67" s="41" t="s">
        <v>478</v>
      </c>
      <c r="E67" s="41">
        <v>1.0</v>
      </c>
      <c r="F67" s="44">
        <v>85.1</v>
      </c>
      <c r="G67" s="41" t="s">
        <v>87</v>
      </c>
      <c r="H67" s="41">
        <v>12.0</v>
      </c>
      <c r="I67" s="45"/>
      <c r="J67" s="15"/>
      <c r="K67" s="41">
        <v>11.0</v>
      </c>
      <c r="L67" s="52">
        <v>0.0</v>
      </c>
      <c r="M67" s="52">
        <v>0.0</v>
      </c>
      <c r="N67" s="52">
        <v>0.0</v>
      </c>
      <c r="O67" s="52">
        <v>0.0</v>
      </c>
      <c r="P67" s="52">
        <v>0.0</v>
      </c>
      <c r="Q67" s="52">
        <v>0.0</v>
      </c>
      <c r="R67" s="52">
        <v>0.0</v>
      </c>
      <c r="S67" s="52">
        <v>0.0</v>
      </c>
      <c r="T67" s="52">
        <v>1.0</v>
      </c>
      <c r="U67" s="52">
        <v>0.0</v>
      </c>
      <c r="V67" s="52">
        <v>0.0</v>
      </c>
      <c r="W67" s="52">
        <v>0.0</v>
      </c>
      <c r="X67" s="52">
        <v>0.0</v>
      </c>
      <c r="Y67" s="15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93</v>
      </c>
      <c r="AH67" s="41" t="s">
        <v>93</v>
      </c>
      <c r="AI67" s="41" t="s">
        <v>93</v>
      </c>
      <c r="AJ67" s="41" t="s">
        <v>93</v>
      </c>
      <c r="AK67" s="41" t="s">
        <v>93</v>
      </c>
      <c r="AL67" s="41" t="s">
        <v>93</v>
      </c>
      <c r="AM67" s="41" t="s">
        <v>93</v>
      </c>
      <c r="AN67" s="15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93</v>
      </c>
      <c r="AX67" s="41" t="s">
        <v>93</v>
      </c>
      <c r="AY67" s="41" t="s">
        <v>93</v>
      </c>
      <c r="AZ67" s="41" t="s">
        <v>93</v>
      </c>
      <c r="BA67" s="41" t="s">
        <v>93</v>
      </c>
      <c r="BB67" s="41" t="s">
        <v>93</v>
      </c>
      <c r="BC67" s="41" t="s">
        <v>93</v>
      </c>
    </row>
    <row r="68">
      <c r="A68" s="41" t="s">
        <v>482</v>
      </c>
      <c r="B68" s="41"/>
      <c r="C68" s="41"/>
      <c r="D68" s="41" t="s">
        <v>483</v>
      </c>
      <c r="E68" s="41">
        <v>1.0</v>
      </c>
      <c r="F68" s="44">
        <v>31126.49</v>
      </c>
      <c r="G68" s="41" t="s">
        <v>87</v>
      </c>
      <c r="H68" s="41">
        <v>3.0</v>
      </c>
      <c r="I68" s="45"/>
      <c r="J68" s="15"/>
      <c r="K68" s="41">
        <v>3.0</v>
      </c>
      <c r="L68" s="52">
        <v>0.0</v>
      </c>
      <c r="M68" s="52">
        <v>0.0</v>
      </c>
      <c r="N68" s="52">
        <v>0.0</v>
      </c>
      <c r="O68" s="52">
        <v>0.0</v>
      </c>
      <c r="P68" s="52">
        <v>0.0</v>
      </c>
      <c r="Q68" s="52">
        <v>0.0</v>
      </c>
      <c r="R68" s="52">
        <v>0.0</v>
      </c>
      <c r="S68" s="52">
        <v>0.0</v>
      </c>
      <c r="T68" s="52">
        <v>0.0</v>
      </c>
      <c r="U68" s="52">
        <v>0.0</v>
      </c>
      <c r="V68" s="52">
        <v>0.0</v>
      </c>
      <c r="W68" s="52">
        <v>0.0</v>
      </c>
      <c r="X68" s="52">
        <v>0.0</v>
      </c>
      <c r="Y68" s="15"/>
      <c r="Z68" s="41" t="s">
        <v>93</v>
      </c>
      <c r="AA68" s="41">
        <v>1.0</v>
      </c>
      <c r="AB68" s="41" t="s">
        <v>93</v>
      </c>
      <c r="AC68" s="41" t="s">
        <v>93</v>
      </c>
      <c r="AD68" s="41">
        <v>1.0</v>
      </c>
      <c r="AE68" s="41" t="s">
        <v>93</v>
      </c>
      <c r="AF68" s="41">
        <v>1.0</v>
      </c>
      <c r="AG68" s="41" t="s">
        <v>93</v>
      </c>
      <c r="AH68" s="41" t="s">
        <v>93</v>
      </c>
      <c r="AI68" s="41" t="s">
        <v>93</v>
      </c>
      <c r="AJ68" s="41" t="s">
        <v>93</v>
      </c>
      <c r="AK68" s="41" t="s">
        <v>93</v>
      </c>
      <c r="AL68" s="41" t="s">
        <v>93</v>
      </c>
      <c r="AM68" s="41" t="s">
        <v>93</v>
      </c>
      <c r="AN68" s="15"/>
      <c r="AO68" s="41">
        <v>3.0</v>
      </c>
      <c r="AP68" s="41" t="s">
        <v>93</v>
      </c>
      <c r="AQ68" s="41">
        <v>1.0</v>
      </c>
      <c r="AR68" s="41" t="s">
        <v>93</v>
      </c>
      <c r="AS68" s="41" t="s">
        <v>93</v>
      </c>
      <c r="AT68" s="41">
        <v>1.0</v>
      </c>
      <c r="AU68" s="41" t="s">
        <v>93</v>
      </c>
      <c r="AV68" s="41">
        <v>1.0</v>
      </c>
      <c r="AW68" s="41" t="s">
        <v>93</v>
      </c>
      <c r="AX68" s="41" t="s">
        <v>93</v>
      </c>
      <c r="AY68" s="41" t="s">
        <v>93</v>
      </c>
      <c r="AZ68" s="41" t="s">
        <v>93</v>
      </c>
      <c r="BA68" s="41" t="s">
        <v>93</v>
      </c>
      <c r="BB68" s="41" t="s">
        <v>93</v>
      </c>
      <c r="BC68" s="41" t="s">
        <v>93</v>
      </c>
    </row>
    <row r="69">
      <c r="A69" s="41" t="s">
        <v>487</v>
      </c>
      <c r="B69" s="41"/>
      <c r="C69" s="41"/>
      <c r="D69" s="41" t="s">
        <v>488</v>
      </c>
      <c r="E69" s="41">
        <v>1.0</v>
      </c>
      <c r="F69" s="44">
        <v>3295.65</v>
      </c>
      <c r="G69" s="41" t="s">
        <v>87</v>
      </c>
      <c r="H69" s="41">
        <v>14.0</v>
      </c>
      <c r="I69" s="45"/>
      <c r="J69" s="15"/>
      <c r="K69" s="41">
        <v>13.0</v>
      </c>
      <c r="L69" s="52">
        <v>0.0</v>
      </c>
      <c r="M69" s="52">
        <v>1.0</v>
      </c>
      <c r="N69" s="52">
        <v>0.0</v>
      </c>
      <c r="O69" s="52">
        <v>0.0</v>
      </c>
      <c r="P69" s="52">
        <v>0.0</v>
      </c>
      <c r="Q69" s="52">
        <v>0.0</v>
      </c>
      <c r="R69" s="52">
        <v>0.0</v>
      </c>
      <c r="S69" s="52">
        <v>0.0</v>
      </c>
      <c r="T69" s="52">
        <v>0.0</v>
      </c>
      <c r="U69" s="52">
        <v>0.0</v>
      </c>
      <c r="V69" s="52">
        <v>0.0</v>
      </c>
      <c r="W69" s="52">
        <v>0.0</v>
      </c>
      <c r="X69" s="52">
        <v>0.0</v>
      </c>
      <c r="Y69" s="15"/>
      <c r="Z69" s="41" t="s">
        <v>93</v>
      </c>
      <c r="AA69" s="41">
        <v>4.0</v>
      </c>
      <c r="AB69" s="41" t="s">
        <v>93</v>
      </c>
      <c r="AC69" s="41" t="s">
        <v>93</v>
      </c>
      <c r="AD69" s="41">
        <v>5.0</v>
      </c>
      <c r="AE69" s="41" t="s">
        <v>93</v>
      </c>
      <c r="AF69" s="41">
        <v>5.0</v>
      </c>
      <c r="AG69" s="41" t="s">
        <v>93</v>
      </c>
      <c r="AH69" s="41" t="s">
        <v>93</v>
      </c>
      <c r="AI69" s="41" t="s">
        <v>93</v>
      </c>
      <c r="AJ69" s="41" t="s">
        <v>93</v>
      </c>
      <c r="AK69" s="41" t="s">
        <v>93</v>
      </c>
      <c r="AL69" s="41" t="s">
        <v>93</v>
      </c>
      <c r="AM69" s="41" t="s">
        <v>93</v>
      </c>
      <c r="AN69" s="15"/>
      <c r="AO69" s="41">
        <v>14.0</v>
      </c>
      <c r="AP69" s="41" t="s">
        <v>93</v>
      </c>
      <c r="AQ69" s="41">
        <v>4.0</v>
      </c>
      <c r="AR69" s="41" t="s">
        <v>93</v>
      </c>
      <c r="AS69" s="41" t="s">
        <v>93</v>
      </c>
      <c r="AT69" s="41">
        <v>5.0</v>
      </c>
      <c r="AU69" s="41" t="s">
        <v>93</v>
      </c>
      <c r="AV69" s="41">
        <v>5.0</v>
      </c>
      <c r="AW69" s="41" t="s">
        <v>93</v>
      </c>
      <c r="AX69" s="41" t="s">
        <v>93</v>
      </c>
      <c r="AY69" s="41" t="s">
        <v>93</v>
      </c>
      <c r="AZ69" s="41" t="s">
        <v>93</v>
      </c>
      <c r="BA69" s="41" t="s">
        <v>93</v>
      </c>
      <c r="BB69" s="41" t="s">
        <v>93</v>
      </c>
      <c r="BC69" s="41" t="s">
        <v>93</v>
      </c>
    </row>
    <row r="70">
      <c r="A70" s="41" t="s">
        <v>493</v>
      </c>
      <c r="B70" s="41"/>
      <c r="C70" s="41" t="s">
        <v>156</v>
      </c>
      <c r="D70" s="41" t="s">
        <v>494</v>
      </c>
      <c r="E70" s="41">
        <v>1.0</v>
      </c>
      <c r="F70" s="44">
        <v>162.66</v>
      </c>
      <c r="G70" s="41" t="s">
        <v>87</v>
      </c>
      <c r="H70" s="41">
        <v>6.0</v>
      </c>
      <c r="I70" s="45"/>
      <c r="J70" s="15"/>
      <c r="K70" s="41">
        <v>6.0</v>
      </c>
      <c r="L70" s="52">
        <v>0.0</v>
      </c>
      <c r="M70" s="52">
        <v>0.0</v>
      </c>
      <c r="N70" s="52">
        <v>0.0</v>
      </c>
      <c r="O70" s="52">
        <v>0.0</v>
      </c>
      <c r="P70" s="52">
        <v>0.0</v>
      </c>
      <c r="Q70" s="52">
        <v>0.0</v>
      </c>
      <c r="R70" s="52">
        <v>0.0</v>
      </c>
      <c r="S70" s="52">
        <v>0.0</v>
      </c>
      <c r="T70" s="52">
        <v>0.0</v>
      </c>
      <c r="U70" s="52">
        <v>0.0</v>
      </c>
      <c r="V70" s="52">
        <v>0.0</v>
      </c>
      <c r="W70" s="52">
        <v>0.0</v>
      </c>
      <c r="X70" s="52">
        <v>0.0</v>
      </c>
      <c r="Y70" s="15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93</v>
      </c>
      <c r="AH70" s="41" t="s">
        <v>93</v>
      </c>
      <c r="AI70" s="41" t="s">
        <v>93</v>
      </c>
      <c r="AJ70" s="41" t="s">
        <v>93</v>
      </c>
      <c r="AK70" s="41" t="s">
        <v>93</v>
      </c>
      <c r="AL70" s="41" t="s">
        <v>93</v>
      </c>
      <c r="AM70" s="41" t="s">
        <v>93</v>
      </c>
      <c r="AN70" s="15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93</v>
      </c>
      <c r="AX70" s="41" t="s">
        <v>93</v>
      </c>
      <c r="AY70" s="41" t="s">
        <v>93</v>
      </c>
      <c r="AZ70" s="41" t="s">
        <v>93</v>
      </c>
      <c r="BA70" s="41" t="s">
        <v>93</v>
      </c>
      <c r="BB70" s="41" t="s">
        <v>93</v>
      </c>
      <c r="BC70" s="41" t="s">
        <v>93</v>
      </c>
    </row>
    <row r="71">
      <c r="A71" s="41" t="s">
        <v>100</v>
      </c>
      <c r="B71" s="41"/>
      <c r="C71" s="41" t="s">
        <v>156</v>
      </c>
      <c r="D71" s="41" t="s">
        <v>101</v>
      </c>
      <c r="E71" s="41">
        <v>1.0</v>
      </c>
      <c r="F71" s="44">
        <v>11218.11</v>
      </c>
      <c r="G71" s="41" t="s">
        <v>87</v>
      </c>
      <c r="H71" s="41">
        <v>1.0</v>
      </c>
      <c r="I71" s="45"/>
      <c r="J71" s="15"/>
      <c r="K71" s="41">
        <v>1.0</v>
      </c>
      <c r="L71" s="52">
        <v>0.0</v>
      </c>
      <c r="M71" s="52">
        <v>0.0</v>
      </c>
      <c r="N71" s="52">
        <v>0.0</v>
      </c>
      <c r="O71" s="52">
        <v>0.0</v>
      </c>
      <c r="P71" s="52">
        <v>0.0</v>
      </c>
      <c r="Q71" s="52">
        <v>0.0</v>
      </c>
      <c r="R71" s="52">
        <v>0.0</v>
      </c>
      <c r="S71" s="52">
        <v>0.0</v>
      </c>
      <c r="T71" s="52">
        <v>0.0</v>
      </c>
      <c r="U71" s="52">
        <v>0.0</v>
      </c>
      <c r="V71" s="52">
        <v>0.0</v>
      </c>
      <c r="W71" s="52">
        <v>0.0</v>
      </c>
      <c r="X71" s="52">
        <v>0.0</v>
      </c>
      <c r="Y71" s="15"/>
      <c r="Z71" s="41"/>
      <c r="AA71" s="41"/>
      <c r="AB71" s="41"/>
      <c r="AC71" s="41"/>
      <c r="AD71" s="41">
        <v>1.0</v>
      </c>
      <c r="AE71" s="41"/>
      <c r="AF71" s="41"/>
      <c r="AG71" s="41" t="s">
        <v>93</v>
      </c>
      <c r="AH71" s="41" t="s">
        <v>93</v>
      </c>
      <c r="AI71" s="41" t="s">
        <v>93</v>
      </c>
      <c r="AJ71" s="41" t="s">
        <v>93</v>
      </c>
      <c r="AK71" s="41" t="s">
        <v>93</v>
      </c>
      <c r="AL71" s="41" t="s">
        <v>93</v>
      </c>
      <c r="AM71" s="41" t="s">
        <v>93</v>
      </c>
      <c r="AN71" s="15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93</v>
      </c>
      <c r="AX71" s="41" t="s">
        <v>93</v>
      </c>
      <c r="AY71" s="41" t="s">
        <v>93</v>
      </c>
      <c r="AZ71" s="41" t="s">
        <v>93</v>
      </c>
      <c r="BA71" s="41" t="s">
        <v>93</v>
      </c>
      <c r="BB71" s="41" t="s">
        <v>93</v>
      </c>
      <c r="BC71" s="41" t="s">
        <v>93</v>
      </c>
    </row>
    <row r="72">
      <c r="A72" s="41" t="s">
        <v>504</v>
      </c>
      <c r="B72" s="41"/>
      <c r="C72" s="41"/>
      <c r="D72" s="41" t="s">
        <v>505</v>
      </c>
      <c r="E72" s="41">
        <v>1.0</v>
      </c>
      <c r="F72" s="44">
        <v>554.46</v>
      </c>
      <c r="G72" s="41" t="s">
        <v>87</v>
      </c>
      <c r="H72" s="41">
        <v>9.0</v>
      </c>
      <c r="I72" s="45"/>
      <c r="J72" s="15"/>
      <c r="K72" s="41">
        <v>9.0</v>
      </c>
      <c r="L72" s="52">
        <v>0.0</v>
      </c>
      <c r="M72" s="52">
        <v>0.0</v>
      </c>
      <c r="N72" s="52">
        <v>0.0</v>
      </c>
      <c r="O72" s="52">
        <v>0.0</v>
      </c>
      <c r="P72" s="52">
        <v>0.0</v>
      </c>
      <c r="Q72" s="52">
        <v>0.0</v>
      </c>
      <c r="R72" s="52">
        <v>0.0</v>
      </c>
      <c r="S72" s="52">
        <v>0.0</v>
      </c>
      <c r="T72" s="52">
        <v>0.0</v>
      </c>
      <c r="U72" s="52">
        <v>0.0</v>
      </c>
      <c r="V72" s="52">
        <v>0.0</v>
      </c>
      <c r="W72" s="52">
        <v>0.0</v>
      </c>
      <c r="X72" s="52">
        <v>0.0</v>
      </c>
      <c r="Y72" s="15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93</v>
      </c>
      <c r="AH72" s="41" t="s">
        <v>93</v>
      </c>
      <c r="AI72" s="41" t="s">
        <v>93</v>
      </c>
      <c r="AJ72" s="41" t="s">
        <v>93</v>
      </c>
      <c r="AK72" s="41" t="s">
        <v>93</v>
      </c>
      <c r="AL72" s="41" t="s">
        <v>93</v>
      </c>
      <c r="AM72" s="41" t="s">
        <v>93</v>
      </c>
      <c r="AN72" s="15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93</v>
      </c>
      <c r="AX72" s="41" t="s">
        <v>93</v>
      </c>
      <c r="AY72" s="41" t="s">
        <v>93</v>
      </c>
      <c r="AZ72" s="41" t="s">
        <v>93</v>
      </c>
      <c r="BA72" s="41" t="s">
        <v>93</v>
      </c>
      <c r="BB72" s="41" t="s">
        <v>93</v>
      </c>
      <c r="BC72" s="41" t="s">
        <v>93</v>
      </c>
    </row>
    <row r="73">
      <c r="A73" s="41" t="s">
        <v>181</v>
      </c>
      <c r="B73" s="41"/>
      <c r="C73" s="41">
        <v>71739.0</v>
      </c>
      <c r="D73" s="41" t="s">
        <v>511</v>
      </c>
      <c r="E73" s="41">
        <v>2.0</v>
      </c>
      <c r="F73" s="44">
        <v>4530.62</v>
      </c>
      <c r="G73" s="41" t="s">
        <v>87</v>
      </c>
      <c r="H73" s="41">
        <v>0.0</v>
      </c>
      <c r="I73" s="45"/>
      <c r="J73" s="15"/>
      <c r="K73" s="41">
        <v>0.0</v>
      </c>
      <c r="L73" s="52">
        <v>0.0</v>
      </c>
      <c r="M73" s="52">
        <v>0.0</v>
      </c>
      <c r="N73" s="52">
        <v>0.0</v>
      </c>
      <c r="O73" s="52">
        <v>0.0</v>
      </c>
      <c r="P73" s="52">
        <v>0.0</v>
      </c>
      <c r="Q73" s="52">
        <v>0.0</v>
      </c>
      <c r="R73" s="52">
        <v>0.0</v>
      </c>
      <c r="S73" s="52">
        <v>0.0</v>
      </c>
      <c r="T73" s="52">
        <v>0.0</v>
      </c>
      <c r="U73" s="52">
        <v>0.0</v>
      </c>
      <c r="V73" s="52">
        <v>0.0</v>
      </c>
      <c r="W73" s="52">
        <v>0.0</v>
      </c>
      <c r="X73" s="52">
        <v>0.0</v>
      </c>
      <c r="Y73" s="15"/>
      <c r="Z73" s="41"/>
      <c r="AA73" s="41"/>
      <c r="AB73" s="41"/>
      <c r="AC73" s="41"/>
      <c r="AD73" s="41"/>
      <c r="AE73" s="41"/>
      <c r="AF73" s="41"/>
      <c r="AG73" s="41" t="s">
        <v>93</v>
      </c>
      <c r="AH73" s="41" t="s">
        <v>93</v>
      </c>
      <c r="AI73" s="41" t="s">
        <v>93</v>
      </c>
      <c r="AJ73" s="41" t="s">
        <v>93</v>
      </c>
      <c r="AK73" s="41" t="s">
        <v>93</v>
      </c>
      <c r="AL73" s="41" t="s">
        <v>93</v>
      </c>
      <c r="AM73" s="41" t="s">
        <v>93</v>
      </c>
      <c r="AN73" s="15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93</v>
      </c>
      <c r="AX73" s="41" t="s">
        <v>93</v>
      </c>
      <c r="AY73" s="41" t="s">
        <v>93</v>
      </c>
      <c r="AZ73" s="41" t="s">
        <v>93</v>
      </c>
      <c r="BA73" s="41" t="s">
        <v>93</v>
      </c>
      <c r="BB73" s="41" t="s">
        <v>93</v>
      </c>
      <c r="BC73" s="41" t="s">
        <v>93</v>
      </c>
    </row>
    <row r="74">
      <c r="A74" s="41" t="s">
        <v>517</v>
      </c>
      <c r="B74" s="41"/>
      <c r="C74" s="41"/>
      <c r="D74" s="41" t="s">
        <v>518</v>
      </c>
      <c r="E74" s="41">
        <v>1.0</v>
      </c>
      <c r="F74" s="44">
        <v>1530.0</v>
      </c>
      <c r="G74" s="41" t="s">
        <v>87</v>
      </c>
      <c r="H74" s="41">
        <v>3.0</v>
      </c>
      <c r="I74" s="45"/>
      <c r="J74" s="15"/>
      <c r="K74" s="41">
        <v>3.0</v>
      </c>
      <c r="L74" s="52">
        <v>0.0</v>
      </c>
      <c r="M74" s="52">
        <v>0.0</v>
      </c>
      <c r="N74" s="52">
        <v>0.0</v>
      </c>
      <c r="O74" s="52">
        <v>0.0</v>
      </c>
      <c r="P74" s="52">
        <v>0.0</v>
      </c>
      <c r="Q74" s="52">
        <v>0.0</v>
      </c>
      <c r="R74" s="52">
        <v>0.0</v>
      </c>
      <c r="S74" s="52">
        <v>0.0</v>
      </c>
      <c r="T74" s="52">
        <v>0.0</v>
      </c>
      <c r="U74" s="52">
        <v>0.0</v>
      </c>
      <c r="V74" s="52">
        <v>0.0</v>
      </c>
      <c r="W74" s="52">
        <v>0.0</v>
      </c>
      <c r="X74" s="52">
        <v>0.0</v>
      </c>
      <c r="Y74" s="15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93</v>
      </c>
      <c r="AH74" s="41" t="s">
        <v>93</v>
      </c>
      <c r="AI74" s="41" t="s">
        <v>93</v>
      </c>
      <c r="AJ74" s="41" t="s">
        <v>93</v>
      </c>
      <c r="AK74" s="41" t="s">
        <v>93</v>
      </c>
      <c r="AL74" s="41" t="s">
        <v>93</v>
      </c>
      <c r="AM74" s="41" t="s">
        <v>93</v>
      </c>
      <c r="AN74" s="15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93</v>
      </c>
      <c r="AX74" s="41" t="s">
        <v>93</v>
      </c>
      <c r="AY74" s="41" t="s">
        <v>93</v>
      </c>
      <c r="AZ74" s="41" t="s">
        <v>93</v>
      </c>
      <c r="BA74" s="41" t="s">
        <v>93</v>
      </c>
      <c r="BB74" s="41" t="s">
        <v>93</v>
      </c>
      <c r="BC74" s="41" t="s">
        <v>93</v>
      </c>
    </row>
    <row r="75">
      <c r="A75" s="60" t="s">
        <v>521</v>
      </c>
      <c r="B75" s="60"/>
      <c r="C75" s="41">
        <v>34163.0</v>
      </c>
      <c r="D75" s="41" t="s">
        <v>524</v>
      </c>
      <c r="E75" s="41">
        <v>2.0</v>
      </c>
      <c r="F75" s="44">
        <v>1124.62</v>
      </c>
      <c r="G75" s="41" t="s">
        <v>87</v>
      </c>
      <c r="H75" s="41">
        <v>4.0</v>
      </c>
      <c r="I75" s="45"/>
      <c r="J75" s="15"/>
      <c r="K75" s="41">
        <v>1.0</v>
      </c>
      <c r="L75" s="52">
        <v>0.0</v>
      </c>
      <c r="M75" s="52">
        <v>0.0</v>
      </c>
      <c r="N75" s="52">
        <v>0.0</v>
      </c>
      <c r="O75" s="52">
        <v>0.0</v>
      </c>
      <c r="P75" s="52">
        <v>0.0</v>
      </c>
      <c r="Q75" s="52">
        <v>0.0</v>
      </c>
      <c r="R75" s="47">
        <v>2.0</v>
      </c>
      <c r="S75" s="52">
        <v>0.0</v>
      </c>
      <c r="T75" s="52">
        <v>0.0</v>
      </c>
      <c r="U75" s="52">
        <v>0.0</v>
      </c>
      <c r="V75" s="52">
        <v>0.0</v>
      </c>
      <c r="W75" s="52">
        <v>0.0</v>
      </c>
      <c r="X75" s="47">
        <v>1.0</v>
      </c>
      <c r="Y75" s="15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93</v>
      </c>
      <c r="AH75" s="41" t="s">
        <v>93</v>
      </c>
      <c r="AI75" s="41" t="s">
        <v>93</v>
      </c>
      <c r="AJ75" s="41" t="s">
        <v>93</v>
      </c>
      <c r="AK75" s="41" t="s">
        <v>93</v>
      </c>
      <c r="AL75" s="41" t="s">
        <v>93</v>
      </c>
      <c r="AM75" s="41" t="s">
        <v>93</v>
      </c>
      <c r="AN75" s="15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93</v>
      </c>
      <c r="AX75" s="41" t="s">
        <v>93</v>
      </c>
      <c r="AY75" s="41" t="s">
        <v>93</v>
      </c>
      <c r="AZ75" s="41" t="s">
        <v>93</v>
      </c>
      <c r="BA75" s="41" t="s">
        <v>93</v>
      </c>
      <c r="BB75" s="41" t="s">
        <v>93</v>
      </c>
      <c r="BC75" s="41" t="s">
        <v>93</v>
      </c>
    </row>
    <row r="76">
      <c r="A76" s="41" t="s">
        <v>527</v>
      </c>
      <c r="B76" s="41"/>
      <c r="C76" s="41"/>
      <c r="D76" s="41" t="s">
        <v>529</v>
      </c>
      <c r="E76" s="41">
        <v>1.0</v>
      </c>
      <c r="F76" s="44">
        <v>1816.53</v>
      </c>
      <c r="G76" s="41" t="s">
        <v>87</v>
      </c>
      <c r="H76" s="41">
        <v>8.0</v>
      </c>
      <c r="I76" s="45"/>
      <c r="J76" s="15"/>
      <c r="K76" s="41">
        <v>6.0</v>
      </c>
      <c r="L76" s="52">
        <v>0.0</v>
      </c>
      <c r="M76" s="52">
        <v>0.0</v>
      </c>
      <c r="N76" s="52">
        <v>0.0</v>
      </c>
      <c r="O76" s="52">
        <v>0.0</v>
      </c>
      <c r="P76" s="52">
        <v>0.0</v>
      </c>
      <c r="Q76" s="52">
        <v>0.0</v>
      </c>
      <c r="R76" s="52">
        <v>0.0</v>
      </c>
      <c r="S76" s="52">
        <v>0.0</v>
      </c>
      <c r="T76" s="52">
        <v>0.0</v>
      </c>
      <c r="U76" s="52">
        <v>0.0</v>
      </c>
      <c r="V76" s="52">
        <v>2.0</v>
      </c>
      <c r="W76" s="52">
        <v>0.0</v>
      </c>
      <c r="X76" s="52">
        <v>0.0</v>
      </c>
      <c r="Y76" s="15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93</v>
      </c>
      <c r="AH76" s="41" t="s">
        <v>93</v>
      </c>
      <c r="AI76" s="41" t="s">
        <v>93</v>
      </c>
      <c r="AJ76" s="41" t="s">
        <v>93</v>
      </c>
      <c r="AK76" s="41" t="s">
        <v>93</v>
      </c>
      <c r="AL76" s="41" t="s">
        <v>93</v>
      </c>
      <c r="AM76" s="41" t="s">
        <v>93</v>
      </c>
      <c r="AN76" s="15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93</v>
      </c>
      <c r="AX76" s="41" t="s">
        <v>93</v>
      </c>
      <c r="AY76" s="41" t="s">
        <v>93</v>
      </c>
      <c r="AZ76" s="41" t="s">
        <v>93</v>
      </c>
      <c r="BA76" s="41" t="s">
        <v>93</v>
      </c>
      <c r="BB76" s="41" t="s">
        <v>93</v>
      </c>
      <c r="BC76" s="41" t="s">
        <v>93</v>
      </c>
    </row>
    <row r="77">
      <c r="A77" s="41" t="s">
        <v>533</v>
      </c>
      <c r="B77" s="41"/>
      <c r="C77" s="41">
        <v>66503.0</v>
      </c>
      <c r="D77" s="41" t="s">
        <v>535</v>
      </c>
      <c r="E77" s="41">
        <v>1.0</v>
      </c>
      <c r="F77" s="44">
        <v>6821.81</v>
      </c>
      <c r="G77" s="41" t="s">
        <v>87</v>
      </c>
      <c r="H77" s="41">
        <v>0.0</v>
      </c>
      <c r="I77" s="45"/>
      <c r="J77" s="15"/>
      <c r="K77" s="41">
        <v>0.0</v>
      </c>
      <c r="L77" s="52">
        <v>0.0</v>
      </c>
      <c r="M77" s="52">
        <v>0.0</v>
      </c>
      <c r="N77" s="52">
        <v>0.0</v>
      </c>
      <c r="O77" s="52">
        <v>0.0</v>
      </c>
      <c r="P77" s="52">
        <v>0.0</v>
      </c>
      <c r="Q77" s="52">
        <v>0.0</v>
      </c>
      <c r="R77" s="52">
        <v>0.0</v>
      </c>
      <c r="S77" s="52">
        <v>0.0</v>
      </c>
      <c r="T77" s="52">
        <v>0.0</v>
      </c>
      <c r="U77" s="52">
        <v>0.0</v>
      </c>
      <c r="V77" s="52">
        <v>0.0</v>
      </c>
      <c r="W77" s="52">
        <v>0.0</v>
      </c>
      <c r="X77" s="52">
        <v>0.0</v>
      </c>
      <c r="Y77" s="15"/>
      <c r="Z77" s="41"/>
      <c r="AA77" s="41"/>
      <c r="AB77" s="41"/>
      <c r="AC77" s="41"/>
      <c r="AD77" s="41"/>
      <c r="AE77" s="41"/>
      <c r="AF77" s="41"/>
      <c r="AG77" s="41" t="s">
        <v>93</v>
      </c>
      <c r="AH77" s="41" t="s">
        <v>93</v>
      </c>
      <c r="AI77" s="41" t="s">
        <v>93</v>
      </c>
      <c r="AJ77" s="41" t="s">
        <v>93</v>
      </c>
      <c r="AK77" s="41" t="s">
        <v>93</v>
      </c>
      <c r="AL77" s="41" t="s">
        <v>93</v>
      </c>
      <c r="AM77" s="41" t="s">
        <v>93</v>
      </c>
      <c r="AN77" s="15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93</v>
      </c>
      <c r="AX77" s="41" t="s">
        <v>93</v>
      </c>
      <c r="AY77" s="41" t="s">
        <v>93</v>
      </c>
      <c r="AZ77" s="41" t="s">
        <v>93</v>
      </c>
      <c r="BA77" s="41" t="s">
        <v>93</v>
      </c>
      <c r="BB77" s="41" t="s">
        <v>93</v>
      </c>
      <c r="BC77" s="41" t="s">
        <v>93</v>
      </c>
    </row>
    <row r="78">
      <c r="A78" s="41" t="s">
        <v>537</v>
      </c>
      <c r="B78" s="41"/>
      <c r="C78" s="41"/>
      <c r="D78" s="41" t="s">
        <v>538</v>
      </c>
      <c r="E78" s="41">
        <v>1.0</v>
      </c>
      <c r="F78" s="44">
        <v>2357.14</v>
      </c>
      <c r="G78" s="41" t="s">
        <v>87</v>
      </c>
      <c r="H78" s="41">
        <v>6.0</v>
      </c>
      <c r="I78" s="45"/>
      <c r="J78" s="15"/>
      <c r="K78" s="41">
        <v>6.0</v>
      </c>
      <c r="L78" s="52">
        <v>0.0</v>
      </c>
      <c r="M78" s="52">
        <v>0.0</v>
      </c>
      <c r="N78" s="52">
        <v>0.0</v>
      </c>
      <c r="O78" s="52">
        <v>0.0</v>
      </c>
      <c r="P78" s="52">
        <v>0.0</v>
      </c>
      <c r="Q78" s="52">
        <v>0.0</v>
      </c>
      <c r="R78" s="52">
        <v>0.0</v>
      </c>
      <c r="S78" s="52">
        <v>0.0</v>
      </c>
      <c r="T78" s="52">
        <v>0.0</v>
      </c>
      <c r="U78" s="52">
        <v>0.0</v>
      </c>
      <c r="V78" s="52">
        <v>0.0</v>
      </c>
      <c r="W78" s="52">
        <v>0.0</v>
      </c>
      <c r="X78" s="52">
        <v>0.0</v>
      </c>
      <c r="Y78" s="15"/>
      <c r="Z78" s="41" t="s">
        <v>93</v>
      </c>
      <c r="AA78" s="41">
        <v>2.0</v>
      </c>
      <c r="AB78" s="41" t="s">
        <v>93</v>
      </c>
      <c r="AC78" s="41" t="s">
        <v>93</v>
      </c>
      <c r="AD78" s="41">
        <v>2.0</v>
      </c>
      <c r="AE78" s="41" t="s">
        <v>93</v>
      </c>
      <c r="AF78" s="41">
        <v>2.0</v>
      </c>
      <c r="AG78" s="41" t="s">
        <v>93</v>
      </c>
      <c r="AH78" s="41" t="s">
        <v>93</v>
      </c>
      <c r="AI78" s="41" t="s">
        <v>93</v>
      </c>
      <c r="AJ78" s="41" t="s">
        <v>93</v>
      </c>
      <c r="AK78" s="41" t="s">
        <v>93</v>
      </c>
      <c r="AL78" s="41" t="s">
        <v>93</v>
      </c>
      <c r="AM78" s="41" t="s">
        <v>93</v>
      </c>
      <c r="AN78" s="15"/>
      <c r="AO78" s="41">
        <v>6.0</v>
      </c>
      <c r="AP78" s="41" t="s">
        <v>93</v>
      </c>
      <c r="AQ78" s="41">
        <v>2.0</v>
      </c>
      <c r="AR78" s="41" t="s">
        <v>93</v>
      </c>
      <c r="AS78" s="41" t="s">
        <v>93</v>
      </c>
      <c r="AT78" s="41">
        <v>2.0</v>
      </c>
      <c r="AU78" s="41" t="s">
        <v>93</v>
      </c>
      <c r="AV78" s="41">
        <v>2.0</v>
      </c>
      <c r="AW78" s="41" t="s">
        <v>93</v>
      </c>
      <c r="AX78" s="41" t="s">
        <v>93</v>
      </c>
      <c r="AY78" s="41" t="s">
        <v>93</v>
      </c>
      <c r="AZ78" s="41" t="s">
        <v>93</v>
      </c>
      <c r="BA78" s="41" t="s">
        <v>93</v>
      </c>
      <c r="BB78" s="41" t="s">
        <v>93</v>
      </c>
      <c r="BC78" s="41" t="s">
        <v>93</v>
      </c>
    </row>
    <row r="79">
      <c r="A79" s="41" t="s">
        <v>499</v>
      </c>
      <c r="B79" s="41"/>
      <c r="C79" s="41"/>
      <c r="D79" s="41" t="s">
        <v>500</v>
      </c>
      <c r="E79" s="41">
        <v>1.0</v>
      </c>
      <c r="F79" s="44">
        <v>1714.29</v>
      </c>
      <c r="G79" s="41" t="s">
        <v>87</v>
      </c>
      <c r="H79" s="41">
        <v>3.0</v>
      </c>
      <c r="I79" s="45"/>
      <c r="J79" s="15"/>
      <c r="K79" s="41">
        <v>3.0</v>
      </c>
      <c r="L79" s="52">
        <v>0.0</v>
      </c>
      <c r="M79" s="52">
        <v>0.0</v>
      </c>
      <c r="N79" s="52">
        <v>0.0</v>
      </c>
      <c r="O79" s="52">
        <v>0.0</v>
      </c>
      <c r="P79" s="52">
        <v>0.0</v>
      </c>
      <c r="Q79" s="52">
        <v>0.0</v>
      </c>
      <c r="R79" s="52">
        <v>0.0</v>
      </c>
      <c r="S79" s="52">
        <v>0.0</v>
      </c>
      <c r="T79" s="52">
        <v>0.0</v>
      </c>
      <c r="U79" s="52">
        <v>0.0</v>
      </c>
      <c r="V79" s="52">
        <v>0.0</v>
      </c>
      <c r="W79" s="52">
        <v>0.0</v>
      </c>
      <c r="X79" s="52">
        <v>0.0</v>
      </c>
      <c r="Y79" s="15"/>
      <c r="Z79" s="41" t="s">
        <v>93</v>
      </c>
      <c r="AA79" s="41">
        <v>1.0</v>
      </c>
      <c r="AB79" s="41" t="s">
        <v>93</v>
      </c>
      <c r="AC79" s="41" t="s">
        <v>93</v>
      </c>
      <c r="AD79" s="41">
        <v>1.0</v>
      </c>
      <c r="AE79" s="41" t="s">
        <v>93</v>
      </c>
      <c r="AF79" s="41">
        <v>1.0</v>
      </c>
      <c r="AG79" s="41" t="s">
        <v>93</v>
      </c>
      <c r="AH79" s="41" t="s">
        <v>93</v>
      </c>
      <c r="AI79" s="41" t="s">
        <v>93</v>
      </c>
      <c r="AJ79" s="41" t="s">
        <v>93</v>
      </c>
      <c r="AK79" s="41" t="s">
        <v>93</v>
      </c>
      <c r="AL79" s="41" t="s">
        <v>93</v>
      </c>
      <c r="AM79" s="41" t="s">
        <v>93</v>
      </c>
      <c r="AN79" s="15"/>
      <c r="AO79" s="41">
        <v>3.0</v>
      </c>
      <c r="AP79" s="41" t="s">
        <v>93</v>
      </c>
      <c r="AQ79" s="41">
        <v>1.0</v>
      </c>
      <c r="AR79" s="41" t="s">
        <v>93</v>
      </c>
      <c r="AS79" s="41" t="s">
        <v>93</v>
      </c>
      <c r="AT79" s="41">
        <v>1.0</v>
      </c>
      <c r="AU79" s="41" t="s">
        <v>93</v>
      </c>
      <c r="AV79" s="41">
        <v>1.0</v>
      </c>
      <c r="AW79" s="41" t="s">
        <v>93</v>
      </c>
      <c r="AX79" s="41" t="s">
        <v>93</v>
      </c>
      <c r="AY79" s="41" t="s">
        <v>93</v>
      </c>
      <c r="AZ79" s="41" t="s">
        <v>93</v>
      </c>
      <c r="BA79" s="41" t="s">
        <v>93</v>
      </c>
      <c r="BB79" s="41" t="s">
        <v>93</v>
      </c>
      <c r="BC79" s="41" t="s">
        <v>93</v>
      </c>
    </row>
    <row r="80">
      <c r="A80" s="41" t="s">
        <v>544</v>
      </c>
      <c r="B80" s="41"/>
      <c r="C80" s="41"/>
      <c r="D80" s="41" t="s">
        <v>545</v>
      </c>
      <c r="E80" s="41">
        <v>1.0</v>
      </c>
      <c r="F80" s="44">
        <v>14047.55</v>
      </c>
      <c r="G80" s="41" t="s">
        <v>87</v>
      </c>
      <c r="H80" s="41">
        <v>0.0</v>
      </c>
      <c r="I80" s="45"/>
      <c r="J80" s="15"/>
      <c r="K80" s="41">
        <v>0.0</v>
      </c>
      <c r="L80" s="52">
        <v>0.0</v>
      </c>
      <c r="M80" s="52">
        <v>0.0</v>
      </c>
      <c r="N80" s="52">
        <v>0.0</v>
      </c>
      <c r="O80" s="52">
        <v>0.0</v>
      </c>
      <c r="P80" s="52">
        <v>0.0</v>
      </c>
      <c r="Q80" s="52">
        <v>0.0</v>
      </c>
      <c r="R80" s="52">
        <v>0.0</v>
      </c>
      <c r="S80" s="52">
        <v>0.0</v>
      </c>
      <c r="T80" s="52">
        <v>0.0</v>
      </c>
      <c r="U80" s="52">
        <v>0.0</v>
      </c>
      <c r="V80" s="52">
        <v>0.0</v>
      </c>
      <c r="W80" s="52">
        <v>0.0</v>
      </c>
      <c r="X80" s="52">
        <v>0.0</v>
      </c>
      <c r="Y80" s="15"/>
      <c r="Z80" s="41"/>
      <c r="AA80" s="41"/>
      <c r="AB80" s="41"/>
      <c r="AC80" s="41"/>
      <c r="AD80" s="41"/>
      <c r="AE80" s="41"/>
      <c r="AF80" s="41"/>
      <c r="AG80" s="41" t="s">
        <v>93</v>
      </c>
      <c r="AH80" s="41" t="s">
        <v>93</v>
      </c>
      <c r="AI80" s="41" t="s">
        <v>93</v>
      </c>
      <c r="AJ80" s="41" t="s">
        <v>93</v>
      </c>
      <c r="AK80" s="41" t="s">
        <v>93</v>
      </c>
      <c r="AL80" s="41" t="s">
        <v>93</v>
      </c>
      <c r="AM80" s="41" t="s">
        <v>93</v>
      </c>
      <c r="AN80" s="15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93</v>
      </c>
      <c r="AX80" s="41" t="s">
        <v>93</v>
      </c>
      <c r="AY80" s="41" t="s">
        <v>93</v>
      </c>
      <c r="AZ80" s="41" t="s">
        <v>93</v>
      </c>
      <c r="BA80" s="41" t="s">
        <v>93</v>
      </c>
      <c r="BB80" s="41" t="s">
        <v>93</v>
      </c>
      <c r="BC80" s="41" t="s">
        <v>93</v>
      </c>
    </row>
    <row r="81">
      <c r="A81" s="41" t="s">
        <v>551</v>
      </c>
      <c r="B81" s="41"/>
      <c r="C81" s="41"/>
      <c r="D81" s="41" t="s">
        <v>552</v>
      </c>
      <c r="E81" s="41">
        <v>2.0</v>
      </c>
      <c r="F81" s="44">
        <v>484.87</v>
      </c>
      <c r="G81" s="41" t="s">
        <v>87</v>
      </c>
      <c r="H81" s="41">
        <v>23.0</v>
      </c>
      <c r="I81" s="45"/>
      <c r="J81" s="15"/>
      <c r="K81" s="41">
        <v>23.0</v>
      </c>
      <c r="L81" s="52">
        <v>0.0</v>
      </c>
      <c r="M81" s="52">
        <v>0.0</v>
      </c>
      <c r="N81" s="52">
        <v>0.0</v>
      </c>
      <c r="O81" s="52">
        <v>0.0</v>
      </c>
      <c r="P81" s="52">
        <v>0.0</v>
      </c>
      <c r="Q81" s="52">
        <v>0.0</v>
      </c>
      <c r="R81" s="52">
        <v>0.0</v>
      </c>
      <c r="S81" s="52">
        <v>0.0</v>
      </c>
      <c r="T81" s="52">
        <v>0.0</v>
      </c>
      <c r="U81" s="52">
        <v>0.0</v>
      </c>
      <c r="V81" s="52">
        <v>0.0</v>
      </c>
      <c r="W81" s="52">
        <v>0.0</v>
      </c>
      <c r="X81" s="52">
        <v>0.0</v>
      </c>
      <c r="Y81" s="15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93</v>
      </c>
      <c r="AH81" s="41" t="s">
        <v>93</v>
      </c>
      <c r="AI81" s="41" t="s">
        <v>93</v>
      </c>
      <c r="AJ81" s="41" t="s">
        <v>93</v>
      </c>
      <c r="AK81" s="41" t="s">
        <v>93</v>
      </c>
      <c r="AL81" s="41" t="s">
        <v>93</v>
      </c>
      <c r="AM81" s="41" t="s">
        <v>93</v>
      </c>
      <c r="AN81" s="15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93</v>
      </c>
      <c r="AX81" s="41" t="s">
        <v>93</v>
      </c>
      <c r="AY81" s="41" t="s">
        <v>93</v>
      </c>
      <c r="AZ81" s="41" t="s">
        <v>93</v>
      </c>
      <c r="BA81" s="41" t="s">
        <v>93</v>
      </c>
      <c r="BB81" s="41" t="s">
        <v>93</v>
      </c>
      <c r="BC81" s="41" t="s">
        <v>93</v>
      </c>
    </row>
    <row r="82">
      <c r="A82" s="41" t="s">
        <v>556</v>
      </c>
      <c r="B82" s="41"/>
      <c r="C82" s="41"/>
      <c r="D82" s="41" t="s">
        <v>557</v>
      </c>
      <c r="E82" s="41">
        <v>1.0</v>
      </c>
      <c r="F82" s="44">
        <v>3240.9</v>
      </c>
      <c r="G82" s="41" t="s">
        <v>87</v>
      </c>
      <c r="H82" s="41">
        <v>8.0</v>
      </c>
      <c r="I82" s="45"/>
      <c r="J82" s="15"/>
      <c r="K82" s="41">
        <v>8.0</v>
      </c>
      <c r="L82" s="52">
        <v>0.0</v>
      </c>
      <c r="M82" s="52">
        <v>0.0</v>
      </c>
      <c r="N82" s="52">
        <v>0.0</v>
      </c>
      <c r="O82" s="52">
        <v>0.0</v>
      </c>
      <c r="P82" s="52">
        <v>0.0</v>
      </c>
      <c r="Q82" s="52">
        <v>0.0</v>
      </c>
      <c r="R82" s="52">
        <v>0.0</v>
      </c>
      <c r="S82" s="52">
        <v>0.0</v>
      </c>
      <c r="T82" s="52">
        <v>0.0</v>
      </c>
      <c r="U82" s="52">
        <v>0.0</v>
      </c>
      <c r="V82" s="52">
        <v>0.0</v>
      </c>
      <c r="W82" s="52">
        <v>0.0</v>
      </c>
      <c r="X82" s="52">
        <v>0.0</v>
      </c>
      <c r="Y82" s="15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93</v>
      </c>
      <c r="AH82" s="41" t="s">
        <v>93</v>
      </c>
      <c r="AI82" s="41" t="s">
        <v>93</v>
      </c>
      <c r="AJ82" s="41" t="s">
        <v>93</v>
      </c>
      <c r="AK82" s="41" t="s">
        <v>93</v>
      </c>
      <c r="AL82" s="41" t="s">
        <v>93</v>
      </c>
      <c r="AM82" s="41" t="s">
        <v>93</v>
      </c>
      <c r="AN82" s="15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93</v>
      </c>
      <c r="AX82" s="41" t="s">
        <v>93</v>
      </c>
      <c r="AY82" s="41" t="s">
        <v>93</v>
      </c>
      <c r="AZ82" s="41" t="s">
        <v>93</v>
      </c>
      <c r="BA82" s="41" t="s">
        <v>93</v>
      </c>
      <c r="BB82" s="41" t="s">
        <v>93</v>
      </c>
      <c r="BC82" s="41" t="s">
        <v>93</v>
      </c>
    </row>
    <row r="83">
      <c r="A83" s="41" t="s">
        <v>563</v>
      </c>
      <c r="B83" s="41"/>
      <c r="C83" s="41">
        <v>26055.0</v>
      </c>
      <c r="D83" s="41" t="s">
        <v>565</v>
      </c>
      <c r="E83" s="41">
        <v>1.0</v>
      </c>
      <c r="F83" s="44">
        <v>1157.17</v>
      </c>
      <c r="G83" s="41" t="s">
        <v>87</v>
      </c>
      <c r="H83" s="41">
        <v>5.0</v>
      </c>
      <c r="I83" s="45"/>
      <c r="J83" s="15"/>
      <c r="K83" s="41">
        <v>4.0</v>
      </c>
      <c r="L83" s="52">
        <v>0.0</v>
      </c>
      <c r="M83" s="52">
        <v>0.0</v>
      </c>
      <c r="N83" s="52">
        <v>0.0</v>
      </c>
      <c r="O83" s="47">
        <v>1.0</v>
      </c>
      <c r="P83" s="52">
        <v>0.0</v>
      </c>
      <c r="Q83" s="52">
        <v>0.0</v>
      </c>
      <c r="R83" s="52">
        <v>0.0</v>
      </c>
      <c r="S83" s="52">
        <v>0.0</v>
      </c>
      <c r="T83" s="52">
        <v>0.0</v>
      </c>
      <c r="U83" s="52">
        <v>0.0</v>
      </c>
      <c r="V83" s="52">
        <v>0.0</v>
      </c>
      <c r="W83" s="52">
        <v>0.0</v>
      </c>
      <c r="X83" s="52">
        <v>0.0</v>
      </c>
      <c r="Y83" s="15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93</v>
      </c>
      <c r="AH83" s="41" t="s">
        <v>93</v>
      </c>
      <c r="AI83" s="41" t="s">
        <v>93</v>
      </c>
      <c r="AJ83" s="41" t="s">
        <v>93</v>
      </c>
      <c r="AK83" s="41" t="s">
        <v>93</v>
      </c>
      <c r="AL83" s="41" t="s">
        <v>93</v>
      </c>
      <c r="AM83" s="41" t="s">
        <v>93</v>
      </c>
      <c r="AN83" s="15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93</v>
      </c>
      <c r="AX83" s="41" t="s">
        <v>93</v>
      </c>
      <c r="AY83" s="41" t="s">
        <v>93</v>
      </c>
      <c r="AZ83" s="41" t="s">
        <v>93</v>
      </c>
      <c r="BA83" s="41" t="s">
        <v>93</v>
      </c>
      <c r="BB83" s="41" t="s">
        <v>93</v>
      </c>
      <c r="BC83" s="41" t="s">
        <v>93</v>
      </c>
    </row>
    <row r="84">
      <c r="A84" s="41" t="s">
        <v>568</v>
      </c>
      <c r="B84" s="41"/>
      <c r="C84" s="41">
        <v>22373.0</v>
      </c>
      <c r="D84" s="41" t="s">
        <v>569</v>
      </c>
      <c r="E84" s="41">
        <v>1.0</v>
      </c>
      <c r="F84" s="44">
        <v>1297.0</v>
      </c>
      <c r="G84" s="41" t="s">
        <v>87</v>
      </c>
      <c r="H84" s="41">
        <v>0.0</v>
      </c>
      <c r="I84" s="45"/>
      <c r="J84" s="15"/>
      <c r="K84" s="41">
        <v>0.0</v>
      </c>
      <c r="L84" s="52">
        <v>0.0</v>
      </c>
      <c r="M84" s="52">
        <v>0.0</v>
      </c>
      <c r="N84" s="52">
        <v>0.0</v>
      </c>
      <c r="O84" s="52">
        <v>0.0</v>
      </c>
      <c r="P84" s="52">
        <v>0.0</v>
      </c>
      <c r="Q84" s="52">
        <v>0.0</v>
      </c>
      <c r="R84" s="52">
        <v>0.0</v>
      </c>
      <c r="S84" s="52">
        <v>0.0</v>
      </c>
      <c r="T84" s="52">
        <v>0.0</v>
      </c>
      <c r="U84" s="52">
        <v>0.0</v>
      </c>
      <c r="V84" s="52">
        <v>0.0</v>
      </c>
      <c r="W84" s="52">
        <v>0.0</v>
      </c>
      <c r="X84" s="52">
        <v>0.0</v>
      </c>
      <c r="Y84" s="15"/>
      <c r="Z84" s="41"/>
      <c r="AA84" s="41"/>
      <c r="AB84" s="41"/>
      <c r="AC84" s="41"/>
      <c r="AD84" s="41"/>
      <c r="AE84" s="41"/>
      <c r="AF84" s="41"/>
      <c r="AG84" s="41" t="s">
        <v>93</v>
      </c>
      <c r="AH84" s="41" t="s">
        <v>93</v>
      </c>
      <c r="AI84" s="41" t="s">
        <v>93</v>
      </c>
      <c r="AJ84" s="41" t="s">
        <v>93</v>
      </c>
      <c r="AK84" s="41" t="s">
        <v>93</v>
      </c>
      <c r="AL84" s="41" t="s">
        <v>93</v>
      </c>
      <c r="AM84" s="41" t="s">
        <v>93</v>
      </c>
      <c r="AN84" s="15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93</v>
      </c>
      <c r="AX84" s="41" t="s">
        <v>93</v>
      </c>
      <c r="AY84" s="41" t="s">
        <v>93</v>
      </c>
      <c r="AZ84" s="41" t="s">
        <v>93</v>
      </c>
      <c r="BA84" s="41" t="s">
        <v>93</v>
      </c>
      <c r="BB84" s="41" t="s">
        <v>93</v>
      </c>
      <c r="BC84" s="41" t="s">
        <v>93</v>
      </c>
    </row>
    <row r="85">
      <c r="A85" s="41" t="s">
        <v>579</v>
      </c>
      <c r="B85" s="41"/>
      <c r="C85" s="41"/>
      <c r="D85" s="41" t="s">
        <v>580</v>
      </c>
      <c r="E85" s="41">
        <v>1.0</v>
      </c>
      <c r="F85" s="44">
        <v>6777.64</v>
      </c>
      <c r="G85" s="41" t="s">
        <v>87</v>
      </c>
      <c r="H85" s="41">
        <v>0.0</v>
      </c>
      <c r="I85" s="45"/>
      <c r="J85" s="15"/>
      <c r="K85" s="41">
        <v>0.0</v>
      </c>
      <c r="L85" s="52">
        <v>0.0</v>
      </c>
      <c r="M85" s="52">
        <v>0.0</v>
      </c>
      <c r="N85" s="52">
        <v>0.0</v>
      </c>
      <c r="O85" s="52">
        <v>0.0</v>
      </c>
      <c r="P85" s="52">
        <v>0.0</v>
      </c>
      <c r="Q85" s="52">
        <v>0.0</v>
      </c>
      <c r="R85" s="52">
        <v>0.0</v>
      </c>
      <c r="S85" s="52">
        <v>0.0</v>
      </c>
      <c r="T85" s="52">
        <v>0.0</v>
      </c>
      <c r="U85" s="52">
        <v>0.0</v>
      </c>
      <c r="V85" s="52">
        <v>0.0</v>
      </c>
      <c r="W85" s="52">
        <v>0.0</v>
      </c>
      <c r="X85" s="52">
        <v>0.0</v>
      </c>
      <c r="Y85" s="15"/>
      <c r="Z85" s="41"/>
      <c r="AA85" s="41"/>
      <c r="AB85" s="41"/>
      <c r="AC85" s="41"/>
      <c r="AD85" s="41"/>
      <c r="AE85" s="41"/>
      <c r="AF85" s="41"/>
      <c r="AG85" s="41" t="s">
        <v>93</v>
      </c>
      <c r="AH85" s="41" t="s">
        <v>93</v>
      </c>
      <c r="AI85" s="41" t="s">
        <v>93</v>
      </c>
      <c r="AJ85" s="41" t="s">
        <v>93</v>
      </c>
      <c r="AK85" s="41" t="s">
        <v>93</v>
      </c>
      <c r="AL85" s="41" t="s">
        <v>93</v>
      </c>
      <c r="AM85" s="41" t="s">
        <v>93</v>
      </c>
      <c r="AN85" s="15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93</v>
      </c>
      <c r="AX85" s="41" t="s">
        <v>93</v>
      </c>
      <c r="AY85" s="41" t="s">
        <v>93</v>
      </c>
      <c r="AZ85" s="41" t="s">
        <v>93</v>
      </c>
      <c r="BA85" s="41" t="s">
        <v>93</v>
      </c>
      <c r="BB85" s="41" t="s">
        <v>93</v>
      </c>
      <c r="BC85" s="41" t="s">
        <v>93</v>
      </c>
    </row>
    <row r="86">
      <c r="A86" s="41" t="s">
        <v>585</v>
      </c>
      <c r="B86" s="41"/>
      <c r="C86" s="41"/>
      <c r="D86" s="41" t="s">
        <v>586</v>
      </c>
      <c r="E86" s="41">
        <v>1.0</v>
      </c>
      <c r="F86" s="44">
        <v>2617.63</v>
      </c>
      <c r="G86" s="41" t="s">
        <v>87</v>
      </c>
      <c r="H86" s="41">
        <v>7.0</v>
      </c>
      <c r="I86" s="45"/>
      <c r="J86" s="15"/>
      <c r="K86" s="41">
        <v>6.0</v>
      </c>
      <c r="L86" s="52">
        <v>0.0</v>
      </c>
      <c r="M86" s="52">
        <v>0.0</v>
      </c>
      <c r="N86" s="52">
        <v>0.0</v>
      </c>
      <c r="O86" s="52">
        <v>0.0</v>
      </c>
      <c r="P86" s="52">
        <v>1.0</v>
      </c>
      <c r="Q86" s="52">
        <v>0.0</v>
      </c>
      <c r="R86" s="52">
        <v>0.0</v>
      </c>
      <c r="S86" s="52">
        <v>0.0</v>
      </c>
      <c r="T86" s="52">
        <v>0.0</v>
      </c>
      <c r="U86" s="52">
        <v>0.0</v>
      </c>
      <c r="V86" s="52">
        <v>0.0</v>
      </c>
      <c r="W86" s="52">
        <v>0.0</v>
      </c>
      <c r="X86" s="52">
        <v>0.0</v>
      </c>
      <c r="Y86" s="15"/>
      <c r="Z86" s="41" t="s">
        <v>93</v>
      </c>
      <c r="AA86" s="41">
        <v>2.0</v>
      </c>
      <c r="AB86" s="41" t="s">
        <v>93</v>
      </c>
      <c r="AC86" s="41" t="s">
        <v>93</v>
      </c>
      <c r="AD86" s="41">
        <v>3.0</v>
      </c>
      <c r="AE86" s="41" t="s">
        <v>93</v>
      </c>
      <c r="AF86" s="41">
        <v>2.0</v>
      </c>
      <c r="AG86" s="41" t="s">
        <v>93</v>
      </c>
      <c r="AH86" s="41" t="s">
        <v>93</v>
      </c>
      <c r="AI86" s="41" t="s">
        <v>93</v>
      </c>
      <c r="AJ86" s="41" t="s">
        <v>93</v>
      </c>
      <c r="AK86" s="41" t="s">
        <v>93</v>
      </c>
      <c r="AL86" s="41" t="s">
        <v>93</v>
      </c>
      <c r="AM86" s="41" t="s">
        <v>93</v>
      </c>
      <c r="AN86" s="15"/>
      <c r="AO86" s="41">
        <v>7.0</v>
      </c>
      <c r="AP86" s="41" t="s">
        <v>93</v>
      </c>
      <c r="AQ86" s="41">
        <v>2.0</v>
      </c>
      <c r="AR86" s="41" t="s">
        <v>93</v>
      </c>
      <c r="AS86" s="41" t="s">
        <v>93</v>
      </c>
      <c r="AT86" s="41">
        <v>3.0</v>
      </c>
      <c r="AU86" s="41" t="s">
        <v>93</v>
      </c>
      <c r="AV86" s="41">
        <v>2.0</v>
      </c>
      <c r="AW86" s="41" t="s">
        <v>93</v>
      </c>
      <c r="AX86" s="41" t="s">
        <v>93</v>
      </c>
      <c r="AY86" s="41" t="s">
        <v>93</v>
      </c>
      <c r="AZ86" s="41" t="s">
        <v>93</v>
      </c>
      <c r="BA86" s="41" t="s">
        <v>93</v>
      </c>
      <c r="BB86" s="41" t="s">
        <v>93</v>
      </c>
      <c r="BC86" s="41" t="s">
        <v>93</v>
      </c>
    </row>
    <row r="87">
      <c r="A87" s="41" t="s">
        <v>591</v>
      </c>
      <c r="B87" s="41"/>
      <c r="C87" s="41">
        <v>22373.0</v>
      </c>
      <c r="D87" s="41" t="s">
        <v>593</v>
      </c>
      <c r="E87" s="41">
        <v>1.0</v>
      </c>
      <c r="F87" s="44">
        <v>1374.63</v>
      </c>
      <c r="G87" s="41" t="s">
        <v>87</v>
      </c>
      <c r="H87" s="41">
        <v>0.0</v>
      </c>
      <c r="I87" s="45"/>
      <c r="J87" s="15"/>
      <c r="K87" s="41">
        <v>0.0</v>
      </c>
      <c r="L87" s="52">
        <v>0.0</v>
      </c>
      <c r="M87" s="52">
        <v>0.0</v>
      </c>
      <c r="N87" s="52">
        <v>0.0</v>
      </c>
      <c r="O87" s="52">
        <v>0.0</v>
      </c>
      <c r="P87" s="52">
        <v>0.0</v>
      </c>
      <c r="Q87" s="52">
        <v>0.0</v>
      </c>
      <c r="R87" s="52">
        <v>0.0</v>
      </c>
      <c r="S87" s="52">
        <v>0.0</v>
      </c>
      <c r="T87" s="52">
        <v>0.0</v>
      </c>
      <c r="U87" s="52">
        <v>0.0</v>
      </c>
      <c r="V87" s="52">
        <v>0.0</v>
      </c>
      <c r="W87" s="52">
        <v>0.0</v>
      </c>
      <c r="X87" s="52">
        <v>0.0</v>
      </c>
      <c r="Y87" s="15"/>
      <c r="Z87" s="41"/>
      <c r="AA87" s="41"/>
      <c r="AB87" s="41"/>
      <c r="AC87" s="41"/>
      <c r="AD87" s="41"/>
      <c r="AE87" s="41"/>
      <c r="AF87" s="41"/>
      <c r="AG87" s="41" t="s">
        <v>93</v>
      </c>
      <c r="AH87" s="41" t="s">
        <v>93</v>
      </c>
      <c r="AI87" s="41" t="s">
        <v>93</v>
      </c>
      <c r="AJ87" s="41" t="s">
        <v>93</v>
      </c>
      <c r="AK87" s="41" t="s">
        <v>93</v>
      </c>
      <c r="AL87" s="41" t="s">
        <v>93</v>
      </c>
      <c r="AM87" s="41" t="s">
        <v>93</v>
      </c>
      <c r="AN87" s="15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93</v>
      </c>
      <c r="AX87" s="41" t="s">
        <v>93</v>
      </c>
      <c r="AY87" s="41" t="s">
        <v>93</v>
      </c>
      <c r="AZ87" s="41" t="s">
        <v>93</v>
      </c>
      <c r="BA87" s="41" t="s">
        <v>93</v>
      </c>
      <c r="BB87" s="41" t="s">
        <v>93</v>
      </c>
      <c r="BC87" s="41" t="s">
        <v>93</v>
      </c>
    </row>
    <row r="88">
      <c r="A88" s="41" t="s">
        <v>596</v>
      </c>
      <c r="B88" s="41"/>
      <c r="C88" s="41"/>
      <c r="D88" s="41" t="s">
        <v>597</v>
      </c>
      <c r="E88" s="41">
        <v>1.0</v>
      </c>
      <c r="F88" s="44">
        <v>2500.0</v>
      </c>
      <c r="G88" s="41" t="s">
        <v>87</v>
      </c>
      <c r="H88" s="41">
        <v>7.0</v>
      </c>
      <c r="I88" s="45"/>
      <c r="J88" s="15"/>
      <c r="K88" s="41">
        <v>6.0</v>
      </c>
      <c r="L88" s="52">
        <v>0.0</v>
      </c>
      <c r="M88" s="52">
        <v>0.0</v>
      </c>
      <c r="N88" s="52">
        <v>0.0</v>
      </c>
      <c r="O88" s="52">
        <v>0.0</v>
      </c>
      <c r="P88" s="52">
        <v>0.0</v>
      </c>
      <c r="Q88" s="52">
        <v>0.0</v>
      </c>
      <c r="R88" s="47">
        <v>1.0</v>
      </c>
      <c r="S88" s="52">
        <v>0.0</v>
      </c>
      <c r="T88" s="52">
        <v>0.0</v>
      </c>
      <c r="U88" s="52">
        <v>0.0</v>
      </c>
      <c r="V88" s="52">
        <v>0.0</v>
      </c>
      <c r="W88" s="52">
        <v>0.0</v>
      </c>
      <c r="X88" s="52">
        <v>0.0</v>
      </c>
      <c r="Y88" s="15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93</v>
      </c>
      <c r="AH88" s="41" t="s">
        <v>93</v>
      </c>
      <c r="AI88" s="41" t="s">
        <v>93</v>
      </c>
      <c r="AJ88" s="41" t="s">
        <v>93</v>
      </c>
      <c r="AK88" s="41" t="s">
        <v>93</v>
      </c>
      <c r="AL88" s="41" t="s">
        <v>93</v>
      </c>
      <c r="AM88" s="41" t="s">
        <v>93</v>
      </c>
      <c r="AN88" s="15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93</v>
      </c>
      <c r="AX88" s="41" t="s">
        <v>93</v>
      </c>
      <c r="AY88" s="41" t="s">
        <v>93</v>
      </c>
      <c r="AZ88" s="41" t="s">
        <v>93</v>
      </c>
      <c r="BA88" s="41" t="s">
        <v>93</v>
      </c>
      <c r="BB88" s="41" t="s">
        <v>93</v>
      </c>
      <c r="BC88" s="41" t="s">
        <v>93</v>
      </c>
    </row>
    <row r="89">
      <c r="A89" s="41" t="s">
        <v>602</v>
      </c>
      <c r="B89" s="41"/>
      <c r="C89" s="41"/>
      <c r="D89" s="41" t="s">
        <v>603</v>
      </c>
      <c r="E89" s="41">
        <v>1.0</v>
      </c>
      <c r="F89" s="44">
        <v>751.71</v>
      </c>
      <c r="G89" s="41" t="s">
        <v>87</v>
      </c>
      <c r="H89" s="41">
        <v>3.0</v>
      </c>
      <c r="I89" s="45"/>
      <c r="J89" s="15"/>
      <c r="K89" s="41">
        <v>3.0</v>
      </c>
      <c r="L89" s="52">
        <v>0.0</v>
      </c>
      <c r="M89" s="52">
        <v>0.0</v>
      </c>
      <c r="N89" s="52">
        <v>0.0</v>
      </c>
      <c r="O89" s="52">
        <v>0.0</v>
      </c>
      <c r="P89" s="52">
        <v>0.0</v>
      </c>
      <c r="Q89" s="52">
        <v>0.0</v>
      </c>
      <c r="R89" s="52">
        <v>0.0</v>
      </c>
      <c r="S89" s="52">
        <v>0.0</v>
      </c>
      <c r="T89" s="52">
        <v>0.0</v>
      </c>
      <c r="U89" s="52">
        <v>0.0</v>
      </c>
      <c r="V89" s="52">
        <v>0.0</v>
      </c>
      <c r="W89" s="52">
        <v>0.0</v>
      </c>
      <c r="X89" s="52">
        <v>0.0</v>
      </c>
      <c r="Y89" s="15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93</v>
      </c>
      <c r="AH89" s="41" t="s">
        <v>93</v>
      </c>
      <c r="AI89" s="41" t="s">
        <v>93</v>
      </c>
      <c r="AJ89" s="41" t="s">
        <v>93</v>
      </c>
      <c r="AK89" s="41" t="s">
        <v>93</v>
      </c>
      <c r="AL89" s="41" t="s">
        <v>93</v>
      </c>
      <c r="AM89" s="41" t="s">
        <v>93</v>
      </c>
      <c r="AN89" s="15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93</v>
      </c>
      <c r="AX89" s="41" t="s">
        <v>93</v>
      </c>
      <c r="AY89" s="41" t="s">
        <v>93</v>
      </c>
      <c r="AZ89" s="41" t="s">
        <v>93</v>
      </c>
      <c r="BA89" s="41" t="s">
        <v>93</v>
      </c>
      <c r="BB89" s="41" t="s">
        <v>93</v>
      </c>
      <c r="BC89" s="41" t="s">
        <v>93</v>
      </c>
    </row>
    <row r="90">
      <c r="A90" s="41" t="s">
        <v>606</v>
      </c>
      <c r="B90" s="41"/>
      <c r="C90" s="41"/>
      <c r="D90" s="41" t="s">
        <v>607</v>
      </c>
      <c r="E90" s="41">
        <v>1.0</v>
      </c>
      <c r="F90" s="44">
        <v>5457.72</v>
      </c>
      <c r="G90" s="41" t="s">
        <v>87</v>
      </c>
      <c r="H90" s="41">
        <v>8.0</v>
      </c>
      <c r="I90" s="45"/>
      <c r="J90" s="15"/>
      <c r="K90" s="41">
        <v>7.0</v>
      </c>
      <c r="L90" s="52">
        <v>0.0</v>
      </c>
      <c r="M90" s="52">
        <v>0.0</v>
      </c>
      <c r="N90" s="52">
        <v>0.0</v>
      </c>
      <c r="O90" s="52">
        <v>0.0</v>
      </c>
      <c r="P90" s="52">
        <v>0.0</v>
      </c>
      <c r="Q90" s="52">
        <v>0.0</v>
      </c>
      <c r="R90" s="52">
        <v>0.0</v>
      </c>
      <c r="S90" s="47">
        <v>1.0</v>
      </c>
      <c r="T90" s="52">
        <v>0.0</v>
      </c>
      <c r="U90" s="52">
        <v>0.0</v>
      </c>
      <c r="V90" s="52">
        <v>0.0</v>
      </c>
      <c r="W90" s="52">
        <v>0.0</v>
      </c>
      <c r="X90" s="52">
        <v>0.0</v>
      </c>
      <c r="Y90" s="15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93</v>
      </c>
      <c r="AH90" s="41" t="s">
        <v>93</v>
      </c>
      <c r="AI90" s="41" t="s">
        <v>93</v>
      </c>
      <c r="AJ90" s="41" t="s">
        <v>93</v>
      </c>
      <c r="AK90" s="41" t="s">
        <v>93</v>
      </c>
      <c r="AL90" s="41" t="s">
        <v>93</v>
      </c>
      <c r="AM90" s="41" t="s">
        <v>93</v>
      </c>
      <c r="AN90" s="15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93</v>
      </c>
      <c r="AX90" s="41" t="s">
        <v>93</v>
      </c>
      <c r="AY90" s="41" t="s">
        <v>93</v>
      </c>
      <c r="AZ90" s="41" t="s">
        <v>93</v>
      </c>
      <c r="BA90" s="41" t="s">
        <v>93</v>
      </c>
      <c r="BB90" s="41" t="s">
        <v>93</v>
      </c>
      <c r="BC90" s="41" t="s">
        <v>93</v>
      </c>
    </row>
    <row r="91">
      <c r="A91" s="41" t="s">
        <v>310</v>
      </c>
      <c r="B91" s="41"/>
      <c r="C91" s="41" t="s">
        <v>156</v>
      </c>
      <c r="D91" s="41" t="s">
        <v>311</v>
      </c>
      <c r="E91" s="41">
        <v>2.0</v>
      </c>
      <c r="F91" s="44">
        <v>1725.65</v>
      </c>
      <c r="G91" s="41" t="s">
        <v>87</v>
      </c>
      <c r="H91" s="41">
        <v>3.0</v>
      </c>
      <c r="I91" s="45"/>
      <c r="J91" s="15"/>
      <c r="K91" s="41">
        <v>3.0</v>
      </c>
      <c r="L91" s="52">
        <v>0.0</v>
      </c>
      <c r="M91" s="52">
        <v>0.0</v>
      </c>
      <c r="N91" s="52">
        <v>0.0</v>
      </c>
      <c r="O91" s="52">
        <v>0.0</v>
      </c>
      <c r="P91" s="52">
        <v>0.0</v>
      </c>
      <c r="Q91" s="52">
        <v>0.0</v>
      </c>
      <c r="R91" s="52">
        <v>0.0</v>
      </c>
      <c r="S91" s="52">
        <v>0.0</v>
      </c>
      <c r="T91" s="52">
        <v>0.0</v>
      </c>
      <c r="U91" s="52">
        <v>0.0</v>
      </c>
      <c r="V91" s="52">
        <v>0.0</v>
      </c>
      <c r="W91" s="52">
        <v>0.0</v>
      </c>
      <c r="X91" s="52">
        <v>0.0</v>
      </c>
      <c r="Y91" s="15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93</v>
      </c>
      <c r="AH91" s="41" t="s">
        <v>93</v>
      </c>
      <c r="AI91" s="41" t="s">
        <v>93</v>
      </c>
      <c r="AJ91" s="41" t="s">
        <v>93</v>
      </c>
      <c r="AK91" s="41" t="s">
        <v>93</v>
      </c>
      <c r="AL91" s="41" t="s">
        <v>93</v>
      </c>
      <c r="AM91" s="41" t="s">
        <v>93</v>
      </c>
      <c r="AN91" s="15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93</v>
      </c>
      <c r="AX91" s="41" t="s">
        <v>93</v>
      </c>
      <c r="AY91" s="41" t="s">
        <v>93</v>
      </c>
      <c r="AZ91" s="41" t="s">
        <v>93</v>
      </c>
      <c r="BA91" s="41" t="s">
        <v>93</v>
      </c>
      <c r="BB91" s="41" t="s">
        <v>93</v>
      </c>
      <c r="BC91" s="41" t="s">
        <v>93</v>
      </c>
    </row>
    <row r="92">
      <c r="A92" s="41" t="s">
        <v>614</v>
      </c>
      <c r="B92" s="41"/>
      <c r="C92" s="41"/>
      <c r="D92" s="41" t="s">
        <v>615</v>
      </c>
      <c r="E92" s="41">
        <v>12.0</v>
      </c>
      <c r="F92" s="44">
        <v>3043.8</v>
      </c>
      <c r="G92" s="41" t="s">
        <v>87</v>
      </c>
      <c r="H92" s="41">
        <v>35.0</v>
      </c>
      <c r="I92" s="45"/>
      <c r="J92" s="15"/>
      <c r="K92" s="41">
        <v>35.0</v>
      </c>
      <c r="L92" s="52">
        <v>0.0</v>
      </c>
      <c r="M92" s="52">
        <v>0.0</v>
      </c>
      <c r="N92" s="52">
        <v>0.0</v>
      </c>
      <c r="O92" s="52">
        <v>0.0</v>
      </c>
      <c r="P92" s="52">
        <v>0.0</v>
      </c>
      <c r="Q92" s="52">
        <v>0.0</v>
      </c>
      <c r="R92" s="52">
        <v>0.0</v>
      </c>
      <c r="S92" s="52">
        <v>0.0</v>
      </c>
      <c r="T92" s="52">
        <v>0.0</v>
      </c>
      <c r="U92" s="52">
        <v>0.0</v>
      </c>
      <c r="V92" s="52">
        <v>0.0</v>
      </c>
      <c r="W92" s="52">
        <v>0.0</v>
      </c>
      <c r="X92" s="52">
        <v>0.0</v>
      </c>
      <c r="Y92" s="15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93</v>
      </c>
      <c r="AH92" s="41" t="s">
        <v>93</v>
      </c>
      <c r="AI92" s="41" t="s">
        <v>93</v>
      </c>
      <c r="AJ92" s="41" t="s">
        <v>93</v>
      </c>
      <c r="AK92" s="41" t="s">
        <v>93</v>
      </c>
      <c r="AL92" s="41" t="s">
        <v>93</v>
      </c>
      <c r="AM92" s="41" t="s">
        <v>93</v>
      </c>
      <c r="AN92" s="15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93</v>
      </c>
      <c r="AX92" s="41" t="s">
        <v>93</v>
      </c>
      <c r="AY92" s="41" t="s">
        <v>93</v>
      </c>
      <c r="AZ92" s="41" t="s">
        <v>93</v>
      </c>
      <c r="BA92" s="41" t="s">
        <v>93</v>
      </c>
      <c r="BB92" s="41" t="s">
        <v>93</v>
      </c>
      <c r="BC92" s="41" t="s">
        <v>93</v>
      </c>
    </row>
    <row r="93">
      <c r="A93" s="41" t="s">
        <v>618</v>
      </c>
      <c r="B93" s="41"/>
      <c r="C93" s="41"/>
      <c r="D93" s="41" t="s">
        <v>619</v>
      </c>
      <c r="E93" s="41">
        <v>1.0</v>
      </c>
      <c r="F93" s="44">
        <v>4750.0</v>
      </c>
      <c r="G93" s="41" t="s">
        <v>87</v>
      </c>
      <c r="H93" s="41">
        <v>0.0</v>
      </c>
      <c r="I93" s="45"/>
      <c r="J93" s="15"/>
      <c r="K93" s="41">
        <v>0.0</v>
      </c>
      <c r="L93" s="52">
        <v>0.0</v>
      </c>
      <c r="M93" s="52">
        <v>0.0</v>
      </c>
      <c r="N93" s="52">
        <v>0.0</v>
      </c>
      <c r="O93" s="52">
        <v>0.0</v>
      </c>
      <c r="P93" s="52">
        <v>0.0</v>
      </c>
      <c r="Q93" s="52">
        <v>0.0</v>
      </c>
      <c r="R93" s="52">
        <v>0.0</v>
      </c>
      <c r="S93" s="52">
        <v>0.0</v>
      </c>
      <c r="T93" s="52">
        <v>0.0</v>
      </c>
      <c r="U93" s="52">
        <v>0.0</v>
      </c>
      <c r="V93" s="52">
        <v>0.0</v>
      </c>
      <c r="W93" s="52">
        <v>0.0</v>
      </c>
      <c r="X93" s="52">
        <v>0.0</v>
      </c>
      <c r="Y93" s="15"/>
      <c r="Z93" s="41" t="s">
        <v>93</v>
      </c>
      <c r="AA93" s="41"/>
      <c r="AB93" s="41" t="s">
        <v>93</v>
      </c>
      <c r="AC93" s="41" t="s">
        <v>93</v>
      </c>
      <c r="AD93" s="41"/>
      <c r="AE93" s="41" t="s">
        <v>93</v>
      </c>
      <c r="AF93" s="41"/>
      <c r="AG93" s="41" t="s">
        <v>93</v>
      </c>
      <c r="AH93" s="41" t="s">
        <v>93</v>
      </c>
      <c r="AI93" s="41" t="s">
        <v>93</v>
      </c>
      <c r="AJ93" s="41" t="s">
        <v>93</v>
      </c>
      <c r="AK93" s="41" t="s">
        <v>93</v>
      </c>
      <c r="AL93" s="41" t="s">
        <v>93</v>
      </c>
      <c r="AM93" s="41" t="s">
        <v>93</v>
      </c>
      <c r="AN93" s="15"/>
      <c r="AO93" s="41">
        <v>0.0</v>
      </c>
      <c r="AP93" s="41" t="s">
        <v>93</v>
      </c>
      <c r="AQ93" s="41"/>
      <c r="AR93" s="41" t="s">
        <v>93</v>
      </c>
      <c r="AS93" s="41" t="s">
        <v>93</v>
      </c>
      <c r="AT93" s="41"/>
      <c r="AU93" s="41" t="s">
        <v>93</v>
      </c>
      <c r="AV93" s="41"/>
      <c r="AW93" s="41" t="s">
        <v>93</v>
      </c>
      <c r="AX93" s="41" t="s">
        <v>93</v>
      </c>
      <c r="AY93" s="41" t="s">
        <v>93</v>
      </c>
      <c r="AZ93" s="41" t="s">
        <v>93</v>
      </c>
      <c r="BA93" s="41" t="s">
        <v>93</v>
      </c>
      <c r="BB93" s="41" t="s">
        <v>93</v>
      </c>
      <c r="BC93" s="41" t="s">
        <v>93</v>
      </c>
    </row>
    <row r="94">
      <c r="A94" s="41" t="s">
        <v>622</v>
      </c>
      <c r="B94" s="41"/>
      <c r="C94" s="41"/>
      <c r="D94" s="41" t="s">
        <v>623</v>
      </c>
      <c r="E94" s="41">
        <v>1.0</v>
      </c>
      <c r="F94" s="44">
        <v>4884.93</v>
      </c>
      <c r="G94" s="41" t="s">
        <v>87</v>
      </c>
      <c r="H94" s="41">
        <v>3.0</v>
      </c>
      <c r="I94" s="45"/>
      <c r="J94" s="15"/>
      <c r="K94" s="41">
        <v>3.0</v>
      </c>
      <c r="L94" s="52">
        <v>0.0</v>
      </c>
      <c r="M94" s="52">
        <v>0.0</v>
      </c>
      <c r="N94" s="52">
        <v>0.0</v>
      </c>
      <c r="O94" s="52">
        <v>0.0</v>
      </c>
      <c r="P94" s="52">
        <v>0.0</v>
      </c>
      <c r="Q94" s="52">
        <v>0.0</v>
      </c>
      <c r="R94" s="52">
        <v>0.0</v>
      </c>
      <c r="S94" s="52">
        <v>0.0</v>
      </c>
      <c r="T94" s="52">
        <v>0.0</v>
      </c>
      <c r="U94" s="52">
        <v>0.0</v>
      </c>
      <c r="V94" s="52">
        <v>0.0</v>
      </c>
      <c r="W94" s="52">
        <v>0.0</v>
      </c>
      <c r="X94" s="52">
        <v>0.0</v>
      </c>
      <c r="Y94" s="15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93</v>
      </c>
      <c r="AH94" s="41" t="s">
        <v>93</v>
      </c>
      <c r="AI94" s="41" t="s">
        <v>93</v>
      </c>
      <c r="AJ94" s="41" t="s">
        <v>93</v>
      </c>
      <c r="AK94" s="41" t="s">
        <v>93</v>
      </c>
      <c r="AL94" s="41" t="s">
        <v>93</v>
      </c>
      <c r="AM94" s="41" t="s">
        <v>93</v>
      </c>
      <c r="AN94" s="15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93</v>
      </c>
      <c r="AX94" s="41" t="s">
        <v>93</v>
      </c>
      <c r="AY94" s="41" t="s">
        <v>93</v>
      </c>
      <c r="AZ94" s="41" t="s">
        <v>93</v>
      </c>
      <c r="BA94" s="41" t="s">
        <v>93</v>
      </c>
      <c r="BB94" s="41" t="s">
        <v>93</v>
      </c>
      <c r="BC94" s="41" t="s">
        <v>93</v>
      </c>
    </row>
    <row r="95">
      <c r="A95" s="41" t="s">
        <v>627</v>
      </c>
      <c r="B95" s="41"/>
      <c r="C95" s="41"/>
      <c r="D95" s="41" t="s">
        <v>628</v>
      </c>
      <c r="E95" s="41">
        <v>1.0</v>
      </c>
      <c r="F95" s="44">
        <v>272.44</v>
      </c>
      <c r="G95" s="41" t="s">
        <v>87</v>
      </c>
      <c r="H95" s="41">
        <v>19.0</v>
      </c>
      <c r="I95" s="45"/>
      <c r="J95" s="15"/>
      <c r="K95" s="41">
        <v>18.0</v>
      </c>
      <c r="L95" s="52">
        <v>0.0</v>
      </c>
      <c r="M95" s="47">
        <v>1.0</v>
      </c>
      <c r="N95" s="52">
        <v>0.0</v>
      </c>
      <c r="O95" s="52">
        <v>0.0</v>
      </c>
      <c r="P95" s="52">
        <v>0.0</v>
      </c>
      <c r="Q95" s="52">
        <v>0.0</v>
      </c>
      <c r="R95" s="52">
        <v>0.0</v>
      </c>
      <c r="S95" s="52">
        <v>0.0</v>
      </c>
      <c r="T95" s="52">
        <v>0.0</v>
      </c>
      <c r="U95" s="52">
        <v>0.0</v>
      </c>
      <c r="V95" s="52">
        <v>0.0</v>
      </c>
      <c r="W95" s="52">
        <v>0.0</v>
      </c>
      <c r="X95" s="52">
        <v>0.0</v>
      </c>
      <c r="Y95" s="15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93</v>
      </c>
      <c r="AH95" s="41" t="s">
        <v>93</v>
      </c>
      <c r="AI95" s="41" t="s">
        <v>93</v>
      </c>
      <c r="AJ95" s="41" t="s">
        <v>93</v>
      </c>
      <c r="AK95" s="41" t="s">
        <v>93</v>
      </c>
      <c r="AL95" s="41" t="s">
        <v>93</v>
      </c>
      <c r="AM95" s="41" t="s">
        <v>93</v>
      </c>
      <c r="AN95" s="15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93</v>
      </c>
      <c r="AX95" s="41" t="s">
        <v>93</v>
      </c>
      <c r="AY95" s="41" t="s">
        <v>93</v>
      </c>
      <c r="AZ95" s="41" t="s">
        <v>93</v>
      </c>
      <c r="BA95" s="41" t="s">
        <v>93</v>
      </c>
      <c r="BB95" s="41" t="s">
        <v>93</v>
      </c>
      <c r="BC95" s="41" t="s">
        <v>93</v>
      </c>
    </row>
    <row r="96">
      <c r="A96" s="41" t="s">
        <v>633</v>
      </c>
      <c r="B96" s="41"/>
      <c r="C96" s="41"/>
      <c r="D96" s="41" t="s">
        <v>634</v>
      </c>
      <c r="E96" s="41">
        <v>1.0</v>
      </c>
      <c r="F96" s="44">
        <v>2206.8</v>
      </c>
      <c r="G96" s="41" t="s">
        <v>87</v>
      </c>
      <c r="H96" s="41">
        <v>5.0</v>
      </c>
      <c r="I96" s="45"/>
      <c r="J96" s="15"/>
      <c r="K96" s="41">
        <v>5.0</v>
      </c>
      <c r="L96" s="52">
        <v>0.0</v>
      </c>
      <c r="M96" s="52">
        <v>0.0</v>
      </c>
      <c r="N96" s="52">
        <v>0.0</v>
      </c>
      <c r="O96" s="52">
        <v>0.0</v>
      </c>
      <c r="P96" s="52">
        <v>0.0</v>
      </c>
      <c r="Q96" s="52">
        <v>0.0</v>
      </c>
      <c r="R96" s="52">
        <v>0.0</v>
      </c>
      <c r="S96" s="52">
        <v>0.0</v>
      </c>
      <c r="T96" s="52">
        <v>0.0</v>
      </c>
      <c r="U96" s="52">
        <v>0.0</v>
      </c>
      <c r="V96" s="52">
        <v>0.0</v>
      </c>
      <c r="W96" s="52">
        <v>0.0</v>
      </c>
      <c r="X96" s="52">
        <v>0.0</v>
      </c>
      <c r="Y96" s="15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93</v>
      </c>
      <c r="AH96" s="41" t="s">
        <v>93</v>
      </c>
      <c r="AI96" s="41" t="s">
        <v>93</v>
      </c>
      <c r="AJ96" s="41" t="s">
        <v>93</v>
      </c>
      <c r="AK96" s="41" t="s">
        <v>93</v>
      </c>
      <c r="AL96" s="41" t="s">
        <v>93</v>
      </c>
      <c r="AM96" s="41" t="s">
        <v>93</v>
      </c>
      <c r="AN96" s="15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93</v>
      </c>
      <c r="AX96" s="41" t="s">
        <v>93</v>
      </c>
      <c r="AY96" s="41" t="s">
        <v>93</v>
      </c>
      <c r="AZ96" s="41" t="s">
        <v>93</v>
      </c>
      <c r="BA96" s="41" t="s">
        <v>93</v>
      </c>
      <c r="BB96" s="41" t="s">
        <v>93</v>
      </c>
      <c r="BC96" s="41" t="s">
        <v>93</v>
      </c>
    </row>
    <row r="97">
      <c r="A97" s="41" t="s">
        <v>637</v>
      </c>
      <c r="B97" s="41"/>
      <c r="C97" s="41">
        <v>22373.0</v>
      </c>
      <c r="D97" s="41" t="s">
        <v>638</v>
      </c>
      <c r="E97" s="41">
        <v>1.0</v>
      </c>
      <c r="F97" s="44">
        <v>600.0</v>
      </c>
      <c r="G97" s="41" t="s">
        <v>87</v>
      </c>
      <c r="H97" s="41">
        <v>5.0</v>
      </c>
      <c r="I97" s="45"/>
      <c r="J97" s="15"/>
      <c r="K97" s="41">
        <v>4.0</v>
      </c>
      <c r="L97" s="52">
        <v>0.0</v>
      </c>
      <c r="M97" s="52">
        <v>0.0</v>
      </c>
      <c r="N97" s="52">
        <v>0.0</v>
      </c>
      <c r="O97" s="52">
        <v>0.0</v>
      </c>
      <c r="P97" s="52">
        <v>0.0</v>
      </c>
      <c r="Q97" s="52">
        <v>0.0</v>
      </c>
      <c r="R97" s="52">
        <v>0.0</v>
      </c>
      <c r="S97" s="52">
        <v>0.0</v>
      </c>
      <c r="T97" s="52">
        <v>0.0</v>
      </c>
      <c r="U97" s="52">
        <v>0.0</v>
      </c>
      <c r="V97" s="47">
        <v>1.0</v>
      </c>
      <c r="W97" s="52">
        <v>0.0</v>
      </c>
      <c r="X97" s="52">
        <v>0.0</v>
      </c>
      <c r="Y97" s="15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93</v>
      </c>
      <c r="AH97" s="41" t="s">
        <v>93</v>
      </c>
      <c r="AI97" s="41" t="s">
        <v>93</v>
      </c>
      <c r="AJ97" s="41" t="s">
        <v>93</v>
      </c>
      <c r="AK97" s="41" t="s">
        <v>93</v>
      </c>
      <c r="AL97" s="41" t="s">
        <v>93</v>
      </c>
      <c r="AM97" s="41" t="s">
        <v>93</v>
      </c>
      <c r="AN97" s="15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93</v>
      </c>
      <c r="AX97" s="41" t="s">
        <v>93</v>
      </c>
      <c r="AY97" s="41" t="s">
        <v>93</v>
      </c>
      <c r="AZ97" s="41" t="s">
        <v>93</v>
      </c>
      <c r="BA97" s="41" t="s">
        <v>93</v>
      </c>
      <c r="BB97" s="41" t="s">
        <v>93</v>
      </c>
      <c r="BC97" s="41" t="s">
        <v>93</v>
      </c>
    </row>
    <row r="98">
      <c r="A98" s="41" t="s">
        <v>640</v>
      </c>
      <c r="B98" s="41"/>
      <c r="C98" s="41"/>
      <c r="D98" s="41" t="s">
        <v>641</v>
      </c>
      <c r="E98" s="41">
        <v>1.0</v>
      </c>
      <c r="F98" s="44">
        <v>2428.1</v>
      </c>
      <c r="G98" s="41" t="s">
        <v>87</v>
      </c>
      <c r="H98" s="41">
        <v>40.0</v>
      </c>
      <c r="I98" s="45"/>
      <c r="J98" s="15"/>
      <c r="K98" s="41">
        <v>40.0</v>
      </c>
      <c r="L98" s="52">
        <v>0.0</v>
      </c>
      <c r="M98" s="52">
        <v>0.0</v>
      </c>
      <c r="N98" s="52">
        <v>0.0</v>
      </c>
      <c r="O98" s="52">
        <v>0.0</v>
      </c>
      <c r="P98" s="52">
        <v>0.0</v>
      </c>
      <c r="Q98" s="52">
        <v>0.0</v>
      </c>
      <c r="R98" s="52">
        <v>0.0</v>
      </c>
      <c r="S98" s="52">
        <v>0.0</v>
      </c>
      <c r="T98" s="52">
        <v>0.0</v>
      </c>
      <c r="U98" s="52">
        <v>0.0</v>
      </c>
      <c r="V98" s="52">
        <v>0.0</v>
      </c>
      <c r="W98" s="52">
        <v>0.0</v>
      </c>
      <c r="X98" s="52">
        <v>0.0</v>
      </c>
      <c r="Y98" s="15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93</v>
      </c>
      <c r="AH98" s="41" t="s">
        <v>93</v>
      </c>
      <c r="AI98" s="41" t="s">
        <v>93</v>
      </c>
      <c r="AJ98" s="41" t="s">
        <v>93</v>
      </c>
      <c r="AK98" s="41" t="s">
        <v>93</v>
      </c>
      <c r="AL98" s="41" t="s">
        <v>93</v>
      </c>
      <c r="AM98" s="41" t="s">
        <v>93</v>
      </c>
      <c r="AN98" s="15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93</v>
      </c>
      <c r="AX98" s="41" t="s">
        <v>93</v>
      </c>
      <c r="AY98" s="41" t="s">
        <v>93</v>
      </c>
      <c r="AZ98" s="41" t="s">
        <v>93</v>
      </c>
      <c r="BA98" s="41" t="s">
        <v>93</v>
      </c>
      <c r="BB98" s="41" t="s">
        <v>93</v>
      </c>
      <c r="BC98" s="41" t="s">
        <v>93</v>
      </c>
    </row>
    <row r="99">
      <c r="A99" s="41" t="s">
        <v>646</v>
      </c>
      <c r="B99" s="41"/>
      <c r="C99" s="41"/>
      <c r="D99" s="41" t="s">
        <v>647</v>
      </c>
      <c r="E99" s="41">
        <v>1.0</v>
      </c>
      <c r="F99" s="44">
        <v>1268.85</v>
      </c>
      <c r="G99" s="41" t="s">
        <v>87</v>
      </c>
      <c r="H99" s="41">
        <v>16.0</v>
      </c>
      <c r="I99" s="45"/>
      <c r="J99" s="15"/>
      <c r="K99" s="41">
        <v>16.0</v>
      </c>
      <c r="L99" s="52">
        <v>0.0</v>
      </c>
      <c r="M99" s="52">
        <v>0.0</v>
      </c>
      <c r="N99" s="52">
        <v>0.0</v>
      </c>
      <c r="O99" s="52">
        <v>0.0</v>
      </c>
      <c r="P99" s="52">
        <v>0.0</v>
      </c>
      <c r="Q99" s="52">
        <v>0.0</v>
      </c>
      <c r="R99" s="52">
        <v>0.0</v>
      </c>
      <c r="S99" s="52">
        <v>0.0</v>
      </c>
      <c r="T99" s="52">
        <v>0.0</v>
      </c>
      <c r="U99" s="52">
        <v>0.0</v>
      </c>
      <c r="V99" s="52">
        <v>0.0</v>
      </c>
      <c r="W99" s="52">
        <v>0.0</v>
      </c>
      <c r="X99" s="52">
        <v>0.0</v>
      </c>
      <c r="Y99" s="15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93</v>
      </c>
      <c r="AH99" s="41" t="s">
        <v>93</v>
      </c>
      <c r="AI99" s="41" t="s">
        <v>93</v>
      </c>
      <c r="AJ99" s="41" t="s">
        <v>93</v>
      </c>
      <c r="AK99" s="41" t="s">
        <v>93</v>
      </c>
      <c r="AL99" s="41" t="s">
        <v>93</v>
      </c>
      <c r="AM99" s="41" t="s">
        <v>93</v>
      </c>
      <c r="AN99" s="15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93</v>
      </c>
      <c r="AX99" s="41" t="s">
        <v>93</v>
      </c>
      <c r="AY99" s="41" t="s">
        <v>93</v>
      </c>
      <c r="AZ99" s="41" t="s">
        <v>93</v>
      </c>
      <c r="BA99" s="41" t="s">
        <v>93</v>
      </c>
      <c r="BB99" s="41" t="s">
        <v>93</v>
      </c>
      <c r="BC99" s="41" t="s">
        <v>93</v>
      </c>
    </row>
    <row r="100">
      <c r="A100" s="41" t="s">
        <v>653</v>
      </c>
      <c r="B100" s="41"/>
      <c r="C100" s="41">
        <v>198.0</v>
      </c>
      <c r="D100" s="41" t="s">
        <v>654</v>
      </c>
      <c r="E100" s="41">
        <v>1.0</v>
      </c>
      <c r="F100" s="44">
        <v>344.08</v>
      </c>
      <c r="G100" s="41" t="s">
        <v>87</v>
      </c>
      <c r="H100" s="41">
        <v>4.0</v>
      </c>
      <c r="I100" s="45"/>
      <c r="J100" s="15"/>
      <c r="K100" s="41">
        <v>4.0</v>
      </c>
      <c r="L100" s="52">
        <v>0.0</v>
      </c>
      <c r="M100" s="52">
        <v>0.0</v>
      </c>
      <c r="N100" s="52">
        <v>0.0</v>
      </c>
      <c r="O100" s="52">
        <v>0.0</v>
      </c>
      <c r="P100" s="52">
        <v>0.0</v>
      </c>
      <c r="Q100" s="52">
        <v>0.0</v>
      </c>
      <c r="R100" s="52">
        <v>0.0</v>
      </c>
      <c r="S100" s="52">
        <v>0.0</v>
      </c>
      <c r="T100" s="52">
        <v>0.0</v>
      </c>
      <c r="U100" s="52">
        <v>0.0</v>
      </c>
      <c r="V100" s="52">
        <v>0.0</v>
      </c>
      <c r="W100" s="52">
        <v>0.0</v>
      </c>
      <c r="X100" s="52">
        <v>0.0</v>
      </c>
      <c r="Y100" s="15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93</v>
      </c>
      <c r="AH100" s="41" t="s">
        <v>93</v>
      </c>
      <c r="AI100" s="41" t="s">
        <v>93</v>
      </c>
      <c r="AJ100" s="41" t="s">
        <v>93</v>
      </c>
      <c r="AK100" s="41" t="s">
        <v>93</v>
      </c>
      <c r="AL100" s="41" t="s">
        <v>93</v>
      </c>
      <c r="AM100" s="41" t="s">
        <v>93</v>
      </c>
      <c r="AN100" s="15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93</v>
      </c>
      <c r="AX100" s="41" t="s">
        <v>93</v>
      </c>
      <c r="AY100" s="41" t="s">
        <v>93</v>
      </c>
      <c r="AZ100" s="41" t="s">
        <v>93</v>
      </c>
      <c r="BA100" s="41" t="s">
        <v>93</v>
      </c>
      <c r="BB100" s="41" t="s">
        <v>93</v>
      </c>
      <c r="BC100" s="41" t="s">
        <v>93</v>
      </c>
    </row>
    <row r="101">
      <c r="A101" s="41" t="s">
        <v>658</v>
      </c>
      <c r="B101" s="41"/>
      <c r="C101" s="41"/>
      <c r="D101" s="41" t="s">
        <v>659</v>
      </c>
      <c r="E101" s="41">
        <v>1.0</v>
      </c>
      <c r="F101" s="44">
        <v>3327.04</v>
      </c>
      <c r="G101" s="41" t="s">
        <v>87</v>
      </c>
      <c r="H101" s="41">
        <v>4.0</v>
      </c>
      <c r="I101" s="45"/>
      <c r="J101" s="15"/>
      <c r="K101" s="41">
        <v>2.0</v>
      </c>
      <c r="L101" s="52">
        <v>0.0</v>
      </c>
      <c r="M101" s="52">
        <v>0.0</v>
      </c>
      <c r="N101" s="52">
        <v>1.0</v>
      </c>
      <c r="O101" s="52">
        <v>0.0</v>
      </c>
      <c r="P101" s="52">
        <v>0.0</v>
      </c>
      <c r="Q101" s="52">
        <v>0.0</v>
      </c>
      <c r="R101" s="52">
        <v>1.0</v>
      </c>
      <c r="S101" s="52">
        <v>0.0</v>
      </c>
      <c r="T101" s="52">
        <v>0.0</v>
      </c>
      <c r="U101" s="52">
        <v>0.0</v>
      </c>
      <c r="V101" s="52">
        <v>0.0</v>
      </c>
      <c r="W101" s="52">
        <v>0.0</v>
      </c>
      <c r="X101" s="52">
        <v>0.0</v>
      </c>
      <c r="Y101" s="15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93</v>
      </c>
      <c r="AH101" s="41" t="s">
        <v>93</v>
      </c>
      <c r="AI101" s="41" t="s">
        <v>93</v>
      </c>
      <c r="AJ101" s="41" t="s">
        <v>93</v>
      </c>
      <c r="AK101" s="41" t="s">
        <v>93</v>
      </c>
      <c r="AL101" s="41" t="s">
        <v>93</v>
      </c>
      <c r="AM101" s="41" t="s">
        <v>93</v>
      </c>
      <c r="AN101" s="15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93</v>
      </c>
      <c r="AX101" s="41" t="s">
        <v>93</v>
      </c>
      <c r="AY101" s="41" t="s">
        <v>93</v>
      </c>
      <c r="AZ101" s="41" t="s">
        <v>93</v>
      </c>
      <c r="BA101" s="41" t="s">
        <v>93</v>
      </c>
      <c r="BB101" s="41" t="s">
        <v>93</v>
      </c>
      <c r="BC101" s="41" t="s">
        <v>93</v>
      </c>
    </row>
    <row r="102">
      <c r="A102" s="41" t="s">
        <v>663</v>
      </c>
      <c r="B102" s="41"/>
      <c r="C102" s="41"/>
      <c r="D102" s="41" t="s">
        <v>664</v>
      </c>
      <c r="E102" s="41">
        <v>1.0</v>
      </c>
      <c r="F102" s="44">
        <v>12258.16</v>
      </c>
      <c r="G102" s="41" t="s">
        <v>87</v>
      </c>
      <c r="H102" s="41">
        <v>0.0</v>
      </c>
      <c r="I102" s="45"/>
      <c r="J102" s="15"/>
      <c r="K102" s="41">
        <v>0.0</v>
      </c>
      <c r="L102" s="52">
        <v>0.0</v>
      </c>
      <c r="M102" s="52">
        <v>0.0</v>
      </c>
      <c r="N102" s="52">
        <v>0.0</v>
      </c>
      <c r="O102" s="52">
        <v>0.0</v>
      </c>
      <c r="P102" s="52">
        <v>0.0</v>
      </c>
      <c r="Q102" s="52">
        <v>0.0</v>
      </c>
      <c r="R102" s="52">
        <v>0.0</v>
      </c>
      <c r="S102" s="52">
        <v>0.0</v>
      </c>
      <c r="T102" s="52">
        <v>0.0</v>
      </c>
      <c r="U102" s="52">
        <v>0.0</v>
      </c>
      <c r="V102" s="52">
        <v>0.0</v>
      </c>
      <c r="W102" s="52">
        <v>0.0</v>
      </c>
      <c r="X102" s="52">
        <v>0.0</v>
      </c>
      <c r="Y102" s="15"/>
      <c r="Z102" s="41"/>
      <c r="AA102" s="41"/>
      <c r="AB102" s="41"/>
      <c r="AC102" s="41"/>
      <c r="AD102" s="41"/>
      <c r="AE102" s="41"/>
      <c r="AF102" s="41"/>
      <c r="AG102" s="41" t="s">
        <v>93</v>
      </c>
      <c r="AH102" s="41" t="s">
        <v>93</v>
      </c>
      <c r="AI102" s="41" t="s">
        <v>93</v>
      </c>
      <c r="AJ102" s="41" t="s">
        <v>93</v>
      </c>
      <c r="AK102" s="41" t="s">
        <v>93</v>
      </c>
      <c r="AL102" s="41" t="s">
        <v>93</v>
      </c>
      <c r="AM102" s="41" t="s">
        <v>93</v>
      </c>
      <c r="AN102" s="15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93</v>
      </c>
      <c r="AX102" s="41" t="s">
        <v>93</v>
      </c>
      <c r="AY102" s="41" t="s">
        <v>93</v>
      </c>
      <c r="AZ102" s="41" t="s">
        <v>93</v>
      </c>
      <c r="BA102" s="41" t="s">
        <v>93</v>
      </c>
      <c r="BB102" s="41" t="s">
        <v>93</v>
      </c>
      <c r="BC102" s="41" t="s">
        <v>93</v>
      </c>
    </row>
    <row r="103">
      <c r="A103" s="41" t="s">
        <v>667</v>
      </c>
      <c r="B103" s="41"/>
      <c r="C103" s="41" t="s">
        <v>275</v>
      </c>
      <c r="D103" s="41" t="s">
        <v>668</v>
      </c>
      <c r="E103" s="41">
        <v>1.0</v>
      </c>
      <c r="F103" s="44">
        <v>2195.0</v>
      </c>
      <c r="G103" s="41" t="s">
        <v>87</v>
      </c>
      <c r="H103" s="41">
        <v>5.0</v>
      </c>
      <c r="I103" s="45"/>
      <c r="J103" s="15"/>
      <c r="K103" s="41">
        <v>4.0</v>
      </c>
      <c r="L103" s="52">
        <v>0.0</v>
      </c>
      <c r="M103" s="52">
        <v>0.0</v>
      </c>
      <c r="N103" s="52">
        <v>0.0</v>
      </c>
      <c r="O103" s="47">
        <v>1.0</v>
      </c>
      <c r="P103" s="52">
        <v>0.0</v>
      </c>
      <c r="Q103" s="52">
        <v>0.0</v>
      </c>
      <c r="R103" s="52">
        <v>0.0</v>
      </c>
      <c r="S103" s="52">
        <v>0.0</v>
      </c>
      <c r="T103" s="52">
        <v>0.0</v>
      </c>
      <c r="U103" s="52">
        <v>0.0</v>
      </c>
      <c r="V103" s="52">
        <v>0.0</v>
      </c>
      <c r="W103" s="52">
        <v>0.0</v>
      </c>
      <c r="X103" s="52">
        <v>0.0</v>
      </c>
      <c r="Y103" s="15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93</v>
      </c>
      <c r="AH103" s="41" t="s">
        <v>93</v>
      </c>
      <c r="AI103" s="41" t="s">
        <v>93</v>
      </c>
      <c r="AJ103" s="41" t="s">
        <v>93</v>
      </c>
      <c r="AK103" s="41" t="s">
        <v>93</v>
      </c>
      <c r="AL103" s="41" t="s">
        <v>93</v>
      </c>
      <c r="AM103" s="41" t="s">
        <v>93</v>
      </c>
      <c r="AN103" s="15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93</v>
      </c>
      <c r="AX103" s="41" t="s">
        <v>93</v>
      </c>
      <c r="AY103" s="41" t="s">
        <v>93</v>
      </c>
      <c r="AZ103" s="41" t="s">
        <v>93</v>
      </c>
      <c r="BA103" s="41" t="s">
        <v>93</v>
      </c>
      <c r="BB103" s="41" t="s">
        <v>93</v>
      </c>
      <c r="BC103" s="41" t="s">
        <v>93</v>
      </c>
    </row>
    <row r="104">
      <c r="A104" s="41" t="s">
        <v>671</v>
      </c>
      <c r="B104" s="41"/>
      <c r="C104" s="41" t="s">
        <v>275</v>
      </c>
      <c r="D104" s="41" t="s">
        <v>673</v>
      </c>
      <c r="E104" s="41">
        <v>1.0</v>
      </c>
      <c r="F104" s="44">
        <v>2785.71</v>
      </c>
      <c r="G104" s="41" t="s">
        <v>87</v>
      </c>
      <c r="H104" s="41">
        <v>0.0</v>
      </c>
      <c r="I104" s="45"/>
      <c r="J104" s="15"/>
      <c r="K104" s="41">
        <v>0.0</v>
      </c>
      <c r="L104" s="52">
        <v>0.0</v>
      </c>
      <c r="M104" s="52">
        <v>0.0</v>
      </c>
      <c r="N104" s="52">
        <v>0.0</v>
      </c>
      <c r="O104" s="52">
        <v>0.0</v>
      </c>
      <c r="P104" s="52">
        <v>0.0</v>
      </c>
      <c r="Q104" s="52">
        <v>0.0</v>
      </c>
      <c r="R104" s="52">
        <v>0.0</v>
      </c>
      <c r="S104" s="52">
        <v>0.0</v>
      </c>
      <c r="T104" s="52">
        <v>0.0</v>
      </c>
      <c r="U104" s="52">
        <v>0.0</v>
      </c>
      <c r="V104" s="52">
        <v>0.0</v>
      </c>
      <c r="W104" s="52">
        <v>0.0</v>
      </c>
      <c r="X104" s="52">
        <v>0.0</v>
      </c>
      <c r="Y104" s="15"/>
      <c r="Z104" s="41" t="s">
        <v>93</v>
      </c>
      <c r="AA104" s="41"/>
      <c r="AB104" s="41" t="s">
        <v>93</v>
      </c>
      <c r="AC104" s="41" t="s">
        <v>93</v>
      </c>
      <c r="AD104" s="41"/>
      <c r="AE104" s="41" t="s">
        <v>93</v>
      </c>
      <c r="AF104" s="41"/>
      <c r="AG104" s="41" t="s">
        <v>93</v>
      </c>
      <c r="AH104" s="41" t="s">
        <v>93</v>
      </c>
      <c r="AI104" s="41" t="s">
        <v>93</v>
      </c>
      <c r="AJ104" s="41" t="s">
        <v>93</v>
      </c>
      <c r="AK104" s="41" t="s">
        <v>93</v>
      </c>
      <c r="AL104" s="41" t="s">
        <v>93</v>
      </c>
      <c r="AM104" s="41" t="s">
        <v>93</v>
      </c>
      <c r="AN104" s="15"/>
      <c r="AO104" s="41">
        <v>2.0</v>
      </c>
      <c r="AP104" s="41" t="s">
        <v>93</v>
      </c>
      <c r="AQ104" s="41"/>
      <c r="AR104" s="41" t="s">
        <v>93</v>
      </c>
      <c r="AS104" s="41" t="s">
        <v>93</v>
      </c>
      <c r="AT104" s="41">
        <v>1.0</v>
      </c>
      <c r="AU104" s="41" t="s">
        <v>93</v>
      </c>
      <c r="AV104" s="41">
        <v>1.0</v>
      </c>
      <c r="AW104" s="41" t="s">
        <v>93</v>
      </c>
      <c r="AX104" s="41" t="s">
        <v>93</v>
      </c>
      <c r="AY104" s="41" t="s">
        <v>93</v>
      </c>
      <c r="AZ104" s="41" t="s">
        <v>93</v>
      </c>
      <c r="BA104" s="41" t="s">
        <v>93</v>
      </c>
      <c r="BB104" s="41" t="s">
        <v>93</v>
      </c>
      <c r="BC104" s="41" t="s">
        <v>93</v>
      </c>
    </row>
    <row r="105">
      <c r="A105" s="41" t="s">
        <v>677</v>
      </c>
      <c r="B105" s="41"/>
      <c r="C105" s="41"/>
      <c r="D105" s="41" t="s">
        <v>679</v>
      </c>
      <c r="E105" s="41">
        <v>1.0</v>
      </c>
      <c r="F105" s="44">
        <v>5731.94</v>
      </c>
      <c r="G105" s="41" t="s">
        <v>87</v>
      </c>
      <c r="H105" s="41">
        <v>0.0</v>
      </c>
      <c r="I105" s="45"/>
      <c r="J105" s="15"/>
      <c r="K105" s="41">
        <v>0.0</v>
      </c>
      <c r="L105" s="52">
        <v>0.0</v>
      </c>
      <c r="M105" s="52">
        <v>0.0</v>
      </c>
      <c r="N105" s="52">
        <v>0.0</v>
      </c>
      <c r="O105" s="52">
        <v>0.0</v>
      </c>
      <c r="P105" s="52">
        <v>0.0</v>
      </c>
      <c r="Q105" s="52">
        <v>0.0</v>
      </c>
      <c r="R105" s="52">
        <v>0.0</v>
      </c>
      <c r="S105" s="52">
        <v>0.0</v>
      </c>
      <c r="T105" s="52">
        <v>0.0</v>
      </c>
      <c r="U105" s="52">
        <v>0.0</v>
      </c>
      <c r="V105" s="52">
        <v>0.0</v>
      </c>
      <c r="W105" s="52">
        <v>0.0</v>
      </c>
      <c r="X105" s="52">
        <v>0.0</v>
      </c>
      <c r="Y105" s="15"/>
      <c r="Z105" s="41"/>
      <c r="AA105" s="41"/>
      <c r="AB105" s="41"/>
      <c r="AC105" s="41"/>
      <c r="AD105" s="41"/>
      <c r="AE105" s="41"/>
      <c r="AF105" s="41"/>
      <c r="AG105" s="41" t="s">
        <v>93</v>
      </c>
      <c r="AH105" s="41" t="s">
        <v>93</v>
      </c>
      <c r="AI105" s="41" t="s">
        <v>93</v>
      </c>
      <c r="AJ105" s="41" t="s">
        <v>93</v>
      </c>
      <c r="AK105" s="41" t="s">
        <v>93</v>
      </c>
      <c r="AL105" s="41" t="s">
        <v>93</v>
      </c>
      <c r="AM105" s="41" t="s">
        <v>93</v>
      </c>
      <c r="AN105" s="15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93</v>
      </c>
      <c r="AX105" s="41" t="s">
        <v>93</v>
      </c>
      <c r="AY105" s="41" t="s">
        <v>93</v>
      </c>
      <c r="AZ105" s="41" t="s">
        <v>93</v>
      </c>
      <c r="BA105" s="41" t="s">
        <v>93</v>
      </c>
      <c r="BB105" s="41" t="s">
        <v>93</v>
      </c>
      <c r="BC105" s="41" t="s">
        <v>93</v>
      </c>
    </row>
    <row r="106">
      <c r="A106" s="41" t="s">
        <v>281</v>
      </c>
      <c r="B106" s="41"/>
      <c r="C106" s="41"/>
      <c r="D106" s="41" t="s">
        <v>282</v>
      </c>
      <c r="E106" s="41">
        <v>1.0</v>
      </c>
      <c r="F106" s="44">
        <v>2962.72</v>
      </c>
      <c r="G106" s="41" t="s">
        <v>87</v>
      </c>
      <c r="H106" s="41">
        <v>4.0</v>
      </c>
      <c r="I106" s="45"/>
      <c r="J106" s="15"/>
      <c r="K106" s="41">
        <v>2.0</v>
      </c>
      <c r="L106" s="52">
        <v>0.0</v>
      </c>
      <c r="M106" s="52">
        <v>0.0</v>
      </c>
      <c r="N106" s="52">
        <v>0.0</v>
      </c>
      <c r="O106" s="52">
        <v>0.0</v>
      </c>
      <c r="P106" s="52">
        <v>0.0</v>
      </c>
      <c r="Q106" s="52">
        <v>0.0</v>
      </c>
      <c r="R106" s="52">
        <v>0.0</v>
      </c>
      <c r="S106" s="52">
        <v>0.0</v>
      </c>
      <c r="T106" s="52">
        <v>0.0</v>
      </c>
      <c r="U106" s="52">
        <v>0.0</v>
      </c>
      <c r="V106" s="52">
        <v>0.0</v>
      </c>
      <c r="W106" s="47">
        <v>2.0</v>
      </c>
      <c r="X106" s="52">
        <v>0.0</v>
      </c>
      <c r="Y106" s="15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93</v>
      </c>
      <c r="AH106" s="41" t="s">
        <v>93</v>
      </c>
      <c r="AI106" s="41" t="s">
        <v>93</v>
      </c>
      <c r="AJ106" s="41" t="s">
        <v>93</v>
      </c>
      <c r="AK106" s="41" t="s">
        <v>93</v>
      </c>
      <c r="AL106" s="41" t="s">
        <v>93</v>
      </c>
      <c r="AM106" s="41" t="s">
        <v>93</v>
      </c>
      <c r="AN106" s="15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93</v>
      </c>
      <c r="AX106" s="41" t="s">
        <v>93</v>
      </c>
      <c r="AY106" s="41" t="s">
        <v>93</v>
      </c>
      <c r="AZ106" s="41" t="s">
        <v>93</v>
      </c>
      <c r="BA106" s="41" t="s">
        <v>93</v>
      </c>
      <c r="BB106" s="41" t="s">
        <v>93</v>
      </c>
      <c r="BC106" s="41" t="s">
        <v>93</v>
      </c>
    </row>
    <row r="107">
      <c r="A107" s="41" t="s">
        <v>686</v>
      </c>
      <c r="B107" s="41"/>
      <c r="C107" s="41" t="s">
        <v>156</v>
      </c>
      <c r="D107" s="41" t="s">
        <v>687</v>
      </c>
      <c r="E107" s="41">
        <v>1.0</v>
      </c>
      <c r="F107" s="44">
        <v>194.0</v>
      </c>
      <c r="G107" s="41" t="s">
        <v>87</v>
      </c>
      <c r="H107" s="41">
        <v>3.0</v>
      </c>
      <c r="I107" s="45"/>
      <c r="J107" s="15"/>
      <c r="K107" s="41">
        <v>3.0</v>
      </c>
      <c r="L107" s="52">
        <v>0.0</v>
      </c>
      <c r="M107" s="52">
        <v>0.0</v>
      </c>
      <c r="N107" s="52">
        <v>0.0</v>
      </c>
      <c r="O107" s="52">
        <v>0.0</v>
      </c>
      <c r="P107" s="52">
        <v>0.0</v>
      </c>
      <c r="Q107" s="52">
        <v>0.0</v>
      </c>
      <c r="R107" s="52">
        <v>0.0</v>
      </c>
      <c r="S107" s="52">
        <v>0.0</v>
      </c>
      <c r="T107" s="52">
        <v>0.0</v>
      </c>
      <c r="U107" s="52">
        <v>0.0</v>
      </c>
      <c r="V107" s="52">
        <v>0.0</v>
      </c>
      <c r="W107" s="52">
        <v>0.0</v>
      </c>
      <c r="X107" s="52">
        <v>0.0</v>
      </c>
      <c r="Y107" s="15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93</v>
      </c>
      <c r="AH107" s="41" t="s">
        <v>93</v>
      </c>
      <c r="AI107" s="41" t="s">
        <v>93</v>
      </c>
      <c r="AJ107" s="41" t="s">
        <v>93</v>
      </c>
      <c r="AK107" s="41" t="s">
        <v>93</v>
      </c>
      <c r="AL107" s="41" t="s">
        <v>93</v>
      </c>
      <c r="AM107" s="41" t="s">
        <v>93</v>
      </c>
      <c r="AN107" s="15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93</v>
      </c>
      <c r="AX107" s="41" t="s">
        <v>93</v>
      </c>
      <c r="AY107" s="41" t="s">
        <v>93</v>
      </c>
      <c r="AZ107" s="41" t="s">
        <v>93</v>
      </c>
      <c r="BA107" s="41" t="s">
        <v>93</v>
      </c>
      <c r="BB107" s="41" t="s">
        <v>93</v>
      </c>
      <c r="BC107" s="41" t="s">
        <v>93</v>
      </c>
    </row>
    <row r="108">
      <c r="A108" s="41" t="s">
        <v>691</v>
      </c>
      <c r="B108" s="41"/>
      <c r="C108" s="41">
        <v>30467.0</v>
      </c>
      <c r="D108" s="41" t="s">
        <v>692</v>
      </c>
      <c r="E108" s="41">
        <v>1.0</v>
      </c>
      <c r="F108" s="44">
        <v>572.6</v>
      </c>
      <c r="G108" s="41" t="s">
        <v>87</v>
      </c>
      <c r="H108" s="41">
        <v>2.0</v>
      </c>
      <c r="I108" s="45"/>
      <c r="J108" s="15"/>
      <c r="K108" s="41">
        <v>2.0</v>
      </c>
      <c r="L108" s="52">
        <v>0.0</v>
      </c>
      <c r="M108" s="52">
        <v>0.0</v>
      </c>
      <c r="N108" s="52">
        <v>0.0</v>
      </c>
      <c r="O108" s="52">
        <v>0.0</v>
      </c>
      <c r="P108" s="52">
        <v>0.0</v>
      </c>
      <c r="Q108" s="52">
        <v>0.0</v>
      </c>
      <c r="R108" s="52">
        <v>0.0</v>
      </c>
      <c r="S108" s="52">
        <v>0.0</v>
      </c>
      <c r="T108" s="52">
        <v>0.0</v>
      </c>
      <c r="U108" s="52">
        <v>0.0</v>
      </c>
      <c r="V108" s="52">
        <v>0.0</v>
      </c>
      <c r="W108" s="52">
        <v>0.0</v>
      </c>
      <c r="X108" s="52">
        <v>0.0</v>
      </c>
      <c r="Y108" s="15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93</v>
      </c>
      <c r="AH108" s="41" t="s">
        <v>93</v>
      </c>
      <c r="AI108" s="41" t="s">
        <v>93</v>
      </c>
      <c r="AJ108" s="41" t="s">
        <v>93</v>
      </c>
      <c r="AK108" s="41" t="s">
        <v>93</v>
      </c>
      <c r="AL108" s="41" t="s">
        <v>93</v>
      </c>
      <c r="AM108" s="41" t="s">
        <v>93</v>
      </c>
      <c r="AN108" s="15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93</v>
      </c>
      <c r="AX108" s="41" t="s">
        <v>93</v>
      </c>
      <c r="AY108" s="41" t="s">
        <v>93</v>
      </c>
      <c r="AZ108" s="41" t="s">
        <v>93</v>
      </c>
      <c r="BA108" s="41" t="s">
        <v>93</v>
      </c>
      <c r="BB108" s="41" t="s">
        <v>93</v>
      </c>
      <c r="BC108" s="41" t="s">
        <v>93</v>
      </c>
    </row>
    <row r="109">
      <c r="A109" s="41" t="s">
        <v>694</v>
      </c>
      <c r="B109" s="41"/>
      <c r="C109" s="41">
        <v>30467.0</v>
      </c>
      <c r="D109" s="41" t="s">
        <v>695</v>
      </c>
      <c r="E109" s="41">
        <v>1.0</v>
      </c>
      <c r="F109" s="44">
        <v>516.0</v>
      </c>
      <c r="G109" s="41" t="s">
        <v>87</v>
      </c>
      <c r="H109" s="41">
        <v>4.0</v>
      </c>
      <c r="I109" s="45"/>
      <c r="J109" s="15"/>
      <c r="K109" s="41">
        <v>4.0</v>
      </c>
      <c r="L109" s="47">
        <v>0.0</v>
      </c>
      <c r="M109" s="47">
        <v>0.0</v>
      </c>
      <c r="N109" s="47">
        <v>0.0</v>
      </c>
      <c r="O109" s="47">
        <v>0.0</v>
      </c>
      <c r="P109" s="47">
        <v>0.0</v>
      </c>
      <c r="Q109" s="47">
        <v>0.0</v>
      </c>
      <c r="R109" s="47">
        <v>0.0</v>
      </c>
      <c r="S109" s="47">
        <v>0.0</v>
      </c>
      <c r="T109" s="47">
        <v>0.0</v>
      </c>
      <c r="U109" s="47">
        <v>0.0</v>
      </c>
      <c r="V109" s="47">
        <v>0.0</v>
      </c>
      <c r="W109" s="47">
        <v>0.0</v>
      </c>
      <c r="X109" s="47">
        <v>0.0</v>
      </c>
      <c r="Y109" s="15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93</v>
      </c>
      <c r="AH109" s="41" t="s">
        <v>93</v>
      </c>
      <c r="AI109" s="41" t="s">
        <v>93</v>
      </c>
      <c r="AJ109" s="41" t="s">
        <v>93</v>
      </c>
      <c r="AK109" s="41" t="s">
        <v>93</v>
      </c>
      <c r="AL109" s="41" t="s">
        <v>93</v>
      </c>
      <c r="AM109" s="41" t="s">
        <v>93</v>
      </c>
      <c r="AN109" s="15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93</v>
      </c>
      <c r="AX109" s="41" t="s">
        <v>93</v>
      </c>
      <c r="AY109" s="41" t="s">
        <v>93</v>
      </c>
      <c r="AZ109" s="41" t="s">
        <v>93</v>
      </c>
      <c r="BA109" s="41" t="s">
        <v>93</v>
      </c>
      <c r="BB109" s="41" t="s">
        <v>93</v>
      </c>
      <c r="BC109" s="41" t="s">
        <v>93</v>
      </c>
    </row>
    <row r="110">
      <c r="A110" s="41" t="s">
        <v>701</v>
      </c>
      <c r="B110" s="41"/>
      <c r="C110" s="41"/>
      <c r="D110" s="41" t="s">
        <v>704</v>
      </c>
      <c r="E110" s="41">
        <v>1.0</v>
      </c>
      <c r="F110" s="44">
        <v>1248.85</v>
      </c>
      <c r="G110" s="41" t="s">
        <v>87</v>
      </c>
      <c r="H110" s="41">
        <v>5.0</v>
      </c>
      <c r="I110" s="45"/>
      <c r="J110" s="15"/>
      <c r="K110" s="41">
        <v>5.0</v>
      </c>
      <c r="L110" s="47">
        <v>0.0</v>
      </c>
      <c r="M110" s="47">
        <v>0.0</v>
      </c>
      <c r="N110" s="47">
        <v>0.0</v>
      </c>
      <c r="O110" s="47">
        <v>0.0</v>
      </c>
      <c r="P110" s="47">
        <v>0.0</v>
      </c>
      <c r="Q110" s="47">
        <v>0.0</v>
      </c>
      <c r="R110" s="47">
        <v>0.0</v>
      </c>
      <c r="S110" s="47">
        <v>0.0</v>
      </c>
      <c r="T110" s="47">
        <v>0.0</v>
      </c>
      <c r="U110" s="47">
        <v>0.0</v>
      </c>
      <c r="V110" s="47">
        <v>0.0</v>
      </c>
      <c r="W110" s="47">
        <v>0.0</v>
      </c>
      <c r="X110" s="47">
        <v>0.0</v>
      </c>
      <c r="Y110" s="15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93</v>
      </c>
      <c r="AH110" s="41" t="s">
        <v>93</v>
      </c>
      <c r="AI110" s="41" t="s">
        <v>93</v>
      </c>
      <c r="AJ110" s="41" t="s">
        <v>93</v>
      </c>
      <c r="AK110" s="41" t="s">
        <v>93</v>
      </c>
      <c r="AL110" s="41" t="s">
        <v>93</v>
      </c>
      <c r="AM110" s="41" t="s">
        <v>93</v>
      </c>
      <c r="AN110" s="15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93</v>
      </c>
      <c r="AX110" s="41" t="s">
        <v>93</v>
      </c>
      <c r="AY110" s="41" t="s">
        <v>93</v>
      </c>
      <c r="AZ110" s="41" t="s">
        <v>93</v>
      </c>
      <c r="BA110" s="41" t="s">
        <v>93</v>
      </c>
      <c r="BB110" s="41" t="s">
        <v>93</v>
      </c>
      <c r="BC110" s="41" t="s">
        <v>93</v>
      </c>
    </row>
    <row r="111">
      <c r="A111" s="41" t="s">
        <v>706</v>
      </c>
      <c r="B111" s="41"/>
      <c r="C111" s="41"/>
      <c r="D111" s="41" t="s">
        <v>707</v>
      </c>
      <c r="E111" s="41">
        <v>1.0</v>
      </c>
      <c r="F111" s="44">
        <v>4826.46</v>
      </c>
      <c r="G111" s="41" t="s">
        <v>87</v>
      </c>
      <c r="H111" s="41">
        <v>4.0</v>
      </c>
      <c r="I111" s="45"/>
      <c r="J111" s="15"/>
      <c r="K111" s="41">
        <v>4.0</v>
      </c>
      <c r="L111" s="47">
        <v>0.0</v>
      </c>
      <c r="M111" s="47">
        <v>0.0</v>
      </c>
      <c r="N111" s="47">
        <v>0.0</v>
      </c>
      <c r="O111" s="47">
        <v>0.0</v>
      </c>
      <c r="P111" s="47">
        <v>0.0</v>
      </c>
      <c r="Q111" s="47">
        <v>0.0</v>
      </c>
      <c r="R111" s="47">
        <v>0.0</v>
      </c>
      <c r="S111" s="47">
        <v>0.0</v>
      </c>
      <c r="T111" s="47">
        <v>0.0</v>
      </c>
      <c r="U111" s="47">
        <v>0.0</v>
      </c>
      <c r="V111" s="47">
        <v>0.0</v>
      </c>
      <c r="W111" s="47">
        <v>0.0</v>
      </c>
      <c r="X111" s="47">
        <v>0.0</v>
      </c>
      <c r="Y111" s="15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93</v>
      </c>
      <c r="AH111" s="41" t="s">
        <v>93</v>
      </c>
      <c r="AI111" s="41" t="s">
        <v>93</v>
      </c>
      <c r="AJ111" s="41" t="s">
        <v>93</v>
      </c>
      <c r="AK111" s="41" t="s">
        <v>93</v>
      </c>
      <c r="AL111" s="41" t="s">
        <v>93</v>
      </c>
      <c r="AM111" s="41" t="s">
        <v>93</v>
      </c>
      <c r="AN111" s="15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93</v>
      </c>
      <c r="AX111" s="41" t="s">
        <v>93</v>
      </c>
      <c r="AY111" s="41" t="s">
        <v>93</v>
      </c>
      <c r="AZ111" s="41" t="s">
        <v>93</v>
      </c>
      <c r="BA111" s="41" t="s">
        <v>93</v>
      </c>
      <c r="BB111" s="41" t="s">
        <v>93</v>
      </c>
      <c r="BC111" s="41" t="s">
        <v>93</v>
      </c>
    </row>
    <row r="112">
      <c r="A112" s="41">
        <v>3029051.0</v>
      </c>
      <c r="B112" s="41"/>
      <c r="C112" s="41"/>
      <c r="D112" s="41" t="s">
        <v>711</v>
      </c>
      <c r="E112" s="41">
        <v>1.0</v>
      </c>
      <c r="F112" s="44">
        <v>51604.0</v>
      </c>
      <c r="G112" s="41" t="s">
        <v>87</v>
      </c>
      <c r="H112" s="41">
        <v>4.0</v>
      </c>
      <c r="I112" s="45"/>
      <c r="J112" s="15"/>
      <c r="K112" s="41">
        <v>4.0</v>
      </c>
      <c r="L112" s="47">
        <v>0.0</v>
      </c>
      <c r="M112" s="47">
        <v>0.0</v>
      </c>
      <c r="N112" s="47">
        <v>0.0</v>
      </c>
      <c r="O112" s="47">
        <v>0.0</v>
      </c>
      <c r="P112" s="47">
        <v>0.0</v>
      </c>
      <c r="Q112" s="47">
        <v>0.0</v>
      </c>
      <c r="R112" s="47">
        <v>0.0</v>
      </c>
      <c r="S112" s="47">
        <v>0.0</v>
      </c>
      <c r="T112" s="47">
        <v>0.0</v>
      </c>
      <c r="U112" s="47">
        <v>0.0</v>
      </c>
      <c r="V112" s="47">
        <v>0.0</v>
      </c>
      <c r="W112" s="47">
        <v>0.0</v>
      </c>
      <c r="X112" s="47">
        <v>0.0</v>
      </c>
      <c r="Y112" s="15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93</v>
      </c>
      <c r="AH112" s="41" t="s">
        <v>93</v>
      </c>
      <c r="AI112" s="41" t="s">
        <v>93</v>
      </c>
      <c r="AJ112" s="41" t="s">
        <v>93</v>
      </c>
      <c r="AK112" s="41" t="s">
        <v>93</v>
      </c>
      <c r="AL112" s="41" t="s">
        <v>93</v>
      </c>
      <c r="AM112" s="41" t="s">
        <v>93</v>
      </c>
      <c r="AN112" s="15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93</v>
      </c>
      <c r="AX112" s="41" t="s">
        <v>93</v>
      </c>
      <c r="AY112" s="41" t="s">
        <v>93</v>
      </c>
      <c r="AZ112" s="41" t="s">
        <v>93</v>
      </c>
      <c r="BA112" s="41" t="s">
        <v>93</v>
      </c>
      <c r="BB112" s="41" t="s">
        <v>93</v>
      </c>
      <c r="BC112" s="41" t="s">
        <v>93</v>
      </c>
    </row>
    <row r="113">
      <c r="A113" s="41" t="s">
        <v>714</v>
      </c>
      <c r="B113" s="41"/>
      <c r="C113" s="41">
        <v>59742.0</v>
      </c>
      <c r="D113" s="41" t="s">
        <v>715</v>
      </c>
      <c r="E113" s="41">
        <v>1.0</v>
      </c>
      <c r="F113" s="44">
        <v>560.0</v>
      </c>
      <c r="G113" s="41" t="s">
        <v>87</v>
      </c>
      <c r="H113" s="41">
        <v>1.0</v>
      </c>
      <c r="I113" s="45"/>
      <c r="J113" s="15"/>
      <c r="K113" s="41">
        <v>1.0</v>
      </c>
      <c r="L113" s="47">
        <v>0.0</v>
      </c>
      <c r="M113" s="47">
        <v>0.0</v>
      </c>
      <c r="N113" s="47">
        <v>0.0</v>
      </c>
      <c r="O113" s="47">
        <v>0.0</v>
      </c>
      <c r="P113" s="47">
        <v>0.0</v>
      </c>
      <c r="Q113" s="47">
        <v>0.0</v>
      </c>
      <c r="R113" s="47">
        <v>0.0</v>
      </c>
      <c r="S113" s="47">
        <v>0.0</v>
      </c>
      <c r="T113" s="47">
        <v>0.0</v>
      </c>
      <c r="U113" s="47">
        <v>0.0</v>
      </c>
      <c r="V113" s="47">
        <v>0.0</v>
      </c>
      <c r="W113" s="47">
        <v>0.0</v>
      </c>
      <c r="X113" s="47">
        <v>0.0</v>
      </c>
      <c r="Y113" s="15"/>
      <c r="Z113" s="41"/>
      <c r="AA113" s="41"/>
      <c r="AB113" s="41"/>
      <c r="AC113" s="41"/>
      <c r="AD113" s="41"/>
      <c r="AE113" s="41">
        <v>1.0</v>
      </c>
      <c r="AF113" s="41"/>
      <c r="AG113" s="41" t="s">
        <v>93</v>
      </c>
      <c r="AH113" s="41" t="s">
        <v>93</v>
      </c>
      <c r="AI113" s="41" t="s">
        <v>93</v>
      </c>
      <c r="AJ113" s="41" t="s">
        <v>93</v>
      </c>
      <c r="AK113" s="41" t="s">
        <v>93</v>
      </c>
      <c r="AL113" s="41" t="s">
        <v>93</v>
      </c>
      <c r="AM113" s="41" t="s">
        <v>93</v>
      </c>
      <c r="AN113" s="15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93</v>
      </c>
      <c r="AX113" s="41" t="s">
        <v>93</v>
      </c>
      <c r="AY113" s="41" t="s">
        <v>93</v>
      </c>
      <c r="AZ113" s="41" t="s">
        <v>93</v>
      </c>
      <c r="BA113" s="41" t="s">
        <v>93</v>
      </c>
      <c r="BB113" s="41" t="s">
        <v>93</v>
      </c>
      <c r="BC113" s="41" t="s">
        <v>93</v>
      </c>
    </row>
    <row r="114">
      <c r="A114" s="41" t="s">
        <v>719</v>
      </c>
      <c r="B114" s="41"/>
      <c r="C114" s="41"/>
      <c r="D114" s="41" t="s">
        <v>720</v>
      </c>
      <c r="E114" s="41">
        <v>1.0</v>
      </c>
      <c r="F114" s="44">
        <v>2567.3</v>
      </c>
      <c r="G114" s="41" t="s">
        <v>87</v>
      </c>
      <c r="H114" s="41">
        <v>2.0</v>
      </c>
      <c r="I114" s="45"/>
      <c r="J114" s="15"/>
      <c r="K114" s="41">
        <v>2.0</v>
      </c>
      <c r="L114" s="47">
        <v>0.0</v>
      </c>
      <c r="M114" s="47">
        <v>0.0</v>
      </c>
      <c r="N114" s="47">
        <v>0.0</v>
      </c>
      <c r="O114" s="47">
        <v>0.0</v>
      </c>
      <c r="P114" s="47">
        <v>0.0</v>
      </c>
      <c r="Q114" s="47">
        <v>0.0</v>
      </c>
      <c r="R114" s="47">
        <v>0.0</v>
      </c>
      <c r="S114" s="47">
        <v>0.0</v>
      </c>
      <c r="T114" s="47">
        <v>0.0</v>
      </c>
      <c r="U114" s="47">
        <v>0.0</v>
      </c>
      <c r="V114" s="47">
        <v>0.0</v>
      </c>
      <c r="W114" s="47">
        <v>0.0</v>
      </c>
      <c r="X114" s="47">
        <v>0.0</v>
      </c>
      <c r="Y114" s="15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93</v>
      </c>
      <c r="AH114" s="41" t="s">
        <v>93</v>
      </c>
      <c r="AI114" s="41" t="s">
        <v>93</v>
      </c>
      <c r="AJ114" s="41" t="s">
        <v>93</v>
      </c>
      <c r="AK114" s="41" t="s">
        <v>93</v>
      </c>
      <c r="AL114" s="41" t="s">
        <v>93</v>
      </c>
      <c r="AM114" s="41" t="s">
        <v>93</v>
      </c>
      <c r="AN114" s="15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93</v>
      </c>
      <c r="AX114" s="41" t="s">
        <v>93</v>
      </c>
      <c r="AY114" s="41" t="s">
        <v>93</v>
      </c>
      <c r="AZ114" s="41" t="s">
        <v>93</v>
      </c>
      <c r="BA114" s="41" t="s">
        <v>93</v>
      </c>
      <c r="BB114" s="41" t="s">
        <v>93</v>
      </c>
      <c r="BC114" s="41" t="s">
        <v>93</v>
      </c>
    </row>
    <row r="115">
      <c r="A115" s="41">
        <v>25536.0</v>
      </c>
      <c r="B115" s="41"/>
      <c r="C115" s="41"/>
      <c r="D115" s="41" t="s">
        <v>726</v>
      </c>
      <c r="E115" s="41">
        <v>12.0</v>
      </c>
      <c r="F115" s="44">
        <v>2750.67</v>
      </c>
      <c r="G115" s="41" t="s">
        <v>87</v>
      </c>
      <c r="H115" s="41">
        <v>14.0</v>
      </c>
      <c r="I115" s="45"/>
      <c r="J115" s="15"/>
      <c r="K115" s="41">
        <v>13.0</v>
      </c>
      <c r="L115" s="47">
        <v>0.0</v>
      </c>
      <c r="M115" s="47">
        <v>0.0</v>
      </c>
      <c r="N115" s="47">
        <v>0.0</v>
      </c>
      <c r="O115" s="47">
        <v>0.0</v>
      </c>
      <c r="P115" s="47">
        <v>1.0</v>
      </c>
      <c r="Q115" s="47">
        <v>0.0</v>
      </c>
      <c r="R115" s="47">
        <v>0.0</v>
      </c>
      <c r="S115" s="47">
        <v>0.0</v>
      </c>
      <c r="T115" s="47">
        <v>0.0</v>
      </c>
      <c r="U115" s="47">
        <v>0.0</v>
      </c>
      <c r="V115" s="47">
        <v>0.0</v>
      </c>
      <c r="W115" s="47">
        <v>0.0</v>
      </c>
      <c r="X115" s="47">
        <v>0.0</v>
      </c>
      <c r="Y115" s="15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93</v>
      </c>
      <c r="AH115" s="41" t="s">
        <v>93</v>
      </c>
      <c r="AI115" s="41" t="s">
        <v>93</v>
      </c>
      <c r="AJ115" s="41" t="s">
        <v>93</v>
      </c>
      <c r="AK115" s="41" t="s">
        <v>93</v>
      </c>
      <c r="AL115" s="41" t="s">
        <v>93</v>
      </c>
      <c r="AM115" s="41" t="s">
        <v>93</v>
      </c>
      <c r="AN115" s="15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93</v>
      </c>
      <c r="AX115" s="41" t="s">
        <v>93</v>
      </c>
      <c r="AY115" s="41" t="s">
        <v>93</v>
      </c>
      <c r="AZ115" s="41" t="s">
        <v>93</v>
      </c>
      <c r="BA115" s="41" t="s">
        <v>93</v>
      </c>
      <c r="BB115" s="41" t="s">
        <v>93</v>
      </c>
      <c r="BC115" s="41" t="s">
        <v>93</v>
      </c>
    </row>
    <row r="116">
      <c r="A116" s="41" t="s">
        <v>729</v>
      </c>
      <c r="B116" s="41"/>
      <c r="C116" s="41"/>
      <c r="D116" s="41" t="s">
        <v>730</v>
      </c>
      <c r="E116" s="41">
        <v>1.0</v>
      </c>
      <c r="F116" s="44">
        <v>19210.43</v>
      </c>
      <c r="G116" s="41" t="s">
        <v>87</v>
      </c>
      <c r="H116" s="41">
        <v>5.0</v>
      </c>
      <c r="I116" s="45"/>
      <c r="J116" s="15"/>
      <c r="K116" s="41">
        <v>5.0</v>
      </c>
      <c r="L116" s="47">
        <v>0.0</v>
      </c>
      <c r="M116" s="47">
        <v>0.0</v>
      </c>
      <c r="N116" s="47">
        <v>0.0</v>
      </c>
      <c r="O116" s="47">
        <v>0.0</v>
      </c>
      <c r="P116" s="47">
        <v>0.0</v>
      </c>
      <c r="Q116" s="47">
        <v>0.0</v>
      </c>
      <c r="R116" s="47">
        <v>0.0</v>
      </c>
      <c r="S116" s="47">
        <v>0.0</v>
      </c>
      <c r="T116" s="47">
        <v>0.0</v>
      </c>
      <c r="U116" s="47">
        <v>0.0</v>
      </c>
      <c r="V116" s="47">
        <v>0.0</v>
      </c>
      <c r="W116" s="47">
        <v>0.0</v>
      </c>
      <c r="X116" s="47">
        <v>0.0</v>
      </c>
      <c r="Y116" s="15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93</v>
      </c>
      <c r="AH116" s="41" t="s">
        <v>93</v>
      </c>
      <c r="AI116" s="41" t="s">
        <v>93</v>
      </c>
      <c r="AJ116" s="41" t="s">
        <v>93</v>
      </c>
      <c r="AK116" s="41" t="s">
        <v>93</v>
      </c>
      <c r="AL116" s="41" t="s">
        <v>93</v>
      </c>
      <c r="AM116" s="41" t="s">
        <v>93</v>
      </c>
      <c r="AN116" s="15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93</v>
      </c>
      <c r="AX116" s="41" t="s">
        <v>93</v>
      </c>
      <c r="AY116" s="41" t="s">
        <v>93</v>
      </c>
      <c r="AZ116" s="41" t="s">
        <v>93</v>
      </c>
      <c r="BA116" s="41" t="s">
        <v>93</v>
      </c>
      <c r="BB116" s="41" t="s">
        <v>93</v>
      </c>
      <c r="BC116" s="41" t="s">
        <v>93</v>
      </c>
    </row>
    <row r="117">
      <c r="A117" s="41" t="s">
        <v>733</v>
      </c>
      <c r="B117" s="41"/>
      <c r="C117" s="41"/>
      <c r="D117" s="41" t="s">
        <v>734</v>
      </c>
      <c r="E117" s="41">
        <v>1.0</v>
      </c>
      <c r="F117" s="44">
        <v>586.0</v>
      </c>
      <c r="G117" s="41" t="s">
        <v>87</v>
      </c>
      <c r="H117" s="41">
        <v>28.0</v>
      </c>
      <c r="I117" s="45"/>
      <c r="J117" s="15"/>
      <c r="K117" s="41">
        <v>26.0</v>
      </c>
      <c r="L117" s="47">
        <v>0.0</v>
      </c>
      <c r="M117" s="47">
        <v>0.0</v>
      </c>
      <c r="N117" s="47">
        <v>0.0</v>
      </c>
      <c r="O117" s="47">
        <v>0.0</v>
      </c>
      <c r="P117" s="47">
        <v>0.0</v>
      </c>
      <c r="Q117" s="47">
        <v>0.0</v>
      </c>
      <c r="R117" s="47">
        <v>1.0</v>
      </c>
      <c r="S117" s="47">
        <v>1.0</v>
      </c>
      <c r="T117" s="47">
        <v>0.0</v>
      </c>
      <c r="U117" s="47">
        <v>0.0</v>
      </c>
      <c r="V117" s="47">
        <v>0.0</v>
      </c>
      <c r="W117" s="47">
        <v>0.0</v>
      </c>
      <c r="X117" s="47">
        <v>0.0</v>
      </c>
      <c r="Y117" s="15"/>
      <c r="Z117" s="41" t="s">
        <v>93</v>
      </c>
      <c r="AA117" s="41">
        <v>3.0</v>
      </c>
      <c r="AB117" s="41" t="s">
        <v>93</v>
      </c>
      <c r="AC117" s="41" t="s">
        <v>93</v>
      </c>
      <c r="AD117" s="41">
        <v>17.0</v>
      </c>
      <c r="AE117" s="41" t="s">
        <v>93</v>
      </c>
      <c r="AF117" s="41">
        <v>8.0</v>
      </c>
      <c r="AG117" s="41" t="s">
        <v>93</v>
      </c>
      <c r="AH117" s="41" t="s">
        <v>93</v>
      </c>
      <c r="AI117" s="41" t="s">
        <v>93</v>
      </c>
      <c r="AJ117" s="41" t="s">
        <v>93</v>
      </c>
      <c r="AK117" s="41" t="s">
        <v>93</v>
      </c>
      <c r="AL117" s="41" t="s">
        <v>93</v>
      </c>
      <c r="AM117" s="41" t="s">
        <v>93</v>
      </c>
      <c r="AN117" s="15"/>
      <c r="AO117" s="41">
        <v>28.0</v>
      </c>
      <c r="AP117" s="41" t="s">
        <v>93</v>
      </c>
      <c r="AQ117" s="41">
        <v>3.0</v>
      </c>
      <c r="AR117" s="41" t="s">
        <v>93</v>
      </c>
      <c r="AS117" s="41" t="s">
        <v>93</v>
      </c>
      <c r="AT117" s="41">
        <v>17.0</v>
      </c>
      <c r="AU117" s="41" t="s">
        <v>93</v>
      </c>
      <c r="AV117" s="41">
        <v>8.0</v>
      </c>
      <c r="AW117" s="41" t="s">
        <v>93</v>
      </c>
      <c r="AX117" s="41" t="s">
        <v>93</v>
      </c>
      <c r="AY117" s="41" t="s">
        <v>93</v>
      </c>
      <c r="AZ117" s="41" t="s">
        <v>93</v>
      </c>
      <c r="BA117" s="41" t="s">
        <v>93</v>
      </c>
      <c r="BB117" s="41" t="s">
        <v>93</v>
      </c>
      <c r="BC117" s="41" t="s">
        <v>93</v>
      </c>
    </row>
    <row r="118">
      <c r="A118" s="41" t="s">
        <v>678</v>
      </c>
      <c r="B118" s="41"/>
      <c r="C118" s="41"/>
      <c r="D118" s="41" t="s">
        <v>738</v>
      </c>
      <c r="E118" s="41">
        <v>1.0</v>
      </c>
      <c r="F118" s="44">
        <v>2560.0</v>
      </c>
      <c r="G118" s="41" t="s">
        <v>87</v>
      </c>
      <c r="H118" s="41">
        <v>4.0</v>
      </c>
      <c r="I118" s="45"/>
      <c r="J118" s="15"/>
      <c r="K118" s="41">
        <v>2.0</v>
      </c>
      <c r="L118" s="47">
        <v>0.0</v>
      </c>
      <c r="M118" s="47">
        <v>0.0</v>
      </c>
      <c r="N118" s="47">
        <v>0.0</v>
      </c>
      <c r="O118" s="47">
        <v>0.0</v>
      </c>
      <c r="P118" s="47">
        <v>1.0</v>
      </c>
      <c r="Q118" s="47">
        <v>0.0</v>
      </c>
      <c r="R118" s="47">
        <v>0.0</v>
      </c>
      <c r="S118" s="47">
        <v>0.0</v>
      </c>
      <c r="T118" s="47">
        <v>0.0</v>
      </c>
      <c r="U118" s="47">
        <v>0.0</v>
      </c>
      <c r="V118" s="47">
        <v>0.0</v>
      </c>
      <c r="W118" s="47">
        <v>1.0</v>
      </c>
      <c r="X118" s="47">
        <v>0.0</v>
      </c>
      <c r="Y118" s="15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93</v>
      </c>
      <c r="AH118" s="41" t="s">
        <v>93</v>
      </c>
      <c r="AI118" s="41" t="s">
        <v>93</v>
      </c>
      <c r="AJ118" s="41" t="s">
        <v>93</v>
      </c>
      <c r="AK118" s="41" t="s">
        <v>93</v>
      </c>
      <c r="AL118" s="41" t="s">
        <v>93</v>
      </c>
      <c r="AM118" s="41" t="s">
        <v>93</v>
      </c>
      <c r="AN118" s="15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93</v>
      </c>
      <c r="AX118" s="41" t="s">
        <v>93</v>
      </c>
      <c r="AY118" s="41" t="s">
        <v>93</v>
      </c>
      <c r="AZ118" s="41" t="s">
        <v>93</v>
      </c>
      <c r="BA118" s="41" t="s">
        <v>93</v>
      </c>
      <c r="BB118" s="41" t="s">
        <v>93</v>
      </c>
      <c r="BC118" s="41" t="s">
        <v>93</v>
      </c>
    </row>
    <row r="119">
      <c r="A119" s="41" t="s">
        <v>740</v>
      </c>
      <c r="B119" s="41"/>
      <c r="C119" s="41"/>
      <c r="D119" s="41" t="s">
        <v>741</v>
      </c>
      <c r="E119" s="41">
        <v>1.0</v>
      </c>
      <c r="F119" s="44">
        <v>4715.0</v>
      </c>
      <c r="G119" s="41" t="s">
        <v>87</v>
      </c>
      <c r="H119" s="41">
        <v>5.0</v>
      </c>
      <c r="I119" s="45"/>
      <c r="J119" s="15"/>
      <c r="K119" s="41">
        <v>5.0</v>
      </c>
      <c r="L119" s="47">
        <v>0.0</v>
      </c>
      <c r="M119" s="47">
        <v>0.0</v>
      </c>
      <c r="N119" s="47">
        <v>0.0</v>
      </c>
      <c r="O119" s="47">
        <v>0.0</v>
      </c>
      <c r="P119" s="47">
        <v>0.0</v>
      </c>
      <c r="Q119" s="47">
        <v>0.0</v>
      </c>
      <c r="R119" s="47">
        <v>0.0</v>
      </c>
      <c r="S119" s="47">
        <v>0.0</v>
      </c>
      <c r="T119" s="47">
        <v>0.0</v>
      </c>
      <c r="U119" s="47">
        <v>0.0</v>
      </c>
      <c r="V119" s="47">
        <v>0.0</v>
      </c>
      <c r="W119" s="47">
        <v>0.0</v>
      </c>
      <c r="X119" s="47">
        <v>0.0</v>
      </c>
      <c r="Y119" s="15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93</v>
      </c>
      <c r="AH119" s="41" t="s">
        <v>93</v>
      </c>
      <c r="AI119" s="41" t="s">
        <v>93</v>
      </c>
      <c r="AJ119" s="41" t="s">
        <v>93</v>
      </c>
      <c r="AK119" s="41" t="s">
        <v>93</v>
      </c>
      <c r="AL119" s="41" t="s">
        <v>93</v>
      </c>
      <c r="AM119" s="41" t="s">
        <v>93</v>
      </c>
      <c r="AN119" s="15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93</v>
      </c>
      <c r="AX119" s="41" t="s">
        <v>93</v>
      </c>
      <c r="AY119" s="41" t="s">
        <v>93</v>
      </c>
      <c r="AZ119" s="41" t="s">
        <v>93</v>
      </c>
      <c r="BA119" s="41" t="s">
        <v>93</v>
      </c>
      <c r="BB119" s="41" t="s">
        <v>93</v>
      </c>
      <c r="BC119" s="41" t="s">
        <v>93</v>
      </c>
    </row>
    <row r="120">
      <c r="A120" s="41">
        <v>3019754.0</v>
      </c>
      <c r="B120" s="41"/>
      <c r="C120" s="41"/>
      <c r="D120" s="41" t="s">
        <v>744</v>
      </c>
      <c r="E120" s="41">
        <v>1.0</v>
      </c>
      <c r="F120" s="44">
        <v>2208.95</v>
      </c>
      <c r="G120" s="41" t="s">
        <v>87</v>
      </c>
      <c r="H120" s="41">
        <v>40.0</v>
      </c>
      <c r="I120" s="45"/>
      <c r="J120" s="15"/>
      <c r="K120" s="41">
        <v>39.0</v>
      </c>
      <c r="L120" s="47">
        <v>0.0</v>
      </c>
      <c r="M120" s="47">
        <v>0.0</v>
      </c>
      <c r="N120" s="47">
        <v>0.0</v>
      </c>
      <c r="O120" s="47">
        <v>0.0</v>
      </c>
      <c r="P120" s="47">
        <v>1.0</v>
      </c>
      <c r="Q120" s="47">
        <v>0.0</v>
      </c>
      <c r="R120" s="47">
        <v>0.0</v>
      </c>
      <c r="S120" s="47">
        <v>0.0</v>
      </c>
      <c r="T120" s="47">
        <v>0.0</v>
      </c>
      <c r="U120" s="47">
        <v>0.0</v>
      </c>
      <c r="V120" s="47">
        <v>0.0</v>
      </c>
      <c r="W120" s="47">
        <v>0.0</v>
      </c>
      <c r="X120" s="47">
        <v>0.0</v>
      </c>
      <c r="Y120" s="15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93</v>
      </c>
      <c r="AH120" s="41" t="s">
        <v>93</v>
      </c>
      <c r="AI120" s="41" t="s">
        <v>93</v>
      </c>
      <c r="AJ120" s="41" t="s">
        <v>93</v>
      </c>
      <c r="AK120" s="41" t="s">
        <v>93</v>
      </c>
      <c r="AL120" s="41" t="s">
        <v>93</v>
      </c>
      <c r="AM120" s="41" t="s">
        <v>93</v>
      </c>
      <c r="AN120" s="15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93</v>
      </c>
      <c r="AX120" s="41" t="s">
        <v>93</v>
      </c>
      <c r="AY120" s="41" t="s">
        <v>93</v>
      </c>
      <c r="AZ120" s="41" t="s">
        <v>93</v>
      </c>
      <c r="BA120" s="41" t="s">
        <v>93</v>
      </c>
      <c r="BB120" s="41" t="s">
        <v>93</v>
      </c>
      <c r="BC120" s="41" t="s">
        <v>93</v>
      </c>
    </row>
    <row r="121">
      <c r="A121" s="41" t="s">
        <v>748</v>
      </c>
      <c r="B121" s="41"/>
      <c r="C121" s="41"/>
      <c r="D121" s="41" t="s">
        <v>749</v>
      </c>
      <c r="E121" s="41">
        <v>1.0</v>
      </c>
      <c r="F121" s="44">
        <v>3290.0</v>
      </c>
      <c r="G121" s="41" t="s">
        <v>87</v>
      </c>
      <c r="H121" s="41">
        <v>2.0</v>
      </c>
      <c r="I121" s="45"/>
      <c r="J121" s="15"/>
      <c r="K121" s="41">
        <v>2.0</v>
      </c>
      <c r="L121" s="47">
        <v>0.0</v>
      </c>
      <c r="M121" s="47">
        <v>0.0</v>
      </c>
      <c r="N121" s="47">
        <v>0.0</v>
      </c>
      <c r="O121" s="47">
        <v>0.0</v>
      </c>
      <c r="P121" s="47">
        <v>0.0</v>
      </c>
      <c r="Q121" s="47">
        <v>0.0</v>
      </c>
      <c r="R121" s="47">
        <v>0.0</v>
      </c>
      <c r="S121" s="47">
        <v>0.0</v>
      </c>
      <c r="T121" s="47">
        <v>0.0</v>
      </c>
      <c r="U121" s="47">
        <v>0.0</v>
      </c>
      <c r="V121" s="47">
        <v>0.0</v>
      </c>
      <c r="W121" s="47">
        <v>0.0</v>
      </c>
      <c r="X121" s="47">
        <v>0.0</v>
      </c>
      <c r="Y121" s="15"/>
      <c r="Z121" s="41" t="s">
        <v>93</v>
      </c>
      <c r="AA121" s="41"/>
      <c r="AB121" s="41" t="s">
        <v>93</v>
      </c>
      <c r="AC121" s="41" t="s">
        <v>93</v>
      </c>
      <c r="AD121" s="41">
        <v>1.0</v>
      </c>
      <c r="AE121" s="41" t="s">
        <v>93</v>
      </c>
      <c r="AF121" s="41">
        <v>1.0</v>
      </c>
      <c r="AG121" s="41" t="s">
        <v>93</v>
      </c>
      <c r="AH121" s="41" t="s">
        <v>93</v>
      </c>
      <c r="AI121" s="41" t="s">
        <v>93</v>
      </c>
      <c r="AJ121" s="41" t="s">
        <v>93</v>
      </c>
      <c r="AK121" s="41" t="s">
        <v>93</v>
      </c>
      <c r="AL121" s="41" t="s">
        <v>93</v>
      </c>
      <c r="AM121" s="41" t="s">
        <v>93</v>
      </c>
      <c r="AN121" s="15"/>
      <c r="AO121" s="41">
        <v>2.0</v>
      </c>
      <c r="AP121" s="41" t="s">
        <v>93</v>
      </c>
      <c r="AQ121" s="41"/>
      <c r="AR121" s="41" t="s">
        <v>93</v>
      </c>
      <c r="AS121" s="41" t="s">
        <v>93</v>
      </c>
      <c r="AT121" s="41">
        <v>1.0</v>
      </c>
      <c r="AU121" s="41" t="s">
        <v>93</v>
      </c>
      <c r="AV121" s="41">
        <v>1.0</v>
      </c>
      <c r="AW121" s="41" t="s">
        <v>93</v>
      </c>
      <c r="AX121" s="41" t="s">
        <v>93</v>
      </c>
      <c r="AY121" s="41" t="s">
        <v>93</v>
      </c>
      <c r="AZ121" s="41" t="s">
        <v>93</v>
      </c>
      <c r="BA121" s="41" t="s">
        <v>93</v>
      </c>
      <c r="BB121" s="41" t="s">
        <v>93</v>
      </c>
      <c r="BC121" s="41" t="s">
        <v>93</v>
      </c>
    </row>
    <row r="122">
      <c r="A122" s="41" t="s">
        <v>753</v>
      </c>
      <c r="B122" s="41"/>
      <c r="C122" s="41"/>
      <c r="D122" s="41" t="s">
        <v>754</v>
      </c>
      <c r="E122" s="41">
        <v>1.0</v>
      </c>
      <c r="F122" s="44">
        <v>2542.37</v>
      </c>
      <c r="G122" s="41" t="s">
        <v>87</v>
      </c>
      <c r="H122" s="41">
        <v>4.0</v>
      </c>
      <c r="I122" s="45"/>
      <c r="J122" s="15"/>
      <c r="K122" s="41">
        <v>4.0</v>
      </c>
      <c r="L122" s="47">
        <v>0.0</v>
      </c>
      <c r="M122" s="47">
        <v>0.0</v>
      </c>
      <c r="N122" s="47">
        <v>0.0</v>
      </c>
      <c r="O122" s="47">
        <v>0.0</v>
      </c>
      <c r="P122" s="47">
        <v>0.0</v>
      </c>
      <c r="Q122" s="47">
        <v>0.0</v>
      </c>
      <c r="R122" s="47">
        <v>0.0</v>
      </c>
      <c r="S122" s="47">
        <v>0.0</v>
      </c>
      <c r="T122" s="47">
        <v>0.0</v>
      </c>
      <c r="U122" s="47">
        <v>0.0</v>
      </c>
      <c r="V122" s="47">
        <v>0.0</v>
      </c>
      <c r="W122" s="47">
        <v>0.0</v>
      </c>
      <c r="X122" s="47">
        <v>0.0</v>
      </c>
      <c r="Y122" s="15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93</v>
      </c>
      <c r="AH122" s="41" t="s">
        <v>93</v>
      </c>
      <c r="AI122" s="41" t="s">
        <v>93</v>
      </c>
      <c r="AJ122" s="41" t="s">
        <v>93</v>
      </c>
      <c r="AK122" s="41" t="s">
        <v>93</v>
      </c>
      <c r="AL122" s="41" t="s">
        <v>93</v>
      </c>
      <c r="AM122" s="41" t="s">
        <v>93</v>
      </c>
      <c r="AN122" s="15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93</v>
      </c>
      <c r="AX122" s="41" t="s">
        <v>93</v>
      </c>
      <c r="AY122" s="41" t="s">
        <v>93</v>
      </c>
      <c r="AZ122" s="41" t="s">
        <v>93</v>
      </c>
      <c r="BA122" s="41" t="s">
        <v>93</v>
      </c>
      <c r="BB122" s="41" t="s">
        <v>93</v>
      </c>
      <c r="BC122" s="41" t="s">
        <v>93</v>
      </c>
    </row>
    <row r="123">
      <c r="A123" s="41" t="s">
        <v>757</v>
      </c>
      <c r="B123" s="41"/>
      <c r="C123" s="41"/>
      <c r="D123" s="41" t="s">
        <v>758</v>
      </c>
      <c r="E123" s="41">
        <v>1.0</v>
      </c>
      <c r="F123" s="44">
        <v>776.84</v>
      </c>
      <c r="G123" s="41" t="s">
        <v>87</v>
      </c>
      <c r="H123" s="41">
        <v>19.0</v>
      </c>
      <c r="I123" s="45"/>
      <c r="J123" s="15"/>
      <c r="K123" s="41">
        <v>19.0</v>
      </c>
      <c r="L123" s="47">
        <v>0.0</v>
      </c>
      <c r="M123" s="47">
        <v>0.0</v>
      </c>
      <c r="N123" s="47">
        <v>0.0</v>
      </c>
      <c r="O123" s="47">
        <v>0.0</v>
      </c>
      <c r="P123" s="47">
        <v>0.0</v>
      </c>
      <c r="Q123" s="47">
        <v>0.0</v>
      </c>
      <c r="R123" s="47">
        <v>0.0</v>
      </c>
      <c r="S123" s="47">
        <v>0.0</v>
      </c>
      <c r="T123" s="47">
        <v>0.0</v>
      </c>
      <c r="U123" s="47">
        <v>0.0</v>
      </c>
      <c r="V123" s="47">
        <v>0.0</v>
      </c>
      <c r="W123" s="47">
        <v>0.0</v>
      </c>
      <c r="X123" s="47">
        <v>0.0</v>
      </c>
      <c r="Y123" s="15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93</v>
      </c>
      <c r="AH123" s="41" t="s">
        <v>93</v>
      </c>
      <c r="AI123" s="41" t="s">
        <v>93</v>
      </c>
      <c r="AJ123" s="41" t="s">
        <v>93</v>
      </c>
      <c r="AK123" s="41" t="s">
        <v>93</v>
      </c>
      <c r="AL123" s="41" t="s">
        <v>93</v>
      </c>
      <c r="AM123" s="41" t="s">
        <v>93</v>
      </c>
      <c r="AN123" s="15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93</v>
      </c>
      <c r="AX123" s="41" t="s">
        <v>93</v>
      </c>
      <c r="AY123" s="41" t="s">
        <v>93</v>
      </c>
      <c r="AZ123" s="41" t="s">
        <v>93</v>
      </c>
      <c r="BA123" s="41" t="s">
        <v>93</v>
      </c>
      <c r="BB123" s="41" t="s">
        <v>93</v>
      </c>
      <c r="BC123" s="41" t="s">
        <v>93</v>
      </c>
    </row>
    <row r="124">
      <c r="A124" s="41" t="s">
        <v>761</v>
      </c>
      <c r="B124" s="41"/>
      <c r="C124" s="41"/>
      <c r="D124" s="41" t="s">
        <v>762</v>
      </c>
      <c r="E124" s="41">
        <v>1.0</v>
      </c>
      <c r="F124" s="44">
        <v>2325.0</v>
      </c>
      <c r="G124" s="41" t="s">
        <v>87</v>
      </c>
      <c r="H124" s="41">
        <v>2.0</v>
      </c>
      <c r="I124" s="45"/>
      <c r="J124" s="15"/>
      <c r="K124" s="41">
        <v>2.0</v>
      </c>
      <c r="L124" s="47">
        <v>0.0</v>
      </c>
      <c r="M124" s="47">
        <v>0.0</v>
      </c>
      <c r="N124" s="47">
        <v>0.0</v>
      </c>
      <c r="O124" s="47">
        <v>0.0</v>
      </c>
      <c r="P124" s="47">
        <v>0.0</v>
      </c>
      <c r="Q124" s="47">
        <v>0.0</v>
      </c>
      <c r="R124" s="47">
        <v>0.0</v>
      </c>
      <c r="S124" s="47">
        <v>0.0</v>
      </c>
      <c r="T124" s="47">
        <v>0.0</v>
      </c>
      <c r="U124" s="47">
        <v>0.0</v>
      </c>
      <c r="V124" s="47">
        <v>0.0</v>
      </c>
      <c r="W124" s="47">
        <v>0.0</v>
      </c>
      <c r="X124" s="47">
        <v>0.0</v>
      </c>
      <c r="Y124" s="15"/>
      <c r="Z124" s="41" t="s">
        <v>93</v>
      </c>
      <c r="AA124" s="41"/>
      <c r="AB124" s="41" t="s">
        <v>93</v>
      </c>
      <c r="AC124" s="41" t="s">
        <v>93</v>
      </c>
      <c r="AD124" s="41">
        <v>1.0</v>
      </c>
      <c r="AE124" s="41" t="s">
        <v>93</v>
      </c>
      <c r="AF124" s="41">
        <v>1.0</v>
      </c>
      <c r="AG124" s="41" t="s">
        <v>93</v>
      </c>
      <c r="AH124" s="41" t="s">
        <v>93</v>
      </c>
      <c r="AI124" s="41" t="s">
        <v>93</v>
      </c>
      <c r="AJ124" s="41" t="s">
        <v>93</v>
      </c>
      <c r="AK124" s="41" t="s">
        <v>93</v>
      </c>
      <c r="AL124" s="41" t="s">
        <v>93</v>
      </c>
      <c r="AM124" s="41" t="s">
        <v>93</v>
      </c>
      <c r="AN124" s="15"/>
      <c r="AO124" s="41">
        <v>2.0</v>
      </c>
      <c r="AP124" s="41" t="s">
        <v>93</v>
      </c>
      <c r="AQ124" s="41"/>
      <c r="AR124" s="41" t="s">
        <v>93</v>
      </c>
      <c r="AS124" s="41" t="s">
        <v>93</v>
      </c>
      <c r="AT124" s="41">
        <v>1.0</v>
      </c>
      <c r="AU124" s="41" t="s">
        <v>93</v>
      </c>
      <c r="AV124" s="41">
        <v>1.0</v>
      </c>
      <c r="AW124" s="41" t="s">
        <v>93</v>
      </c>
      <c r="AX124" s="41" t="s">
        <v>93</v>
      </c>
      <c r="AY124" s="41" t="s">
        <v>93</v>
      </c>
      <c r="AZ124" s="41" t="s">
        <v>93</v>
      </c>
      <c r="BA124" s="41" t="s">
        <v>93</v>
      </c>
      <c r="BB124" s="41" t="s">
        <v>93</v>
      </c>
      <c r="BC124" s="41" t="s">
        <v>93</v>
      </c>
    </row>
    <row r="125">
      <c r="A125" s="41" t="s">
        <v>766</v>
      </c>
      <c r="B125" s="41"/>
      <c r="C125" s="41"/>
      <c r="D125" s="41" t="s">
        <v>767</v>
      </c>
      <c r="E125" s="41">
        <v>1.0</v>
      </c>
      <c r="F125" s="44">
        <v>3681.49</v>
      </c>
      <c r="G125" s="41" t="s">
        <v>87</v>
      </c>
      <c r="H125" s="41">
        <v>0.0</v>
      </c>
      <c r="I125" s="45"/>
      <c r="J125" s="15"/>
      <c r="K125" s="41">
        <v>0.0</v>
      </c>
      <c r="L125" s="47">
        <v>0.0</v>
      </c>
      <c r="M125" s="47">
        <v>0.0</v>
      </c>
      <c r="N125" s="47">
        <v>0.0</v>
      </c>
      <c r="O125" s="47">
        <v>0.0</v>
      </c>
      <c r="P125" s="47">
        <v>0.0</v>
      </c>
      <c r="Q125" s="47">
        <v>0.0</v>
      </c>
      <c r="R125" s="47">
        <v>0.0</v>
      </c>
      <c r="S125" s="47">
        <v>0.0</v>
      </c>
      <c r="T125" s="47">
        <v>0.0</v>
      </c>
      <c r="U125" s="47">
        <v>0.0</v>
      </c>
      <c r="V125" s="47">
        <v>0.0</v>
      </c>
      <c r="W125" s="47">
        <v>0.0</v>
      </c>
      <c r="X125" s="47">
        <v>0.0</v>
      </c>
      <c r="Y125" s="15"/>
      <c r="Z125" s="41"/>
      <c r="AA125" s="41"/>
      <c r="AB125" s="41"/>
      <c r="AC125" s="41"/>
      <c r="AD125" s="41"/>
      <c r="AE125" s="41"/>
      <c r="AF125" s="41"/>
      <c r="AG125" s="41" t="s">
        <v>93</v>
      </c>
      <c r="AH125" s="41" t="s">
        <v>93</v>
      </c>
      <c r="AI125" s="41" t="s">
        <v>93</v>
      </c>
      <c r="AJ125" s="41" t="s">
        <v>93</v>
      </c>
      <c r="AK125" s="41" t="s">
        <v>93</v>
      </c>
      <c r="AL125" s="41" t="s">
        <v>93</v>
      </c>
      <c r="AM125" s="41" t="s">
        <v>93</v>
      </c>
      <c r="AN125" s="15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93</v>
      </c>
      <c r="AX125" s="41" t="s">
        <v>93</v>
      </c>
      <c r="AY125" s="41" t="s">
        <v>93</v>
      </c>
      <c r="AZ125" s="41" t="s">
        <v>93</v>
      </c>
      <c r="BA125" s="41" t="s">
        <v>93</v>
      </c>
      <c r="BB125" s="41" t="s">
        <v>93</v>
      </c>
      <c r="BC125" s="41" t="s">
        <v>93</v>
      </c>
    </row>
    <row r="126">
      <c r="A126" s="41" t="s">
        <v>771</v>
      </c>
      <c r="B126" s="41"/>
      <c r="C126" s="41"/>
      <c r="D126" s="41" t="s">
        <v>772</v>
      </c>
      <c r="E126" s="41">
        <v>1.0</v>
      </c>
      <c r="F126" s="44">
        <v>3950.0</v>
      </c>
      <c r="G126" s="41" t="s">
        <v>87</v>
      </c>
      <c r="H126" s="41">
        <v>7.0</v>
      </c>
      <c r="I126" s="45"/>
      <c r="J126" s="15"/>
      <c r="K126" s="41">
        <v>5.0</v>
      </c>
      <c r="L126" s="47">
        <v>0.0</v>
      </c>
      <c r="M126" s="47">
        <v>1.0</v>
      </c>
      <c r="N126" s="47">
        <v>0.0</v>
      </c>
      <c r="O126" s="47">
        <v>1.0</v>
      </c>
      <c r="P126" s="47">
        <v>0.0</v>
      </c>
      <c r="Q126" s="47">
        <v>0.0</v>
      </c>
      <c r="R126" s="47">
        <v>0.0</v>
      </c>
      <c r="S126" s="47">
        <v>0.0</v>
      </c>
      <c r="T126" s="47">
        <v>0.0</v>
      </c>
      <c r="U126" s="47">
        <v>0.0</v>
      </c>
      <c r="V126" s="47">
        <v>0.0</v>
      </c>
      <c r="W126" s="47">
        <v>0.0</v>
      </c>
      <c r="X126" s="47">
        <v>0.0</v>
      </c>
      <c r="Y126" s="15"/>
      <c r="Z126" s="41" t="s">
        <v>93</v>
      </c>
      <c r="AA126" s="41">
        <v>2.0</v>
      </c>
      <c r="AB126" s="41" t="s">
        <v>93</v>
      </c>
      <c r="AC126" s="41" t="s">
        <v>93</v>
      </c>
      <c r="AD126" s="41">
        <v>3.0</v>
      </c>
      <c r="AE126" s="41" t="s">
        <v>93</v>
      </c>
      <c r="AF126" s="41">
        <v>2.0</v>
      </c>
      <c r="AG126" s="41" t="s">
        <v>93</v>
      </c>
      <c r="AH126" s="41" t="s">
        <v>93</v>
      </c>
      <c r="AI126" s="41" t="s">
        <v>93</v>
      </c>
      <c r="AJ126" s="41" t="s">
        <v>93</v>
      </c>
      <c r="AK126" s="41" t="s">
        <v>93</v>
      </c>
      <c r="AL126" s="41" t="s">
        <v>93</v>
      </c>
      <c r="AM126" s="41" t="s">
        <v>93</v>
      </c>
      <c r="AN126" s="15"/>
      <c r="AO126" s="41">
        <v>7.0</v>
      </c>
      <c r="AP126" s="41" t="s">
        <v>93</v>
      </c>
      <c r="AQ126" s="41">
        <v>2.0</v>
      </c>
      <c r="AR126" s="41" t="s">
        <v>93</v>
      </c>
      <c r="AS126" s="41" t="s">
        <v>93</v>
      </c>
      <c r="AT126" s="41">
        <v>3.0</v>
      </c>
      <c r="AU126" s="41" t="s">
        <v>93</v>
      </c>
      <c r="AV126" s="41">
        <v>2.0</v>
      </c>
      <c r="AW126" s="41" t="s">
        <v>93</v>
      </c>
      <c r="AX126" s="41" t="s">
        <v>93</v>
      </c>
      <c r="AY126" s="41" t="s">
        <v>93</v>
      </c>
      <c r="AZ126" s="41" t="s">
        <v>93</v>
      </c>
      <c r="BA126" s="41" t="s">
        <v>93</v>
      </c>
      <c r="BB126" s="41" t="s">
        <v>93</v>
      </c>
      <c r="BC126" s="41" t="s">
        <v>93</v>
      </c>
    </row>
    <row r="127">
      <c r="A127" s="41" t="s">
        <v>781</v>
      </c>
      <c r="B127" s="41"/>
      <c r="C127" s="41"/>
      <c r="D127" s="41" t="s">
        <v>782</v>
      </c>
      <c r="E127" s="41">
        <v>1.0</v>
      </c>
      <c r="F127" s="44">
        <v>25888.91</v>
      </c>
      <c r="G127" s="41" t="s">
        <v>87</v>
      </c>
      <c r="H127" s="41">
        <v>8.0</v>
      </c>
      <c r="I127" s="45"/>
      <c r="J127" s="15"/>
      <c r="K127" s="41">
        <v>8.0</v>
      </c>
      <c r="L127" s="47">
        <v>0.0</v>
      </c>
      <c r="M127" s="47">
        <v>0.0</v>
      </c>
      <c r="N127" s="47">
        <v>0.0</v>
      </c>
      <c r="O127" s="47">
        <v>0.0</v>
      </c>
      <c r="P127" s="47">
        <v>0.0</v>
      </c>
      <c r="Q127" s="47">
        <v>0.0</v>
      </c>
      <c r="R127" s="47">
        <v>0.0</v>
      </c>
      <c r="S127" s="47">
        <v>0.0</v>
      </c>
      <c r="T127" s="47">
        <v>0.0</v>
      </c>
      <c r="U127" s="47">
        <v>0.0</v>
      </c>
      <c r="V127" s="47">
        <v>0.0</v>
      </c>
      <c r="W127" s="47">
        <v>0.0</v>
      </c>
      <c r="X127" s="47">
        <v>0.0</v>
      </c>
      <c r="Y127" s="15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93</v>
      </c>
      <c r="AH127" s="41" t="s">
        <v>93</v>
      </c>
      <c r="AI127" s="41" t="s">
        <v>93</v>
      </c>
      <c r="AJ127" s="41" t="s">
        <v>93</v>
      </c>
      <c r="AK127" s="41" t="s">
        <v>93</v>
      </c>
      <c r="AL127" s="41" t="s">
        <v>93</v>
      </c>
      <c r="AM127" s="41" t="s">
        <v>93</v>
      </c>
      <c r="AN127" s="15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93</v>
      </c>
      <c r="AX127" s="41" t="s">
        <v>93</v>
      </c>
      <c r="AY127" s="41" t="s">
        <v>93</v>
      </c>
      <c r="AZ127" s="41" t="s">
        <v>93</v>
      </c>
      <c r="BA127" s="41" t="s">
        <v>93</v>
      </c>
      <c r="BB127" s="41" t="s">
        <v>93</v>
      </c>
      <c r="BC127" s="41" t="s">
        <v>93</v>
      </c>
    </row>
    <row r="128">
      <c r="A128" s="41" t="s">
        <v>702</v>
      </c>
      <c r="B128" s="41"/>
      <c r="C128" s="41"/>
      <c r="D128" s="41" t="s">
        <v>703</v>
      </c>
      <c r="E128" s="41">
        <v>1.0</v>
      </c>
      <c r="F128" s="44">
        <v>1736.11</v>
      </c>
      <c r="G128" s="41" t="s">
        <v>87</v>
      </c>
      <c r="H128" s="41">
        <v>3.0</v>
      </c>
      <c r="I128" s="45"/>
      <c r="J128" s="15"/>
      <c r="K128" s="41">
        <v>3.0</v>
      </c>
      <c r="L128" s="47">
        <v>0.0</v>
      </c>
      <c r="M128" s="47">
        <v>0.0</v>
      </c>
      <c r="N128" s="47">
        <v>0.0</v>
      </c>
      <c r="O128" s="47">
        <v>0.0</v>
      </c>
      <c r="P128" s="47">
        <v>0.0</v>
      </c>
      <c r="Q128" s="47">
        <v>0.0</v>
      </c>
      <c r="R128" s="47">
        <v>0.0</v>
      </c>
      <c r="S128" s="47">
        <v>0.0</v>
      </c>
      <c r="T128" s="47">
        <v>0.0</v>
      </c>
      <c r="U128" s="47">
        <v>0.0</v>
      </c>
      <c r="V128" s="47">
        <v>0.0</v>
      </c>
      <c r="W128" s="47">
        <v>0.0</v>
      </c>
      <c r="X128" s="47">
        <v>0.0</v>
      </c>
      <c r="Y128" s="15"/>
      <c r="Z128" s="41" t="s">
        <v>93</v>
      </c>
      <c r="AA128" s="41">
        <v>1.0</v>
      </c>
      <c r="AB128" s="41" t="s">
        <v>93</v>
      </c>
      <c r="AC128" s="41" t="s">
        <v>93</v>
      </c>
      <c r="AD128" s="41">
        <v>1.0</v>
      </c>
      <c r="AE128" s="41" t="s">
        <v>93</v>
      </c>
      <c r="AF128" s="41">
        <v>1.0</v>
      </c>
      <c r="AG128" s="41" t="s">
        <v>93</v>
      </c>
      <c r="AH128" s="41" t="s">
        <v>93</v>
      </c>
      <c r="AI128" s="41" t="s">
        <v>93</v>
      </c>
      <c r="AJ128" s="41" t="s">
        <v>93</v>
      </c>
      <c r="AK128" s="41" t="s">
        <v>93</v>
      </c>
      <c r="AL128" s="41" t="s">
        <v>93</v>
      </c>
      <c r="AM128" s="41" t="s">
        <v>93</v>
      </c>
      <c r="AN128" s="15"/>
      <c r="AO128" s="41">
        <v>3.0</v>
      </c>
      <c r="AP128" s="41" t="s">
        <v>93</v>
      </c>
      <c r="AQ128" s="41">
        <v>1.0</v>
      </c>
      <c r="AR128" s="41" t="s">
        <v>93</v>
      </c>
      <c r="AS128" s="41" t="s">
        <v>93</v>
      </c>
      <c r="AT128" s="41">
        <v>1.0</v>
      </c>
      <c r="AU128" s="41" t="s">
        <v>93</v>
      </c>
      <c r="AV128" s="41">
        <v>1.0</v>
      </c>
      <c r="AW128" s="41" t="s">
        <v>93</v>
      </c>
      <c r="AX128" s="41" t="s">
        <v>93</v>
      </c>
      <c r="AY128" s="41" t="s">
        <v>93</v>
      </c>
      <c r="AZ128" s="41" t="s">
        <v>93</v>
      </c>
      <c r="BA128" s="41" t="s">
        <v>93</v>
      </c>
      <c r="BB128" s="41" t="s">
        <v>93</v>
      </c>
      <c r="BC128" s="41" t="s">
        <v>93</v>
      </c>
    </row>
    <row r="129">
      <c r="A129" s="41">
        <v>3019757.0</v>
      </c>
      <c r="B129" s="41"/>
      <c r="C129" s="41"/>
      <c r="D129" s="41" t="s">
        <v>792</v>
      </c>
      <c r="E129" s="41">
        <v>1.0</v>
      </c>
      <c r="F129" s="44">
        <v>1600.74</v>
      </c>
      <c r="G129" s="41" t="s">
        <v>87</v>
      </c>
      <c r="H129" s="41">
        <v>113.0</v>
      </c>
      <c r="I129" s="45"/>
      <c r="J129" s="15"/>
      <c r="K129" s="41">
        <v>103.0</v>
      </c>
      <c r="L129" s="47">
        <v>0.0</v>
      </c>
      <c r="M129" s="47">
        <v>0.0</v>
      </c>
      <c r="N129" s="47">
        <v>1.0</v>
      </c>
      <c r="O129" s="47">
        <v>5.0</v>
      </c>
      <c r="P129" s="47">
        <v>0.0</v>
      </c>
      <c r="Q129" s="47">
        <v>0.0</v>
      </c>
      <c r="R129" s="47">
        <v>4.0</v>
      </c>
      <c r="S129" s="47">
        <v>0.0</v>
      </c>
      <c r="T129" s="47">
        <v>0.0</v>
      </c>
      <c r="U129" s="47">
        <v>0.0</v>
      </c>
      <c r="V129" s="47">
        <v>0.0</v>
      </c>
      <c r="W129" s="47">
        <v>0.0</v>
      </c>
      <c r="X129" s="47">
        <v>0.0</v>
      </c>
      <c r="Y129" s="15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93</v>
      </c>
      <c r="AH129" s="41" t="s">
        <v>93</v>
      </c>
      <c r="AI129" s="41" t="s">
        <v>93</v>
      </c>
      <c r="AJ129" s="41" t="s">
        <v>93</v>
      </c>
      <c r="AK129" s="41" t="s">
        <v>93</v>
      </c>
      <c r="AL129" s="41" t="s">
        <v>93</v>
      </c>
      <c r="AM129" s="41" t="s">
        <v>93</v>
      </c>
      <c r="AN129" s="15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93</v>
      </c>
      <c r="AX129" s="41" t="s">
        <v>93</v>
      </c>
      <c r="AY129" s="41" t="s">
        <v>93</v>
      </c>
      <c r="AZ129" s="41" t="s">
        <v>93</v>
      </c>
      <c r="BA129" s="41" t="s">
        <v>93</v>
      </c>
      <c r="BB129" s="41" t="s">
        <v>93</v>
      </c>
      <c r="BC129" s="41" t="s">
        <v>93</v>
      </c>
    </row>
    <row r="130">
      <c r="A130" s="41" t="s">
        <v>796</v>
      </c>
      <c r="B130" s="41"/>
      <c r="C130" s="41" t="s">
        <v>275</v>
      </c>
      <c r="D130" s="41" t="s">
        <v>798</v>
      </c>
      <c r="E130" s="41">
        <v>1.0</v>
      </c>
      <c r="F130" s="44">
        <v>2765.0</v>
      </c>
      <c r="G130" s="41" t="s">
        <v>87</v>
      </c>
      <c r="H130" s="41">
        <v>0.0</v>
      </c>
      <c r="I130" s="45"/>
      <c r="J130" s="15"/>
      <c r="K130" s="41">
        <v>0.0</v>
      </c>
      <c r="L130" s="47">
        <v>0.0</v>
      </c>
      <c r="M130" s="47">
        <v>0.0</v>
      </c>
      <c r="N130" s="47">
        <v>0.0</v>
      </c>
      <c r="O130" s="47">
        <v>0.0</v>
      </c>
      <c r="P130" s="47">
        <v>0.0</v>
      </c>
      <c r="Q130" s="47">
        <v>0.0</v>
      </c>
      <c r="R130" s="47">
        <v>0.0</v>
      </c>
      <c r="S130" s="47">
        <v>0.0</v>
      </c>
      <c r="T130" s="47">
        <v>0.0</v>
      </c>
      <c r="U130" s="47">
        <v>0.0</v>
      </c>
      <c r="V130" s="47">
        <v>0.0</v>
      </c>
      <c r="W130" s="47">
        <v>0.0</v>
      </c>
      <c r="X130" s="47">
        <v>0.0</v>
      </c>
      <c r="Y130" s="15"/>
      <c r="Z130" s="41" t="s">
        <v>93</v>
      </c>
      <c r="AA130" s="41"/>
      <c r="AB130" s="41" t="s">
        <v>93</v>
      </c>
      <c r="AC130" s="41" t="s">
        <v>93</v>
      </c>
      <c r="AD130" s="41"/>
      <c r="AE130" s="41" t="s">
        <v>93</v>
      </c>
      <c r="AF130" s="41"/>
      <c r="AG130" s="41" t="s">
        <v>93</v>
      </c>
      <c r="AH130" s="41" t="s">
        <v>93</v>
      </c>
      <c r="AI130" s="41" t="s">
        <v>93</v>
      </c>
      <c r="AJ130" s="41" t="s">
        <v>93</v>
      </c>
      <c r="AK130" s="41" t="s">
        <v>93</v>
      </c>
      <c r="AL130" s="41" t="s">
        <v>93</v>
      </c>
      <c r="AM130" s="41" t="s">
        <v>93</v>
      </c>
      <c r="AN130" s="15"/>
      <c r="AO130" s="41">
        <v>1.0</v>
      </c>
      <c r="AP130" s="41" t="s">
        <v>93</v>
      </c>
      <c r="AQ130" s="41"/>
      <c r="AR130" s="41" t="s">
        <v>93</v>
      </c>
      <c r="AS130" s="41" t="s">
        <v>93</v>
      </c>
      <c r="AT130" s="41">
        <v>1.0</v>
      </c>
      <c r="AU130" s="41" t="s">
        <v>93</v>
      </c>
      <c r="AV130" s="41"/>
      <c r="AW130" s="41" t="s">
        <v>93</v>
      </c>
      <c r="AX130" s="41" t="s">
        <v>93</v>
      </c>
      <c r="AY130" s="41" t="s">
        <v>93</v>
      </c>
      <c r="AZ130" s="41" t="s">
        <v>93</v>
      </c>
      <c r="BA130" s="41" t="s">
        <v>93</v>
      </c>
      <c r="BB130" s="41" t="s">
        <v>93</v>
      </c>
      <c r="BC130" s="41" t="s">
        <v>93</v>
      </c>
    </row>
    <row r="131">
      <c r="A131" s="41" t="s">
        <v>802</v>
      </c>
      <c r="B131" s="41"/>
      <c r="C131" s="41"/>
      <c r="D131" s="41" t="s">
        <v>803</v>
      </c>
      <c r="E131" s="41">
        <v>2.0</v>
      </c>
      <c r="F131" s="44">
        <v>2349.0</v>
      </c>
      <c r="G131" s="41" t="s">
        <v>87</v>
      </c>
      <c r="H131" s="41">
        <v>0.0</v>
      </c>
      <c r="I131" s="45"/>
      <c r="J131" s="15"/>
      <c r="K131" s="41">
        <v>0.0</v>
      </c>
      <c r="L131" s="47">
        <v>0.0</v>
      </c>
      <c r="M131" s="47">
        <v>0.0</v>
      </c>
      <c r="N131" s="47">
        <v>0.0</v>
      </c>
      <c r="O131" s="47">
        <v>0.0</v>
      </c>
      <c r="P131" s="47">
        <v>0.0</v>
      </c>
      <c r="Q131" s="47">
        <v>0.0</v>
      </c>
      <c r="R131" s="47">
        <v>0.0</v>
      </c>
      <c r="S131" s="47">
        <v>0.0</v>
      </c>
      <c r="T131" s="47">
        <v>0.0</v>
      </c>
      <c r="U131" s="47">
        <v>0.0</v>
      </c>
      <c r="V131" s="47">
        <v>0.0</v>
      </c>
      <c r="W131" s="47">
        <v>0.0</v>
      </c>
      <c r="X131" s="47">
        <v>0.0</v>
      </c>
      <c r="Y131" s="15"/>
      <c r="Z131" s="41"/>
      <c r="AA131" s="41"/>
      <c r="AB131" s="41"/>
      <c r="AC131" s="41"/>
      <c r="AD131" s="41"/>
      <c r="AE131" s="41"/>
      <c r="AF131" s="41"/>
      <c r="AG131" s="41" t="s">
        <v>93</v>
      </c>
      <c r="AH131" s="41" t="s">
        <v>93</v>
      </c>
      <c r="AI131" s="41" t="s">
        <v>93</v>
      </c>
      <c r="AJ131" s="41" t="s">
        <v>93</v>
      </c>
      <c r="AK131" s="41" t="s">
        <v>93</v>
      </c>
      <c r="AL131" s="41" t="s">
        <v>93</v>
      </c>
      <c r="AM131" s="41" t="s">
        <v>93</v>
      </c>
      <c r="AN131" s="15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93</v>
      </c>
      <c r="AX131" s="41" t="s">
        <v>93</v>
      </c>
      <c r="AY131" s="41" t="s">
        <v>93</v>
      </c>
      <c r="AZ131" s="41" t="s">
        <v>93</v>
      </c>
      <c r="BA131" s="41" t="s">
        <v>93</v>
      </c>
      <c r="BB131" s="41" t="s">
        <v>93</v>
      </c>
      <c r="BC131" s="41" t="s">
        <v>93</v>
      </c>
    </row>
    <row r="132">
      <c r="A132" s="41" t="s">
        <v>808</v>
      </c>
      <c r="B132" s="41"/>
      <c r="C132" s="41">
        <v>22373.0</v>
      </c>
      <c r="D132" s="41" t="s">
        <v>809</v>
      </c>
      <c r="E132" s="41">
        <v>1.0</v>
      </c>
      <c r="F132" s="44">
        <v>284.21</v>
      </c>
      <c r="G132" s="41" t="s">
        <v>87</v>
      </c>
      <c r="H132" s="41">
        <v>1.0</v>
      </c>
      <c r="I132" s="45"/>
      <c r="J132" s="15"/>
      <c r="K132" s="41">
        <v>1.0</v>
      </c>
      <c r="L132" s="47">
        <v>0.0</v>
      </c>
      <c r="M132" s="47">
        <v>0.0</v>
      </c>
      <c r="N132" s="47">
        <v>0.0</v>
      </c>
      <c r="O132" s="47">
        <v>0.0</v>
      </c>
      <c r="P132" s="47">
        <v>0.0</v>
      </c>
      <c r="Q132" s="47">
        <v>0.0</v>
      </c>
      <c r="R132" s="47">
        <v>0.0</v>
      </c>
      <c r="S132" s="47">
        <v>0.0</v>
      </c>
      <c r="T132" s="47">
        <v>0.0</v>
      </c>
      <c r="U132" s="47">
        <v>0.0</v>
      </c>
      <c r="V132" s="47">
        <v>0.0</v>
      </c>
      <c r="W132" s="47">
        <v>0.0</v>
      </c>
      <c r="X132" s="47">
        <v>0.0</v>
      </c>
      <c r="Y132" s="15"/>
      <c r="Z132" s="41"/>
      <c r="AA132" s="41"/>
      <c r="AB132" s="41"/>
      <c r="AC132" s="41"/>
      <c r="AD132" s="41">
        <v>1.0</v>
      </c>
      <c r="AE132" s="41"/>
      <c r="AF132" s="41"/>
      <c r="AG132" s="41" t="s">
        <v>93</v>
      </c>
      <c r="AH132" s="41" t="s">
        <v>93</v>
      </c>
      <c r="AI132" s="41" t="s">
        <v>93</v>
      </c>
      <c r="AJ132" s="41" t="s">
        <v>93</v>
      </c>
      <c r="AK132" s="41" t="s">
        <v>93</v>
      </c>
      <c r="AL132" s="41" t="s">
        <v>93</v>
      </c>
      <c r="AM132" s="41" t="s">
        <v>93</v>
      </c>
      <c r="AN132" s="15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93</v>
      </c>
      <c r="AX132" s="41" t="s">
        <v>93</v>
      </c>
      <c r="AY132" s="41" t="s">
        <v>93</v>
      </c>
      <c r="AZ132" s="41" t="s">
        <v>93</v>
      </c>
      <c r="BA132" s="41" t="s">
        <v>93</v>
      </c>
      <c r="BB132" s="41" t="s">
        <v>93</v>
      </c>
      <c r="BC132" s="41" t="s">
        <v>93</v>
      </c>
    </row>
    <row r="133">
      <c r="A133" s="41" t="s">
        <v>815</v>
      </c>
      <c r="B133" s="41"/>
      <c r="C133" s="41" t="s">
        <v>156</v>
      </c>
      <c r="D133" s="41" t="s">
        <v>816</v>
      </c>
      <c r="E133" s="41">
        <v>1.0</v>
      </c>
      <c r="F133" s="44">
        <v>222.0</v>
      </c>
      <c r="G133" s="41" t="s">
        <v>87</v>
      </c>
      <c r="H133" s="41">
        <v>0.0</v>
      </c>
      <c r="I133" s="45"/>
      <c r="J133" s="15"/>
      <c r="K133" s="41">
        <v>0.0</v>
      </c>
      <c r="L133" s="47">
        <v>0.0</v>
      </c>
      <c r="M133" s="47">
        <v>0.0</v>
      </c>
      <c r="N133" s="47">
        <v>0.0</v>
      </c>
      <c r="O133" s="47">
        <v>0.0</v>
      </c>
      <c r="P133" s="47">
        <v>0.0</v>
      </c>
      <c r="Q133" s="47">
        <v>0.0</v>
      </c>
      <c r="R133" s="47">
        <v>0.0</v>
      </c>
      <c r="S133" s="47">
        <v>0.0</v>
      </c>
      <c r="T133" s="47">
        <v>0.0</v>
      </c>
      <c r="U133" s="47">
        <v>0.0</v>
      </c>
      <c r="V133" s="47">
        <v>0.0</v>
      </c>
      <c r="W133" s="47">
        <v>0.0</v>
      </c>
      <c r="X133" s="47">
        <v>0.0</v>
      </c>
      <c r="Y133" s="15"/>
      <c r="Z133" s="41"/>
      <c r="AA133" s="41"/>
      <c r="AB133" s="41"/>
      <c r="AC133" s="41"/>
      <c r="AD133" s="41"/>
      <c r="AE133" s="41"/>
      <c r="AF133" s="41"/>
      <c r="AG133" s="41" t="s">
        <v>93</v>
      </c>
      <c r="AH133" s="41" t="s">
        <v>93</v>
      </c>
      <c r="AI133" s="41" t="s">
        <v>93</v>
      </c>
      <c r="AJ133" s="41" t="s">
        <v>93</v>
      </c>
      <c r="AK133" s="41" t="s">
        <v>93</v>
      </c>
      <c r="AL133" s="41" t="s">
        <v>93</v>
      </c>
      <c r="AM133" s="41" t="s">
        <v>93</v>
      </c>
      <c r="AN133" s="15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93</v>
      </c>
      <c r="AX133" s="41" t="s">
        <v>93</v>
      </c>
      <c r="AY133" s="41" t="s">
        <v>93</v>
      </c>
      <c r="AZ133" s="41" t="s">
        <v>93</v>
      </c>
      <c r="BA133" s="41" t="s">
        <v>93</v>
      </c>
      <c r="BB133" s="41" t="s">
        <v>93</v>
      </c>
      <c r="BC133" s="41" t="s">
        <v>93</v>
      </c>
    </row>
    <row r="134">
      <c r="A134" s="41" t="s">
        <v>823</v>
      </c>
      <c r="B134" s="41"/>
      <c r="C134" s="41">
        <v>54071.0</v>
      </c>
      <c r="D134" s="41" t="s">
        <v>825</v>
      </c>
      <c r="E134" s="41">
        <v>1.0</v>
      </c>
      <c r="F134" s="44">
        <v>372.84</v>
      </c>
      <c r="G134" s="41" t="s">
        <v>87</v>
      </c>
      <c r="H134" s="41">
        <v>0.0</v>
      </c>
      <c r="I134" s="45"/>
      <c r="J134" s="15"/>
      <c r="K134" s="41">
        <v>0.0</v>
      </c>
      <c r="L134" s="47">
        <v>0.0</v>
      </c>
      <c r="M134" s="47">
        <v>0.0</v>
      </c>
      <c r="N134" s="47">
        <v>0.0</v>
      </c>
      <c r="O134" s="47">
        <v>0.0</v>
      </c>
      <c r="P134" s="47">
        <v>0.0</v>
      </c>
      <c r="Q134" s="47">
        <v>0.0</v>
      </c>
      <c r="R134" s="47">
        <v>0.0</v>
      </c>
      <c r="S134" s="47">
        <v>0.0</v>
      </c>
      <c r="T134" s="47">
        <v>0.0</v>
      </c>
      <c r="U134" s="47">
        <v>0.0</v>
      </c>
      <c r="V134" s="47">
        <v>0.0</v>
      </c>
      <c r="W134" s="47">
        <v>0.0</v>
      </c>
      <c r="X134" s="47">
        <v>0.0</v>
      </c>
      <c r="Y134" s="15"/>
      <c r="Z134" s="41"/>
      <c r="AA134" s="41"/>
      <c r="AB134" s="41"/>
      <c r="AC134" s="41"/>
      <c r="AD134" s="41"/>
      <c r="AE134" s="41"/>
      <c r="AF134" s="41"/>
      <c r="AG134" s="41" t="s">
        <v>93</v>
      </c>
      <c r="AH134" s="41" t="s">
        <v>93</v>
      </c>
      <c r="AI134" s="41" t="s">
        <v>93</v>
      </c>
      <c r="AJ134" s="41" t="s">
        <v>93</v>
      </c>
      <c r="AK134" s="41" t="s">
        <v>93</v>
      </c>
      <c r="AL134" s="41" t="s">
        <v>93</v>
      </c>
      <c r="AM134" s="41" t="s">
        <v>93</v>
      </c>
      <c r="AN134" s="15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93</v>
      </c>
      <c r="AX134" s="41" t="s">
        <v>93</v>
      </c>
      <c r="AY134" s="41" t="s">
        <v>93</v>
      </c>
      <c r="AZ134" s="41" t="s">
        <v>93</v>
      </c>
      <c r="BA134" s="41" t="s">
        <v>93</v>
      </c>
      <c r="BB134" s="41" t="s">
        <v>93</v>
      </c>
      <c r="BC134" s="41" t="s">
        <v>93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8"/>
      <c r="D1" s="16">
        <f>TODAY()</f>
        <v>46253</v>
      </c>
      <c r="E1" s="18"/>
      <c r="F1" s="19"/>
      <c r="G1" s="18"/>
      <c r="H1" s="20"/>
      <c r="I1" s="22"/>
      <c r="J1" s="22"/>
      <c r="K1" s="25"/>
      <c r="L1" s="25"/>
      <c r="M1" s="25"/>
      <c r="N1" s="25"/>
      <c r="O1" s="25"/>
      <c r="P1" s="25"/>
      <c r="Q1" s="22"/>
      <c r="R1" s="26"/>
      <c r="S1" s="27"/>
      <c r="T1" s="27"/>
      <c r="U1" s="27"/>
      <c r="V1" s="29"/>
      <c r="W1" s="30"/>
      <c r="X1" s="31"/>
      <c r="Y1" s="33"/>
      <c r="Z1" s="35"/>
      <c r="AA1" s="35"/>
      <c r="AB1" s="35"/>
      <c r="AC1" s="30"/>
      <c r="AD1" s="30"/>
      <c r="AE1" s="30"/>
      <c r="AF1" s="30"/>
      <c r="AG1" s="30"/>
      <c r="AH1" s="30"/>
      <c r="AI1" s="30"/>
    </row>
    <row r="2">
      <c r="A2" s="1"/>
      <c r="B2" s="5" t="s">
        <v>69</v>
      </c>
      <c r="C2" s="8"/>
      <c r="D2" s="16">
        <v>46237.0</v>
      </c>
      <c r="E2" s="37"/>
      <c r="F2" s="37"/>
      <c r="G2" s="37"/>
      <c r="H2" s="37"/>
      <c r="I2" s="37"/>
      <c r="J2" s="22"/>
      <c r="K2" s="25"/>
      <c r="L2" s="25"/>
      <c r="M2" s="25"/>
      <c r="N2" s="25"/>
      <c r="O2" s="25"/>
      <c r="P2" s="25"/>
      <c r="Q2" s="22"/>
      <c r="R2" s="25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1"/>
      <c r="B3" s="42" t="s">
        <v>83</v>
      </c>
      <c r="C3" s="43"/>
      <c r="D3" s="43"/>
      <c r="E3" s="43"/>
      <c r="F3" s="43"/>
      <c r="G3" s="43"/>
      <c r="H3" s="43"/>
      <c r="I3" s="43"/>
      <c r="J3" s="46"/>
      <c r="K3" s="25"/>
      <c r="L3" s="48" t="s">
        <v>88</v>
      </c>
      <c r="M3" s="43"/>
      <c r="N3" s="43"/>
      <c r="O3" s="43"/>
      <c r="P3" s="43"/>
      <c r="Q3" s="43"/>
      <c r="R3" s="46"/>
      <c r="S3" s="38"/>
      <c r="T3" s="48" t="s">
        <v>92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6"/>
    </row>
    <row r="4" ht="115.5" customHeight="1">
      <c r="A4" s="49" t="s">
        <v>98</v>
      </c>
      <c r="B4" s="49" t="s">
        <v>7</v>
      </c>
      <c r="C4" s="49" t="s">
        <v>14</v>
      </c>
      <c r="D4" s="51" t="s">
        <v>15</v>
      </c>
      <c r="E4" s="51" t="s">
        <v>16</v>
      </c>
      <c r="F4" s="51" t="s">
        <v>17</v>
      </c>
      <c r="G4" s="51" t="s">
        <v>104</v>
      </c>
      <c r="H4" s="51" t="s">
        <v>32</v>
      </c>
      <c r="I4" s="51" t="s">
        <v>105</v>
      </c>
      <c r="J4" s="51" t="s">
        <v>106</v>
      </c>
      <c r="K4" s="51" t="s">
        <v>107</v>
      </c>
      <c r="L4" s="51" t="s">
        <v>110</v>
      </c>
      <c r="M4" s="51" t="s">
        <v>112</v>
      </c>
      <c r="N4" s="51" t="s">
        <v>113</v>
      </c>
      <c r="O4" s="51" t="s">
        <v>115</v>
      </c>
      <c r="P4" s="49" t="s">
        <v>117</v>
      </c>
      <c r="Q4" s="53" t="s">
        <v>118</v>
      </c>
      <c r="R4" s="53" t="s">
        <v>119</v>
      </c>
      <c r="S4" s="54"/>
      <c r="T4" s="53" t="s">
        <v>122</v>
      </c>
      <c r="U4" s="53" t="s">
        <v>122</v>
      </c>
      <c r="V4" s="53" t="s">
        <v>123</v>
      </c>
      <c r="W4" s="53" t="s">
        <v>124</v>
      </c>
      <c r="X4" s="53" t="s">
        <v>126</v>
      </c>
      <c r="Y4" s="53" t="s">
        <v>128</v>
      </c>
      <c r="Z4" s="53" t="s">
        <v>129</v>
      </c>
      <c r="AA4" s="53" t="s">
        <v>130</v>
      </c>
      <c r="AB4" s="53" t="s">
        <v>131</v>
      </c>
      <c r="AC4" s="53" t="s">
        <v>132</v>
      </c>
      <c r="AD4" s="53" t="s">
        <v>133</v>
      </c>
      <c r="AE4" s="53" t="s">
        <v>134</v>
      </c>
      <c r="AF4" s="53" t="s">
        <v>135</v>
      </c>
      <c r="AG4" s="53" t="s">
        <v>136</v>
      </c>
      <c r="AH4" s="53" t="s">
        <v>137</v>
      </c>
      <c r="AI4" s="53" t="s">
        <v>139</v>
      </c>
    </row>
    <row r="5">
      <c r="A5" s="21" t="s">
        <v>140</v>
      </c>
      <c r="B5" s="21" t="s">
        <v>38</v>
      </c>
      <c r="C5" s="9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13" si="1">IF(G5="","",IF(I5="OS concluída","",$D$1-G5))</f>
        <v>555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6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1" t="s">
        <v>257</v>
      </c>
      <c r="B6" s="21" t="s">
        <v>48</v>
      </c>
      <c r="C6" s="9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539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6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1" t="s">
        <v>333</v>
      </c>
      <c r="B7" s="21" t="s">
        <v>61</v>
      </c>
      <c r="C7" s="9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539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6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21" t="s">
        <v>396</v>
      </c>
      <c r="B8" s="21" t="s">
        <v>77</v>
      </c>
      <c r="C8" s="9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539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6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21" t="s">
        <v>471</v>
      </c>
      <c r="B9" s="21" t="s">
        <v>81</v>
      </c>
      <c r="C9" s="9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517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6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21" t="s">
        <v>540</v>
      </c>
      <c r="B10" s="21" t="s">
        <v>138</v>
      </c>
      <c r="C10" s="9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517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6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1" t="s">
        <v>599</v>
      </c>
      <c r="B11" s="21" t="s">
        <v>600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1" t="s">
        <v>626</v>
      </c>
      <c r="B12" s="21" t="s">
        <v>116</v>
      </c>
      <c r="C12" s="9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517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6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21" t="s">
        <v>690</v>
      </c>
      <c r="B13" s="21" t="s">
        <v>96</v>
      </c>
      <c r="C13" s="9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517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6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21" t="s">
        <v>751</v>
      </c>
      <c r="B14" s="21" t="s">
        <v>89</v>
      </c>
      <c r="C14" s="9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517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6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21" t="s">
        <v>841</v>
      </c>
      <c r="B15" s="21" t="s">
        <v>154</v>
      </c>
      <c r="C15" s="9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517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6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1" t="s">
        <v>901</v>
      </c>
      <c r="B16" s="21" t="s">
        <v>903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1" t="s">
        <v>922</v>
      </c>
      <c r="B17" s="21" t="s">
        <v>146</v>
      </c>
      <c r="C17" s="9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517</v>
      </c>
      <c r="K17" s="6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6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1" t="s">
        <v>956</v>
      </c>
      <c r="B18" s="21" t="s">
        <v>163</v>
      </c>
      <c r="C18" s="9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517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6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1" t="s">
        <v>984</v>
      </c>
      <c r="B19" s="21" t="s">
        <v>171</v>
      </c>
      <c r="C19" s="9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517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6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21" t="s">
        <v>1006</v>
      </c>
      <c r="B20" s="21" t="s">
        <v>180</v>
      </c>
      <c r="C20" s="9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517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6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21" t="s">
        <v>1029</v>
      </c>
      <c r="B21" s="21" t="s">
        <v>187</v>
      </c>
      <c r="C21" s="9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517</v>
      </c>
      <c r="K21" s="6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6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1" t="s">
        <v>1053</v>
      </c>
      <c r="B22" s="21" t="s">
        <v>1054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1" t="s">
        <v>1064</v>
      </c>
      <c r="B23" s="21" t="s">
        <v>196</v>
      </c>
      <c r="C23" s="9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517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6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1" t="s">
        <v>1081</v>
      </c>
      <c r="B24" s="21" t="s">
        <v>1082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6" t="s">
        <v>1090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1" t="s">
        <v>1094</v>
      </c>
      <c r="B25" s="21" t="s">
        <v>193</v>
      </c>
      <c r="C25" s="9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517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6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21" t="s">
        <v>1118</v>
      </c>
      <c r="B26" s="21" t="s">
        <v>205</v>
      </c>
      <c r="C26" s="9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517</v>
      </c>
      <c r="K26" s="6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6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1" t="s">
        <v>1142</v>
      </c>
      <c r="B27" s="21" t="s">
        <v>1143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6" t="s">
        <v>1090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1" t="s">
        <v>1148</v>
      </c>
      <c r="B28" s="21" t="s">
        <v>1149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1" t="s">
        <v>1156</v>
      </c>
      <c r="B29" s="21" t="s">
        <v>209</v>
      </c>
      <c r="C29" s="9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517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6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1" t="s">
        <v>1183</v>
      </c>
      <c r="B30" s="21" t="s">
        <v>215</v>
      </c>
      <c r="C30" s="9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517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6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1" t="s">
        <v>1195</v>
      </c>
      <c r="B31" s="21" t="s">
        <v>1196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1" t="s">
        <v>1205</v>
      </c>
      <c r="B32" s="21" t="s">
        <v>1206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1" t="s">
        <v>1214</v>
      </c>
      <c r="B33" s="21" t="s">
        <v>230</v>
      </c>
      <c r="C33" s="9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517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6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1" t="s">
        <v>1242</v>
      </c>
      <c r="B34" s="21" t="s">
        <v>1244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1" t="s">
        <v>1251</v>
      </c>
      <c r="B35" s="21" t="s">
        <v>222</v>
      </c>
      <c r="C35" s="9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517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6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1" t="s">
        <v>1269</v>
      </c>
      <c r="B36" s="21" t="s">
        <v>1270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1" t="s">
        <v>1275</v>
      </c>
      <c r="B37" s="21" t="s">
        <v>1276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1" t="s">
        <v>1283</v>
      </c>
      <c r="B38" s="21" t="s">
        <v>1285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1" t="s">
        <v>1289</v>
      </c>
      <c r="B39" s="21" t="s">
        <v>1290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1" t="s">
        <v>1291</v>
      </c>
      <c r="B40" s="21" t="s">
        <v>1292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1" t="s">
        <v>1293</v>
      </c>
      <c r="B41" s="21" t="s">
        <v>1294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1" t="s">
        <v>1295</v>
      </c>
      <c r="B42" s="21" t="s">
        <v>243</v>
      </c>
      <c r="C42" s="9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517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6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1" t="s">
        <v>1325</v>
      </c>
      <c r="B43" s="21" t="s">
        <v>236</v>
      </c>
      <c r="C43" s="9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517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6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1" t="s">
        <v>1329</v>
      </c>
      <c r="B44" s="21" t="s">
        <v>1330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1" t="s">
        <v>1331</v>
      </c>
      <c r="B45" s="21" t="s">
        <v>1332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1" t="s">
        <v>1333</v>
      </c>
      <c r="B46" s="21" t="s">
        <v>1334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6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1" t="s">
        <v>1335</v>
      </c>
      <c r="B47" s="21" t="s">
        <v>248</v>
      </c>
      <c r="C47" s="9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484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6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21" t="s">
        <v>1336</v>
      </c>
      <c r="B48" s="21" t="s">
        <v>273</v>
      </c>
      <c r="C48" s="9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484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6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1" t="s">
        <v>1337</v>
      </c>
      <c r="B49" s="21" t="s">
        <v>258</v>
      </c>
      <c r="C49" s="9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484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6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21" t="s">
        <v>1338</v>
      </c>
      <c r="B50" s="21" t="s">
        <v>267</v>
      </c>
      <c r="C50" s="9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484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6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1" t="s">
        <v>1339</v>
      </c>
      <c r="B51" s="21" t="s">
        <v>270</v>
      </c>
      <c r="C51" s="9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484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6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1" t="s">
        <v>1340</v>
      </c>
      <c r="B52" s="21" t="s">
        <v>1341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1" t="s">
        <v>1342</v>
      </c>
      <c r="B53" s="21" t="s">
        <v>280</v>
      </c>
      <c r="C53" s="9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484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6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1" t="s">
        <v>1343</v>
      </c>
      <c r="B54" s="21" t="s">
        <v>1344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1" t="s">
        <v>1345</v>
      </c>
      <c r="B55" s="21" t="s">
        <v>290</v>
      </c>
      <c r="C55" s="9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484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6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1" t="s">
        <v>1346</v>
      </c>
      <c r="B56" s="21" t="s">
        <v>285</v>
      </c>
      <c r="C56" s="9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484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6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1" t="s">
        <v>1347</v>
      </c>
      <c r="B57" s="21" t="s">
        <v>293</v>
      </c>
      <c r="C57" s="9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484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6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1" t="s">
        <v>1348</v>
      </c>
      <c r="B58" s="21" t="s">
        <v>1349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1" t="s">
        <v>1350</v>
      </c>
      <c r="B59" s="21" t="s">
        <v>1351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1" t="s">
        <v>1352</v>
      </c>
      <c r="B60" s="21" t="s">
        <v>301</v>
      </c>
      <c r="C60" s="9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484</v>
      </c>
      <c r="K60" s="6" t="s">
        <v>1353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6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1" t="s">
        <v>1354</v>
      </c>
      <c r="B61" s="21" t="s">
        <v>1355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1" t="s">
        <v>1356</v>
      </c>
      <c r="B62" s="21" t="s">
        <v>1357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1" t="s">
        <v>1358</v>
      </c>
      <c r="B63" s="21" t="s">
        <v>1359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1" t="s">
        <v>1360</v>
      </c>
      <c r="B64" s="21" t="s">
        <v>1361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1" t="s">
        <v>1362</v>
      </c>
      <c r="B65" s="21" t="s">
        <v>1363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1" t="s">
        <v>1364</v>
      </c>
      <c r="B66" s="21" t="s">
        <v>309</v>
      </c>
      <c r="C66" s="9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454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6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21" t="s">
        <v>1365</v>
      </c>
      <c r="B67" s="21" t="s">
        <v>315</v>
      </c>
      <c r="C67" s="9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454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6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1" t="s">
        <v>1366</v>
      </c>
      <c r="B68" s="21" t="s">
        <v>1367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1" t="s">
        <v>1368</v>
      </c>
      <c r="B69" s="21" t="s">
        <v>1369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1" t="s">
        <v>1370</v>
      </c>
      <c r="B70" s="21" t="s">
        <v>1371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1" t="s">
        <v>1372</v>
      </c>
      <c r="B71" s="21" t="s">
        <v>1373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1" t="s">
        <v>1374</v>
      </c>
      <c r="B72" s="21" t="s">
        <v>1375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1" t="s">
        <v>1376</v>
      </c>
      <c r="B73" s="21" t="s">
        <v>325</v>
      </c>
      <c r="C73" s="9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450</v>
      </c>
      <c r="K73" s="55"/>
      <c r="L73" s="55" t="str">
        <f t="shared" si="2"/>
        <v>NÃO APLICÁVEL</v>
      </c>
      <c r="M73" s="55"/>
      <c r="N73" s="56" t="str">
        <f t="array" ref="N73">IFERROR(_xlfn.XLOOKUP($B73,EMPRESA_1!A:A,EMPRESA_1!J:J),"")</f>
        <v>REPARADO</v>
      </c>
      <c r="O73" s="6" t="str">
        <f t="array" ref="O73">IFERROR(_xlfn.XLOOKUP(B73,EMPRESA_1!A:A,EMPRESA_1!K:K),"")
</f>
        <v>VEE ONE</v>
      </c>
      <c r="P73" s="9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1" t="s">
        <v>1377</v>
      </c>
      <c r="B74" s="21" t="s">
        <v>319</v>
      </c>
      <c r="C74" s="9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450</v>
      </c>
      <c r="K74" s="55"/>
      <c r="L74" s="55" t="str">
        <f t="shared" si="2"/>
        <v/>
      </c>
      <c r="M74" s="55"/>
      <c r="N74" s="56" t="str">
        <f t="array" ref="N74">IFERROR(_xlfn.XLOOKUP($B74,EMPRESA_1!A:A,EMPRESA_1!J:J),"")</f>
        <v/>
      </c>
      <c r="O74" s="6" t="str">
        <f t="array" ref="O74">IFERROR(_xlfn.XLOOKUP(B74,EMPRESA_1!A:A,EMPRESA_1!K:K),"")
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1" t="s">
        <v>1378</v>
      </c>
      <c r="B75" s="21" t="s">
        <v>1379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1" t="s">
        <v>1380</v>
      </c>
      <c r="B76" s="21" t="s">
        <v>330</v>
      </c>
      <c r="C76" s="9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450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6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1" t="s">
        <v>1381</v>
      </c>
      <c r="B77" s="21" t="s">
        <v>1382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1" t="s">
        <v>1383</v>
      </c>
      <c r="B78" s="21" t="s">
        <v>334</v>
      </c>
      <c r="C78" s="9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450</v>
      </c>
      <c r="K78" s="55"/>
      <c r="L78" s="55" t="str">
        <f t="shared" si="2"/>
        <v>NÃO APLICÁVEL</v>
      </c>
      <c r="M78" s="55"/>
      <c r="N78" s="56" t="str">
        <f t="array" ref="N78">IFERROR(_xlfn.XLOOKUP($B78,EMPRESA_1!A:A,EMPRESA_1!J:J),"")</f>
        <v>REPARADO</v>
      </c>
      <c r="O78" s="6" t="str">
        <f t="array" ref="O78">IFERROR(_xlfn.XLOOKUP(B78,EMPRESA_1!A:A,EMPRESA_1!K:K),"")
</f>
        <v>VEE ONE</v>
      </c>
      <c r="P78" s="9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1" t="s">
        <v>1391</v>
      </c>
      <c r="B79" s="21" t="s">
        <v>340</v>
      </c>
      <c r="C79" s="9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450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6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1" t="s">
        <v>1410</v>
      </c>
      <c r="B80" s="21" t="s">
        <v>1411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1" t="s">
        <v>1418</v>
      </c>
      <c r="B81" s="21" t="s">
        <v>1419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1" t="s">
        <v>1425</v>
      </c>
      <c r="B82" s="21" t="s">
        <v>342</v>
      </c>
      <c r="C82" s="9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450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6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1" t="s">
        <v>1441</v>
      </c>
      <c r="B83" s="21" t="s">
        <v>344</v>
      </c>
      <c r="C83" s="9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450</v>
      </c>
      <c r="K83" s="55"/>
      <c r="L83" s="55" t="str">
        <f t="shared" si="2"/>
        <v>NÃO APLICÁVEL</v>
      </c>
      <c r="M83" s="55"/>
      <c r="N83" s="56" t="str">
        <f t="array" ref="N83">IFERROR(_xlfn.XLOOKUP($B83,EMPRESA_1!A:A,EMPRESA_1!J:J),"")</f>
        <v>REPARADO</v>
      </c>
      <c r="O83" s="6" t="str">
        <f t="array" ref="O83">IFERROR(_xlfn.XLOOKUP(B83,EMPRESA_1!A:A,EMPRESA_1!K:K),"")
</f>
        <v>VEE ONE</v>
      </c>
      <c r="P83" s="9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1" t="s">
        <v>1461</v>
      </c>
      <c r="B84" s="21" t="s">
        <v>1462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1" t="s">
        <v>1469</v>
      </c>
      <c r="B85" s="21" t="s">
        <v>347</v>
      </c>
      <c r="C85" s="9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440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6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1" t="s">
        <v>1485</v>
      </c>
      <c r="B86" s="21" t="s">
        <v>1486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1" t="s">
        <v>1491</v>
      </c>
      <c r="B87" s="21" t="s">
        <v>361</v>
      </c>
      <c r="C87" s="9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440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6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1" t="s">
        <v>1515</v>
      </c>
      <c r="B88" s="21" t="s">
        <v>364</v>
      </c>
      <c r="C88" s="9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440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6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1" t="s">
        <v>1538</v>
      </c>
      <c r="B89" s="21" t="s">
        <v>356</v>
      </c>
      <c r="C89" s="9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440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6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21" t="s">
        <v>1554</v>
      </c>
      <c r="B90" s="21" t="s">
        <v>353</v>
      </c>
      <c r="C90" s="9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440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6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1" t="s">
        <v>1584</v>
      </c>
      <c r="B91" s="21" t="s">
        <v>1499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6" t="str">
        <f t="array" ref="O91">IFERROR(_xlfn.XLOOKUP(B91,EMPRESA_1!A:A,EMPRESA_1!K:K),"")
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1" t="s">
        <v>1613</v>
      </c>
      <c r="B92" s="21" t="s">
        <v>1502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6" t="str">
        <f t="array" ref="O92">IFERROR(_xlfn.XLOOKUP(B92,EMPRESA_1!A:A,EMPRESA_1!K:K),"")
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1" t="s">
        <v>1633</v>
      </c>
      <c r="B93" s="21" t="s">
        <v>371</v>
      </c>
      <c r="C93" s="9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422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6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1" t="s">
        <v>1659</v>
      </c>
      <c r="B94" s="21" t="s">
        <v>377</v>
      </c>
      <c r="C94" s="9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422</v>
      </c>
      <c r="K94" s="55"/>
      <c r="L94" s="55" t="str">
        <f t="shared" si="2"/>
        <v>NÃO APLICÁVEL</v>
      </c>
      <c r="M94" s="55"/>
      <c r="N94" s="56" t="str">
        <f t="array" ref="N94">IFERROR(_xlfn.XLOOKUP($B94,EMPRESA_1!A:A,EMPRESA_1!J:J),"")</f>
        <v>REPARADO</v>
      </c>
      <c r="O94" s="6" t="str">
        <f t="array" ref="O94">IFERROR(_xlfn.XLOOKUP(B94,EMPRESA_1!A:A,EMPRESA_1!K:K),"")
</f>
        <v>V1 PAMA-LS</v>
      </c>
      <c r="P94" s="9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1" t="s">
        <v>1694</v>
      </c>
      <c r="B95" s="21" t="s">
        <v>1508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1" t="s">
        <v>1709</v>
      </c>
      <c r="B96" s="21" t="s">
        <v>381</v>
      </c>
      <c r="C96" s="9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422</v>
      </c>
      <c r="K96" s="55"/>
      <c r="L96" s="55" t="str">
        <f t="shared" si="2"/>
        <v>NÃO APLICÁVEL</v>
      </c>
      <c r="M96" s="55"/>
      <c r="N96" s="56" t="str">
        <f t="array" ref="N96">IFERROR(_xlfn.XLOOKUP($B96,EMPRESA_1!A:A,EMPRESA_1!J:J),"")</f>
        <v>REPARADO</v>
      </c>
      <c r="O96" s="6" t="str">
        <f t="array" ref="O96">IFERROR(_xlfn.XLOOKUP(B96,EMPRESA_1!A:A,EMPRESA_1!K:K),"")
</f>
        <v>V1 PAMA-LS</v>
      </c>
      <c r="P96" s="9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1" t="s">
        <v>1747</v>
      </c>
      <c r="B97" s="21" t="s">
        <v>387</v>
      </c>
      <c r="C97" s="9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422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6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1" t="s">
        <v>1785</v>
      </c>
      <c r="B98" s="21" t="s">
        <v>392</v>
      </c>
      <c r="C98" s="9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422</v>
      </c>
      <c r="K98" s="55"/>
      <c r="L98" s="55" t="str">
        <f t="shared" si="2"/>
        <v>NÃO APLICÁVEL</v>
      </c>
      <c r="M98" s="55"/>
      <c r="N98" s="56" t="str">
        <f t="array" ref="N98">IFERROR(_xlfn.XLOOKUP($B98,EMPRESA_1!A:A,EMPRESA_1!J:J),"")</f>
        <v>REPARADO</v>
      </c>
      <c r="O98" s="6" t="str">
        <f t="array" ref="O98">IFERROR(_xlfn.XLOOKUP(B98,EMPRESA_1!A:A,EMPRESA_1!K:K),"")
</f>
        <v>V1 PAMA-LS</v>
      </c>
      <c r="P98" s="9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21" t="s">
        <v>1813</v>
      </c>
      <c r="B99" s="21" t="s">
        <v>397</v>
      </c>
      <c r="C99" s="9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422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6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1" t="s">
        <v>1829</v>
      </c>
      <c r="B100" s="21" t="s">
        <v>405</v>
      </c>
      <c r="C100" s="9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413</v>
      </c>
      <c r="K100" s="55"/>
      <c r="L100" s="55" t="str">
        <f t="shared" si="2"/>
        <v/>
      </c>
      <c r="M100" s="55"/>
      <c r="N100" s="56" t="str">
        <f t="array" ref="N100">IFERROR(_xlfn.XLOOKUP($B100,EMPRESA_1!A:A,EMPRESA_1!J:J),"")</f>
        <v/>
      </c>
      <c r="O100" s="6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1" t="s">
        <v>1842</v>
      </c>
      <c r="B101" s="21" t="s">
        <v>401</v>
      </c>
      <c r="C101" s="9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413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6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1" t="s">
        <v>1865</v>
      </c>
      <c r="B102" s="21" t="s">
        <v>1520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1" t="s">
        <v>1874</v>
      </c>
      <c r="B103" s="21" t="s">
        <v>425</v>
      </c>
      <c r="C103" s="9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413</v>
      </c>
      <c r="K103" s="55"/>
      <c r="L103" s="55" t="str">
        <f t="shared" si="2"/>
        <v>NÃO APLICÁVEL</v>
      </c>
      <c r="M103" s="55"/>
      <c r="N103" s="56" t="str">
        <f t="array" ref="N103">IFERROR(_xlfn.XLOOKUP($B103,EMPRESA_1!A:A,EMPRESA_1!J:J),"")</f>
        <v>REPARADO</v>
      </c>
      <c r="O103" s="6" t="str">
        <f t="array" ref="O103">IFERROR(_xlfn.XLOOKUP(B103,EMPRESA_1!A:A,EMPRESA_1!K:K),"")
</f>
        <v>V1 PAMA-LS</v>
      </c>
      <c r="P103" s="9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1" t="s">
        <v>1888</v>
      </c>
      <c r="B104" s="21" t="s">
        <v>1525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1" t="s">
        <v>1893</v>
      </c>
      <c r="B105" s="21" t="s">
        <v>1527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1" t="s">
        <v>1901</v>
      </c>
      <c r="B106" s="21" t="s">
        <v>1530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1" t="s">
        <v>1908</v>
      </c>
      <c r="B107" s="21" t="s">
        <v>420</v>
      </c>
      <c r="C107" s="9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413</v>
      </c>
      <c r="K107" s="55"/>
      <c r="L107" s="55" t="str">
        <f t="shared" si="2"/>
        <v>NÃO APLICÁVEL</v>
      </c>
      <c r="M107" s="55"/>
      <c r="N107" s="56" t="str">
        <f t="array" ref="N107">IFERROR(_xlfn.XLOOKUP($B107,EMPRESA_1!A:A,EMPRESA_1!J:J),"")</f>
        <v>REPARADO</v>
      </c>
      <c r="O107" s="6" t="str">
        <f t="array" ref="O107">IFERROR(_xlfn.XLOOKUP(B107,EMPRESA_1!A:A,EMPRESA_1!K:K),"")
</f>
        <v>V1 PAMA-LS</v>
      </c>
      <c r="P107" s="9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1" t="s">
        <v>1924</v>
      </c>
      <c r="B108" s="21" t="s">
        <v>412</v>
      </c>
      <c r="C108" s="9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413</v>
      </c>
      <c r="K108" s="55"/>
      <c r="L108" s="55" t="str">
        <f t="shared" si="2"/>
        <v>NÃO APLICÁVEL</v>
      </c>
      <c r="M108" s="55"/>
      <c r="N108" s="56" t="str">
        <f t="array" ref="N108">IFERROR(_xlfn.XLOOKUP($B108,EMPRESA_1!A:A,EMPRESA_1!J:J),"")</f>
        <v>REPARADO</v>
      </c>
      <c r="O108" s="6" t="str">
        <f t="array" ref="O108">IFERROR(_xlfn.XLOOKUP(B108,EMPRESA_1!A:A,EMPRESA_1!K:K),"")
</f>
        <v>V1 PAMA-LS</v>
      </c>
      <c r="P108" s="9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21" t="s">
        <v>1940</v>
      </c>
      <c r="B109" s="21" t="s">
        <v>445</v>
      </c>
      <c r="C109" s="9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413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6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21" t="s">
        <v>1980</v>
      </c>
      <c r="B110" s="21" t="s">
        <v>439</v>
      </c>
      <c r="C110" s="9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413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6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1" t="s">
        <v>2006</v>
      </c>
      <c r="B111" s="21" t="s">
        <v>435</v>
      </c>
      <c r="C111" s="9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413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6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1" t="s">
        <v>1657</v>
      </c>
      <c r="B112" s="21" t="s">
        <v>429</v>
      </c>
      <c r="C112" s="9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413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6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1" t="s">
        <v>2108</v>
      </c>
      <c r="B113" s="21" t="s">
        <v>1542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1" t="s">
        <v>2135</v>
      </c>
      <c r="B114" s="21" t="s">
        <v>1544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1" t="s">
        <v>2155</v>
      </c>
      <c r="B115" s="21" t="s">
        <v>1546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1" t="s">
        <v>2175</v>
      </c>
      <c r="B116" s="21" t="s">
        <v>1548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1" t="s">
        <v>2198</v>
      </c>
      <c r="B117" s="21" t="s">
        <v>1550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1" t="s">
        <v>2216</v>
      </c>
      <c r="B118" s="21" t="s">
        <v>454</v>
      </c>
      <c r="C118" s="9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413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6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1" t="s">
        <v>2261</v>
      </c>
      <c r="B119" s="21" t="s">
        <v>458</v>
      </c>
      <c r="C119" s="9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413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6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1" t="s">
        <v>2306</v>
      </c>
      <c r="B120" s="21" t="s">
        <v>460</v>
      </c>
      <c r="C120" s="9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413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6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1" t="s">
        <v>2341</v>
      </c>
      <c r="B121" s="21" t="s">
        <v>467</v>
      </c>
      <c r="C121" s="9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413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6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1" t="s">
        <v>2365</v>
      </c>
      <c r="B122" s="21" t="s">
        <v>449</v>
      </c>
      <c r="C122" s="9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413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6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1" t="s">
        <v>2397</v>
      </c>
      <c r="B123" s="21" t="s">
        <v>472</v>
      </c>
      <c r="C123" s="9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413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6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21" t="s">
        <v>2423</v>
      </c>
      <c r="B124" s="21" t="s">
        <v>476</v>
      </c>
      <c r="C124" s="9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404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6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1" t="s">
        <v>2436</v>
      </c>
      <c r="B125" s="21" t="s">
        <v>479</v>
      </c>
      <c r="C125" s="9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404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6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1" t="s">
        <v>1433</v>
      </c>
      <c r="B126" s="21" t="s">
        <v>1559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1" t="s">
        <v>2463</v>
      </c>
      <c r="B127" s="21" t="s">
        <v>484</v>
      </c>
      <c r="C127" s="9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400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6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1" t="s">
        <v>2475</v>
      </c>
      <c r="B128" s="21" t="s">
        <v>489</v>
      </c>
      <c r="C128" s="9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398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6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1" t="s">
        <v>2486</v>
      </c>
      <c r="B129" s="21" t="s">
        <v>1566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1" t="s">
        <v>2487</v>
      </c>
      <c r="B130" s="21" t="s">
        <v>1568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1" t="s">
        <v>2488</v>
      </c>
      <c r="B131" s="21" t="s">
        <v>495</v>
      </c>
      <c r="C131" s="9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384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6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1" t="s">
        <v>2489</v>
      </c>
      <c r="B132" s="21" t="s">
        <v>498</v>
      </c>
      <c r="C132" s="9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384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6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21" t="s">
        <v>2490</v>
      </c>
      <c r="B133" s="21" t="s">
        <v>507</v>
      </c>
      <c r="C133" s="9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384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6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1" t="s">
        <v>2491</v>
      </c>
      <c r="B134" s="21" t="s">
        <v>1579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1" t="s">
        <v>2492</v>
      </c>
      <c r="B135" s="21" t="s">
        <v>503</v>
      </c>
      <c r="C135" s="9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384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6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1" t="s">
        <v>2493</v>
      </c>
      <c r="B136" s="21" t="s">
        <v>1586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1" t="s">
        <v>2494</v>
      </c>
      <c r="B137" s="21" t="s">
        <v>509</v>
      </c>
      <c r="C137" s="9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371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6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1" t="s">
        <v>2495</v>
      </c>
      <c r="B138" s="21" t="s">
        <v>1595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1" t="s">
        <v>2496</v>
      </c>
      <c r="B139" s="21" t="s">
        <v>1600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1" t="s">
        <v>2497</v>
      </c>
      <c r="B140" s="21" t="s">
        <v>1607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1" t="s">
        <v>2498</v>
      </c>
      <c r="B141" s="21" t="s">
        <v>514</v>
      </c>
      <c r="C141" s="9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362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6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1" t="s">
        <v>2499</v>
      </c>
      <c r="B142" s="21" t="s">
        <v>1615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1" t="s">
        <v>2500</v>
      </c>
      <c r="B143" s="21" t="s">
        <v>1618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1" t="s">
        <v>2501</v>
      </c>
      <c r="B144" s="21" t="s">
        <v>1622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1" t="s">
        <v>2502</v>
      </c>
      <c r="B145" s="21" t="s">
        <v>1627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1" t="s">
        <v>2503</v>
      </c>
      <c r="B146" s="21" t="s">
        <v>1631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1" t="s">
        <v>2504</v>
      </c>
      <c r="B147" s="21" t="s">
        <v>1635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1" t="s">
        <v>1478</v>
      </c>
      <c r="B148" s="21" t="s">
        <v>1636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1" t="s">
        <v>2505</v>
      </c>
      <c r="B149" s="21" t="s">
        <v>1640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1" t="s">
        <v>2506</v>
      </c>
      <c r="B150" s="21" t="s">
        <v>1644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1" t="s">
        <v>2507</v>
      </c>
      <c r="B151" s="21" t="s">
        <v>523</v>
      </c>
      <c r="C151" s="9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362</v>
      </c>
      <c r="K151" s="55"/>
      <c r="L151" s="55" t="str">
        <f t="shared" si="2"/>
        <v>NÃO APLICÁVEL</v>
      </c>
      <c r="M151" s="55"/>
      <c r="N151" s="56" t="str">
        <f t="array" ref="N151">IFERROR(_xlfn.XLOOKUP($B151,EMPRESA_1!A:A,EMPRESA_1!J:J),"")</f>
        <v>REPARADO</v>
      </c>
      <c r="O151" s="6" t="str">
        <f t="array" ref="O151">IFERROR(_xlfn.XLOOKUP(B151,EMPRESA_1!A:A,EMPRESA_1!K:K),"")
</f>
        <v>VEE ONE</v>
      </c>
      <c r="P151" s="9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1" t="s">
        <v>2508</v>
      </c>
      <c r="B152" s="21" t="s">
        <v>519</v>
      </c>
      <c r="C152" s="9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362</v>
      </c>
      <c r="K152" s="55"/>
      <c r="L152" s="55" t="str">
        <f t="shared" si="2"/>
        <v/>
      </c>
      <c r="M152" s="55"/>
      <c r="N152" s="56" t="str">
        <f t="array" ref="N152">IFERROR(_xlfn.XLOOKUP($B152,EMPRESA_1!A:A,EMPRESA_1!J:J),"")</f>
        <v/>
      </c>
      <c r="O152" s="6" t="str">
        <f t="array" ref="O152">IFERROR(_xlfn.XLOOKUP(B152,EMPRESA_1!A:A,EMPRESA_1!K:K),"")
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21" t="s">
        <v>2509</v>
      </c>
      <c r="B153" s="21" t="s">
        <v>526</v>
      </c>
      <c r="C153" s="9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362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6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1" t="s">
        <v>2510</v>
      </c>
      <c r="B154" s="21" t="s">
        <v>1649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1" t="s">
        <v>2511</v>
      </c>
      <c r="B155" s="21" t="s">
        <v>536</v>
      </c>
      <c r="C155" s="9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362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6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1" t="s">
        <v>2512</v>
      </c>
      <c r="B156" s="21" t="s">
        <v>532</v>
      </c>
      <c r="C156" s="9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362</v>
      </c>
      <c r="K156" s="55"/>
      <c r="L156" s="55" t="str">
        <f t="shared" si="2"/>
        <v>NÃO APLICÁVEL</v>
      </c>
      <c r="M156" s="55"/>
      <c r="N156" s="56" t="str">
        <f t="array" ref="N156">IFERROR(_xlfn.XLOOKUP($B156,EMPRESA_1!A:A,EMPRESA_1!J:J),"")</f>
        <v>REPARADO</v>
      </c>
      <c r="O156" s="6" t="str">
        <f t="array" ref="O156">IFERROR(_xlfn.XLOOKUP(B156,EMPRESA_1!A:A,EMPRESA_1!K:K),"")
</f>
        <v>VEE ONE</v>
      </c>
      <c r="P156" s="9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1" t="s">
        <v>2513</v>
      </c>
      <c r="B157" s="21" t="s">
        <v>1656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1" t="s">
        <v>2514</v>
      </c>
      <c r="B158" s="21" t="s">
        <v>539</v>
      </c>
      <c r="C158" s="9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362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6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1" t="s">
        <v>2515</v>
      </c>
      <c r="B159" s="21" t="s">
        <v>543</v>
      </c>
      <c r="C159" s="9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362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6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1" t="s">
        <v>2516</v>
      </c>
      <c r="B160" s="21" t="s">
        <v>542</v>
      </c>
      <c r="C160" s="9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362</v>
      </c>
      <c r="K160" s="55"/>
      <c r="L160" s="55" t="str">
        <f t="shared" si="2"/>
        <v>NÃO APLICÁVEL</v>
      </c>
      <c r="M160" s="55"/>
      <c r="N160" s="56" t="str">
        <f t="array" ref="N160">IFERROR(_xlfn.XLOOKUP($B160,EMPRESA_1!A:A,EMPRESA_1!J:J),"")</f>
        <v>condenado</v>
      </c>
      <c r="O160" s="6" t="str">
        <f t="array" ref="O160">IFERROR(_xlfn.XLOOKUP(B160,EMPRESA_1!A:A,EMPRESA_1!K:K),"")
</f>
        <v>V1 PAMA-LS</v>
      </c>
      <c r="P160" s="9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21" t="s">
        <v>2517</v>
      </c>
      <c r="B161" s="21" t="s">
        <v>546</v>
      </c>
      <c r="C161" s="9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359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6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1" t="s">
        <v>2518</v>
      </c>
      <c r="B162" s="21" t="s">
        <v>553</v>
      </c>
      <c r="C162" s="9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359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6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1" t="s">
        <v>2519</v>
      </c>
      <c r="B163" s="21" t="s">
        <v>554</v>
      </c>
      <c r="C163" s="9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355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6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21" t="s">
        <v>2520</v>
      </c>
      <c r="B164" s="21" t="s">
        <v>559</v>
      </c>
      <c r="C164" s="9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355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6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21" t="s">
        <v>2521</v>
      </c>
      <c r="B165" s="21" t="s">
        <v>562</v>
      </c>
      <c r="C165" s="9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355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6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21" t="s">
        <v>2522</v>
      </c>
      <c r="B166" s="21" t="s">
        <v>567</v>
      </c>
      <c r="C166" s="9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355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6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1" t="s">
        <v>2523</v>
      </c>
      <c r="B167" s="21" t="s">
        <v>1221</v>
      </c>
      <c r="C167" s="9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343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6" t="str">
        <f t="array" ref="O167">IFERROR(_xlfn.XLOOKUP(B167,EMPRESA_1!A:A,EMPRESA_1!K:K),"")
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21" t="s">
        <v>2524</v>
      </c>
      <c r="B168" s="21" t="s">
        <v>1674</v>
      </c>
      <c r="C168" s="9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 t="str">
        <f t="shared" si="2"/>
        <v>NÃO APLICÁVEL</v>
      </c>
      <c r="M168" s="55"/>
      <c r="N168" s="56" t="str">
        <f t="array" ref="N168">IFERROR(_xlfn.XLOOKUP($B168,EMPRESA_1!A:A,EMPRESA_1!J:J),"")</f>
        <v>REPARADO</v>
      </c>
      <c r="O168" s="6" t="str">
        <f t="array" ref="O168">IFERROR(_xlfn.XLOOKUP(B168,EMPRESA_1!A:A,EMPRESA_1!K:K),"")
</f>
        <v>VEE ONE</v>
      </c>
      <c r="P168" s="9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1" t="s">
        <v>2525</v>
      </c>
      <c r="B169" s="21" t="s">
        <v>1677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6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1" t="s">
        <v>2526</v>
      </c>
      <c r="B170" s="21" t="s">
        <v>1681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1" t="s">
        <v>2527</v>
      </c>
      <c r="B171" s="21" t="s">
        <v>570</v>
      </c>
      <c r="C171" s="9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336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6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21" t="s">
        <v>2528</v>
      </c>
      <c r="B172" s="21" t="s">
        <v>575</v>
      </c>
      <c r="C172" s="9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336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6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1" t="s">
        <v>2529</v>
      </c>
      <c r="B173" s="21" t="s">
        <v>1689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6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1" t="s">
        <v>2530</v>
      </c>
      <c r="B174" s="21" t="s">
        <v>582</v>
      </c>
      <c r="C174" s="9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336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6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1" t="s">
        <v>2531</v>
      </c>
      <c r="B175" s="21" t="s">
        <v>1699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1" t="s">
        <v>2532</v>
      </c>
      <c r="B176" s="21" t="s">
        <v>1703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1" t="s">
        <v>2533</v>
      </c>
      <c r="B177" s="21" t="s">
        <v>1697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6" t="str">
        <f t="array" ref="O177">IFERROR(_xlfn.XLOOKUP(B177,EMPRESA_1!A:A,EMPRESA_1!K:K),"")
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1" t="s">
        <v>2534</v>
      </c>
      <c r="B178" s="21" t="s">
        <v>590</v>
      </c>
      <c r="C178" s="9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336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6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1" t="s">
        <v>2535</v>
      </c>
      <c r="B179" s="21" t="s">
        <v>587</v>
      </c>
      <c r="C179" s="9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336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6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21" t="s">
        <v>2536</v>
      </c>
      <c r="B180" s="21" t="s">
        <v>584</v>
      </c>
      <c r="C180" s="9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336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6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1" t="s">
        <v>2537</v>
      </c>
      <c r="B181" s="21" t="s">
        <v>598</v>
      </c>
      <c r="C181" s="9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316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6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1" t="s">
        <v>2538</v>
      </c>
      <c r="B182" s="21" t="s">
        <v>1716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1" t="s">
        <v>2539</v>
      </c>
      <c r="B183" s="21" t="s">
        <v>604</v>
      </c>
      <c r="C183" s="9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316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6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1" t="s">
        <v>2540</v>
      </c>
      <c r="B184" s="21" t="s">
        <v>1723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1" t="s">
        <v>2541</v>
      </c>
      <c r="B185" s="21" t="s">
        <v>1725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1" t="s">
        <v>1784</v>
      </c>
      <c r="B186" s="21" t="s">
        <v>595</v>
      </c>
      <c r="C186" s="9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316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6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1" t="s">
        <v>2542</v>
      </c>
      <c r="B187" s="21" t="s">
        <v>609</v>
      </c>
      <c r="C187" s="9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314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6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1" t="s">
        <v>2543</v>
      </c>
      <c r="B188" s="21" t="s">
        <v>617</v>
      </c>
      <c r="C188" s="9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314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6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1" t="s">
        <v>2544</v>
      </c>
      <c r="B189" s="21" t="s">
        <v>620</v>
      </c>
      <c r="C189" s="9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314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6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21" t="s">
        <v>2545</v>
      </c>
      <c r="B190" s="21" t="s">
        <v>613</v>
      </c>
      <c r="C190" s="9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314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6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1" t="s">
        <v>2546</v>
      </c>
      <c r="B191" s="21" t="s">
        <v>624</v>
      </c>
      <c r="C191" s="9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307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6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21" t="s">
        <v>2547</v>
      </c>
      <c r="B192" s="21" t="s">
        <v>632</v>
      </c>
      <c r="C192" s="9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288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6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1" t="s">
        <v>2548</v>
      </c>
      <c r="B193" s="21" t="s">
        <v>629</v>
      </c>
      <c r="C193" s="9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288</v>
      </c>
      <c r="K193" s="55"/>
      <c r="L193" s="55" t="str">
        <f t="shared" si="2"/>
        <v>NÃO APLICÁVEL</v>
      </c>
      <c r="M193" s="55"/>
      <c r="N193" s="56" t="str">
        <f t="array" ref="N193">IFERROR(_xlfn.XLOOKUP($B193,EMPRESA_1!A:A,EMPRESA_1!J:J),"")</f>
        <v>REPARADO</v>
      </c>
      <c r="O193" s="6" t="str">
        <f t="array" ref="O193">IFERROR(_xlfn.XLOOKUP(B193,EMPRESA_1!A:A,EMPRESA_1!K:K),"")
</f>
        <v>V1 PAMA-LS</v>
      </c>
      <c r="P193" s="9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21" t="s">
        <v>2549</v>
      </c>
      <c r="B194" s="21" t="s">
        <v>636</v>
      </c>
      <c r="C194" s="9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286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6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1" t="s">
        <v>2550</v>
      </c>
      <c r="B195" s="21" t="s">
        <v>639</v>
      </c>
      <c r="C195" s="9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285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6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1" t="s">
        <v>2551</v>
      </c>
      <c r="B196" s="21" t="s">
        <v>645</v>
      </c>
      <c r="C196" s="9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285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6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1" t="s">
        <v>2552</v>
      </c>
      <c r="B197" s="21" t="s">
        <v>1761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1" t="s">
        <v>2553</v>
      </c>
      <c r="B198" s="21" t="s">
        <v>648</v>
      </c>
      <c r="C198" s="9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282</v>
      </c>
      <c r="K198" s="55"/>
      <c r="L198" s="55" t="str">
        <f t="shared" si="2"/>
        <v>NÃO APLICÁVEL</v>
      </c>
      <c r="M198" s="55"/>
      <c r="N198" s="56" t="str">
        <f t="array" ref="N198">IFERROR(_xlfn.XLOOKUP($B198,EMPRESA_1!A:A,EMPRESA_1!J:J),"")</f>
        <v>REPARADO</v>
      </c>
      <c r="O198" s="6" t="str">
        <f t="array" ref="O198">IFERROR(_xlfn.XLOOKUP(B198,EMPRESA_1!A:A,EMPRESA_1!K:K),"")
</f>
        <v>V1 PAMA-LS</v>
      </c>
      <c r="P198" s="9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1" t="s">
        <v>2554</v>
      </c>
      <c r="B199" s="21" t="s">
        <v>1769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1" t="s">
        <v>2555</v>
      </c>
      <c r="B200" s="21" t="s">
        <v>1773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1" t="s">
        <v>1498</v>
      </c>
      <c r="B201" s="21" t="s">
        <v>1777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1" t="s">
        <v>2556</v>
      </c>
      <c r="B202" s="21" t="s">
        <v>656</v>
      </c>
      <c r="C202" s="9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274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6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1" t="s">
        <v>2557</v>
      </c>
      <c r="B203" s="21" t="s">
        <v>669</v>
      </c>
      <c r="C203" s="9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267</v>
      </c>
      <c r="K203" s="55"/>
      <c r="L203" s="55" t="str">
        <f t="shared" si="2"/>
        <v>NÃO APLICÁVEL</v>
      </c>
      <c r="M203" s="55"/>
      <c r="N203" s="56" t="str">
        <f t="array" ref="N203">IFERROR(_xlfn.XLOOKUP($B203,EMPRESA_1!A:A,EMPRESA_1!J:J),"")</f>
        <v>REPARADO</v>
      </c>
      <c r="O203" s="6" t="str">
        <f t="array" ref="O203">IFERROR(_xlfn.XLOOKUP(B203,EMPRESA_1!A:A,EMPRESA_1!K:K),"")
</f>
        <v>V1 PAMA-LS</v>
      </c>
      <c r="P203" s="9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1" t="s">
        <v>2558</v>
      </c>
      <c r="B204" s="21" t="s">
        <v>665</v>
      </c>
      <c r="C204" s="9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267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6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1" t="s">
        <v>2559</v>
      </c>
      <c r="B205" s="21" t="s">
        <v>660</v>
      </c>
      <c r="C205" s="9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267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6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1" t="s">
        <v>2560</v>
      </c>
      <c r="B206" s="21" t="s">
        <v>672</v>
      </c>
      <c r="C206" s="9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267</v>
      </c>
      <c r="K206" s="55"/>
      <c r="L206" s="55" t="str">
        <f t="shared" si="2"/>
        <v>NÃO APLICÁVEL</v>
      </c>
      <c r="M206" s="55"/>
      <c r="N206" s="56" t="str">
        <f t="array" ref="N206">IFERROR(_xlfn.XLOOKUP($B206,EMPRESA_1!A:A,EMPRESA_1!J:J),"")</f>
        <v>EM REPARO</v>
      </c>
      <c r="O206" s="6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1" t="s">
        <v>2561</v>
      </c>
      <c r="B207" s="21" t="s">
        <v>682</v>
      </c>
      <c r="C207" s="9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267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6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1" t="s">
        <v>2562</v>
      </c>
      <c r="B208" s="21" t="s">
        <v>676</v>
      </c>
      <c r="C208" s="9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267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6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1" t="s">
        <v>2563</v>
      </c>
      <c r="B209" s="21" t="s">
        <v>1793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1" t="s">
        <v>2564</v>
      </c>
      <c r="B210" s="21" t="s">
        <v>683</v>
      </c>
      <c r="C210" s="9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267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6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21" t="s">
        <v>2565</v>
      </c>
      <c r="B211" s="21" t="s">
        <v>689</v>
      </c>
      <c r="C211" s="9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267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6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21" t="s">
        <v>2566</v>
      </c>
      <c r="B212" s="21" t="s">
        <v>693</v>
      </c>
      <c r="C212" s="9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253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6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1" t="s">
        <v>2567</v>
      </c>
      <c r="B213" s="21" t="s">
        <v>696</v>
      </c>
      <c r="C213" s="9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253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6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1" t="s">
        <v>2568</v>
      </c>
      <c r="B214" s="21" t="s">
        <v>1808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1" t="s">
        <v>2569</v>
      </c>
      <c r="B215" s="21" t="s">
        <v>1810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1" t="s">
        <v>2570</v>
      </c>
      <c r="B216" s="21" t="s">
        <v>705</v>
      </c>
      <c r="C216" s="9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246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6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21" t="s">
        <v>2571</v>
      </c>
      <c r="B217" s="21" t="s">
        <v>708</v>
      </c>
      <c r="C217" s="9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246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6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1" t="s">
        <v>2572</v>
      </c>
      <c r="B218" s="21" t="s">
        <v>700</v>
      </c>
      <c r="C218" s="9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246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6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1" t="s">
        <v>2573</v>
      </c>
      <c r="B219" s="21" t="s">
        <v>1817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1" t="s">
        <v>2574</v>
      </c>
      <c r="B220" s="21" t="s">
        <v>716</v>
      </c>
      <c r="C220" s="9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243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6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1" t="s">
        <v>2575</v>
      </c>
      <c r="B221" s="21" t="s">
        <v>712</v>
      </c>
      <c r="C221" s="9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243</v>
      </c>
      <c r="K221" s="55"/>
      <c r="L221" s="55" t="str">
        <f t="shared" si="2"/>
        <v>NÃO APLICÁVEL</v>
      </c>
      <c r="M221" s="55"/>
      <c r="N221" s="56" t="str">
        <f t="array" ref="N221">IFERROR(_xlfn.XLOOKUP($B221,EMPRESA_1!A:A,EMPRESA_1!J:J),"")</f>
        <v>REPARADO</v>
      </c>
      <c r="O221" s="6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21" t="s">
        <v>2576</v>
      </c>
      <c r="B222" s="21" t="s">
        <v>725</v>
      </c>
      <c r="C222" s="9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243</v>
      </c>
      <c r="K222" s="55"/>
      <c r="L222" s="55" t="str">
        <f t="shared" si="2"/>
        <v>NÃO APLICÁVEL</v>
      </c>
      <c r="M222" s="55"/>
      <c r="N222" s="56" t="str">
        <f t="array" ref="N222">IFERROR(_xlfn.XLOOKUP($B222,EMPRESA_1!A:A,EMPRESA_1!J:J),"")</f>
        <v>REPARADO</v>
      </c>
      <c r="O222" s="6" t="str">
        <f t="array" ref="O222">IFERROR(_xlfn.XLOOKUP(B222,EMPRESA_1!A:A,EMPRESA_1!K:K),"")
</f>
        <v>V1 PAMA-LS</v>
      </c>
      <c r="P222" s="9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1" t="s">
        <v>2577</v>
      </c>
      <c r="B223" s="21" t="s">
        <v>718</v>
      </c>
      <c r="C223" s="9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243</v>
      </c>
      <c r="K223" s="55"/>
      <c r="L223" s="55" t="str">
        <f t="shared" si="2"/>
        <v>NÃO APLICÁVEL</v>
      </c>
      <c r="M223" s="55"/>
      <c r="N223" s="56" t="str">
        <f t="array" ref="N223">IFERROR(_xlfn.XLOOKUP($B223,EMPRESA_1!A:A,EMPRESA_1!J:J),"")</f>
        <v>REPARADO</v>
      </c>
      <c r="O223" s="6" t="str">
        <f t="array" ref="O223">IFERROR(_xlfn.XLOOKUP(B223,EMPRESA_1!A:A,EMPRESA_1!K:K),"")
</f>
        <v>V1 PAMA-LS</v>
      </c>
      <c r="P223" s="9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1" t="s">
        <v>2578</v>
      </c>
      <c r="B224" s="21" t="s">
        <v>1744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6" t="str">
        <f t="array" ref="O224">IFERROR(_xlfn.XLOOKUP(B224,EMPRESA_1!A:A,EMPRESA_1!K:K),"")
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1" t="s">
        <v>2579</v>
      </c>
      <c r="B225" s="21" t="s">
        <v>728</v>
      </c>
      <c r="C225" s="9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225</v>
      </c>
      <c r="K225" s="55"/>
      <c r="L225" s="55" t="str">
        <f t="shared" si="2"/>
        <v>NÃO APLICÁVEL</v>
      </c>
      <c r="M225" s="55"/>
      <c r="N225" s="56" t="str">
        <f t="array" ref="N225">IFERROR(_xlfn.XLOOKUP($B225,EMPRESA_1!A:A,EMPRESA_1!J:J),"")</f>
        <v>REPARADO</v>
      </c>
      <c r="O225" s="6" t="str">
        <f t="array" ref="O225">IFERROR(_xlfn.XLOOKUP(B225,EMPRESA_1!A:A,EMPRESA_1!K:K),"")
</f>
        <v>VEE ONE</v>
      </c>
      <c r="P225" s="9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1" t="s">
        <v>2580</v>
      </c>
      <c r="B226" s="21" t="s">
        <v>732</v>
      </c>
      <c r="C226" s="9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225</v>
      </c>
      <c r="K226" s="55"/>
      <c r="L226" s="55" t="str">
        <f t="shared" si="2"/>
        <v>NÃO APLICÁVEL</v>
      </c>
      <c r="M226" s="55"/>
      <c r="N226" s="56" t="str">
        <f t="array" ref="N226">IFERROR(_xlfn.XLOOKUP($B226,EMPRESA_1!A:A,EMPRESA_1!J:J),"")</f>
        <v>REPARADO</v>
      </c>
      <c r="O226" s="6" t="str">
        <f t="array" ref="O226">IFERROR(_xlfn.XLOOKUP(B226,EMPRESA_1!A:A,EMPRESA_1!K:K),"")
</f>
        <v>VEE ONE</v>
      </c>
      <c r="P226" s="9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1" t="s">
        <v>2581</v>
      </c>
      <c r="B227" s="21" t="s">
        <v>739</v>
      </c>
      <c r="C227" s="9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225</v>
      </c>
      <c r="K227" s="55"/>
      <c r="L227" s="55" t="str">
        <f t="shared" si="2"/>
        <v>NÃO APLICÁVEL</v>
      </c>
      <c r="M227" s="55"/>
      <c r="N227" s="56" t="str">
        <f t="array" ref="N227">IFERROR(_xlfn.XLOOKUP($B227,EMPRESA_1!A:A,EMPRESA_1!J:J),"")</f>
        <v>REPARADO</v>
      </c>
      <c r="O227" s="6" t="str">
        <f t="array" ref="O227">IFERROR(_xlfn.XLOOKUP(B227,EMPRESA_1!A:A,EMPRESA_1!K:K),"")
</f>
        <v>VEE ONE</v>
      </c>
      <c r="P227" s="9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1" t="s">
        <v>2582</v>
      </c>
      <c r="B228" s="21" t="s">
        <v>735</v>
      </c>
      <c r="C228" s="9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225</v>
      </c>
      <c r="K228" s="55"/>
      <c r="L228" s="55" t="str">
        <f t="shared" si="2"/>
        <v>NÃO APLICÁVEL</v>
      </c>
      <c r="M228" s="55"/>
      <c r="N228" s="56" t="str">
        <f t="array" ref="N228">IFERROR(_xlfn.XLOOKUP($B228,EMPRESA_1!A:A,EMPRESA_1!J:J),"")</f>
        <v>REPARADO</v>
      </c>
      <c r="O228" s="6" t="str">
        <f t="array" ref="O228">IFERROR(_xlfn.XLOOKUP(B228,EMPRESA_1!A:A,EMPRESA_1!K:K),"")
</f>
        <v>VEE ONE</v>
      </c>
      <c r="P228" s="9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1" t="s">
        <v>2583</v>
      </c>
      <c r="B229" s="21" t="s">
        <v>747</v>
      </c>
      <c r="C229" s="9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225</v>
      </c>
      <c r="K229" s="55"/>
      <c r="L229" s="55" t="str">
        <f t="shared" si="2"/>
        <v>NÃO APLICÁVEL</v>
      </c>
      <c r="M229" s="55"/>
      <c r="N229" s="56" t="str">
        <f t="array" ref="N229">IFERROR(_xlfn.XLOOKUP($B229,EMPRESA_1!A:A,EMPRESA_1!J:J),"")</f>
        <v>REPARADO</v>
      </c>
      <c r="O229" s="6" t="str">
        <f t="array" ref="O229">IFERROR(_xlfn.XLOOKUP(B229,EMPRESA_1!A:A,EMPRESA_1!K:K),"")
</f>
        <v>VEE ONE</v>
      </c>
      <c r="P229" s="9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1" t="s">
        <v>2584</v>
      </c>
      <c r="B230" s="21" t="s">
        <v>745</v>
      </c>
      <c r="C230" s="9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225</v>
      </c>
      <c r="K230" s="55"/>
      <c r="L230" s="55" t="str">
        <f t="shared" si="2"/>
        <v>NÃO APLICÁVEL</v>
      </c>
      <c r="M230" s="55"/>
      <c r="N230" s="56" t="str">
        <f t="array" ref="N230">IFERROR(_xlfn.XLOOKUP($B230,EMPRESA_1!A:A,EMPRESA_1!J:J),"")</f>
        <v>REPARADO</v>
      </c>
      <c r="O230" s="6" t="str">
        <f t="array" ref="O230">IFERROR(_xlfn.XLOOKUP(B230,EMPRESA_1!A:A,EMPRESA_1!K:K),"")
</f>
        <v>VEE ONE</v>
      </c>
      <c r="P230" s="9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1" t="s">
        <v>2585</v>
      </c>
      <c r="B231" s="21" t="s">
        <v>742</v>
      </c>
      <c r="C231" s="9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225</v>
      </c>
      <c r="K231" s="55"/>
      <c r="L231" s="55" t="str">
        <f t="shared" si="2"/>
        <v>NÃO APLICÁVEL</v>
      </c>
      <c r="M231" s="55"/>
      <c r="N231" s="56" t="str">
        <f t="array" ref="N231">IFERROR(_xlfn.XLOOKUP($B231,EMPRESA_1!A:A,EMPRESA_1!J:J),"")</f>
        <v>REPARADO</v>
      </c>
      <c r="O231" s="6" t="str">
        <f t="array" ref="O231">IFERROR(_xlfn.XLOOKUP(B231,EMPRESA_1!A:A,EMPRESA_1!K:K),"")
</f>
        <v>VEE ONE</v>
      </c>
      <c r="P231" s="9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1" t="s">
        <v>2586</v>
      </c>
      <c r="B232" s="21" t="s">
        <v>1736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6" t="str">
        <f t="array" ref="O232">IFERROR(_xlfn.XLOOKUP(B232,EMPRESA_1!A:A,EMPRESA_1!K:K),"")
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1" t="s">
        <v>2587</v>
      </c>
      <c r="B233" s="21" t="s">
        <v>750</v>
      </c>
      <c r="C233" s="9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225</v>
      </c>
      <c r="K233" s="55"/>
      <c r="L233" s="55" t="str">
        <f t="shared" si="2"/>
        <v>NÃO APLICÁVEL</v>
      </c>
      <c r="M233" s="55"/>
      <c r="N233" s="56" t="str">
        <f t="array" ref="N233">IFERROR(_xlfn.XLOOKUP($B233,EMPRESA_1!A:A,EMPRESA_1!J:J),"")</f>
        <v>VAI SER DEVOLVIDO SEM REPARO</v>
      </c>
      <c r="O233" s="6" t="str">
        <f t="array" ref="O233">IFERROR(_xlfn.XLOOKUP(B233,EMPRESA_1!A:A,EMPRESA_1!K:K),"")
</f>
        <v>WILLIAM</v>
      </c>
      <c r="P233" s="9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21" t="s">
        <v>2588</v>
      </c>
      <c r="B234" s="21" t="s">
        <v>763</v>
      </c>
      <c r="C234" s="9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225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6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1" t="s">
        <v>2589</v>
      </c>
      <c r="B235" s="21" t="s">
        <v>1836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1" t="s">
        <v>2590</v>
      </c>
      <c r="B236" s="21" t="s">
        <v>1838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1" t="s">
        <v>2591</v>
      </c>
      <c r="B237" s="21" t="s">
        <v>759</v>
      </c>
      <c r="C237" s="9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225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6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21" t="s">
        <v>2592</v>
      </c>
      <c r="B238" s="21" t="s">
        <v>755</v>
      </c>
      <c r="C238" s="9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225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6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21" t="s">
        <v>2593</v>
      </c>
      <c r="B239" s="21" t="s">
        <v>770</v>
      </c>
      <c r="C239" s="9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225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6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1" t="s">
        <v>2594</v>
      </c>
      <c r="B240" s="21" t="s">
        <v>765</v>
      </c>
      <c r="C240" s="9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225</v>
      </c>
      <c r="K240" s="55"/>
      <c r="L240" s="55" t="str">
        <f t="shared" si="2"/>
        <v>NÃO APLICÁVEL</v>
      </c>
      <c r="M240" s="55"/>
      <c r="N240" s="56" t="str">
        <f t="array" ref="N240">IFERROR(_xlfn.XLOOKUP($B240,EMPRESA_1!A:A,EMPRESA_1!J:J),"")</f>
        <v>REPARADO</v>
      </c>
      <c r="O240" s="6" t="str">
        <f t="array" ref="O240">IFERROR(_xlfn.XLOOKUP(B240,EMPRESA_1!A:A,EMPRESA_1!K:K),"")
</f>
        <v>VEE ONE</v>
      </c>
      <c r="P240" s="9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/>
      </c>
    </row>
    <row r="241" hidden="1">
      <c r="A241" s="21" t="s">
        <v>2595</v>
      </c>
      <c r="B241" s="21" t="s">
        <v>1913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1" t="s">
        <v>2596</v>
      </c>
      <c r="B242" s="21" t="s">
        <v>776</v>
      </c>
      <c r="C242" s="9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217</v>
      </c>
      <c r="K242" s="55"/>
      <c r="L242" s="55" t="str">
        <f t="shared" si="2"/>
        <v/>
      </c>
      <c r="M242" s="55"/>
      <c r="N242" s="56" t="str">
        <f t="shared" si="62"/>
        <v/>
      </c>
      <c r="O242" s="6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1" t="s">
        <v>2597</v>
      </c>
      <c r="B243" s="21" t="s">
        <v>1852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1" t="s">
        <v>2598</v>
      </c>
      <c r="B244" s="21" t="s">
        <v>1854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1" t="s">
        <v>2599</v>
      </c>
      <c r="B245" s="21" t="s">
        <v>783</v>
      </c>
      <c r="C245" s="9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217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6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1" t="s">
        <v>2600</v>
      </c>
      <c r="B246" s="21" t="s">
        <v>1536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1" t="s">
        <v>2601</v>
      </c>
      <c r="B247" s="21" t="s">
        <v>787</v>
      </c>
      <c r="C247" s="9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205</v>
      </c>
      <c r="K247" s="55"/>
      <c r="L247" s="55" t="str">
        <f t="shared" si="2"/>
        <v>NÃO APLICÁVEL</v>
      </c>
      <c r="M247" s="55"/>
      <c r="N247" s="56" t="str">
        <f t="array" ref="N247">IFERROR(_xlfn.XLOOKUP($B247,EMPRESA_1!A:A,EMPRESA_1!J:J),"")</f>
        <v>REPARADO</v>
      </c>
      <c r="O247" s="6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1" t="s">
        <v>2602</v>
      </c>
      <c r="B248" s="21" t="s">
        <v>791</v>
      </c>
      <c r="C248" s="9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205</v>
      </c>
      <c r="K248" s="55"/>
      <c r="L248" s="55" t="str">
        <f t="shared" si="2"/>
        <v>NÃO APLICÁVEL</v>
      </c>
      <c r="M248" s="55"/>
      <c r="N248" s="56" t="str">
        <f t="array" ref="N248">IFERROR(_xlfn.XLOOKUP($B248,EMPRESA_1!A:A,EMPRESA_1!J:J),"")</f>
        <v>REPARADO</v>
      </c>
      <c r="O248" s="6" t="str">
        <f t="array" ref="O248">IFERROR(_xlfn.XLOOKUP(B248,EMPRESA_1!A:A,EMPRESA_1!K:K),"")
</f>
        <v>V1 PAMA-LS</v>
      </c>
      <c r="P248" s="9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21" t="s">
        <v>2603</v>
      </c>
      <c r="B249" s="21" t="s">
        <v>797</v>
      </c>
      <c r="C249" s="9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203</v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6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1" t="s">
        <v>2604</v>
      </c>
      <c r="B250" s="21" t="s">
        <v>1861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1" t="s">
        <v>2605</v>
      </c>
      <c r="B251" s="21" t="s">
        <v>1863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1" t="s">
        <v>2606</v>
      </c>
      <c r="B252" s="21" t="s">
        <v>793</v>
      </c>
      <c r="C252" s="9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203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6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1" t="s">
        <v>2607</v>
      </c>
      <c r="B253" s="21" t="s">
        <v>801</v>
      </c>
      <c r="C253" s="9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190</v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6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1" t="s">
        <v>2608</v>
      </c>
      <c r="B254" s="21" t="s">
        <v>1868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1" t="s">
        <v>2609</v>
      </c>
      <c r="B255" s="21" t="s">
        <v>1871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1" t="s">
        <v>2610</v>
      </c>
      <c r="B256" s="21" t="s">
        <v>811</v>
      </c>
      <c r="C256" s="9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190</v>
      </c>
      <c r="K256" s="55"/>
      <c r="L256" s="55" t="str">
        <f t="shared" si="2"/>
        <v>NÃO APLICÁVEL</v>
      </c>
      <c r="M256" s="55"/>
      <c r="N256" s="56" t="str">
        <f t="array" ref="N256">IFERROR(_xlfn.XLOOKUP($B256,EMPRESA_1!A:A,EMPRESA_1!J:J),"")</f>
        <v>EM REPARO</v>
      </c>
      <c r="O256" s="6" t="str">
        <f t="array" ref="O256">IFERROR(_xlfn.XLOOKUP(B256,EMPRESA_1!A:A,EMPRESA_1!K:K),"")
</f>
        <v>WILLIAM</v>
      </c>
      <c r="P256" s="9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1" t="s">
        <v>2611</v>
      </c>
      <c r="B257" s="21" t="s">
        <v>817</v>
      </c>
      <c r="C257" s="9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190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6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1" t="s">
        <v>2612</v>
      </c>
      <c r="B258" s="21" t="s">
        <v>805</v>
      </c>
      <c r="C258" s="9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190</v>
      </c>
      <c r="K258" s="55"/>
      <c r="L258" s="55" t="str">
        <f t="shared" si="2"/>
        <v>NÃO APLICÁVEL</v>
      </c>
      <c r="M258" s="55"/>
      <c r="N258" s="56" t="str">
        <f t="array" ref="N258">IFERROR(_xlfn.XLOOKUP($B258,EMPRESA_1!A:A,EMPRESA_1!J:J),"")</f>
        <v>REPARADO</v>
      </c>
      <c r="O258" s="6" t="str">
        <f t="array" ref="O258">IFERROR(_xlfn.XLOOKUP(B258,EMPRESA_1!A:A,EMPRESA_1!K:K),"")
</f>
        <v>V1 PAMA-LS</v>
      </c>
      <c r="P258" s="9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1" t="s">
        <v>2613</v>
      </c>
      <c r="B259" s="21" t="s">
        <v>822</v>
      </c>
      <c r="C259" s="9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190</v>
      </c>
      <c r="K259" s="55"/>
      <c r="L259" s="55" t="str">
        <f t="shared" si="2"/>
        <v>NÃO APLICÁVEL</v>
      </c>
      <c r="M259" s="55"/>
      <c r="N259" s="56" t="str">
        <f t="array" ref="N259">IFERROR(_xlfn.XLOOKUP($B259,EMPRESA_1!A:A,EMPRESA_1!J:J),"")</f>
        <v>REPARADO</v>
      </c>
      <c r="O259" s="6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1" t="s">
        <v>2614</v>
      </c>
      <c r="B260" s="21" t="s">
        <v>1876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1" t="s">
        <v>2615</v>
      </c>
      <c r="B261" s="21" t="s">
        <v>1879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1" t="s">
        <v>2616</v>
      </c>
      <c r="B262" s="21" t="s">
        <v>829</v>
      </c>
      <c r="C262" s="9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190</v>
      </c>
      <c r="K262" s="55"/>
      <c r="L262" s="55" t="str">
        <f t="shared" si="2"/>
        <v>NÃO APLICÁVEL</v>
      </c>
      <c r="M262" s="55"/>
      <c r="N262" s="56" t="str">
        <f t="array" ref="N262">IFERROR(_xlfn.XLOOKUP($B262,EMPRESA_1!A:A,EMPRESA_1!J:J),"")</f>
        <v>REPARADO</v>
      </c>
      <c r="O262" s="6" t="str">
        <f t="array" ref="O262">IFERROR(_xlfn.XLOOKUP(B262,EMPRESA_1!A:A,EMPRESA_1!K:K),"")
</f>
        <v>V1 PAMA-LS</v>
      </c>
      <c r="P262" s="9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1" t="s">
        <v>2617</v>
      </c>
      <c r="B263" s="21" t="s">
        <v>836</v>
      </c>
      <c r="C263" s="9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190</v>
      </c>
      <c r="K263" s="55"/>
      <c r="L263" s="55" t="str">
        <f t="shared" si="2"/>
        <v>NÃO APLICÁVEL</v>
      </c>
      <c r="M263" s="55"/>
      <c r="N263" s="56" t="str">
        <f t="array" ref="N263">IFERROR(_xlfn.XLOOKUP($B263,EMPRESA_1!A:A,EMPRESA_1!J:J),"")</f>
        <v>REPARADO</v>
      </c>
      <c r="O263" s="6" t="str">
        <f t="array" ref="O263">IFERROR(_xlfn.XLOOKUP(B263,EMPRESA_1!A:A,EMPRESA_1!K:K),"")
</f>
        <v>V1 PAMA-LS</v>
      </c>
      <c r="P263" s="9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1" t="s">
        <v>2618</v>
      </c>
      <c r="B264" s="21" t="s">
        <v>833</v>
      </c>
      <c r="C264" s="9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190</v>
      </c>
      <c r="K264" s="55"/>
      <c r="L264" s="55" t="str">
        <f t="shared" si="2"/>
        <v>NÃO APLICÁVEL</v>
      </c>
      <c r="M264" s="55"/>
      <c r="N264" s="56" t="str">
        <f t="array" ref="N264">IFERROR(_xlfn.XLOOKUP($B264,EMPRESA_1!A:A,EMPRESA_1!J:J),"")</f>
        <v>EM REPARO</v>
      </c>
      <c r="O264" s="6" t="str">
        <f t="array" ref="O264">IFERROR(_xlfn.XLOOKUP(B264,EMPRESA_1!A:A,EMPRESA_1!K:K),"")
</f>
        <v>WILLIAM</v>
      </c>
      <c r="P264" s="9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21" t="s">
        <v>2619</v>
      </c>
      <c r="B265" s="21" t="s">
        <v>831</v>
      </c>
      <c r="C265" s="9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190</v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6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1" t="s">
        <v>2620</v>
      </c>
      <c r="B266" s="21" t="s">
        <v>1884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1" t="s">
        <v>2621</v>
      </c>
      <c r="B267" s="21" t="s">
        <v>835</v>
      </c>
      <c r="C267" s="9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190</v>
      </c>
      <c r="K267" s="55"/>
      <c r="L267" s="55" t="str">
        <f t="shared" si="2"/>
        <v>NÃO APLICÁVEL</v>
      </c>
      <c r="M267" s="55"/>
      <c r="N267" s="56" t="str">
        <f t="array" ref="N267">IFERROR(_xlfn.XLOOKUP($B267,EMPRESA_1!A:A,EMPRESA_1!J:J),"")</f>
        <v>EM REPARO</v>
      </c>
      <c r="O267" s="6" t="str">
        <f t="array" ref="O267">IFERROR(_xlfn.XLOOKUP(B267,EMPRESA_1!A:A,EMPRESA_1!K:K),"")
</f>
        <v>WILLIAM</v>
      </c>
      <c r="P267" s="9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1" t="s">
        <v>2622</v>
      </c>
      <c r="B268" s="21" t="s">
        <v>838</v>
      </c>
      <c r="C268" s="9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190</v>
      </c>
      <c r="K268" s="55"/>
      <c r="L268" s="55" t="str">
        <f t="shared" si="2"/>
        <v>NÃO APLICÁVEL</v>
      </c>
      <c r="M268" s="55"/>
      <c r="N268" s="56" t="str">
        <f t="array" ref="N268">IFERROR(_xlfn.XLOOKUP($B268,EMPRESA_1!A:A,EMPRESA_1!J:J),"")</f>
        <v>EM REPARO</v>
      </c>
      <c r="O268" s="6" t="str">
        <f t="array" ref="O268">IFERROR(_xlfn.XLOOKUP(B268,EMPRESA_1!A:A,EMPRESA_1!K:K),"")
</f>
        <v>WILLIAM</v>
      </c>
      <c r="P268" s="9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1" t="s">
        <v>2623</v>
      </c>
      <c r="B269" s="21" t="s">
        <v>843</v>
      </c>
      <c r="C269" s="9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190</v>
      </c>
      <c r="K269" s="55"/>
      <c r="L269" s="55" t="str">
        <f t="shared" si="2"/>
        <v>NÃO APLICÁVEL</v>
      </c>
      <c r="M269" s="55"/>
      <c r="N269" s="56" t="str">
        <f t="array" ref="N269">IFERROR(_xlfn.XLOOKUP($B269,EMPRESA_1!A:A,EMPRESA_1!J:J),"")</f>
        <v>REPARADO</v>
      </c>
      <c r="O269" s="6" t="str">
        <f t="array" ref="O269">IFERROR(_xlfn.XLOOKUP(B269,EMPRESA_1!A:A,EMPRESA_1!K:K),"")
</f>
        <v>V1 PAMA-LS</v>
      </c>
      <c r="P269" s="9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1" t="s">
        <v>2624</v>
      </c>
      <c r="B270" s="21" t="s">
        <v>846</v>
      </c>
      <c r="C270" s="9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190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6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1" t="s">
        <v>2625</v>
      </c>
      <c r="B271" s="21" t="s">
        <v>847</v>
      </c>
      <c r="C271" s="9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190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6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1" t="s">
        <v>2626</v>
      </c>
      <c r="B272" s="21" t="s">
        <v>859</v>
      </c>
      <c r="C272" s="9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190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6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1" t="s">
        <v>2627</v>
      </c>
      <c r="B273" s="21" t="s">
        <v>848</v>
      </c>
      <c r="C273" s="9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190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6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1" t="s">
        <v>2628</v>
      </c>
      <c r="B274" s="21" t="s">
        <v>864</v>
      </c>
      <c r="C274" s="9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190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6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21" t="s">
        <v>2629</v>
      </c>
      <c r="B275" s="21" t="s">
        <v>853</v>
      </c>
      <c r="C275" s="9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190</v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6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1" t="s">
        <v>2630</v>
      </c>
      <c r="B276" s="21" t="s">
        <v>1894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1" t="s">
        <v>2631</v>
      </c>
      <c r="B277" s="21" t="s">
        <v>871</v>
      </c>
      <c r="C277" s="9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190</v>
      </c>
      <c r="K277" s="55"/>
      <c r="L277" s="55" t="str">
        <f t="shared" si="2"/>
        <v>NÃO APLICÁVEL</v>
      </c>
      <c r="M277" s="55"/>
      <c r="N277" s="56" t="str">
        <f t="array" ref="N277">IFERROR(_xlfn.XLOOKUP($B277,EMPRESA_1!A:A,EMPRESA_1!J:J),"")</f>
        <v>REPARADO</v>
      </c>
      <c r="O277" s="6" t="str">
        <f t="array" ref="O277">IFERROR(_xlfn.XLOOKUP(B277,EMPRESA_1!A:A,EMPRESA_1!K:K),"")
</f>
        <v>VEE ONE</v>
      </c>
      <c r="P277" s="9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1" t="s">
        <v>2632</v>
      </c>
      <c r="B278" s="21" t="s">
        <v>1898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1" t="s">
        <v>2633</v>
      </c>
      <c r="B279" s="21" t="s">
        <v>867</v>
      </c>
      <c r="C279" s="9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190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6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1" t="s">
        <v>2634</v>
      </c>
      <c r="B280" s="21" t="s">
        <v>874</v>
      </c>
      <c r="C280" s="9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190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6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1" t="s">
        <v>1429</v>
      </c>
      <c r="B281" s="21" t="s">
        <v>881</v>
      </c>
      <c r="C281" s="9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176</v>
      </c>
      <c r="K281" s="55"/>
      <c r="L281" s="55" t="str">
        <f t="shared" si="2"/>
        <v>NÃO APLICÁVEL</v>
      </c>
      <c r="M281" s="55"/>
      <c r="N281" s="56" t="str">
        <f t="array" ref="N281">IFERROR(_xlfn.XLOOKUP($B281,EMPRESA_1!A:A,EMPRESA_1!J:J),"")</f>
        <v>EM REPARO</v>
      </c>
      <c r="O281" s="6" t="str">
        <f t="array" ref="O281">IFERROR(_xlfn.XLOOKUP(B281,EMPRESA_1!A:A,EMPRESA_1!K:K),"")
</f>
        <v>WILLIAM</v>
      </c>
      <c r="P281" s="9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1" t="s">
        <v>1483</v>
      </c>
      <c r="B282" s="21" t="s">
        <v>877</v>
      </c>
      <c r="C282" s="9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176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6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1" t="s">
        <v>2635</v>
      </c>
      <c r="B283" s="21" t="s">
        <v>883</v>
      </c>
      <c r="C283" s="9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168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6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1" t="s">
        <v>2636</v>
      </c>
      <c r="B284" s="21" t="s">
        <v>886</v>
      </c>
      <c r="C284" s="9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168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6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1" t="s">
        <v>2637</v>
      </c>
      <c r="B285" s="21" t="s">
        <v>888</v>
      </c>
      <c r="C285" s="9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163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6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1" t="s">
        <v>2638</v>
      </c>
      <c r="B286" s="21" t="s">
        <v>1914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1" t="s">
        <v>2639</v>
      </c>
      <c r="B287" s="21" t="s">
        <v>1917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1" t="s">
        <v>2640</v>
      </c>
      <c r="B288" s="21" t="s">
        <v>1786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1" t="s">
        <v>2641</v>
      </c>
      <c r="B289" s="21" t="s">
        <v>1789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1" t="s">
        <v>2642</v>
      </c>
      <c r="B290" s="21" t="s">
        <v>1922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1" t="s">
        <v>2643</v>
      </c>
      <c r="B291" s="21" t="s">
        <v>889</v>
      </c>
      <c r="C291" s="9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146</v>
      </c>
      <c r="K291" s="55"/>
      <c r="L291" s="55" t="str">
        <f t="shared" si="2"/>
        <v>NÃO APLICÁVEL</v>
      </c>
      <c r="M291" s="55"/>
      <c r="N291" s="56" t="str">
        <f t="array" ref="N291">IFERROR(_xlfn.XLOOKUP($B291,EMPRESA_1!A:A,EMPRESA_1!J:J),"")</f>
        <v>EM REPARO</v>
      </c>
      <c r="O291" s="6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1" t="s">
        <v>2644</v>
      </c>
      <c r="B292" s="21" t="s">
        <v>1923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1" t="s">
        <v>1489</v>
      </c>
      <c r="B293" s="21" t="s">
        <v>891</v>
      </c>
      <c r="C293" s="9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146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6" t="str">
        <f t="array" ref="O293">IFERROR(_xlfn.XLOOKUP(B293,EMPRESA_1!A:A,EMPRESA_1!K:K),"")
</f>
        <v>V1 PAMA-LS</v>
      </c>
      <c r="P293" s="9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21" t="s">
        <v>2645</v>
      </c>
      <c r="B294" s="21" t="s">
        <v>893</v>
      </c>
      <c r="C294" s="9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146</v>
      </c>
      <c r="K294" s="55"/>
      <c r="L294" s="55" t="str">
        <f t="shared" si="2"/>
        <v>NÃO APLICÁVEL</v>
      </c>
      <c r="M294" s="55"/>
      <c r="N294" s="56" t="str">
        <f t="array" ref="N294">IFERROR(_xlfn.XLOOKUP($B294,EMPRESA_1!A:A,EMPRESA_1!J:J),"")</f>
        <v>REPARADO</v>
      </c>
      <c r="O294" s="6" t="str">
        <f t="array" ref="O294">IFERROR(_xlfn.XLOOKUP(B294,EMPRESA_1!A:A,EMPRESA_1!K:K),"")
</f>
        <v>V1 PAMA-LS</v>
      </c>
      <c r="P294" s="9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21" t="s">
        <v>1437</v>
      </c>
      <c r="B295" s="21" t="s">
        <v>895</v>
      </c>
      <c r="C295" s="9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141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6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21" t="s">
        <v>1497</v>
      </c>
      <c r="B296" s="21" t="s">
        <v>897</v>
      </c>
      <c r="C296" s="9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128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6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21" t="s">
        <v>2646</v>
      </c>
      <c r="B297" s="21" t="s">
        <v>905</v>
      </c>
      <c r="C297" s="9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128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6" t="str">
        <f t="array" ref="O297">IFERROR(_xlfn.XLOOKUP(B297,EMPRESA_1!A:A,EMPRESA_1!K:K),"")
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21" t="s">
        <v>2647</v>
      </c>
      <c r="B298" s="21" t="s">
        <v>909</v>
      </c>
      <c r="C298" s="9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128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6" t="str">
        <f t="array" ref="O298">IFERROR(_xlfn.XLOOKUP(B298,EMPRESA_1!A:A,EMPRESA_1!K:K),"")
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21" t="s">
        <v>2648</v>
      </c>
      <c r="B299" s="21" t="s">
        <v>911</v>
      </c>
      <c r="C299" s="9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128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6" t="str">
        <f t="array" ref="O299">IFERROR(_xlfn.XLOOKUP(B299,EMPRESA_1!A:A,EMPRESA_1!K:K),"")
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1" t="s">
        <v>2649</v>
      </c>
      <c r="B300" s="21" t="s">
        <v>1807</v>
      </c>
      <c r="C300" s="9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6" t="str">
        <f t="array" ref="O300">IFERROR(_xlfn.XLOOKUP(B300,EMPRESA_1!A:A,EMPRESA_1!K:K),"")
</f>
        <v>VEE ONE</v>
      </c>
      <c r="P300" s="9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21" t="s">
        <v>1477</v>
      </c>
      <c r="B301" s="21" t="s">
        <v>904</v>
      </c>
      <c r="C301" s="9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128</v>
      </c>
      <c r="K301" s="55"/>
      <c r="L301" s="55" t="str">
        <f t="shared" si="2"/>
        <v>NÃO APLICÁVEL</v>
      </c>
      <c r="M301" s="55"/>
      <c r="N301" s="56" t="str">
        <f t="array" ref="N301">IFERROR(_xlfn.XLOOKUP($B301,EMPRESA_1!A:A,EMPRESA_1!J:J),"")</f>
        <v>EM REPARO</v>
      </c>
      <c r="O301" s="6" t="str">
        <f t="array" ref="O301">IFERROR(_xlfn.XLOOKUP(B301,EMPRESA_1!A:A,EMPRESA_1!K:K),"")
</f>
        <v>VEE ONE</v>
      </c>
      <c r="P301" s="9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21" t="s">
        <v>2650</v>
      </c>
      <c r="B302" s="21" t="s">
        <v>916</v>
      </c>
      <c r="C302" s="9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128</v>
      </c>
      <c r="K302" s="55"/>
      <c r="L302" s="55" t="str">
        <f t="shared" si="2"/>
        <v>NÃO APLICÁVEL</v>
      </c>
      <c r="M302" s="55"/>
      <c r="N302" s="56" t="str">
        <f t="array" ref="N302">IFERROR(_xlfn.XLOOKUP($B302,EMPRESA_1!A:A,EMPRESA_1!J:J),"")</f>
        <v>EM REPARO</v>
      </c>
      <c r="O302" s="6" t="str">
        <f t="array" ref="O302">IFERROR(_xlfn.XLOOKUP(B302,EMPRESA_1!A:A,EMPRESA_1!K:K),"")
</f>
        <v>WILLIAM</v>
      </c>
      <c r="P302" s="9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21" t="s">
        <v>2651</v>
      </c>
      <c r="B303" s="21" t="s">
        <v>917</v>
      </c>
      <c r="C303" s="9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128</v>
      </c>
      <c r="K303" s="55"/>
      <c r="L303" s="55" t="str">
        <f t="shared" si="2"/>
        <v>NÃO APLICÁVEL</v>
      </c>
      <c r="M303" s="55"/>
      <c r="N303" s="56" t="str">
        <f t="array" ref="N303">IFERROR(_xlfn.XLOOKUP($B303,EMPRESA_1!A:A,EMPRESA_1!J:J),"")</f>
        <v>EM REPARO</v>
      </c>
      <c r="O303" s="6" t="str">
        <f t="array" ref="O303">IFERROR(_xlfn.XLOOKUP(B303,EMPRESA_1!A:A,EMPRESA_1!K:K),"")
</f>
        <v>WILLIAM</v>
      </c>
      <c r="P303" s="9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21" t="s">
        <v>2652</v>
      </c>
      <c r="B304" s="21" t="s">
        <v>914</v>
      </c>
      <c r="C304" s="9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128</v>
      </c>
      <c r="K304" s="55"/>
      <c r="L304" s="55" t="str">
        <f t="shared" si="2"/>
        <v>NÃO APLICÁVEL</v>
      </c>
      <c r="M304" s="55"/>
      <c r="N304" s="56" t="str">
        <f t="array" ref="N304">IFERROR(_xlfn.XLOOKUP($B304,EMPRESA_1!A:A,EMPRESA_1!J:J),"")</f>
        <v>EM REPARO</v>
      </c>
      <c r="O304" s="6" t="str">
        <f t="array" ref="O304">IFERROR(_xlfn.XLOOKUP(B304,EMPRESA_1!A:A,EMPRESA_1!K:K),"")
</f>
        <v>WILLIAM</v>
      </c>
      <c r="P304" s="9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21" t="s">
        <v>2653</v>
      </c>
      <c r="B305" s="21" t="s">
        <v>920</v>
      </c>
      <c r="C305" s="9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128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6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21" t="s">
        <v>2654</v>
      </c>
      <c r="B306" s="21" t="s">
        <v>918</v>
      </c>
      <c r="C306" s="9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128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6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21" t="s">
        <v>2655</v>
      </c>
      <c r="B307" s="21" t="s">
        <v>921</v>
      </c>
      <c r="C307" s="9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128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6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21" t="s">
        <v>2656</v>
      </c>
      <c r="B308" s="21" t="s">
        <v>931</v>
      </c>
      <c r="C308" s="9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128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6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21" t="s">
        <v>2657</v>
      </c>
      <c r="B309" s="21" t="s">
        <v>929</v>
      </c>
      <c r="C309" s="9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128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6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21" t="s">
        <v>2658</v>
      </c>
      <c r="B310" s="21" t="s">
        <v>928</v>
      </c>
      <c r="C310" s="9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128</v>
      </c>
      <c r="K310" s="55"/>
      <c r="L310" s="55" t="str">
        <f t="shared" si="2"/>
        <v>NÃO APLICÁVEL</v>
      </c>
      <c r="M310" s="55"/>
      <c r="N310" s="56" t="str">
        <f t="array" ref="N310">IFERROR(_xlfn.XLOOKUP($B310,EMPRESA_1!A:A,EMPRESA_1!J:J),"")</f>
        <v>EM REPARO</v>
      </c>
      <c r="O310" s="6" t="str">
        <f t="array" ref="O310">IFERROR(_xlfn.XLOOKUP(B310,EMPRESA_1!A:A,EMPRESA_1!K:K),"")
</f>
        <v>LEAP</v>
      </c>
      <c r="P310" s="9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21" t="s">
        <v>2659</v>
      </c>
      <c r="B311" s="21" t="s">
        <v>927</v>
      </c>
      <c r="C311" s="9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128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6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21" t="s">
        <v>2660</v>
      </c>
      <c r="B312" s="21" t="s">
        <v>934</v>
      </c>
      <c r="C312" s="9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128</v>
      </c>
      <c r="K312" s="55"/>
      <c r="L312" s="55" t="str">
        <f t="shared" si="2"/>
        <v>NÃO APLICÁVEL</v>
      </c>
      <c r="M312" s="55"/>
      <c r="N312" s="56" t="str">
        <f t="array" ref="N312">IFERROR(_xlfn.XLOOKUP($B312,EMPRESA_1!A:A,EMPRESA_1!J:J),"")</f>
        <v>EM REPARO</v>
      </c>
      <c r="O312" s="6" t="str">
        <f t="array" ref="O312">IFERROR(_xlfn.XLOOKUP(B312,EMPRESA_1!A:A,EMPRESA_1!K:K),"")
</f>
        <v>LEAP</v>
      </c>
      <c r="P312" s="9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21" t="s">
        <v>2661</v>
      </c>
      <c r="B313" s="21" t="s">
        <v>932</v>
      </c>
      <c r="C313" s="9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128</v>
      </c>
      <c r="K313" s="55"/>
      <c r="L313" s="55" t="str">
        <f t="shared" si="2"/>
        <v>NÃO APLICÁVEL</v>
      </c>
      <c r="M313" s="55"/>
      <c r="N313" s="56" t="str">
        <f t="array" ref="N313">IFERROR(_xlfn.XLOOKUP($B313,EMPRESA_1!A:A,EMPRESA_1!J:J),"")</f>
        <v>REPARADO</v>
      </c>
      <c r="O313" s="6" t="str">
        <f t="array" ref="O313">IFERROR(_xlfn.XLOOKUP(B313,EMPRESA_1!A:A,EMPRESA_1!K:K),"")
</f>
        <v>VEE ONE</v>
      </c>
      <c r="P313" s="9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21" t="s">
        <v>2662</v>
      </c>
      <c r="B314" s="21" t="s">
        <v>935</v>
      </c>
      <c r="C314" s="9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128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6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21" t="s">
        <v>2663</v>
      </c>
      <c r="B315" s="21" t="s">
        <v>937</v>
      </c>
      <c r="C315" s="9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128</v>
      </c>
      <c r="K315" s="55"/>
      <c r="L315" s="55" t="str">
        <f t="shared" si="2"/>
        <v>NÃO APLICÁVEL</v>
      </c>
      <c r="M315" s="55"/>
      <c r="N315" s="56" t="str">
        <f t="array" ref="N315">IFERROR(_xlfn.XLOOKUP($B315,EMPRESA_1!A:A,EMPRESA_1!J:J),"")</f>
        <v>REPARADO</v>
      </c>
      <c r="O315" s="6" t="str">
        <f t="array" ref="O315">IFERROR(_xlfn.XLOOKUP(B315,EMPRESA_1!A:A,EMPRESA_1!K:K),"")
</f>
        <v>VEE ONE</v>
      </c>
      <c r="P315" s="9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1" t="s">
        <v>2664</v>
      </c>
      <c r="B316" s="21" t="s">
        <v>1812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6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1" t="s">
        <v>2665</v>
      </c>
      <c r="B317" s="21" t="s">
        <v>936</v>
      </c>
      <c r="C317" s="9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128</v>
      </c>
      <c r="K317" s="55"/>
      <c r="L317" s="55" t="str">
        <f t="shared" si="2"/>
        <v>NÃO APLICÁVEL</v>
      </c>
      <c r="M317" s="55"/>
      <c r="N317" s="56" t="str">
        <f t="array" ref="N317">IFERROR(_xlfn.XLOOKUP($B317,EMPRESA_1!A:A,EMPRESA_1!J:J),"")</f>
        <v>REPARADO</v>
      </c>
      <c r="O317" s="6" t="str">
        <f t="array" ref="O317">IFERROR(_xlfn.XLOOKUP(B317,EMPRESA_1!A:A,EMPRESA_1!K:K),"")
</f>
        <v>VEE ONE</v>
      </c>
      <c r="P317" s="9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21" t="s">
        <v>2666</v>
      </c>
      <c r="B318" s="21" t="s">
        <v>940</v>
      </c>
      <c r="C318" s="9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128</v>
      </c>
      <c r="K318" s="55"/>
      <c r="L318" s="55" t="str">
        <f t="shared" si="2"/>
        <v>NÃO APLICÁVEL</v>
      </c>
      <c r="M318" s="55"/>
      <c r="N318" s="56" t="str">
        <f t="array" ref="N318">IFERROR(_xlfn.XLOOKUP($B318,EMPRESA_1!A:A,EMPRESA_1!J:J),"")</f>
        <v>REPARADO</v>
      </c>
      <c r="O318" s="6" t="str">
        <f t="array" ref="O318">IFERROR(_xlfn.XLOOKUP(B318,EMPRESA_1!A:A,EMPRESA_1!K:K),"")
</f>
        <v>VEE ONE</v>
      </c>
      <c r="P318" s="9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21" t="s">
        <v>2667</v>
      </c>
      <c r="B319" s="21" t="s">
        <v>939</v>
      </c>
      <c r="C319" s="9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128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6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21" t="s">
        <v>2668</v>
      </c>
      <c r="B320" s="21" t="s">
        <v>941</v>
      </c>
      <c r="C320" s="9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128</v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6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1" t="s">
        <v>2669</v>
      </c>
      <c r="B321" s="21" t="s">
        <v>1802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1" t="s">
        <v>2670</v>
      </c>
      <c r="B322" s="21" t="s">
        <v>1804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6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1" t="s">
        <v>2671</v>
      </c>
      <c r="B323" s="21" t="s">
        <v>943</v>
      </c>
      <c r="C323" s="9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128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6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21" t="s">
        <v>2672</v>
      </c>
      <c r="B324" s="21" t="s">
        <v>945</v>
      </c>
      <c r="C324" s="9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128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6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21" t="s">
        <v>2673</v>
      </c>
      <c r="B325" s="21" t="s">
        <v>948</v>
      </c>
      <c r="C325" s="9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128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6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21" t="s">
        <v>2674</v>
      </c>
      <c r="B326" s="21" t="s">
        <v>952</v>
      </c>
      <c r="C326" s="9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128</v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6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21" t="s">
        <v>1475</v>
      </c>
      <c r="B327" s="21" t="s">
        <v>963</v>
      </c>
      <c r="C327" s="9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128</v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6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21" t="s">
        <v>1480</v>
      </c>
      <c r="B328" s="21" t="s">
        <v>962</v>
      </c>
      <c r="C328" s="9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128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6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21" t="s">
        <v>2675</v>
      </c>
      <c r="B329" s="21" t="s">
        <v>960</v>
      </c>
      <c r="C329" s="9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128</v>
      </c>
      <c r="K329" s="55"/>
      <c r="L329" s="55" t="str">
        <f t="shared" si="2"/>
        <v>NÃO APLICÁVEL</v>
      </c>
      <c r="M329" s="55"/>
      <c r="N329" s="56" t="str">
        <f t="array" ref="N329">IFERROR(_xlfn.XLOOKUP($B329,EMPRESA_1!A:A,EMPRESA_1!J:J),"")</f>
        <v>REPARADO</v>
      </c>
      <c r="O329" s="6" t="str">
        <f t="array" ref="O329">IFERROR(_xlfn.XLOOKUP(B329,EMPRESA_1!A:A,EMPRESA_1!K:K),"")
</f>
        <v>VEE ONE</v>
      </c>
      <c r="P329" s="9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21" t="s">
        <v>2676</v>
      </c>
      <c r="B330" s="21" t="s">
        <v>958</v>
      </c>
      <c r="C330" s="9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128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6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21" t="s">
        <v>1711</v>
      </c>
      <c r="B331" s="21" t="s">
        <v>955</v>
      </c>
      <c r="C331" s="9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128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6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21" t="s">
        <v>2677</v>
      </c>
      <c r="B332" s="21" t="s">
        <v>954</v>
      </c>
      <c r="C332" s="9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128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6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21" t="s">
        <v>2678</v>
      </c>
      <c r="B333" s="21" t="s">
        <v>953</v>
      </c>
      <c r="C333" s="9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128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6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21" t="s">
        <v>2679</v>
      </c>
      <c r="B334" s="21" t="s">
        <v>964</v>
      </c>
      <c r="C334" s="9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128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6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21" t="s">
        <v>2680</v>
      </c>
      <c r="B335" s="21" t="s">
        <v>968</v>
      </c>
      <c r="C335" s="9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128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6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21" t="s">
        <v>2681</v>
      </c>
      <c r="B336" s="21" t="s">
        <v>970</v>
      </c>
      <c r="C336" s="9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128</v>
      </c>
      <c r="K336" s="55"/>
      <c r="L336" s="55" t="str">
        <f t="shared" si="2"/>
        <v>NÃO APLICÁVEL</v>
      </c>
      <c r="M336" s="55"/>
      <c r="N336" s="56" t="str">
        <f t="array" ref="N336">IFERROR(_xlfn.XLOOKUP($B336,EMPRESA_1!A:A,EMPRESA_1!J:J),"")</f>
        <v>EM REPARO</v>
      </c>
      <c r="O336" s="6" t="str">
        <f t="array" ref="O336">IFERROR(_xlfn.XLOOKUP(B336,EMPRESA_1!A:A,EMPRESA_1!K:K),"")
</f>
        <v>WILLIAM</v>
      </c>
      <c r="P336" s="9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21" t="s">
        <v>2682</v>
      </c>
      <c r="B337" s="21" t="s">
        <v>972</v>
      </c>
      <c r="C337" s="9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128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6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1" t="s">
        <v>2683</v>
      </c>
      <c r="B338" s="21" t="s">
        <v>1820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6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1" t="s">
        <v>2684</v>
      </c>
      <c r="B339" s="21" t="s">
        <v>973</v>
      </c>
      <c r="C339" s="9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126</v>
      </c>
      <c r="K339" s="55"/>
      <c r="L339" s="55" t="str">
        <f t="shared" si="2"/>
        <v>NÃO APLICÁVEL</v>
      </c>
      <c r="M339" s="55"/>
      <c r="N339" s="56" t="str">
        <f t="array" ref="N339">IFERROR(_xlfn.XLOOKUP($B339,EMPRESA_1!A:A,EMPRESA_1!J:J),"")</f>
        <v>REPARADO</v>
      </c>
      <c r="O339" s="6" t="str">
        <f t="array" ref="O339">IFERROR(_xlfn.XLOOKUP(B339,EMPRESA_1!A:A,EMPRESA_1!K:K),"")
</f>
        <v>V1 PAMA-LS</v>
      </c>
      <c r="P339" s="9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1" t="s">
        <v>2685</v>
      </c>
      <c r="B340" s="21" t="s">
        <v>1822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6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1" t="s">
        <v>2686</v>
      </c>
      <c r="B341" s="21" t="s">
        <v>975</v>
      </c>
      <c r="C341" s="9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126</v>
      </c>
      <c r="K341" s="55"/>
      <c r="L341" s="55" t="str">
        <f t="shared" si="2"/>
        <v>NÃO APLICÁVEL</v>
      </c>
      <c r="M341" s="55"/>
      <c r="N341" s="56" t="str">
        <f t="array" ref="N341">IFERROR(_xlfn.XLOOKUP($B341,EMPRESA_1!A:A,EMPRESA_1!J:J),"")</f>
        <v>REPARADO</v>
      </c>
      <c r="O341" s="6" t="str">
        <f t="array" ref="O341">IFERROR(_xlfn.XLOOKUP(B341,EMPRESA_1!A:A,EMPRESA_1!K:K),"")
</f>
        <v>V1 PAMA-LS</v>
      </c>
      <c r="P341" s="9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1" t="s">
        <v>2687</v>
      </c>
      <c r="B342" s="21" t="s">
        <v>2008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1" t="s">
        <v>2688</v>
      </c>
      <c r="B343" s="62" t="s">
        <v>978</v>
      </c>
      <c r="C343" s="9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111</v>
      </c>
      <c r="K343" s="55"/>
      <c r="L343" s="55" t="str">
        <f t="shared" si="2"/>
        <v>NÃO APLICÁVEL</v>
      </c>
      <c r="M343" s="55"/>
      <c r="N343" s="56" t="str">
        <f t="array" ref="N343">IFERROR(_xlfn.XLOOKUP($B343,EMPRESA_1!A:A,EMPRESA_1!J:J),"")</f>
        <v>EM REPARO</v>
      </c>
      <c r="O343" s="6" t="str">
        <f t="array" ref="O343">IFERROR(_xlfn.XLOOKUP(B343,EMPRESA_1!A:A,EMPRESA_1!K:K),"")
</f>
        <v>LEAP</v>
      </c>
      <c r="P343" s="9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21" t="s">
        <v>2689</v>
      </c>
      <c r="B344" s="62" t="s">
        <v>980</v>
      </c>
      <c r="C344" s="9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111</v>
      </c>
      <c r="K344" s="55"/>
      <c r="L344" s="55" t="str">
        <f t="shared" si="2"/>
        <v>NÃO APLICÁVEL</v>
      </c>
      <c r="M344" s="55"/>
      <c r="N344" s="56" t="str">
        <f t="array" ref="N344">IFERROR(_xlfn.XLOOKUP($B344,EMPRESA_1!A:A,EMPRESA_1!J:J),"")</f>
        <v>EM REPARO</v>
      </c>
      <c r="O344" s="6" t="str">
        <f t="array" ref="O344">IFERROR(_xlfn.XLOOKUP(B344,EMPRESA_1!A:A,EMPRESA_1!K:K),"")
</f>
        <v>LEAP</v>
      </c>
      <c r="P344" s="9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21" t="s">
        <v>2690</v>
      </c>
      <c r="B345" s="62" t="s">
        <v>985</v>
      </c>
      <c r="C345" s="9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111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6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21" t="s">
        <v>2691</v>
      </c>
      <c r="B346" s="62" t="s">
        <v>992</v>
      </c>
      <c r="C346" s="9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111</v>
      </c>
      <c r="K346" s="55"/>
      <c r="L346" s="55" t="str">
        <f t="shared" si="2"/>
        <v>NÃO APLICÁVEL</v>
      </c>
      <c r="M346" s="55"/>
      <c r="N346" s="56" t="str">
        <f t="array" ref="N346">IFERROR(_xlfn.XLOOKUP($B346,EMPRESA_1!A:A,EMPRESA_1!J:J),"")</f>
        <v>REPARADO</v>
      </c>
      <c r="O346" s="6" t="str">
        <f t="array" ref="O346">IFERROR(_xlfn.XLOOKUP(B346,EMPRESA_1!A:A,EMPRESA_1!K:K),"")
</f>
        <v>VEE ONE</v>
      </c>
      <c r="P346" s="9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21" t="s">
        <v>2692</v>
      </c>
      <c r="B347" s="62" t="s">
        <v>989</v>
      </c>
      <c r="C347" s="9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111</v>
      </c>
      <c r="K347" s="55"/>
      <c r="L347" s="55" t="str">
        <f t="shared" si="2"/>
        <v>NÃO APLICÁVEL</v>
      </c>
      <c r="M347" s="55"/>
      <c r="N347" s="56" t="str">
        <f t="array" ref="N347">IFERROR(_xlfn.XLOOKUP($B347,EMPRESA_1!A:A,EMPRESA_1!J:J),"")</f>
        <v>REPARADO</v>
      </c>
      <c r="O347" s="6" t="str">
        <f t="array" ref="O347">IFERROR(_xlfn.XLOOKUP(B347,EMPRESA_1!A:A,EMPRESA_1!K:K),"")
</f>
        <v>VEE ONE</v>
      </c>
      <c r="P347" s="9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21" t="s">
        <v>2693</v>
      </c>
      <c r="B348" s="62" t="s">
        <v>988</v>
      </c>
      <c r="C348" s="9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111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6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21" t="s">
        <v>2694</v>
      </c>
      <c r="B349" s="62" t="s">
        <v>983</v>
      </c>
      <c r="C349" s="9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111</v>
      </c>
      <c r="K349" s="55"/>
      <c r="L349" s="55" t="str">
        <f t="shared" si="2"/>
        <v>NÃO APLICÁVEL</v>
      </c>
      <c r="M349" s="55"/>
      <c r="N349" s="56" t="str">
        <f t="array" ref="N349">IFERROR(_xlfn.XLOOKUP($B349,EMPRESA_1!A:A,EMPRESA_1!J:J),"")</f>
        <v>REPARADO</v>
      </c>
      <c r="O349" s="6" t="str">
        <f t="array" ref="O349">IFERROR(_xlfn.XLOOKUP(B349,EMPRESA_1!A:A,EMPRESA_1!K:K),"")
</f>
        <v>VEE ONE</v>
      </c>
      <c r="P349" s="9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21" t="s">
        <v>2695</v>
      </c>
      <c r="B350" s="62" t="s">
        <v>997</v>
      </c>
      <c r="C350" s="9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111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6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21" t="s">
        <v>2696</v>
      </c>
      <c r="B351" s="62" t="s">
        <v>998</v>
      </c>
      <c r="C351" s="9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111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6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21" t="s">
        <v>2697</v>
      </c>
      <c r="B352" s="62" t="s">
        <v>996</v>
      </c>
      <c r="C352" s="9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111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6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21" t="s">
        <v>2698</v>
      </c>
      <c r="B353" s="62" t="s">
        <v>995</v>
      </c>
      <c r="C353" s="9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111</v>
      </c>
      <c r="K353" s="55"/>
      <c r="L353" s="55" t="str">
        <f t="shared" si="2"/>
        <v/>
      </c>
      <c r="M353" s="55"/>
      <c r="N353" s="56" t="str">
        <f t="array" ref="N353">IFERROR(_xlfn.XLOOKUP($B353,EMPRESA_1!A:A,EMPRESA_1!J:J),"")</f>
        <v/>
      </c>
      <c r="O353" s="6" t="str">
        <f t="array" ref="O353">IFERROR(_xlfn.XLOOKUP(B353,EMPRESA_1!A:A,EMPRESA_1!K:K),"")
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21" t="s">
        <v>2699</v>
      </c>
      <c r="B354" s="62" t="s">
        <v>1000</v>
      </c>
      <c r="C354" s="9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111</v>
      </c>
      <c r="K354" s="55"/>
      <c r="L354" s="55" t="str">
        <f t="shared" si="2"/>
        <v>NÃO APLICÁVEL</v>
      </c>
      <c r="M354" s="55"/>
      <c r="N354" s="56" t="str">
        <f t="array" ref="N354">IFERROR(_xlfn.XLOOKUP($B354,EMPRESA_1!A:A,EMPRESA_1!J:J),"")</f>
        <v>EM REPARO</v>
      </c>
      <c r="O354" s="6" t="str">
        <f t="array" ref="O354">IFERROR(_xlfn.XLOOKUP(B354,EMPRESA_1!A:A,EMPRESA_1!K:K),"")
</f>
        <v>AV AERONAUTICA</v>
      </c>
      <c r="P354" s="9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21" t="s">
        <v>2700</v>
      </c>
      <c r="B355" s="62" t="s">
        <v>999</v>
      </c>
      <c r="C355" s="9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111</v>
      </c>
      <c r="K355" s="55"/>
      <c r="L355" s="55" t="str">
        <f t="shared" si="2"/>
        <v>NÃO APLICÁVEL</v>
      </c>
      <c r="M355" s="55"/>
      <c r="N355" s="56" t="str">
        <f t="array" ref="N355">IFERROR(_xlfn.XLOOKUP($B355,EMPRESA_1!A:A,EMPRESA_1!J:J),"")</f>
        <v>EM REPARO</v>
      </c>
      <c r="O355" s="6" t="str">
        <f t="array" ref="O355">IFERROR(_xlfn.XLOOKUP(B355,EMPRESA_1!A:A,EMPRESA_1!K:K),"")
</f>
        <v>AV AERONAUTICA</v>
      </c>
      <c r="P355" s="9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21" t="s">
        <v>2701</v>
      </c>
      <c r="B356" s="62" t="s">
        <v>1001</v>
      </c>
      <c r="C356" s="9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111</v>
      </c>
      <c r="K356" s="55"/>
      <c r="L356" s="55" t="str">
        <f t="shared" si="2"/>
        <v>NÃO APLICÁVEL</v>
      </c>
      <c r="M356" s="55"/>
      <c r="N356" s="56" t="str">
        <f t="array" ref="N356">IFERROR(_xlfn.XLOOKUP($B356,EMPRESA_1!A:A,EMPRESA_1!J:J),"")</f>
        <v>DEVOLVODO NO ESTADO</v>
      </c>
      <c r="O356" s="6" t="str">
        <f t="array" ref="O356">IFERROR(_xlfn.XLOOKUP(B356,EMPRESA_1!A:A,EMPRESA_1!K:K),"")
</f>
        <v>WILLIAM</v>
      </c>
      <c r="P356" s="9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21" t="s">
        <v>2702</v>
      </c>
      <c r="B357" s="62" t="s">
        <v>1005</v>
      </c>
      <c r="C357" s="9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111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6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21" t="s">
        <v>2703</v>
      </c>
      <c r="B358" s="62" t="s">
        <v>1003</v>
      </c>
      <c r="C358" s="9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111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6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1" t="s">
        <v>2704</v>
      </c>
      <c r="B359" s="62" t="s">
        <v>1826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6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1" t="s">
        <v>1632</v>
      </c>
      <c r="B360" s="62" t="s">
        <v>1013</v>
      </c>
      <c r="C360" s="9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111</v>
      </c>
      <c r="K360" s="55"/>
      <c r="L360" s="55" t="str">
        <f t="shared" si="2"/>
        <v>NÃO APLICÁVEL</v>
      </c>
      <c r="M360" s="55"/>
      <c r="N360" s="56" t="str">
        <f t="array" ref="N360">IFERROR(_xlfn.XLOOKUP($B360,EMPRESA_1!A:A,EMPRESA_1!J:J),"")</f>
        <v>VAI SER DEVOLVIDO SEM REPARO</v>
      </c>
      <c r="O360" s="6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21" t="s">
        <v>2705</v>
      </c>
      <c r="B361" s="62" t="s">
        <v>1010</v>
      </c>
      <c r="C361" s="9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111</v>
      </c>
      <c r="K361" s="55"/>
      <c r="L361" s="55" t="str">
        <f t="shared" si="2"/>
        <v>NÃO APLICÁVEL</v>
      </c>
      <c r="M361" s="55"/>
      <c r="N361" s="56" t="str">
        <f t="array" ref="N361">IFERROR(_xlfn.XLOOKUP($B361,EMPRESA_1!A:A,EMPRESA_1!J:J),"")</f>
        <v>EM REPARO</v>
      </c>
      <c r="O361" s="6" t="str">
        <f t="array" ref="O361">IFERROR(_xlfn.XLOOKUP(B361,EMPRESA_1!A:A,EMPRESA_1!K:K),"")
</f>
        <v>WILLIAM</v>
      </c>
      <c r="P361" s="9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/>
      </c>
      <c r="AI361" s="57" t="str">
        <f t="array" ref="AI361">IFERROR(_xlfn.XLOOKUP($F361,'Acerto virtual'!$E:$E,'Acerto virtual'!U:U),"")</f>
        <v/>
      </c>
    </row>
    <row r="362" hidden="1">
      <c r="A362" s="21" t="s">
        <v>2706</v>
      </c>
      <c r="B362" s="62" t="s">
        <v>1833</v>
      </c>
      <c r="C362" s="9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 t="str">
        <f t="shared" si="2"/>
        <v>NÃO APLICÁVEL</v>
      </c>
      <c r="M362" s="55"/>
      <c r="N362" s="56" t="str">
        <f t="array" ref="N362">IFERROR(_xlfn.XLOOKUP($B362,EMPRESA_1!A:A,EMPRESA_1!J:J),"")</f>
        <v>EM REPARO</v>
      </c>
      <c r="O362" s="6" t="str">
        <f t="array" ref="O362">IFERROR(_xlfn.XLOOKUP(B362,EMPRESA_1!A:A,EMPRESA_1!K:K),"")
</f>
        <v>WILLIAM</v>
      </c>
      <c r="P362" s="9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21" t="s">
        <v>2707</v>
      </c>
      <c r="B363" s="62" t="s">
        <v>1007</v>
      </c>
      <c r="C363" s="9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111</v>
      </c>
      <c r="K363" s="55"/>
      <c r="L363" s="55" t="str">
        <f t="shared" si="2"/>
        <v>NÃO APLICÁVEL</v>
      </c>
      <c r="M363" s="55"/>
      <c r="N363" s="56" t="str">
        <f t="array" ref="N363">IFERROR(_xlfn.XLOOKUP($B363,EMPRESA_1!A:A,EMPRESA_1!J:J),"")</f>
        <v>VAI SER DEVOLVIDO SEM REPARO</v>
      </c>
      <c r="O363" s="6" t="str">
        <f t="array" ref="O363">IFERROR(_xlfn.XLOOKUP(B363,EMPRESA_1!A:A,EMPRESA_1!K:K),"")
</f>
        <v>WILLIAM</v>
      </c>
      <c r="P363" s="9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21" t="s">
        <v>2708</v>
      </c>
      <c r="B364" s="62" t="s">
        <v>1016</v>
      </c>
      <c r="C364" s="9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111</v>
      </c>
      <c r="K364" s="55"/>
      <c r="L364" s="55" t="str">
        <f t="shared" si="2"/>
        <v>NÃO APLICÁVEL</v>
      </c>
      <c r="M364" s="55"/>
      <c r="N364" s="56" t="str">
        <f t="array" ref="N364">IFERROR(_xlfn.XLOOKUP($B364,EMPRESA_1!A:A,EMPRESA_1!J:J),"")</f>
        <v>EM REPARO</v>
      </c>
      <c r="O364" s="6" t="str">
        <f t="array" ref="O364">IFERROR(_xlfn.XLOOKUP(B364,EMPRESA_1!A:A,EMPRESA_1!K:K),"")
</f>
        <v>WILLIAM</v>
      </c>
      <c r="P364" s="9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21" t="s">
        <v>2709</v>
      </c>
      <c r="B365" s="62" t="s">
        <v>1018</v>
      </c>
      <c r="C365" s="9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111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6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21" t="s">
        <v>2710</v>
      </c>
      <c r="B366" s="62" t="s">
        <v>1020</v>
      </c>
      <c r="C366" s="9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111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6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21" t="s">
        <v>2711</v>
      </c>
      <c r="B367" s="62" t="s">
        <v>1014</v>
      </c>
      <c r="C367" s="9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111</v>
      </c>
      <c r="K367" s="55"/>
      <c r="L367" s="55" t="str">
        <f t="shared" si="2"/>
        <v>NÃO APLICÁVEL</v>
      </c>
      <c r="M367" s="55"/>
      <c r="N367" s="56" t="str">
        <f t="array" ref="N367">IFERROR(_xlfn.XLOOKUP($B367,EMPRESA_1!A:A,EMPRESA_1!J:J),"")</f>
        <v>EM REPARO</v>
      </c>
      <c r="O367" s="6" t="str">
        <f t="array" ref="O367">IFERROR(_xlfn.XLOOKUP(B367,EMPRESA_1!A:A,EMPRESA_1!K:K),"")
</f>
        <v>WILLIAM</v>
      </c>
      <c r="P367" s="9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21" t="s">
        <v>2712</v>
      </c>
      <c r="B368" s="62" t="s">
        <v>1022</v>
      </c>
      <c r="C368" s="9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111</v>
      </c>
      <c r="K368" s="55"/>
      <c r="L368" s="55" t="str">
        <f t="shared" si="2"/>
        <v>NÃO APLICÁVEL</v>
      </c>
      <c r="M368" s="55"/>
      <c r="N368" s="56" t="str">
        <f t="array" ref="N368">IFERROR(_xlfn.XLOOKUP($B368,EMPRESA_1!A:A,EMPRESA_1!J:J),"")</f>
        <v>REPARADO</v>
      </c>
      <c r="O368" s="6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21" t="s">
        <v>2713</v>
      </c>
      <c r="B369" s="62" t="s">
        <v>1025</v>
      </c>
      <c r="C369" s="9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105</v>
      </c>
      <c r="K369" s="55"/>
      <c r="L369" s="55" t="str">
        <f t="shared" si="2"/>
        <v>NÃO APLICÁVEL</v>
      </c>
      <c r="M369" s="55"/>
      <c r="N369" s="56" t="str">
        <f t="array" ref="N369">IFERROR(_xlfn.XLOOKUP($B369,EMPRESA_1!A:A,EMPRESA_1!J:J),"")</f>
        <v>EM REPARO</v>
      </c>
      <c r="O369" s="6" t="str">
        <f t="array" ref="O369">IFERROR(_xlfn.XLOOKUP(B369,EMPRESA_1!A:A,EMPRESA_1!K:K),"")
</f>
        <v>WILLIAM</v>
      </c>
      <c r="P369" s="9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21" t="s">
        <v>2714</v>
      </c>
      <c r="B370" s="62" t="s">
        <v>1024</v>
      </c>
      <c r="C370" s="9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105</v>
      </c>
      <c r="K370" s="55"/>
      <c r="L370" s="55" t="str">
        <f t="shared" si="2"/>
        <v>NÃO APLICÁVEL</v>
      </c>
      <c r="M370" s="55"/>
      <c r="N370" s="56" t="str">
        <f t="array" ref="N370">IFERROR(_xlfn.XLOOKUP($B370,EMPRESA_1!A:A,EMPRESA_1!J:J),"")</f>
        <v>EM REPARO</v>
      </c>
      <c r="O370" s="6" t="str">
        <f t="array" ref="O370">IFERROR(_xlfn.XLOOKUP(B370,EMPRESA_1!A:A,EMPRESA_1!K:K),"")
</f>
        <v>WILLIAM</v>
      </c>
      <c r="P370" s="9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21" t="s">
        <v>2715</v>
      </c>
      <c r="B371" s="62" t="s">
        <v>1023</v>
      </c>
      <c r="C371" s="9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105</v>
      </c>
      <c r="K371" s="55"/>
      <c r="L371" s="55" t="str">
        <f t="shared" si="2"/>
        <v>NÃO APLICÁVEL</v>
      </c>
      <c r="M371" s="55"/>
      <c r="N371" s="56" t="str">
        <f t="array" ref="N371">IFERROR(_xlfn.XLOOKUP($B371,EMPRESA_1!A:A,EMPRESA_1!J:J),"")</f>
        <v>VAI SER DEVOLVIDO SEM REPARO</v>
      </c>
      <c r="O371" s="6" t="str">
        <f t="array" ref="O371">IFERROR(_xlfn.XLOOKUP(B371,EMPRESA_1!A:A,EMPRESA_1!K:K),"")
</f>
        <v>WILLIAM</v>
      </c>
      <c r="P371" s="9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21" t="s">
        <v>2716</v>
      </c>
      <c r="B372" s="62" t="s">
        <v>1026</v>
      </c>
      <c r="C372" s="9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105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6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21" t="s">
        <v>2717</v>
      </c>
      <c r="B373" s="62" t="s">
        <v>1027</v>
      </c>
      <c r="C373" s="9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105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6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21" t="s">
        <v>2718</v>
      </c>
      <c r="B374" s="62" t="s">
        <v>1030</v>
      </c>
      <c r="C374" s="9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105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6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21" t="s">
        <v>2719</v>
      </c>
      <c r="B375" s="62" t="s">
        <v>1032</v>
      </c>
      <c r="C375" s="9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105</v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6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21" t="s">
        <v>2720</v>
      </c>
      <c r="B376" s="62" t="s">
        <v>1036</v>
      </c>
      <c r="C376" s="9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104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6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21" t="s">
        <v>2721</v>
      </c>
      <c r="B377" s="62" t="s">
        <v>1034</v>
      </c>
      <c r="C377" s="9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104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6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21" t="s">
        <v>2722</v>
      </c>
      <c r="B378" s="62" t="s">
        <v>1038</v>
      </c>
      <c r="C378" s="9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99</v>
      </c>
      <c r="K378" s="55"/>
      <c r="L378" s="55" t="str">
        <f t="shared" si="2"/>
        <v>NÃO APLICÁVEL</v>
      </c>
      <c r="M378" s="55"/>
      <c r="N378" s="56" t="str">
        <f t="array" ref="N378">IFERROR(_xlfn.XLOOKUP($B378,EMPRESA_1!A:A,EMPRESA_1!J:J),"")</f>
        <v>EM REPARO</v>
      </c>
      <c r="O378" s="6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21" t="s">
        <v>2723</v>
      </c>
      <c r="B379" s="62" t="s">
        <v>1041</v>
      </c>
      <c r="C379" s="9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99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6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1" t="s">
        <v>2724</v>
      </c>
      <c r="B380" s="62" t="s">
        <v>1841</v>
      </c>
      <c r="C380" s="9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6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21" t="s">
        <v>2725</v>
      </c>
      <c r="B381" s="62" t="s">
        <v>1042</v>
      </c>
      <c r="C381" s="9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99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6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21" t="s">
        <v>2726</v>
      </c>
      <c r="B382" s="62" t="s">
        <v>1043</v>
      </c>
      <c r="C382" s="9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99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6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21" t="s">
        <v>2727</v>
      </c>
      <c r="B383" s="62" t="s">
        <v>1046</v>
      </c>
      <c r="C383" s="9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99</v>
      </c>
      <c r="K383" s="55"/>
      <c r="L383" s="55" t="str">
        <f t="shared" si="2"/>
        <v>NÃO APLICÁVEL</v>
      </c>
      <c r="M383" s="55"/>
      <c r="N383" s="56" t="str">
        <f t="array" ref="N383">IFERROR(_xlfn.XLOOKUP($B383,EMPRESA_1!A:A,EMPRESA_1!J:J),"")</f>
        <v>EM REPARO</v>
      </c>
      <c r="O383" s="6" t="str">
        <f t="array" ref="O383">IFERROR(_xlfn.XLOOKUP(B383,EMPRESA_1!A:A,EMPRESA_1!K:K),"")
</f>
        <v>WILLIAM</v>
      </c>
      <c r="P383" s="9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21" t="s">
        <v>2728</v>
      </c>
      <c r="B384" s="62" t="s">
        <v>1045</v>
      </c>
      <c r="C384" s="9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99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6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21" t="s">
        <v>2729</v>
      </c>
      <c r="B385" s="62" t="s">
        <v>1050</v>
      </c>
      <c r="C385" s="9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99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6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21" t="s">
        <v>2730</v>
      </c>
      <c r="B386" s="62" t="s">
        <v>1047</v>
      </c>
      <c r="C386" s="9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99</v>
      </c>
      <c r="K386" s="55"/>
      <c r="L386" s="55" t="str">
        <f t="shared" si="2"/>
        <v>NÃO APLICÁVEL</v>
      </c>
      <c r="M386" s="55"/>
      <c r="N386" s="56" t="str">
        <f t="array" ref="N386">IFERROR(_xlfn.XLOOKUP($B386,EMPRESA_1!A:A,EMPRESA_1!J:J),"")</f>
        <v>EM REPARO</v>
      </c>
      <c r="O386" s="6" t="str">
        <f t="array" ref="O386">IFERROR(_xlfn.XLOOKUP(B386,EMPRESA_1!A:A,EMPRESA_1!K:K),"")
</f>
        <v>WILLIAM</v>
      </c>
      <c r="P386" s="9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21" t="s">
        <v>2731</v>
      </c>
      <c r="B387" s="62" t="s">
        <v>1052</v>
      </c>
      <c r="C387" s="9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89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EM REPARO</v>
      </c>
      <c r="O387" s="6" t="str">
        <f t="array" ref="O387">IFERROR(_xlfn.XLOOKUP(B387,EMPRESA_1!A:A,EMPRESA_1!K:K),"")
</f>
        <v>LEAP</v>
      </c>
      <c r="P387" s="9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21" t="s">
        <v>2732</v>
      </c>
      <c r="B388" s="62" t="s">
        <v>1051</v>
      </c>
      <c r="C388" s="9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89</v>
      </c>
      <c r="K388" s="55"/>
      <c r="L388" s="55" t="str">
        <f t="shared" si="2"/>
        <v>NÃO APLICÁVEL</v>
      </c>
      <c r="M388" s="55"/>
      <c r="N388" s="56" t="str">
        <f t="array" ref="N388">IFERROR(_xlfn.XLOOKUP($B388,EMPRESA_1!A:A,EMPRESA_1!J:J),"")</f>
        <v>EM REPARO</v>
      </c>
      <c r="O388" s="6" t="str">
        <f t="array" ref="O388">IFERROR(_xlfn.XLOOKUP(B388,EMPRESA_1!A:A,EMPRESA_1!K:K),"")
</f>
        <v>LEAP</v>
      </c>
      <c r="P388" s="9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21" t="s">
        <v>2733</v>
      </c>
      <c r="B389" s="62" t="s">
        <v>1063</v>
      </c>
      <c r="C389" s="9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82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6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21" t="s">
        <v>2734</v>
      </c>
      <c r="B390" s="62" t="s">
        <v>1060</v>
      </c>
      <c r="C390" s="9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82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6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21" t="s">
        <v>2735</v>
      </c>
      <c r="B391" s="62" t="s">
        <v>1065</v>
      </c>
      <c r="C391" s="9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82</v>
      </c>
      <c r="K391" s="55"/>
      <c r="L391" s="55" t="str">
        <f t="shared" si="2"/>
        <v>NÃO APLICÁVEL</v>
      </c>
      <c r="M391" s="55"/>
      <c r="N391" s="56" t="str">
        <f t="array" ref="N391">IFERROR(_xlfn.XLOOKUP($B391,EMPRESA_1!A:A,EMPRESA_1!J:J),"")</f>
        <v>EM REPARO</v>
      </c>
      <c r="O391" s="6" t="str">
        <f t="array" ref="O391">IFERROR(_xlfn.XLOOKUP(B391,EMPRESA_1!A:A,EMPRESA_1!K:K),"")
</f>
        <v>WILLIAM</v>
      </c>
      <c r="P391" s="9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21" t="s">
        <v>2736</v>
      </c>
      <c r="B392" s="62" t="s">
        <v>1070</v>
      </c>
      <c r="C392" s="9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82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6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21" t="s">
        <v>2737</v>
      </c>
      <c r="B393" s="62" t="s">
        <v>1067</v>
      </c>
      <c r="C393" s="9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82</v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6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1" t="s">
        <v>2738</v>
      </c>
      <c r="B394" s="62" t="s">
        <v>1850</v>
      </c>
      <c r="C394" s="9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6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1" t="s">
        <v>2739</v>
      </c>
      <c r="B395" s="62" t="s">
        <v>1848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6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1" t="s">
        <v>2740</v>
      </c>
      <c r="B396" s="62" t="s">
        <v>1075</v>
      </c>
      <c r="C396" s="9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82</v>
      </c>
      <c r="K396" s="55"/>
      <c r="L396" s="55" t="str">
        <f t="shared" si="2"/>
        <v>NÃO APLICÁVEL</v>
      </c>
      <c r="M396" s="55"/>
      <c r="N396" s="56" t="str">
        <f t="array" ref="N396">IFERROR(_xlfn.XLOOKUP($B396,EMPRESA_1!A:A,EMPRESA_1!J:J),"")</f>
        <v>EM REPARO</v>
      </c>
      <c r="O396" s="6" t="str">
        <f t="array" ref="O396">IFERROR(_xlfn.XLOOKUP(B396,EMPRESA_1!A:A,EMPRESA_1!K:K),"")
</f>
        <v>WILLIAM</v>
      </c>
      <c r="P396" s="9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21" t="s">
        <v>2741</v>
      </c>
      <c r="B397" s="62" t="s">
        <v>1085</v>
      </c>
      <c r="C397" s="9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82</v>
      </c>
      <c r="K397" s="55"/>
      <c r="L397" s="55" t="str">
        <f t="shared" si="2"/>
        <v>NÃO APLICÁVEL</v>
      </c>
      <c r="M397" s="55"/>
      <c r="N397" s="56" t="str">
        <f t="array" ref="N397">IFERROR(_xlfn.XLOOKUP($B397,EMPRESA_1!A:A,EMPRESA_1!J:J),"")</f>
        <v>EM REPARO</v>
      </c>
      <c r="O397" s="6" t="str">
        <f t="array" ref="O397">IFERROR(_xlfn.XLOOKUP(B397,EMPRESA_1!A:A,EMPRESA_1!K:K),"")
</f>
        <v>WILLIAM</v>
      </c>
      <c r="P397" s="9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/>
      </c>
      <c r="U397" s="57" t="str">
        <f t="array" ref="U397">IFERROR(_xlfn.XLOOKUP($F397,'Acerto virtual'!$E:$E,'Acerto virtual'!G:G),"")</f>
        <v/>
      </c>
      <c r="V397" s="57" t="str">
        <f t="array" ref="V397">IFERROR(_xlfn.XLOOKUP($F397,'Acerto virtual'!$E:$E,'Acerto virtual'!H:H),"")</f>
        <v/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/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21" t="s">
        <v>2742</v>
      </c>
      <c r="B398" s="62" t="s">
        <v>1087</v>
      </c>
      <c r="C398" s="9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82</v>
      </c>
      <c r="K398" s="55"/>
      <c r="L398" s="55" t="str">
        <f t="shared" si="2"/>
        <v>NÃO APLICÁVEL</v>
      </c>
      <c r="M398" s="55"/>
      <c r="N398" s="56" t="str">
        <f t="array" ref="N398">IFERROR(_xlfn.XLOOKUP($B398,EMPRESA_1!A:A,EMPRESA_1!J:J),"")</f>
        <v>EM REPARO</v>
      </c>
      <c r="O398" s="6" t="str">
        <f t="array" ref="O398">IFERROR(_xlfn.XLOOKUP(B398,EMPRESA_1!A:A,EMPRESA_1!K:K),"")
</f>
        <v>WILLIAM</v>
      </c>
      <c r="P398" s="9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21" t="s">
        <v>2743</v>
      </c>
      <c r="B399" s="62" t="s">
        <v>1077</v>
      </c>
      <c r="C399" s="9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82</v>
      </c>
      <c r="K399" s="55"/>
      <c r="L399" s="55" t="str">
        <f t="shared" si="2"/>
        <v>NÃO APLICÁVEL</v>
      </c>
      <c r="M399" s="55"/>
      <c r="N399" s="56" t="str">
        <f t="array" ref="N399">IFERROR(_xlfn.XLOOKUP($B399,EMPRESA_1!A:A,EMPRESA_1!J:J),"")</f>
        <v>EM REPARO</v>
      </c>
      <c r="O399" s="6" t="str">
        <f t="array" ref="O399">IFERROR(_xlfn.XLOOKUP(B399,EMPRESA_1!A:A,EMPRESA_1!K:K),"")
</f>
        <v>WILLIAM</v>
      </c>
      <c r="P399" s="9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21" t="s">
        <v>2744</v>
      </c>
      <c r="B400" s="62" t="s">
        <v>1083</v>
      </c>
      <c r="C400" s="9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82</v>
      </c>
      <c r="K400" s="55"/>
      <c r="L400" s="55" t="str">
        <f t="shared" si="2"/>
        <v>NÃO APLICÁVEL</v>
      </c>
      <c r="M400" s="55"/>
      <c r="N400" s="56" t="str">
        <f t="array" ref="N400">IFERROR(_xlfn.XLOOKUP($B400,EMPRESA_1!A:A,EMPRESA_1!J:J),"")</f>
        <v>EM REPARO</v>
      </c>
      <c r="O400" s="6" t="str">
        <f t="array" ref="O400">IFERROR(_xlfn.XLOOKUP(B400,EMPRESA_1!A:A,EMPRESA_1!K:K),"")
</f>
        <v>WILLIAM</v>
      </c>
      <c r="P400" s="9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/>
      </c>
      <c r="U400" s="57" t="str">
        <f t="array" ref="U400">IFERROR(_xlfn.XLOOKUP($F400,'Acerto virtual'!$E:$E,'Acerto virtual'!G:G),"")</f>
        <v/>
      </c>
      <c r="V400" s="57" t="str">
        <f t="array" ref="V400">IFERROR(_xlfn.XLOOKUP($F400,'Acerto virtual'!$E:$E,'Acerto virtual'!H:H),"")</f>
        <v/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/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21" t="s">
        <v>2745</v>
      </c>
      <c r="B401" s="62" t="s">
        <v>1079</v>
      </c>
      <c r="C401" s="9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82</v>
      </c>
      <c r="K401" s="55"/>
      <c r="L401" s="55" t="str">
        <f t="shared" si="2"/>
        <v>NÃO APLICÁVEL</v>
      </c>
      <c r="M401" s="55"/>
      <c r="N401" s="56" t="str">
        <f t="array" ref="N401">IFERROR(_xlfn.XLOOKUP($B401,EMPRESA_1!A:A,EMPRESA_1!J:J),"")</f>
        <v>EM REPARO</v>
      </c>
      <c r="O401" s="6" t="str">
        <f t="array" ref="O401">IFERROR(_xlfn.XLOOKUP(B401,EMPRESA_1!A:A,EMPRESA_1!K:K),"")
</f>
        <v>WILLIAM</v>
      </c>
      <c r="P401" s="9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1" t="s">
        <v>2746</v>
      </c>
      <c r="B402" s="62" t="s">
        <v>1843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6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1" t="s">
        <v>2747</v>
      </c>
      <c r="B403" s="62" t="s">
        <v>1058</v>
      </c>
      <c r="C403" s="9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82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6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21" t="s">
        <v>2748</v>
      </c>
      <c r="B404" s="62" t="s">
        <v>1056</v>
      </c>
      <c r="C404" s="9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82</v>
      </c>
      <c r="K404" s="55"/>
      <c r="L404" s="55" t="str">
        <f t="shared" si="2"/>
        <v>NÃO APLICÁVEL</v>
      </c>
      <c r="M404" s="55"/>
      <c r="N404" s="56" t="str">
        <f t="array" ref="N404">IFERROR(_xlfn.XLOOKUP($B404,EMPRESA_1!A:A,EMPRESA_1!J:J),"")</f>
        <v>EM REPARO</v>
      </c>
      <c r="O404" s="6" t="str">
        <f t="array" ref="O404">IFERROR(_xlfn.XLOOKUP(B404,EMPRESA_1!A:A,EMPRESA_1!K:K),"")
</f>
        <v>WILLIAM</v>
      </c>
      <c r="P404" s="9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21" t="s">
        <v>2749</v>
      </c>
      <c r="B405" s="62" t="s">
        <v>1061</v>
      </c>
      <c r="C405" s="9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82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6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21" t="s">
        <v>2750</v>
      </c>
      <c r="B406" s="62" t="s">
        <v>1073</v>
      </c>
      <c r="C406" s="9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82</v>
      </c>
      <c r="K406" s="55"/>
      <c r="L406" s="55" t="str">
        <f t="shared" si="2"/>
        <v/>
      </c>
      <c r="M406" s="55"/>
      <c r="N406" s="56" t="str">
        <f t="array" ref="N406">IFERROR(_xlfn.XLOOKUP($B406,EMPRESA_1!A:A,EMPRESA_1!J:J),"")</f>
        <v/>
      </c>
      <c r="O406" s="6" t="str">
        <f t="array" ref="O406">IFERROR(_xlfn.XLOOKUP(B406,EMPRESA_1!A:A,EMPRESA_1!K:K),"")
</f>
        <v>PROCURANDO</v>
      </c>
      <c r="P406" s="9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21" t="s">
        <v>2751</v>
      </c>
      <c r="B407" s="62" t="s">
        <v>1074</v>
      </c>
      <c r="C407" s="9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82</v>
      </c>
      <c r="K407" s="55"/>
      <c r="L407" s="55" t="str">
        <f t="shared" si="2"/>
        <v/>
      </c>
      <c r="M407" s="55"/>
      <c r="N407" s="56" t="str">
        <f t="array" ref="N407">IFERROR(_xlfn.XLOOKUP($B407,EMPRESA_1!A:A,EMPRESA_1!J:J),"")</f>
        <v/>
      </c>
      <c r="O407" s="6" t="str">
        <f t="array" ref="O407">IFERROR(_xlfn.XLOOKUP(B407,EMPRESA_1!A:A,EMPRESA_1!K:K),"")
</f>
        <v>PROCURANDO</v>
      </c>
      <c r="P407" s="9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21" t="s">
        <v>2297</v>
      </c>
      <c r="C408" s="9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6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9"/>
      <c r="B409" s="21" t="s">
        <v>1089</v>
      </c>
      <c r="C409" s="9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70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6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9"/>
      <c r="B410" s="21" t="s">
        <v>1096</v>
      </c>
      <c r="C410" s="9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70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6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9"/>
      <c r="B411" s="21" t="s">
        <v>1095</v>
      </c>
      <c r="C411" s="9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70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6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9"/>
      <c r="B412" s="21" t="s">
        <v>1093</v>
      </c>
      <c r="C412" s="9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70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6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9"/>
      <c r="B413" s="21" t="s">
        <v>1097</v>
      </c>
      <c r="C413" s="9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70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6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9"/>
      <c r="B414" s="21" t="s">
        <v>1104</v>
      </c>
      <c r="C414" s="9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65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6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9"/>
      <c r="B415" s="21" t="s">
        <v>1106</v>
      </c>
      <c r="C415" s="9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65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6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9"/>
      <c r="B416" s="21" t="s">
        <v>1098</v>
      </c>
      <c r="C416" s="9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65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6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9"/>
      <c r="B417" s="21" t="s">
        <v>1101</v>
      </c>
      <c r="C417" s="9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65</v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6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9"/>
      <c r="B418" s="21" t="s">
        <v>1109</v>
      </c>
      <c r="C418" s="9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65</v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6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21" t="s">
        <v>1157</v>
      </c>
      <c r="C419" s="9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65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6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9"/>
      <c r="B420" s="21" t="s">
        <v>1119</v>
      </c>
      <c r="C420" s="9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65</v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6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9"/>
      <c r="B421" s="21" t="s">
        <v>1113</v>
      </c>
      <c r="C421" s="9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65</v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6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9"/>
      <c r="B422" s="21" t="s">
        <v>1154</v>
      </c>
      <c r="C422" s="9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65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6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9"/>
      <c r="B423" s="21" t="s">
        <v>1132</v>
      </c>
      <c r="C423" s="9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65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6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9"/>
      <c r="B424" s="21" t="s">
        <v>1133</v>
      </c>
      <c r="C424" s="9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65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6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9"/>
      <c r="B425" s="21" t="s">
        <v>1140</v>
      </c>
      <c r="C425" s="9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65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6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9"/>
      <c r="B426" s="21" t="s">
        <v>1138</v>
      </c>
      <c r="C426" s="9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65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6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9"/>
      <c r="B427" s="21" t="s">
        <v>1122</v>
      </c>
      <c r="C427" s="9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65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6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9"/>
      <c r="B428" s="21" t="s">
        <v>1152</v>
      </c>
      <c r="C428" s="9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65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6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9"/>
      <c r="B429" s="21" t="s">
        <v>1150</v>
      </c>
      <c r="C429" s="9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65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6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9"/>
      <c r="B430" s="21" t="s">
        <v>1128</v>
      </c>
      <c r="C430" s="9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65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6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9"/>
      <c r="B431" s="21" t="s">
        <v>1127</v>
      </c>
      <c r="C431" s="9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65</v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6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9"/>
      <c r="B432" s="21" t="s">
        <v>1124</v>
      </c>
      <c r="C432" s="9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65</v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6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9"/>
      <c r="B433" s="21" t="s">
        <v>1164</v>
      </c>
      <c r="C433" s="9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65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6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9"/>
      <c r="B434" s="21" t="s">
        <v>1169</v>
      </c>
      <c r="C434" s="9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65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6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9"/>
      <c r="B435" s="21" t="s">
        <v>1159</v>
      </c>
      <c r="C435" s="9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65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6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9"/>
      <c r="B436" s="21" t="s">
        <v>1136</v>
      </c>
      <c r="C436" s="9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65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6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9"/>
      <c r="B437" s="21" t="s">
        <v>1144</v>
      </c>
      <c r="C437" s="9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65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6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9"/>
      <c r="B438" s="21" t="s">
        <v>1147</v>
      </c>
      <c r="C438" s="9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65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6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9"/>
      <c r="B439" s="21" t="s">
        <v>1145</v>
      </c>
      <c r="C439" s="9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65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6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9"/>
      <c r="B440" s="21" t="s">
        <v>1224</v>
      </c>
      <c r="C440" s="9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65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6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9"/>
      <c r="B441" s="21" t="s">
        <v>1225</v>
      </c>
      <c r="C441" s="9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65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6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9"/>
      <c r="B442" s="21" t="s">
        <v>1171</v>
      </c>
      <c r="C442" s="9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57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6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9"/>
      <c r="B443" s="21" t="s">
        <v>1174</v>
      </c>
      <c r="C443" s="9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57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6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9"/>
      <c r="B444" s="21" t="s">
        <v>1177</v>
      </c>
      <c r="C444" s="9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50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6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9"/>
      <c r="B445" s="21" t="s">
        <v>1176</v>
      </c>
      <c r="C445" s="9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50</v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6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9"/>
      <c r="B446" s="21" t="s">
        <v>1178</v>
      </c>
      <c r="C446" s="9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48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6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9"/>
      <c r="B447" s="21" t="s">
        <v>1184</v>
      </c>
      <c r="C447" s="9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48</v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6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9"/>
      <c r="B448" s="21" t="s">
        <v>1182</v>
      </c>
      <c r="C448" s="9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48</v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6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9"/>
      <c r="B449" s="21" t="s">
        <v>1186</v>
      </c>
      <c r="C449" s="9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42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6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9"/>
      <c r="B450" s="21" t="s">
        <v>1187</v>
      </c>
      <c r="C450" s="9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42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6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21" t="s">
        <v>1188</v>
      </c>
      <c r="C451" s="9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27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6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21" t="s">
        <v>1189</v>
      </c>
      <c r="C452" s="9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27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6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21" t="s">
        <v>1190</v>
      </c>
      <c r="C453" s="9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27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6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21" t="s">
        <v>1191</v>
      </c>
      <c r="C454" s="9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23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6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21" t="s">
        <v>1193</v>
      </c>
      <c r="C455" s="9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23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6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21" t="s">
        <v>1197</v>
      </c>
      <c r="C456" s="9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23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6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21" t="s">
        <v>1199</v>
      </c>
      <c r="C457" s="9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23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6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21" t="s">
        <v>1203</v>
      </c>
      <c r="C458" s="9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23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6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21" t="s">
        <v>1207</v>
      </c>
      <c r="C459" s="9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23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6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21" t="s">
        <v>1209</v>
      </c>
      <c r="C460" s="9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23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6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21" t="s">
        <v>1210</v>
      </c>
      <c r="C461" s="9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22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6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21" t="s">
        <v>1212</v>
      </c>
      <c r="C462" s="9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20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6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21" t="s">
        <v>1215</v>
      </c>
      <c r="C463" s="9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20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6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21" t="s">
        <v>1218</v>
      </c>
      <c r="C464" s="9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20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6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21" t="s">
        <v>1219</v>
      </c>
      <c r="C465" s="9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20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6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21" t="s">
        <v>1220</v>
      </c>
      <c r="C466" s="9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19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6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21" t="s">
        <v>1228</v>
      </c>
      <c r="C467" s="9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AUT</v>
      </c>
      <c r="J467" s="55">
        <f t="shared" si="1"/>
        <v>23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6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21" t="s">
        <v>1229</v>
      </c>
      <c r="C468" s="9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AUT</v>
      </c>
      <c r="J468" s="55">
        <f t="shared" si="1"/>
        <v>23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6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21" t="s">
        <v>1230</v>
      </c>
      <c r="C469" s="9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AUT</v>
      </c>
      <c r="J469" s="55">
        <f t="shared" si="1"/>
        <v>23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6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21" t="s">
        <v>1234</v>
      </c>
      <c r="C470" s="9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AUT</v>
      </c>
      <c r="J470" s="55">
        <f t="shared" si="1"/>
        <v>23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6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21" t="s">
        <v>1237</v>
      </c>
      <c r="C471" s="9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AUT</v>
      </c>
      <c r="J471" s="55">
        <f t="shared" si="1"/>
        <v>23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6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21" t="s">
        <v>1240</v>
      </c>
      <c r="C472" s="9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AUT</v>
      </c>
      <c r="J472" s="55">
        <f t="shared" si="1"/>
        <v>23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6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21" t="s">
        <v>1243</v>
      </c>
      <c r="C473" s="9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AUT</v>
      </c>
      <c r="J473" s="55">
        <f t="shared" si="1"/>
        <v>23</v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6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21" t="s">
        <v>1246</v>
      </c>
      <c r="C474" s="9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AUT</v>
      </c>
      <c r="J474" s="55">
        <f t="shared" si="1"/>
        <v>23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6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21" t="s">
        <v>1248</v>
      </c>
      <c r="C475" s="9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AUT</v>
      </c>
      <c r="J475" s="55">
        <f t="shared" si="1"/>
        <v>23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6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21" t="s">
        <v>1249</v>
      </c>
      <c r="C476" s="9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AUT</v>
      </c>
      <c r="J476" s="55">
        <f t="shared" si="1"/>
        <v>23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6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21" t="s">
        <v>1250</v>
      </c>
      <c r="C477" s="9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AUT</v>
      </c>
      <c r="J477" s="55">
        <f t="shared" si="1"/>
        <v>22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6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21" t="s">
        <v>1252</v>
      </c>
      <c r="C478" s="9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AUT</v>
      </c>
      <c r="J478" s="55">
        <f t="shared" si="1"/>
        <v>22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6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21" t="s">
        <v>1254</v>
      </c>
      <c r="C479" s="9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AUT</v>
      </c>
      <c r="J479" s="55">
        <f t="shared" si="1"/>
        <v>22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6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21" t="s">
        <v>1255</v>
      </c>
      <c r="C480" s="9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AUT</v>
      </c>
      <c r="J480" s="55">
        <f t="shared" si="1"/>
        <v>22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6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21" t="s">
        <v>1256</v>
      </c>
      <c r="C481" s="9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AUT</v>
      </c>
      <c r="J481" s="55">
        <f t="shared" si="1"/>
        <v>22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6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21" t="s">
        <v>1257</v>
      </c>
      <c r="C482" s="9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AUT</v>
      </c>
      <c r="J482" s="55">
        <f t="shared" si="1"/>
        <v>22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6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21" t="s">
        <v>1258</v>
      </c>
      <c r="C483" s="9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AUT</v>
      </c>
      <c r="J483" s="55">
        <f t="shared" si="1"/>
        <v>22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6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21" t="s">
        <v>1260</v>
      </c>
      <c r="C484" s="9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AUT</v>
      </c>
      <c r="J484" s="55">
        <f t="shared" si="1"/>
        <v>22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6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21" t="s">
        <v>1261</v>
      </c>
      <c r="C485" s="9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AUT</v>
      </c>
      <c r="J485" s="55">
        <f t="shared" si="1"/>
        <v>22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6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21" t="s">
        <v>1262</v>
      </c>
      <c r="C486" s="9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AUT</v>
      </c>
      <c r="J486" s="55">
        <f t="shared" si="1"/>
        <v>22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6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21" t="s">
        <v>1264</v>
      </c>
      <c r="C487" s="9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AUT</v>
      </c>
      <c r="J487" s="55">
        <f t="shared" si="1"/>
        <v>22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6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21" t="s">
        <v>1266</v>
      </c>
      <c r="C488" s="9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AUT</v>
      </c>
      <c r="J488" s="55">
        <f t="shared" si="1"/>
        <v>22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6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21" t="s">
        <v>1267</v>
      </c>
      <c r="C489" s="9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AUT</v>
      </c>
      <c r="J489" s="55">
        <f t="shared" si="1"/>
        <v>22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6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21" t="s">
        <v>1268</v>
      </c>
      <c r="C490" s="9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AUT</v>
      </c>
      <c r="J490" s="55">
        <f t="shared" si="1"/>
        <v>22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6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21" t="s">
        <v>1271</v>
      </c>
      <c r="C491" s="9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AUT</v>
      </c>
      <c r="J491" s="55">
        <f t="shared" si="1"/>
        <v>22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6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21" t="s">
        <v>1272</v>
      </c>
      <c r="C492" s="9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AUT</v>
      </c>
      <c r="J492" s="55">
        <f t="shared" si="1"/>
        <v>22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6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21" t="s">
        <v>1273</v>
      </c>
      <c r="C493" s="9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AUT</v>
      </c>
      <c r="J493" s="55">
        <f t="shared" si="1"/>
        <v>22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6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21" t="s">
        <v>1274</v>
      </c>
      <c r="C494" s="9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AUT</v>
      </c>
      <c r="J494" s="55">
        <f t="shared" si="1"/>
        <v>22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6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21" t="s">
        <v>1277</v>
      </c>
      <c r="C495" s="9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22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6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21" t="s">
        <v>1280</v>
      </c>
      <c r="C496" s="9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22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6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21" t="s">
        <v>1281</v>
      </c>
      <c r="C497" s="9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22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6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21" t="s">
        <v>1282</v>
      </c>
      <c r="C498" s="9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22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6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21" t="s">
        <v>1284</v>
      </c>
      <c r="C499" s="9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22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6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21" t="s">
        <v>1287</v>
      </c>
      <c r="C500" s="9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AUT</v>
      </c>
      <c r="J500" s="55">
        <f t="shared" si="1"/>
        <v>22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6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21" t="s">
        <v>1296</v>
      </c>
      <c r="C501" s="9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AUT</v>
      </c>
      <c r="J501" s="55">
        <f t="shared" si="1"/>
        <v>22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6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21" t="s">
        <v>1298</v>
      </c>
      <c r="C502" s="9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22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6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21" t="s">
        <v>1300</v>
      </c>
      <c r="C503" s="9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AUT</v>
      </c>
      <c r="J503" s="55">
        <f t="shared" si="1"/>
        <v>22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6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21" t="s">
        <v>1301</v>
      </c>
      <c r="C504" s="9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AUT</v>
      </c>
      <c r="J504" s="55">
        <f t="shared" si="1"/>
        <v>22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6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21" t="s">
        <v>1302</v>
      </c>
      <c r="C505" s="9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AUT</v>
      </c>
      <c r="J505" s="55">
        <f t="shared" si="1"/>
        <v>22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6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21" t="s">
        <v>1303</v>
      </c>
      <c r="C506" s="9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AUT</v>
      </c>
      <c r="J506" s="55">
        <f t="shared" si="1"/>
        <v>22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6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21" t="s">
        <v>1306</v>
      </c>
      <c r="C507" s="9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AUT</v>
      </c>
      <c r="J507" s="55">
        <f t="shared" si="1"/>
        <v>21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6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21" t="s">
        <v>1312</v>
      </c>
      <c r="C508" s="9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AUT</v>
      </c>
      <c r="J508" s="55">
        <f t="shared" si="1"/>
        <v>21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6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21" t="s">
        <v>1317</v>
      </c>
      <c r="C509" s="9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AUT</v>
      </c>
      <c r="J509" s="55">
        <f t="shared" si="1"/>
        <v>21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6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21" t="s">
        <v>1319</v>
      </c>
      <c r="C510" s="9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AUT</v>
      </c>
      <c r="J510" s="55">
        <f t="shared" si="1"/>
        <v>16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6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21" t="s">
        <v>1322</v>
      </c>
      <c r="C511" s="9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AUT</v>
      </c>
      <c r="J511" s="55">
        <f t="shared" si="1"/>
        <v>16</v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6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21" t="s">
        <v>1324</v>
      </c>
      <c r="C512" s="9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AUT</v>
      </c>
      <c r="J512" s="55">
        <f t="shared" si="1"/>
        <v>16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6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21" t="s">
        <v>1327</v>
      </c>
      <c r="C513" s="9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AUT</v>
      </c>
      <c r="J513" s="55">
        <f t="shared" si="1"/>
        <v>16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6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9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9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9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9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9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9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9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9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9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9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9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9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9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9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9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9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9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9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9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9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9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9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9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9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9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9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9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9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9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9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9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9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9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9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9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9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9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9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9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9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9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9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9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9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9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9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9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9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9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9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9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9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9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9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9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9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9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9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9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9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9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9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9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9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9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9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9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9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9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9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9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9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9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9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9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9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9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9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9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9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9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9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9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9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9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9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9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9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9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9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9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9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9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9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9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9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9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9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9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9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9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9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9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9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9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9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9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9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9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9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9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9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9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9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9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9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9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9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9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9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9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9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9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9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9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9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9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9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9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9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9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9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9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9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9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9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9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9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9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9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9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9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9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9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9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9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9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9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9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9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9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9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9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9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9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9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9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9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9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9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9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9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9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9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9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9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9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9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9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9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9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9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9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9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9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9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9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9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9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9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9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9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9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9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9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9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9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9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9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9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9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9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9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9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9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9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9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9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9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9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9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9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9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9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9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9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9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9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9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9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9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9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9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9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9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9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9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9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9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9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9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9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9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9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9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9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9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9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9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9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9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9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9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9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9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9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9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9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9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9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9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9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9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9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9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9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9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9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9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9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9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9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9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9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9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9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9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9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9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9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9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9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9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9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9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9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9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9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9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9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9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9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9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9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9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9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9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9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9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9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9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9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9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9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9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9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9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9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9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9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9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9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9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9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9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9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9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9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9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9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9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9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9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9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9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9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9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9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9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9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9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9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9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9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9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9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9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9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9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9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9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9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9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9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9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9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9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9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9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9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9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9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9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9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9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9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9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9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9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9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9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9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9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9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9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9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9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9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9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9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9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9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9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9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9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9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9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9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9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9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9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9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9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9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9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9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9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9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9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9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9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9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9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9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9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9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9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9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9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9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9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9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9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9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9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9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9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9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9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9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9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9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9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9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9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9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9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9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9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9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9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9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9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9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9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9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9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9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9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9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9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9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9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9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9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9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9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9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9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9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9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9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9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9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9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9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9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9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9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9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9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9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9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9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9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9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9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9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9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9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9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9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9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9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9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9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9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9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9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9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9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9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9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9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9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9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9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9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9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9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9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9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9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9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9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9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9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9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9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9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9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9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9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9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9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9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9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9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9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9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9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9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9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9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9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9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9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9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9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9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8"/>
      <c r="D1" s="16">
        <f>TODAY()</f>
        <v>46253</v>
      </c>
      <c r="E1" s="18"/>
      <c r="F1" s="19"/>
      <c r="G1" s="18"/>
      <c r="H1" s="20"/>
      <c r="I1" s="22"/>
      <c r="J1" s="22"/>
      <c r="K1" s="25"/>
      <c r="L1" s="25"/>
      <c r="M1" s="25"/>
      <c r="N1" s="25"/>
      <c r="O1" s="25"/>
      <c r="P1" s="25"/>
      <c r="Q1" s="22"/>
      <c r="R1" s="26"/>
      <c r="S1" s="27"/>
      <c r="T1" s="27"/>
      <c r="U1" s="27"/>
      <c r="V1" s="29"/>
      <c r="W1" s="30"/>
      <c r="X1" s="31"/>
      <c r="Y1" s="33"/>
      <c r="Z1" s="35"/>
      <c r="AA1" s="35"/>
      <c r="AB1" s="35"/>
      <c r="AC1" s="30"/>
      <c r="AD1" s="30"/>
      <c r="AE1" s="30"/>
      <c r="AF1" s="30"/>
      <c r="AG1" s="30"/>
      <c r="AH1" s="30"/>
      <c r="AI1" s="30"/>
    </row>
    <row r="2">
      <c r="A2" s="1"/>
      <c r="B2" s="5" t="s">
        <v>69</v>
      </c>
      <c r="C2" s="8"/>
      <c r="D2" s="16">
        <v>46216.0</v>
      </c>
      <c r="E2" s="37"/>
      <c r="F2" s="37"/>
      <c r="G2" s="37"/>
      <c r="H2" s="37"/>
      <c r="I2" s="37"/>
      <c r="J2" s="22"/>
      <c r="K2" s="25"/>
      <c r="L2" s="25"/>
      <c r="M2" s="25"/>
      <c r="N2" s="25"/>
      <c r="O2" s="25"/>
      <c r="P2" s="25"/>
      <c r="Q2" s="22"/>
      <c r="R2" s="25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1"/>
      <c r="B3" s="42" t="s">
        <v>83</v>
      </c>
      <c r="C3" s="43"/>
      <c r="D3" s="43"/>
      <c r="E3" s="43"/>
      <c r="F3" s="43"/>
      <c r="G3" s="43"/>
      <c r="H3" s="43"/>
      <c r="I3" s="43"/>
      <c r="J3" s="46"/>
      <c r="K3" s="25"/>
      <c r="L3" s="25"/>
      <c r="M3" s="48" t="s">
        <v>88</v>
      </c>
      <c r="N3" s="43"/>
      <c r="O3" s="43"/>
      <c r="P3" s="43"/>
      <c r="Q3" s="43"/>
      <c r="R3" s="46"/>
      <c r="S3" s="38"/>
      <c r="T3" s="48" t="s">
        <v>92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6"/>
    </row>
    <row r="4" ht="115.5" customHeight="1">
      <c r="A4" s="49" t="s">
        <v>98</v>
      </c>
      <c r="B4" s="49" t="s">
        <v>7</v>
      </c>
      <c r="C4" s="49" t="s">
        <v>14</v>
      </c>
      <c r="D4" s="51" t="s">
        <v>15</v>
      </c>
      <c r="E4" s="51" t="s">
        <v>16</v>
      </c>
      <c r="F4" s="51" t="s">
        <v>17</v>
      </c>
      <c r="G4" s="51" t="s">
        <v>104</v>
      </c>
      <c r="H4" s="51" t="s">
        <v>32</v>
      </c>
      <c r="I4" s="51" t="s">
        <v>105</v>
      </c>
      <c r="J4" s="51" t="s">
        <v>106</v>
      </c>
      <c r="K4" s="51" t="s">
        <v>109</v>
      </c>
      <c r="L4" s="51" t="s">
        <v>107</v>
      </c>
      <c r="M4" s="51" t="s">
        <v>112</v>
      </c>
      <c r="N4" s="51" t="s">
        <v>114</v>
      </c>
      <c r="O4" s="51" t="s">
        <v>115</v>
      </c>
      <c r="P4" s="49" t="s">
        <v>117</v>
      </c>
      <c r="Q4" s="53" t="s">
        <v>118</v>
      </c>
      <c r="R4" s="53" t="s">
        <v>119</v>
      </c>
      <c r="S4" s="54"/>
      <c r="T4" s="53" t="s">
        <v>122</v>
      </c>
      <c r="U4" s="53" t="s">
        <v>122</v>
      </c>
      <c r="V4" s="53" t="s">
        <v>123</v>
      </c>
      <c r="W4" s="53" t="s">
        <v>124</v>
      </c>
      <c r="X4" s="53" t="s">
        <v>126</v>
      </c>
      <c r="Y4" s="53" t="s">
        <v>128</v>
      </c>
      <c r="Z4" s="53" t="s">
        <v>129</v>
      </c>
      <c r="AA4" s="53" t="s">
        <v>130</v>
      </c>
      <c r="AB4" s="53" t="s">
        <v>131</v>
      </c>
      <c r="AC4" s="53" t="s">
        <v>132</v>
      </c>
      <c r="AD4" s="53" t="s">
        <v>133</v>
      </c>
      <c r="AE4" s="53" t="s">
        <v>134</v>
      </c>
      <c r="AF4" s="53" t="s">
        <v>135</v>
      </c>
      <c r="AG4" s="53" t="s">
        <v>136</v>
      </c>
      <c r="AH4" s="53" t="s">
        <v>137</v>
      </c>
      <c r="AI4" s="53" t="s">
        <v>139</v>
      </c>
    </row>
    <row r="5">
      <c r="A5" s="21" t="s">
        <v>140</v>
      </c>
      <c r="B5" s="21" t="s">
        <v>38</v>
      </c>
      <c r="C5" s="9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555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6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1" t="s">
        <v>257</v>
      </c>
      <c r="B6" s="21" t="s">
        <v>48</v>
      </c>
      <c r="C6" s="9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539</v>
      </c>
      <c r="K6" s="55" t="str">
        <f t="shared" si="2"/>
        <v/>
      </c>
      <c r="L6" s="55"/>
      <c r="M6" s="55"/>
      <c r="N6" s="56" t="str">
        <f t="shared" si="3"/>
        <v/>
      </c>
      <c r="O6" s="6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1" t="s">
        <v>333</v>
      </c>
      <c r="B7" s="21" t="s">
        <v>61</v>
      </c>
      <c r="C7" s="9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539</v>
      </c>
      <c r="K7" s="55" t="str">
        <f t="shared" si="2"/>
        <v/>
      </c>
      <c r="L7" s="55"/>
      <c r="M7" s="55"/>
      <c r="N7" s="56" t="str">
        <f t="shared" si="3"/>
        <v/>
      </c>
      <c r="O7" s="6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21" t="s">
        <v>396</v>
      </c>
      <c r="B8" s="21" t="s">
        <v>77</v>
      </c>
      <c r="C8" s="9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539</v>
      </c>
      <c r="K8" s="55" t="str">
        <f t="shared" si="2"/>
        <v/>
      </c>
      <c r="L8" s="55"/>
      <c r="M8" s="55"/>
      <c r="N8" s="56" t="str">
        <f t="shared" si="3"/>
        <v/>
      </c>
      <c r="O8" s="6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21" t="s">
        <v>471</v>
      </c>
      <c r="B9" s="21" t="s">
        <v>81</v>
      </c>
      <c r="C9" s="9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517</v>
      </c>
      <c r="K9" s="55" t="str">
        <f t="shared" si="2"/>
        <v/>
      </c>
      <c r="L9" s="55"/>
      <c r="M9" s="55"/>
      <c r="N9" s="56" t="str">
        <f t="shared" si="3"/>
        <v/>
      </c>
      <c r="O9" s="6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21" t="s">
        <v>540</v>
      </c>
      <c r="B10" s="21" t="s">
        <v>138</v>
      </c>
      <c r="C10" s="9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517</v>
      </c>
      <c r="K10" s="55" t="str">
        <f t="shared" si="2"/>
        <v/>
      </c>
      <c r="L10" s="55"/>
      <c r="M10" s="55"/>
      <c r="N10" s="56" t="str">
        <f t="shared" si="3"/>
        <v/>
      </c>
      <c r="O10" s="6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1" t="s">
        <v>599</v>
      </c>
      <c r="B11" s="21" t="s">
        <v>600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1" t="s">
        <v>626</v>
      </c>
      <c r="B12" s="21" t="s">
        <v>116</v>
      </c>
      <c r="C12" s="9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517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6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21" t="s">
        <v>690</v>
      </c>
      <c r="B13" s="21" t="s">
        <v>96</v>
      </c>
      <c r="C13" s="9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517</v>
      </c>
      <c r="K13" s="55" t="str">
        <f t="shared" si="4"/>
        <v/>
      </c>
      <c r="L13" s="55"/>
      <c r="M13" s="55"/>
      <c r="N13" s="56" t="str">
        <f t="shared" si="3"/>
        <v/>
      </c>
      <c r="O13" s="6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21" t="s">
        <v>751</v>
      </c>
      <c r="B14" s="21" t="s">
        <v>89</v>
      </c>
      <c r="C14" s="9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517</v>
      </c>
      <c r="K14" s="55" t="str">
        <f t="shared" si="4"/>
        <v/>
      </c>
      <c r="L14" s="55"/>
      <c r="M14" s="55"/>
      <c r="N14" s="56" t="str">
        <f t="shared" si="3"/>
        <v/>
      </c>
      <c r="O14" s="6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21" t="s">
        <v>841</v>
      </c>
      <c r="B15" s="21" t="s">
        <v>154</v>
      </c>
      <c r="C15" s="9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517</v>
      </c>
      <c r="K15" s="55" t="str">
        <f t="shared" si="4"/>
        <v/>
      </c>
      <c r="L15" s="55"/>
      <c r="M15" s="55"/>
      <c r="N15" s="56" t="str">
        <f t="shared" si="3"/>
        <v/>
      </c>
      <c r="O15" s="6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1" t="s">
        <v>901</v>
      </c>
      <c r="B16" s="21" t="s">
        <v>903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1" t="s">
        <v>922</v>
      </c>
      <c r="B17" s="21" t="s">
        <v>146</v>
      </c>
      <c r="C17" s="9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517</v>
      </c>
      <c r="K17" s="55" t="str">
        <f t="shared" ref="K17:K21" si="5">IF(N17="","",N17-G17)</f>
        <v/>
      </c>
      <c r="L17" s="6"/>
      <c r="M17" s="55"/>
      <c r="N17" s="56" t="str">
        <f t="shared" si="3"/>
        <v/>
      </c>
      <c r="O17" s="6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1" t="s">
        <v>956</v>
      </c>
      <c r="B18" s="21" t="s">
        <v>163</v>
      </c>
      <c r="C18" s="9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517</v>
      </c>
      <c r="K18" s="55" t="str">
        <f t="shared" si="5"/>
        <v/>
      </c>
      <c r="L18" s="55"/>
      <c r="M18" s="55"/>
      <c r="N18" s="56" t="str">
        <f t="shared" si="3"/>
        <v/>
      </c>
      <c r="O18" s="6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1" t="s">
        <v>984</v>
      </c>
      <c r="B19" s="21" t="s">
        <v>171</v>
      </c>
      <c r="C19" s="9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517</v>
      </c>
      <c r="K19" s="55" t="str">
        <f t="shared" si="5"/>
        <v/>
      </c>
      <c r="L19" s="55"/>
      <c r="M19" s="55"/>
      <c r="N19" s="56" t="str">
        <f t="shared" si="3"/>
        <v/>
      </c>
      <c r="O19" s="6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21" t="s">
        <v>1006</v>
      </c>
      <c r="B20" s="21" t="s">
        <v>180</v>
      </c>
      <c r="C20" s="9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517</v>
      </c>
      <c r="K20" s="55" t="str">
        <f t="shared" si="5"/>
        <v/>
      </c>
      <c r="L20" s="55"/>
      <c r="M20" s="55"/>
      <c r="N20" s="56" t="str">
        <f t="shared" si="3"/>
        <v/>
      </c>
      <c r="O20" s="6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21" t="s">
        <v>1029</v>
      </c>
      <c r="B21" s="21" t="s">
        <v>187</v>
      </c>
      <c r="C21" s="9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517</v>
      </c>
      <c r="K21" s="55" t="str">
        <f t="shared" si="5"/>
        <v/>
      </c>
      <c r="L21" s="6"/>
      <c r="M21" s="55"/>
      <c r="N21" s="56" t="str">
        <f t="shared" si="3"/>
        <v/>
      </c>
      <c r="O21" s="6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1" t="s">
        <v>1053</v>
      </c>
      <c r="B22" s="21" t="s">
        <v>1054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1" t="s">
        <v>1064</v>
      </c>
      <c r="B23" s="21" t="s">
        <v>196</v>
      </c>
      <c r="C23" s="9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517</v>
      </c>
      <c r="K23" s="55" t="str">
        <f>IF(N23="","",N23-G23)</f>
        <v/>
      </c>
      <c r="L23" s="55"/>
      <c r="M23" s="55"/>
      <c r="N23" s="56" t="str">
        <f t="shared" si="3"/>
        <v/>
      </c>
      <c r="O23" s="6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1" t="s">
        <v>1081</v>
      </c>
      <c r="B24" s="21" t="s">
        <v>1082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6"/>
      <c r="L24" s="6" t="s">
        <v>1090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1" t="s">
        <v>1094</v>
      </c>
      <c r="B25" s="21" t="s">
        <v>193</v>
      </c>
      <c r="C25" s="9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517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6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21" t="s">
        <v>1118</v>
      </c>
      <c r="B26" s="21" t="s">
        <v>205</v>
      </c>
      <c r="C26" s="9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517</v>
      </c>
      <c r="K26" s="55" t="str">
        <f t="shared" si="6"/>
        <v/>
      </c>
      <c r="L26" s="6"/>
      <c r="M26" s="55"/>
      <c r="N26" s="56" t="str">
        <f t="shared" si="3"/>
        <v/>
      </c>
      <c r="O26" s="6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1" t="s">
        <v>1142</v>
      </c>
      <c r="B27" s="21" t="s">
        <v>1143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6"/>
      <c r="L27" s="6" t="s">
        <v>1090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1" t="s">
        <v>1148</v>
      </c>
      <c r="B28" s="21" t="s">
        <v>1149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1" t="s">
        <v>1156</v>
      </c>
      <c r="B29" s="21" t="s">
        <v>209</v>
      </c>
      <c r="C29" s="9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517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6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1" t="s">
        <v>1183</v>
      </c>
      <c r="B30" s="21" t="s">
        <v>215</v>
      </c>
      <c r="C30" s="9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517</v>
      </c>
      <c r="K30" s="55" t="str">
        <f t="shared" si="9"/>
        <v/>
      </c>
      <c r="L30" s="55"/>
      <c r="M30" s="55"/>
      <c r="N30" s="56" t="str">
        <f t="shared" si="3"/>
        <v/>
      </c>
      <c r="O30" s="6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1" t="s">
        <v>1195</v>
      </c>
      <c r="B31" s="21" t="s">
        <v>1196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1" t="s">
        <v>1205</v>
      </c>
      <c r="B32" s="21" t="s">
        <v>1206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1" t="s">
        <v>1214</v>
      </c>
      <c r="B33" s="21" t="s">
        <v>230</v>
      </c>
      <c r="C33" s="9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517</v>
      </c>
      <c r="K33" s="55" t="str">
        <f>IF(N33="","",N33-G33)</f>
        <v/>
      </c>
      <c r="L33" s="55"/>
      <c r="M33" s="55"/>
      <c r="N33" s="56" t="str">
        <f t="shared" si="3"/>
        <v/>
      </c>
      <c r="O33" s="6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1" t="s">
        <v>1242</v>
      </c>
      <c r="B34" s="21" t="s">
        <v>1244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1" t="s">
        <v>1251</v>
      </c>
      <c r="B35" s="21" t="s">
        <v>222</v>
      </c>
      <c r="C35" s="9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517</v>
      </c>
      <c r="K35" s="55" t="str">
        <f>IF(N35="","",N35-G35)</f>
        <v/>
      </c>
      <c r="L35" s="55"/>
      <c r="M35" s="55"/>
      <c r="N35" s="56" t="str">
        <f t="shared" si="3"/>
        <v/>
      </c>
      <c r="O35" s="6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1" t="s">
        <v>1269</v>
      </c>
      <c r="B36" s="21" t="s">
        <v>1270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1" t="s">
        <v>1275</v>
      </c>
      <c r="B37" s="21" t="s">
        <v>1276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1" t="s">
        <v>1283</v>
      </c>
      <c r="B38" s="21" t="s">
        <v>1285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1" t="s">
        <v>1289</v>
      </c>
      <c r="B39" s="21" t="s">
        <v>1290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1" t="s">
        <v>1291</v>
      </c>
      <c r="B40" s="21" t="s">
        <v>1292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1" t="s">
        <v>1293</v>
      </c>
      <c r="B41" s="21" t="s">
        <v>1294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1" t="s">
        <v>1295</v>
      </c>
      <c r="B42" s="21" t="s">
        <v>243</v>
      </c>
      <c r="C42" s="9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517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6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1" t="s">
        <v>1325</v>
      </c>
      <c r="B43" s="21" t="s">
        <v>236</v>
      </c>
      <c r="C43" s="9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517</v>
      </c>
      <c r="K43" s="55" t="str">
        <f t="shared" si="14"/>
        <v/>
      </c>
      <c r="L43" s="55"/>
      <c r="M43" s="55"/>
      <c r="N43" s="56" t="str">
        <f t="shared" si="3"/>
        <v/>
      </c>
      <c r="O43" s="6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1" t="s">
        <v>1329</v>
      </c>
      <c r="B44" s="21" t="s">
        <v>1330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1" t="s">
        <v>1331</v>
      </c>
      <c r="B45" s="21" t="s">
        <v>1332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1" t="s">
        <v>1333</v>
      </c>
      <c r="B46" s="21" t="s">
        <v>1334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6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1" t="s">
        <v>1335</v>
      </c>
      <c r="B47" s="21" t="s">
        <v>248</v>
      </c>
      <c r="C47" s="9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484</v>
      </c>
      <c r="K47" s="55" t="str">
        <f t="shared" si="17"/>
        <v/>
      </c>
      <c r="L47" s="55"/>
      <c r="M47" s="55"/>
      <c r="N47" s="56" t="str">
        <f t="shared" si="3"/>
        <v/>
      </c>
      <c r="O47" s="6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21" t="s">
        <v>1336</v>
      </c>
      <c r="B48" s="21" t="s">
        <v>273</v>
      </c>
      <c r="C48" s="9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484</v>
      </c>
      <c r="K48" s="55" t="str">
        <f t="shared" si="17"/>
        <v/>
      </c>
      <c r="L48" s="55"/>
      <c r="M48" s="55"/>
      <c r="N48" s="56" t="str">
        <f t="shared" si="3"/>
        <v/>
      </c>
      <c r="O48" s="6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1" t="s">
        <v>1337</v>
      </c>
      <c r="B49" s="21" t="s">
        <v>258</v>
      </c>
      <c r="C49" s="9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484</v>
      </c>
      <c r="K49" s="55" t="str">
        <f t="shared" si="17"/>
        <v/>
      </c>
      <c r="L49" s="55"/>
      <c r="M49" s="55"/>
      <c r="N49" s="56" t="str">
        <f t="shared" si="3"/>
        <v/>
      </c>
      <c r="O49" s="6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21" t="s">
        <v>1338</v>
      </c>
      <c r="B50" s="21" t="s">
        <v>267</v>
      </c>
      <c r="C50" s="9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484</v>
      </c>
      <c r="K50" s="55" t="str">
        <f t="shared" si="17"/>
        <v/>
      </c>
      <c r="L50" s="55"/>
      <c r="M50" s="55"/>
      <c r="N50" s="56" t="str">
        <f t="shared" si="3"/>
        <v/>
      </c>
      <c r="O50" s="6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1" t="s">
        <v>1339</v>
      </c>
      <c r="B51" s="21" t="s">
        <v>270</v>
      </c>
      <c r="C51" s="9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484</v>
      </c>
      <c r="K51" s="55" t="str">
        <f t="shared" si="17"/>
        <v/>
      </c>
      <c r="L51" s="55"/>
      <c r="M51" s="55"/>
      <c r="N51" s="56" t="str">
        <f t="shared" si="3"/>
        <v/>
      </c>
      <c r="O51" s="6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1" t="s">
        <v>1340</v>
      </c>
      <c r="B52" s="21" t="s">
        <v>1341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1" t="s">
        <v>1342</v>
      </c>
      <c r="B53" s="21" t="s">
        <v>280</v>
      </c>
      <c r="C53" s="9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484</v>
      </c>
      <c r="K53" s="55" t="str">
        <f>IF(N53="","",N53-G53)</f>
        <v/>
      </c>
      <c r="L53" s="55"/>
      <c r="M53" s="55"/>
      <c r="N53" s="56" t="str">
        <f t="shared" si="3"/>
        <v/>
      </c>
      <c r="O53" s="6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1" t="s">
        <v>1343</v>
      </c>
      <c r="B54" s="21" t="s">
        <v>1344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1" t="s">
        <v>1345</v>
      </c>
      <c r="B55" s="21" t="s">
        <v>290</v>
      </c>
      <c r="C55" s="9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484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6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1" t="s">
        <v>1346</v>
      </c>
      <c r="B56" s="21" t="s">
        <v>285</v>
      </c>
      <c r="C56" s="9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484</v>
      </c>
      <c r="K56" s="55" t="str">
        <f t="shared" si="18"/>
        <v/>
      </c>
      <c r="L56" s="55"/>
      <c r="M56" s="55"/>
      <c r="N56" s="56" t="str">
        <f t="shared" si="3"/>
        <v/>
      </c>
      <c r="O56" s="6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1" t="s">
        <v>1347</v>
      </c>
      <c r="B57" s="21" t="s">
        <v>293</v>
      </c>
      <c r="C57" s="9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484</v>
      </c>
      <c r="K57" s="55" t="str">
        <f t="shared" si="18"/>
        <v/>
      </c>
      <c r="L57" s="55"/>
      <c r="M57" s="55"/>
      <c r="N57" s="56" t="str">
        <f t="shared" si="3"/>
        <v/>
      </c>
      <c r="O57" s="6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1" t="s">
        <v>1348</v>
      </c>
      <c r="B58" s="21" t="s">
        <v>1349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1" t="s">
        <v>1350</v>
      </c>
      <c r="B59" s="21" t="s">
        <v>1351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1" t="s">
        <v>1352</v>
      </c>
      <c r="B60" s="21" t="s">
        <v>301</v>
      </c>
      <c r="C60" s="9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484</v>
      </c>
      <c r="K60" s="55" t="str">
        <f>IF(N60="","",N60-G60)</f>
        <v/>
      </c>
      <c r="L60" s="6" t="s">
        <v>1353</v>
      </c>
      <c r="M60" s="55"/>
      <c r="N60" s="56" t="str">
        <f t="shared" si="3"/>
        <v/>
      </c>
      <c r="O60" s="6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1" t="s">
        <v>1354</v>
      </c>
      <c r="B61" s="21" t="s">
        <v>1355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1" t="s">
        <v>1356</v>
      </c>
      <c r="B62" s="21" t="s">
        <v>1357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1" t="s">
        <v>1358</v>
      </c>
      <c r="B63" s="21" t="s">
        <v>1359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1" t="s">
        <v>1360</v>
      </c>
      <c r="B64" s="21" t="s">
        <v>1361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1" t="s">
        <v>1362</v>
      </c>
      <c r="B65" s="21" t="s">
        <v>1363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1" t="s">
        <v>1364</v>
      </c>
      <c r="B66" s="21" t="s">
        <v>309</v>
      </c>
      <c r="C66" s="9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454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6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21" t="s">
        <v>1365</v>
      </c>
      <c r="B67" s="21" t="s">
        <v>315</v>
      </c>
      <c r="C67" s="9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454</v>
      </c>
      <c r="K67" s="55" t="str">
        <f t="shared" si="23"/>
        <v/>
      </c>
      <c r="L67" s="55"/>
      <c r="M67" s="55"/>
      <c r="N67" s="56" t="str">
        <f t="shared" si="3"/>
        <v/>
      </c>
      <c r="O67" s="6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1" t="s">
        <v>1366</v>
      </c>
      <c r="B68" s="21" t="s">
        <v>1367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1" t="s">
        <v>1368</v>
      </c>
      <c r="B69" s="21" t="s">
        <v>1369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1" t="s">
        <v>1370</v>
      </c>
      <c r="B70" s="21" t="s">
        <v>1371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1" t="s">
        <v>1372</v>
      </c>
      <c r="B71" s="21" t="s">
        <v>1373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1" t="s">
        <v>1374</v>
      </c>
      <c r="B72" s="21" t="s">
        <v>1375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1" t="s">
        <v>1376</v>
      </c>
      <c r="B73" s="21" t="s">
        <v>325</v>
      </c>
      <c r="C73" s="9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450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6" t="str">
        <f t="array" ref="O73">IFERROR(_xlfn.XLOOKUP(B73,EMPRESA_1!A:A,EMPRESA_1!K:K),"")</f>
        <v>VEE ONE</v>
      </c>
      <c r="P73" s="9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1" t="s">
        <v>1377</v>
      </c>
      <c r="B74" s="21" t="s">
        <v>319</v>
      </c>
      <c r="C74" s="9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450</v>
      </c>
      <c r="K74" s="55" t="str">
        <f t="shared" si="26"/>
        <v/>
      </c>
      <c r="L74" s="55"/>
      <c r="M74" s="55"/>
      <c r="N74" s="56" t="str">
        <f t="shared" si="3"/>
        <v/>
      </c>
      <c r="O74" s="6" t="str">
        <f t="array" ref="O74">IFERROR(_xlfn.XLOOKUP(B74,EMPRESA_1!A:A,EMPRESA_1!K:K),"")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1" t="s">
        <v>1378</v>
      </c>
      <c r="B75" s="21" t="s">
        <v>1379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1" t="s">
        <v>1380</v>
      </c>
      <c r="B76" s="21" t="s">
        <v>330</v>
      </c>
      <c r="C76" s="9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450</v>
      </c>
      <c r="K76" s="55" t="str">
        <f>IF(N76="","",N76-G76)</f>
        <v/>
      </c>
      <c r="L76" s="55"/>
      <c r="M76" s="55"/>
      <c r="N76" s="56" t="str">
        <f t="shared" si="3"/>
        <v/>
      </c>
      <c r="O76" s="6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1" t="s">
        <v>1381</v>
      </c>
      <c r="B77" s="21" t="s">
        <v>1382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1" t="s">
        <v>1383</v>
      </c>
      <c r="B78" s="21" t="s">
        <v>334</v>
      </c>
      <c r="C78" s="9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450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6" t="str">
        <f t="array" ref="O78">IFERROR(_xlfn.XLOOKUP(B78,EMPRESA_1!A:A,EMPRESA_1!K:K),"")</f>
        <v>VEE ONE</v>
      </c>
      <c r="P78" s="9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1" t="s">
        <v>1391</v>
      </c>
      <c r="B79" s="21" t="s">
        <v>340</v>
      </c>
      <c r="C79" s="9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450</v>
      </c>
      <c r="K79" s="55" t="str">
        <f t="shared" si="27"/>
        <v/>
      </c>
      <c r="L79" s="55"/>
      <c r="M79" s="55"/>
      <c r="N79" s="56" t="str">
        <f t="shared" si="3"/>
        <v/>
      </c>
      <c r="O79" s="6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1" t="s">
        <v>1410</v>
      </c>
      <c r="B80" s="21" t="s">
        <v>1411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1" t="s">
        <v>1418</v>
      </c>
      <c r="B81" s="21" t="s">
        <v>1419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1" t="s">
        <v>1425</v>
      </c>
      <c r="B82" s="21" t="s">
        <v>342</v>
      </c>
      <c r="C82" s="9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450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6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1" t="s">
        <v>1441</v>
      </c>
      <c r="B83" s="21" t="s">
        <v>344</v>
      </c>
      <c r="C83" s="9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450</v>
      </c>
      <c r="K83" s="55" t="str">
        <f t="shared" si="30"/>
        <v/>
      </c>
      <c r="L83" s="55"/>
      <c r="M83" s="55"/>
      <c r="N83" s="56" t="str">
        <f t="shared" si="3"/>
        <v/>
      </c>
      <c r="O83" s="6" t="str">
        <f t="array" ref="O83">IFERROR(_xlfn.XLOOKUP(B83,EMPRESA_1!A:A,EMPRESA_1!K:K),"")</f>
        <v>VEE ONE</v>
      </c>
      <c r="P83" s="9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1" t="s">
        <v>1461</v>
      </c>
      <c r="B84" s="21" t="s">
        <v>1462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1" t="s">
        <v>1469</v>
      </c>
      <c r="B85" s="21" t="s">
        <v>347</v>
      </c>
      <c r="C85" s="9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440</v>
      </c>
      <c r="K85" s="55" t="str">
        <f>IF(N85="","",N85-G85)</f>
        <v/>
      </c>
      <c r="L85" s="55"/>
      <c r="M85" s="55"/>
      <c r="N85" s="56" t="str">
        <f t="shared" si="3"/>
        <v/>
      </c>
      <c r="O85" s="6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1" t="s">
        <v>1485</v>
      </c>
      <c r="B86" s="21" t="s">
        <v>1486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1" t="s">
        <v>1491</v>
      </c>
      <c r="B87" s="21" t="s">
        <v>361</v>
      </c>
      <c r="C87" s="9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440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6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1" t="s">
        <v>1515</v>
      </c>
      <c r="B88" s="21" t="s">
        <v>364</v>
      </c>
      <c r="C88" s="9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440</v>
      </c>
      <c r="K88" s="55" t="str">
        <f t="shared" si="31"/>
        <v/>
      </c>
      <c r="L88" s="55"/>
      <c r="M88" s="55"/>
      <c r="N88" s="56" t="str">
        <f t="shared" si="3"/>
        <v/>
      </c>
      <c r="O88" s="6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1" t="s">
        <v>1538</v>
      </c>
      <c r="B89" s="21" t="s">
        <v>356</v>
      </c>
      <c r="C89" s="9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440</v>
      </c>
      <c r="K89" s="55" t="str">
        <f t="shared" si="31"/>
        <v/>
      </c>
      <c r="L89" s="55"/>
      <c r="M89" s="55"/>
      <c r="N89" s="56" t="str">
        <f t="shared" si="3"/>
        <v/>
      </c>
      <c r="O89" s="6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21" t="s">
        <v>1554</v>
      </c>
      <c r="B90" s="21" t="s">
        <v>353</v>
      </c>
      <c r="C90" s="9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440</v>
      </c>
      <c r="K90" s="55" t="str">
        <f t="shared" si="31"/>
        <v/>
      </c>
      <c r="L90" s="55"/>
      <c r="M90" s="55"/>
      <c r="N90" s="56" t="str">
        <f t="shared" si="3"/>
        <v/>
      </c>
      <c r="O90" s="6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1" t="s">
        <v>1584</v>
      </c>
      <c r="B91" s="21" t="s">
        <v>1499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6" t="str">
        <f t="array" ref="O91">IFERROR(_xlfn.XLOOKUP(B91,EMPRESA_1!A:A,EMPRESA_1!K:K),"")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1" t="s">
        <v>1613</v>
      </c>
      <c r="B92" s="21" t="s">
        <v>1502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6" t="str">
        <f t="array" ref="O92">IFERROR(_xlfn.XLOOKUP(B92,EMPRESA_1!A:A,EMPRESA_1!K:K),"")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1" t="s">
        <v>1633</v>
      </c>
      <c r="B93" s="21" t="s">
        <v>371</v>
      </c>
      <c r="C93" s="9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422</v>
      </c>
      <c r="K93" s="55" t="str">
        <f t="shared" si="31"/>
        <v/>
      </c>
      <c r="L93" s="55"/>
      <c r="M93" s="55"/>
      <c r="N93" s="56" t="str">
        <f t="shared" si="3"/>
        <v/>
      </c>
      <c r="O93" s="6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1" t="s">
        <v>1659</v>
      </c>
      <c r="B94" s="21" t="s">
        <v>377</v>
      </c>
      <c r="C94" s="9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422</v>
      </c>
      <c r="K94" s="55" t="str">
        <f t="shared" si="31"/>
        <v/>
      </c>
      <c r="L94" s="55"/>
      <c r="M94" s="55"/>
      <c r="N94" s="56" t="str">
        <f t="shared" si="3"/>
        <v/>
      </c>
      <c r="O94" s="6" t="str">
        <f t="array" ref="O94">IFERROR(_xlfn.XLOOKUP(B94,EMPRESA_1!A:A,EMPRESA_1!K:K),"")</f>
        <v>V1 PAMA-LS</v>
      </c>
      <c r="P94" s="9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1" t="s">
        <v>1694</v>
      </c>
      <c r="B95" s="21" t="s">
        <v>1508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1" t="s">
        <v>1709</v>
      </c>
      <c r="B96" s="21" t="s">
        <v>381</v>
      </c>
      <c r="C96" s="9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422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6" t="str">
        <f t="array" ref="O96">IFERROR(_xlfn.XLOOKUP(B96,EMPRESA_1!A:A,EMPRESA_1!K:K),"")</f>
        <v>V1 PAMA-LS</v>
      </c>
      <c r="P96" s="9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1" t="s">
        <v>1747</v>
      </c>
      <c r="B97" s="21" t="s">
        <v>387</v>
      </c>
      <c r="C97" s="9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422</v>
      </c>
      <c r="K97" s="55" t="str">
        <f t="shared" si="32"/>
        <v/>
      </c>
      <c r="L97" s="55"/>
      <c r="M97" s="55"/>
      <c r="N97" s="56" t="str">
        <f t="shared" si="3"/>
        <v/>
      </c>
      <c r="O97" s="6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1" t="s">
        <v>1785</v>
      </c>
      <c r="B98" s="21" t="s">
        <v>392</v>
      </c>
      <c r="C98" s="9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422</v>
      </c>
      <c r="K98" s="55" t="str">
        <f t="shared" si="32"/>
        <v/>
      </c>
      <c r="L98" s="55"/>
      <c r="M98" s="55"/>
      <c r="N98" s="56" t="str">
        <f t="shared" si="3"/>
        <v/>
      </c>
      <c r="O98" s="6" t="str">
        <f t="array" ref="O98">IFERROR(_xlfn.XLOOKUP(B98,EMPRESA_1!A:A,EMPRESA_1!K:K),"")</f>
        <v>V1 PAMA-LS</v>
      </c>
      <c r="P98" s="9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21" t="s">
        <v>1813</v>
      </c>
      <c r="B99" s="21" t="s">
        <v>397</v>
      </c>
      <c r="C99" s="9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422</v>
      </c>
      <c r="K99" s="55" t="str">
        <f t="shared" si="32"/>
        <v/>
      </c>
      <c r="L99" s="55"/>
      <c r="M99" s="55"/>
      <c r="N99" s="56" t="str">
        <f t="shared" si="3"/>
        <v/>
      </c>
      <c r="O99" s="6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1" t="s">
        <v>1829</v>
      </c>
      <c r="B100" s="21" t="s">
        <v>405</v>
      </c>
      <c r="C100" s="9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413</v>
      </c>
      <c r="K100" s="55" t="str">
        <f t="shared" si="32"/>
        <v/>
      </c>
      <c r="L100" s="55"/>
      <c r="M100" s="55"/>
      <c r="N100" s="56" t="str">
        <f t="shared" si="3"/>
        <v/>
      </c>
      <c r="O100" s="6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1" t="s">
        <v>1842</v>
      </c>
      <c r="B101" s="21" t="s">
        <v>401</v>
      </c>
      <c r="C101" s="9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413</v>
      </c>
      <c r="K101" s="55" t="str">
        <f t="shared" si="32"/>
        <v/>
      </c>
      <c r="L101" s="55"/>
      <c r="M101" s="55"/>
      <c r="N101" s="56" t="str">
        <f t="shared" si="3"/>
        <v/>
      </c>
      <c r="O101" s="6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1" t="s">
        <v>1865</v>
      </c>
      <c r="B102" s="21" t="s">
        <v>1520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1" t="s">
        <v>1874</v>
      </c>
      <c r="B103" s="21" t="s">
        <v>425</v>
      </c>
      <c r="C103" s="9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413</v>
      </c>
      <c r="K103" s="55" t="str">
        <f>IF(N103="","",N103-G103)</f>
        <v/>
      </c>
      <c r="L103" s="55"/>
      <c r="M103" s="55"/>
      <c r="N103" s="56" t="str">
        <f t="shared" si="3"/>
        <v/>
      </c>
      <c r="O103" s="6" t="str">
        <f t="array" ref="O103">IFERROR(_xlfn.XLOOKUP(B103,EMPRESA_1!A:A,EMPRESA_1!K:K),"")</f>
        <v>V1 PAMA-LS</v>
      </c>
      <c r="P103" s="9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1" t="s">
        <v>1888</v>
      </c>
      <c r="B104" s="21" t="s">
        <v>1525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1" t="s">
        <v>1893</v>
      </c>
      <c r="B105" s="21" t="s">
        <v>1527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1" t="s">
        <v>1901</v>
      </c>
      <c r="B106" s="21" t="s">
        <v>1530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1" t="s">
        <v>1908</v>
      </c>
      <c r="B107" s="21" t="s">
        <v>420</v>
      </c>
      <c r="C107" s="9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413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6" t="str">
        <f t="array" ref="O107">IFERROR(_xlfn.XLOOKUP(B107,EMPRESA_1!A:A,EMPRESA_1!K:K),"")</f>
        <v>V1 PAMA-LS</v>
      </c>
      <c r="P107" s="9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1" t="s">
        <v>1924</v>
      </c>
      <c r="B108" s="21" t="s">
        <v>412</v>
      </c>
      <c r="C108" s="9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413</v>
      </c>
      <c r="K108" s="55" t="str">
        <f t="shared" si="35"/>
        <v/>
      </c>
      <c r="L108" s="55"/>
      <c r="M108" s="55"/>
      <c r="N108" s="56" t="str">
        <f t="shared" si="3"/>
        <v/>
      </c>
      <c r="O108" s="6" t="str">
        <f t="array" ref="O108">IFERROR(_xlfn.XLOOKUP(B108,EMPRESA_1!A:A,EMPRESA_1!K:K),"")</f>
        <v>V1 PAMA-LS</v>
      </c>
      <c r="P108" s="9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21" t="s">
        <v>1940</v>
      </c>
      <c r="B109" s="21" t="s">
        <v>445</v>
      </c>
      <c r="C109" s="9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413</v>
      </c>
      <c r="K109" s="55" t="str">
        <f t="shared" si="35"/>
        <v/>
      </c>
      <c r="L109" s="55"/>
      <c r="M109" s="55"/>
      <c r="N109" s="56" t="str">
        <f t="shared" si="3"/>
        <v/>
      </c>
      <c r="O109" s="6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21" t="s">
        <v>1980</v>
      </c>
      <c r="B110" s="21" t="s">
        <v>439</v>
      </c>
      <c r="C110" s="9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413</v>
      </c>
      <c r="K110" s="55" t="str">
        <f t="shared" si="35"/>
        <v/>
      </c>
      <c r="L110" s="55"/>
      <c r="M110" s="55"/>
      <c r="N110" s="56" t="str">
        <f t="shared" si="3"/>
        <v/>
      </c>
      <c r="O110" s="6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1" t="s">
        <v>2006</v>
      </c>
      <c r="B111" s="21" t="s">
        <v>435</v>
      </c>
      <c r="C111" s="9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413</v>
      </c>
      <c r="K111" s="55" t="str">
        <f t="shared" si="35"/>
        <v/>
      </c>
      <c r="L111" s="55"/>
      <c r="M111" s="55"/>
      <c r="N111" s="56" t="str">
        <f t="shared" si="3"/>
        <v/>
      </c>
      <c r="O111" s="6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1" t="s">
        <v>1657</v>
      </c>
      <c r="B112" s="21" t="s">
        <v>429</v>
      </c>
      <c r="C112" s="9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413</v>
      </c>
      <c r="K112" s="55" t="str">
        <f t="shared" si="35"/>
        <v/>
      </c>
      <c r="L112" s="55"/>
      <c r="M112" s="55"/>
      <c r="N112" s="56" t="str">
        <f t="shared" si="3"/>
        <v/>
      </c>
      <c r="O112" s="6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1" t="s">
        <v>2108</v>
      </c>
      <c r="B113" s="21" t="s">
        <v>1542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1" t="s">
        <v>2135</v>
      </c>
      <c r="B114" s="21" t="s">
        <v>1544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1" t="s">
        <v>2155</v>
      </c>
      <c r="B115" s="21" t="s">
        <v>1546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1" t="s">
        <v>2175</v>
      </c>
      <c r="B116" s="21" t="s">
        <v>1548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1" t="s">
        <v>2198</v>
      </c>
      <c r="B117" s="21" t="s">
        <v>1550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1" t="s">
        <v>2216</v>
      </c>
      <c r="B118" s="21" t="s">
        <v>454</v>
      </c>
      <c r="C118" s="9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413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6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1" t="s">
        <v>2261</v>
      </c>
      <c r="B119" s="21" t="s">
        <v>458</v>
      </c>
      <c r="C119" s="9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413</v>
      </c>
      <c r="K119" s="55" t="str">
        <f t="shared" si="38"/>
        <v/>
      </c>
      <c r="L119" s="55"/>
      <c r="M119" s="55"/>
      <c r="N119" s="56" t="str">
        <f t="shared" si="3"/>
        <v/>
      </c>
      <c r="O119" s="6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1" t="s">
        <v>2306</v>
      </c>
      <c r="B120" s="21" t="s">
        <v>460</v>
      </c>
      <c r="C120" s="9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413</v>
      </c>
      <c r="K120" s="55" t="str">
        <f t="shared" si="38"/>
        <v/>
      </c>
      <c r="L120" s="55"/>
      <c r="M120" s="55"/>
      <c r="N120" s="56" t="str">
        <f t="shared" si="3"/>
        <v/>
      </c>
      <c r="O120" s="6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1" t="s">
        <v>2341</v>
      </c>
      <c r="B121" s="21" t="s">
        <v>467</v>
      </c>
      <c r="C121" s="9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413</v>
      </c>
      <c r="K121" s="55" t="str">
        <f t="shared" si="38"/>
        <v/>
      </c>
      <c r="L121" s="55"/>
      <c r="M121" s="55"/>
      <c r="N121" s="56" t="str">
        <f t="shared" si="3"/>
        <v/>
      </c>
      <c r="O121" s="6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1" t="s">
        <v>2365</v>
      </c>
      <c r="B122" s="21" t="s">
        <v>449</v>
      </c>
      <c r="C122" s="9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413</v>
      </c>
      <c r="K122" s="55" t="str">
        <f t="shared" si="38"/>
        <v/>
      </c>
      <c r="L122" s="55"/>
      <c r="M122" s="55"/>
      <c r="N122" s="56" t="str">
        <f t="shared" si="3"/>
        <v/>
      </c>
      <c r="O122" s="6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1" t="s">
        <v>2397</v>
      </c>
      <c r="B123" s="21" t="s">
        <v>472</v>
      </c>
      <c r="C123" s="9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413</v>
      </c>
      <c r="K123" s="55" t="str">
        <f t="shared" si="38"/>
        <v/>
      </c>
      <c r="L123" s="55"/>
      <c r="M123" s="55"/>
      <c r="N123" s="56" t="str">
        <f t="shared" si="3"/>
        <v/>
      </c>
      <c r="O123" s="6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21" t="s">
        <v>2423</v>
      </c>
      <c r="B124" s="21" t="s">
        <v>476</v>
      </c>
      <c r="C124" s="9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404</v>
      </c>
      <c r="K124" s="55" t="str">
        <f t="shared" si="38"/>
        <v/>
      </c>
      <c r="L124" s="55"/>
      <c r="M124" s="55"/>
      <c r="N124" s="56" t="str">
        <f t="shared" si="3"/>
        <v/>
      </c>
      <c r="O124" s="6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1" t="s">
        <v>2436</v>
      </c>
      <c r="B125" s="21" t="s">
        <v>479</v>
      </c>
      <c r="C125" s="9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404</v>
      </c>
      <c r="K125" s="55" t="str">
        <f t="shared" si="38"/>
        <v/>
      </c>
      <c r="L125" s="55"/>
      <c r="M125" s="55"/>
      <c r="N125" s="56" t="str">
        <f t="shared" si="3"/>
        <v/>
      </c>
      <c r="O125" s="6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1" t="s">
        <v>1433</v>
      </c>
      <c r="B126" s="21" t="s">
        <v>1559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1" t="s">
        <v>2463</v>
      </c>
      <c r="B127" s="21" t="s">
        <v>484</v>
      </c>
      <c r="C127" s="9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400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6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1" t="s">
        <v>2475</v>
      </c>
      <c r="B128" s="21" t="s">
        <v>489</v>
      </c>
      <c r="C128" s="9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398</v>
      </c>
      <c r="K128" s="55" t="str">
        <f t="shared" si="39"/>
        <v/>
      </c>
      <c r="L128" s="55"/>
      <c r="M128" s="55"/>
      <c r="N128" s="56" t="str">
        <f t="shared" si="3"/>
        <v/>
      </c>
      <c r="O128" s="6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1" t="s">
        <v>2486</v>
      </c>
      <c r="B129" s="21" t="s">
        <v>1566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1" t="s">
        <v>2487</v>
      </c>
      <c r="B130" s="21" t="s">
        <v>1568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1" t="s">
        <v>2488</v>
      </c>
      <c r="B131" s="21" t="s">
        <v>495</v>
      </c>
      <c r="C131" s="9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384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6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1" t="s">
        <v>2489</v>
      </c>
      <c r="B132" s="21" t="s">
        <v>498</v>
      </c>
      <c r="C132" s="9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384</v>
      </c>
      <c r="K132" s="55" t="str">
        <f t="shared" si="42"/>
        <v/>
      </c>
      <c r="L132" s="55"/>
      <c r="M132" s="55"/>
      <c r="N132" s="56" t="str">
        <f t="shared" si="3"/>
        <v/>
      </c>
      <c r="O132" s="6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21" t="s">
        <v>2490</v>
      </c>
      <c r="B133" s="21" t="s">
        <v>507</v>
      </c>
      <c r="C133" s="9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384</v>
      </c>
      <c r="K133" s="55" t="str">
        <f t="shared" si="42"/>
        <v/>
      </c>
      <c r="L133" s="55"/>
      <c r="M133" s="55"/>
      <c r="N133" s="56" t="str">
        <f t="shared" si="3"/>
        <v/>
      </c>
      <c r="O133" s="6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1" t="s">
        <v>2491</v>
      </c>
      <c r="B134" s="21" t="s">
        <v>1579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1" t="s">
        <v>2492</v>
      </c>
      <c r="B135" s="21" t="s">
        <v>503</v>
      </c>
      <c r="C135" s="9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384</v>
      </c>
      <c r="K135" s="55" t="str">
        <f>IF(N135="","",N135-G135)</f>
        <v/>
      </c>
      <c r="L135" s="55"/>
      <c r="M135" s="55"/>
      <c r="N135" s="56" t="str">
        <f t="shared" si="3"/>
        <v/>
      </c>
      <c r="O135" s="6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1" t="s">
        <v>2493</v>
      </c>
      <c r="B136" s="21" t="s">
        <v>1586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1" t="s">
        <v>2494</v>
      </c>
      <c r="B137" s="21" t="s">
        <v>509</v>
      </c>
      <c r="C137" s="9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371</v>
      </c>
      <c r="K137" s="55" t="str">
        <f>IF(N137="","",N137-G137)</f>
        <v/>
      </c>
      <c r="L137" s="55"/>
      <c r="M137" s="55"/>
      <c r="N137" s="56" t="str">
        <f t="shared" si="3"/>
        <v/>
      </c>
      <c r="O137" s="6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1" t="s">
        <v>2495</v>
      </c>
      <c r="B138" s="21" t="s">
        <v>1595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1" t="s">
        <v>2496</v>
      </c>
      <c r="B139" s="21" t="s">
        <v>1600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1" t="s">
        <v>2497</v>
      </c>
      <c r="B140" s="21" t="s">
        <v>1607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1" t="s">
        <v>2498</v>
      </c>
      <c r="B141" s="21" t="s">
        <v>514</v>
      </c>
      <c r="C141" s="9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362</v>
      </c>
      <c r="K141" s="55" t="str">
        <f>IF(N141="","",N141-G141)</f>
        <v/>
      </c>
      <c r="L141" s="55"/>
      <c r="M141" s="55"/>
      <c r="N141" s="56" t="str">
        <f t="shared" si="3"/>
        <v/>
      </c>
      <c r="O141" s="6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1" t="s">
        <v>2499</v>
      </c>
      <c r="B142" s="21" t="s">
        <v>1615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1" t="s">
        <v>2500</v>
      </c>
      <c r="B143" s="21" t="s">
        <v>1618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1" t="s">
        <v>2501</v>
      </c>
      <c r="B144" s="21" t="s">
        <v>1622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1" t="s">
        <v>2502</v>
      </c>
      <c r="B145" s="21" t="s">
        <v>1627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1" t="s">
        <v>2503</v>
      </c>
      <c r="B146" s="21" t="s">
        <v>1631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1" t="s">
        <v>2504</v>
      </c>
      <c r="B147" s="21" t="s">
        <v>1635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1" t="s">
        <v>1478</v>
      </c>
      <c r="B148" s="21" t="s">
        <v>1636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1" t="s">
        <v>2505</v>
      </c>
      <c r="B149" s="21" t="s">
        <v>1640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1" t="s">
        <v>2506</v>
      </c>
      <c r="B150" s="21" t="s">
        <v>1644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1" t="s">
        <v>2507</v>
      </c>
      <c r="B151" s="21" t="s">
        <v>523</v>
      </c>
      <c r="C151" s="9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362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6" t="str">
        <f t="array" ref="O151">IFERROR(_xlfn.XLOOKUP(B151,EMPRESA_1!A:A,EMPRESA_1!K:K),"")</f>
        <v>VEE ONE</v>
      </c>
      <c r="P151" s="9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1" t="s">
        <v>2508</v>
      </c>
      <c r="B152" s="21" t="s">
        <v>519</v>
      </c>
      <c r="C152" s="9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362</v>
      </c>
      <c r="K152" s="55" t="str">
        <f t="shared" si="47"/>
        <v/>
      </c>
      <c r="L152" s="55"/>
      <c r="M152" s="55"/>
      <c r="N152" s="56" t="str">
        <f t="shared" si="3"/>
        <v/>
      </c>
      <c r="O152" s="6" t="str">
        <f t="array" ref="O152">IFERROR(_xlfn.XLOOKUP(B152,EMPRESA_1!A:A,EMPRESA_1!K:K),"")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21" t="s">
        <v>2509</v>
      </c>
      <c r="B153" s="21" t="s">
        <v>526</v>
      </c>
      <c r="C153" s="9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362</v>
      </c>
      <c r="K153" s="55" t="str">
        <f t="shared" si="47"/>
        <v/>
      </c>
      <c r="L153" s="55"/>
      <c r="M153" s="55"/>
      <c r="N153" s="56" t="str">
        <f t="shared" si="3"/>
        <v/>
      </c>
      <c r="O153" s="6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1" t="s">
        <v>2510</v>
      </c>
      <c r="B154" s="21" t="s">
        <v>1649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1" t="s">
        <v>2511</v>
      </c>
      <c r="B155" s="21" t="s">
        <v>536</v>
      </c>
      <c r="C155" s="9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362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6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1" t="s">
        <v>2512</v>
      </c>
      <c r="B156" s="21" t="s">
        <v>532</v>
      </c>
      <c r="C156" s="9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362</v>
      </c>
      <c r="K156" s="55" t="str">
        <f t="shared" si="48"/>
        <v/>
      </c>
      <c r="L156" s="55"/>
      <c r="M156" s="55"/>
      <c r="N156" s="56" t="str">
        <f t="shared" si="3"/>
        <v/>
      </c>
      <c r="O156" s="6" t="str">
        <f t="array" ref="O156">IFERROR(_xlfn.XLOOKUP(B156,EMPRESA_1!A:A,EMPRESA_1!K:K),"")</f>
        <v>VEE ONE</v>
      </c>
      <c r="P156" s="9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1" t="s">
        <v>2513</v>
      </c>
      <c r="B157" s="21" t="s">
        <v>1656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1" t="s">
        <v>2514</v>
      </c>
      <c r="B158" s="21" t="s">
        <v>539</v>
      </c>
      <c r="C158" s="9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362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6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1" t="s">
        <v>2515</v>
      </c>
      <c r="B159" s="21" t="s">
        <v>543</v>
      </c>
      <c r="C159" s="9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362</v>
      </c>
      <c r="K159" s="55" t="str">
        <f t="shared" si="49"/>
        <v/>
      </c>
      <c r="L159" s="55"/>
      <c r="M159" s="55"/>
      <c r="N159" s="56" t="str">
        <f t="shared" si="3"/>
        <v/>
      </c>
      <c r="O159" s="6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1" t="s">
        <v>2516</v>
      </c>
      <c r="B160" s="21" t="s">
        <v>542</v>
      </c>
      <c r="C160" s="9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362</v>
      </c>
      <c r="K160" s="55" t="str">
        <f t="shared" si="49"/>
        <v/>
      </c>
      <c r="L160" s="55"/>
      <c r="M160" s="55"/>
      <c r="N160" s="56" t="str">
        <f t="shared" si="3"/>
        <v/>
      </c>
      <c r="O160" s="6" t="str">
        <f t="array" ref="O160">IFERROR(_xlfn.XLOOKUP(B160,EMPRESA_1!A:A,EMPRESA_1!K:K),"")</f>
        <v>V1 PAMA-LS</v>
      </c>
      <c r="P160" s="9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21" t="s">
        <v>2517</v>
      </c>
      <c r="B161" s="21" t="s">
        <v>546</v>
      </c>
      <c r="C161" s="9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359</v>
      </c>
      <c r="K161" s="55" t="str">
        <f t="shared" si="49"/>
        <v/>
      </c>
      <c r="L161" s="55"/>
      <c r="M161" s="55"/>
      <c r="N161" s="56" t="str">
        <f t="shared" si="3"/>
        <v/>
      </c>
      <c r="O161" s="6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1" t="s">
        <v>2518</v>
      </c>
      <c r="B162" s="21" t="s">
        <v>553</v>
      </c>
      <c r="C162" s="9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359</v>
      </c>
      <c r="K162" s="55" t="str">
        <f t="shared" si="49"/>
        <v/>
      </c>
      <c r="L162" s="55"/>
      <c r="M162" s="55"/>
      <c r="N162" s="56" t="str">
        <f t="shared" si="3"/>
        <v/>
      </c>
      <c r="O162" s="6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1" t="s">
        <v>2519</v>
      </c>
      <c r="B163" s="21" t="s">
        <v>554</v>
      </c>
      <c r="C163" s="9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355</v>
      </c>
      <c r="K163" s="55" t="str">
        <f t="shared" si="49"/>
        <v/>
      </c>
      <c r="L163" s="55"/>
      <c r="M163" s="55"/>
      <c r="N163" s="56" t="str">
        <f t="shared" si="3"/>
        <v/>
      </c>
      <c r="O163" s="6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21" t="s">
        <v>2520</v>
      </c>
      <c r="B164" s="21" t="s">
        <v>559</v>
      </c>
      <c r="C164" s="9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355</v>
      </c>
      <c r="K164" s="55" t="str">
        <f t="shared" si="49"/>
        <v/>
      </c>
      <c r="L164" s="55"/>
      <c r="M164" s="55"/>
      <c r="N164" s="56" t="str">
        <f t="shared" si="3"/>
        <v/>
      </c>
      <c r="O164" s="6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21" t="s">
        <v>2521</v>
      </c>
      <c r="B165" s="21" t="s">
        <v>562</v>
      </c>
      <c r="C165" s="9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355</v>
      </c>
      <c r="K165" s="55" t="str">
        <f t="shared" si="49"/>
        <v/>
      </c>
      <c r="L165" s="55"/>
      <c r="M165" s="55"/>
      <c r="N165" s="56" t="str">
        <f t="shared" si="3"/>
        <v/>
      </c>
      <c r="O165" s="6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21" t="s">
        <v>2522</v>
      </c>
      <c r="B166" s="21" t="s">
        <v>567</v>
      </c>
      <c r="C166" s="9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355</v>
      </c>
      <c r="K166" s="55" t="str">
        <f t="shared" si="49"/>
        <v/>
      </c>
      <c r="L166" s="55"/>
      <c r="M166" s="55"/>
      <c r="N166" s="56" t="str">
        <f t="shared" si="3"/>
        <v/>
      </c>
      <c r="O166" s="6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1" t="s">
        <v>2523</v>
      </c>
      <c r="B167" s="21" t="s">
        <v>1221</v>
      </c>
      <c r="C167" s="9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343</v>
      </c>
      <c r="K167" s="55" t="str">
        <f t="shared" si="49"/>
        <v/>
      </c>
      <c r="L167" s="55"/>
      <c r="M167" s="55"/>
      <c r="N167" s="56" t="str">
        <f t="shared" si="3"/>
        <v/>
      </c>
      <c r="O167" s="6" t="str">
        <f t="array" ref="O167">IFERROR(_xlfn.XLOOKUP(B167,EMPRESA_1!A:A,EMPRESA_1!K:K),"")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21" t="s">
        <v>2524</v>
      </c>
      <c r="B168" s="21" t="s">
        <v>1674</v>
      </c>
      <c r="C168" s="9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6" t="str">
        <f t="array" ref="O168">IFERROR(_xlfn.XLOOKUP(B168,EMPRESA_1!A:A,EMPRESA_1!K:K),"")</f>
        <v>VEE ONE</v>
      </c>
      <c r="P168" s="9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1" t="s">
        <v>2525</v>
      </c>
      <c r="B169" s="21" t="s">
        <v>1677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6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1" t="s">
        <v>2526</v>
      </c>
      <c r="B170" s="21" t="s">
        <v>1681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1" t="s">
        <v>2527</v>
      </c>
      <c r="B171" s="21" t="s">
        <v>570</v>
      </c>
      <c r="C171" s="9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336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6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21" t="s">
        <v>2528</v>
      </c>
      <c r="B172" s="21" t="s">
        <v>575</v>
      </c>
      <c r="C172" s="9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336</v>
      </c>
      <c r="K172" s="55" t="str">
        <f t="shared" si="52"/>
        <v/>
      </c>
      <c r="L172" s="55"/>
      <c r="M172" s="55"/>
      <c r="N172" s="56" t="str">
        <f t="shared" si="3"/>
        <v/>
      </c>
      <c r="O172" s="6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1" t="s">
        <v>2529</v>
      </c>
      <c r="B173" s="21" t="s">
        <v>1689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6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1" t="s">
        <v>2530</v>
      </c>
      <c r="B174" s="21" t="s">
        <v>582</v>
      </c>
      <c r="C174" s="9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336</v>
      </c>
      <c r="K174" s="55" t="str">
        <f t="shared" si="52"/>
        <v/>
      </c>
      <c r="L174" s="55"/>
      <c r="M174" s="55"/>
      <c r="N174" s="56" t="str">
        <f t="shared" si="3"/>
        <v/>
      </c>
      <c r="O174" s="6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1" t="s">
        <v>2531</v>
      </c>
      <c r="B175" s="21" t="s">
        <v>1699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1" t="s">
        <v>2532</v>
      </c>
      <c r="B176" s="21" t="s">
        <v>1703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1" t="s">
        <v>2533</v>
      </c>
      <c r="B177" s="21" t="s">
        <v>1697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6" t="str">
        <f t="array" ref="O177">IFERROR(_xlfn.XLOOKUP(B177,EMPRESA_1!A:A,EMPRESA_1!K:K),"")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1" t="s">
        <v>2534</v>
      </c>
      <c r="B178" s="21" t="s">
        <v>590</v>
      </c>
      <c r="C178" s="9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336</v>
      </c>
      <c r="K178" s="55" t="str">
        <f t="shared" si="55"/>
        <v/>
      </c>
      <c r="L178" s="55"/>
      <c r="M178" s="55"/>
      <c r="N178" s="56" t="str">
        <f t="shared" si="3"/>
        <v/>
      </c>
      <c r="O178" s="6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1" t="s">
        <v>2535</v>
      </c>
      <c r="B179" s="21" t="s">
        <v>587</v>
      </c>
      <c r="C179" s="9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336</v>
      </c>
      <c r="K179" s="55" t="str">
        <f t="shared" si="55"/>
        <v/>
      </c>
      <c r="L179" s="55"/>
      <c r="M179" s="55"/>
      <c r="N179" s="56" t="str">
        <f t="shared" si="3"/>
        <v/>
      </c>
      <c r="O179" s="6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21" t="s">
        <v>2536</v>
      </c>
      <c r="B180" s="21" t="s">
        <v>584</v>
      </c>
      <c r="C180" s="9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336</v>
      </c>
      <c r="K180" s="55" t="str">
        <f t="shared" si="55"/>
        <v/>
      </c>
      <c r="L180" s="55"/>
      <c r="M180" s="55"/>
      <c r="N180" s="56" t="str">
        <f t="shared" si="3"/>
        <v/>
      </c>
      <c r="O180" s="6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1" t="s">
        <v>2537</v>
      </c>
      <c r="B181" s="21" t="s">
        <v>598</v>
      </c>
      <c r="C181" s="9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316</v>
      </c>
      <c r="K181" s="55" t="str">
        <f t="shared" si="55"/>
        <v/>
      </c>
      <c r="L181" s="55"/>
      <c r="M181" s="55"/>
      <c r="N181" s="56" t="str">
        <f t="shared" si="3"/>
        <v/>
      </c>
      <c r="O181" s="6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1" t="s">
        <v>2538</v>
      </c>
      <c r="B182" s="21" t="s">
        <v>1716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1" t="s">
        <v>2539</v>
      </c>
      <c r="B183" s="21" t="s">
        <v>604</v>
      </c>
      <c r="C183" s="9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316</v>
      </c>
      <c r="K183" s="55" t="str">
        <f>IF(N183="","",N183-G183)</f>
        <v/>
      </c>
      <c r="L183" s="55"/>
      <c r="M183" s="55"/>
      <c r="N183" s="56" t="str">
        <f t="shared" si="3"/>
        <v/>
      </c>
      <c r="O183" s="6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1" t="s">
        <v>2540</v>
      </c>
      <c r="B184" s="21" t="s">
        <v>1723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1" t="s">
        <v>2541</v>
      </c>
      <c r="B185" s="21" t="s">
        <v>1725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1" t="s">
        <v>1784</v>
      </c>
      <c r="B186" s="21" t="s">
        <v>595</v>
      </c>
      <c r="C186" s="9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316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6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1" t="s">
        <v>2542</v>
      </c>
      <c r="B187" s="21" t="s">
        <v>609</v>
      </c>
      <c r="C187" s="9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314</v>
      </c>
      <c r="K187" s="55" t="str">
        <f t="shared" si="58"/>
        <v/>
      </c>
      <c r="L187" s="55"/>
      <c r="M187" s="55"/>
      <c r="N187" s="56" t="str">
        <f t="shared" si="3"/>
        <v/>
      </c>
      <c r="O187" s="6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1" t="s">
        <v>2543</v>
      </c>
      <c r="B188" s="21" t="s">
        <v>617</v>
      </c>
      <c r="C188" s="9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314</v>
      </c>
      <c r="K188" s="55" t="str">
        <f t="shared" si="58"/>
        <v/>
      </c>
      <c r="L188" s="55"/>
      <c r="M188" s="55"/>
      <c r="N188" s="56" t="str">
        <f t="shared" si="3"/>
        <v/>
      </c>
      <c r="O188" s="6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1" t="s">
        <v>2544</v>
      </c>
      <c r="B189" s="21" t="s">
        <v>620</v>
      </c>
      <c r="C189" s="9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314</v>
      </c>
      <c r="K189" s="55" t="str">
        <f t="shared" si="58"/>
        <v/>
      </c>
      <c r="L189" s="55"/>
      <c r="M189" s="55"/>
      <c r="N189" s="56" t="str">
        <f t="shared" si="3"/>
        <v/>
      </c>
      <c r="O189" s="6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21" t="s">
        <v>2545</v>
      </c>
      <c r="B190" s="21" t="s">
        <v>613</v>
      </c>
      <c r="C190" s="9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314</v>
      </c>
      <c r="K190" s="55" t="str">
        <f t="shared" si="58"/>
        <v/>
      </c>
      <c r="L190" s="55"/>
      <c r="M190" s="55"/>
      <c r="N190" s="56" t="str">
        <f t="shared" si="3"/>
        <v/>
      </c>
      <c r="O190" s="6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1" t="s">
        <v>2546</v>
      </c>
      <c r="B191" s="21" t="s">
        <v>624</v>
      </c>
      <c r="C191" s="9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307</v>
      </c>
      <c r="K191" s="55" t="str">
        <f t="shared" si="58"/>
        <v/>
      </c>
      <c r="L191" s="55"/>
      <c r="M191" s="55"/>
      <c r="N191" s="56" t="str">
        <f t="shared" si="3"/>
        <v/>
      </c>
      <c r="O191" s="6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21" t="s">
        <v>2547</v>
      </c>
      <c r="B192" s="21" t="s">
        <v>632</v>
      </c>
      <c r="C192" s="9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288</v>
      </c>
      <c r="K192" s="55" t="str">
        <f t="shared" si="58"/>
        <v/>
      </c>
      <c r="L192" s="55"/>
      <c r="M192" s="55"/>
      <c r="N192" s="56" t="str">
        <f t="shared" si="3"/>
        <v/>
      </c>
      <c r="O192" s="6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1" t="s">
        <v>2548</v>
      </c>
      <c r="B193" s="21" t="s">
        <v>629</v>
      </c>
      <c r="C193" s="9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288</v>
      </c>
      <c r="K193" s="55" t="str">
        <f t="shared" si="58"/>
        <v/>
      </c>
      <c r="L193" s="55"/>
      <c r="M193" s="55"/>
      <c r="N193" s="56" t="str">
        <f t="shared" si="3"/>
        <v/>
      </c>
      <c r="O193" s="6" t="str">
        <f t="array" ref="O193">IFERROR(_xlfn.XLOOKUP(B193,EMPRESA_1!A:A,EMPRESA_1!K:K),"")</f>
        <v>V1 PAMA-LS</v>
      </c>
      <c r="P193" s="9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21" t="s">
        <v>2549</v>
      </c>
      <c r="B194" s="21" t="s">
        <v>636</v>
      </c>
      <c r="C194" s="9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286</v>
      </c>
      <c r="K194" s="55" t="str">
        <f t="shared" si="58"/>
        <v/>
      </c>
      <c r="L194" s="55"/>
      <c r="M194" s="55"/>
      <c r="N194" s="56" t="str">
        <f t="shared" si="3"/>
        <v/>
      </c>
      <c r="O194" s="6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1" t="s">
        <v>2550</v>
      </c>
      <c r="B195" s="21" t="s">
        <v>639</v>
      </c>
      <c r="C195" s="9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285</v>
      </c>
      <c r="K195" s="55" t="str">
        <f t="shared" si="58"/>
        <v/>
      </c>
      <c r="L195" s="55"/>
      <c r="M195" s="55"/>
      <c r="N195" s="56" t="str">
        <f t="shared" si="3"/>
        <v/>
      </c>
      <c r="O195" s="6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1" t="s">
        <v>2551</v>
      </c>
      <c r="B196" s="21" t="s">
        <v>645</v>
      </c>
      <c r="C196" s="9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285</v>
      </c>
      <c r="K196" s="55" t="str">
        <f t="shared" si="58"/>
        <v/>
      </c>
      <c r="L196" s="55"/>
      <c r="M196" s="55"/>
      <c r="N196" s="56" t="str">
        <f t="shared" si="3"/>
        <v/>
      </c>
      <c r="O196" s="6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1" t="s">
        <v>2552</v>
      </c>
      <c r="B197" s="21" t="s">
        <v>1761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1" t="s">
        <v>2553</v>
      </c>
      <c r="B198" s="21" t="s">
        <v>648</v>
      </c>
      <c r="C198" s="9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282</v>
      </c>
      <c r="K198" s="55" t="str">
        <f>IF(N198="","",N198-G198)</f>
        <v/>
      </c>
      <c r="L198" s="55"/>
      <c r="M198" s="55"/>
      <c r="N198" s="56" t="str">
        <f t="shared" si="3"/>
        <v/>
      </c>
      <c r="O198" s="6" t="str">
        <f t="array" ref="O198">IFERROR(_xlfn.XLOOKUP(B198,EMPRESA_1!A:A,EMPRESA_1!K:K),"")</f>
        <v>V1 PAMA-LS</v>
      </c>
      <c r="P198" s="9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1" t="s">
        <v>2554</v>
      </c>
      <c r="B199" s="21" t="s">
        <v>1769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1" t="s">
        <v>2555</v>
      </c>
      <c r="B200" s="21" t="s">
        <v>1773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1" t="s">
        <v>1498</v>
      </c>
      <c r="B201" s="21" t="s">
        <v>1777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1" t="s">
        <v>2556</v>
      </c>
      <c r="B202" s="21" t="s">
        <v>656</v>
      </c>
      <c r="C202" s="9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274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6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1" t="s">
        <v>2557</v>
      </c>
      <c r="B203" s="21" t="s">
        <v>669</v>
      </c>
      <c r="C203" s="9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267</v>
      </c>
      <c r="K203" s="55" t="str">
        <f t="shared" si="61"/>
        <v/>
      </c>
      <c r="L203" s="55"/>
      <c r="M203" s="55"/>
      <c r="N203" s="56" t="str">
        <f t="shared" si="3"/>
        <v/>
      </c>
      <c r="O203" s="6" t="str">
        <f t="array" ref="O203">IFERROR(_xlfn.XLOOKUP(B203,EMPRESA_1!A:A,EMPRESA_1!K:K),"")</f>
        <v>V1 PAMA-LS</v>
      </c>
      <c r="P203" s="9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1" t="s">
        <v>2558</v>
      </c>
      <c r="B204" s="21" t="s">
        <v>665</v>
      </c>
      <c r="C204" s="9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267</v>
      </c>
      <c r="K204" s="55" t="str">
        <f t="shared" si="61"/>
        <v/>
      </c>
      <c r="L204" s="55"/>
      <c r="M204" s="55"/>
      <c r="N204" s="56" t="str">
        <f t="shared" si="3"/>
        <v/>
      </c>
      <c r="O204" s="6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1" t="s">
        <v>2559</v>
      </c>
      <c r="B205" s="21" t="s">
        <v>660</v>
      </c>
      <c r="C205" s="9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267</v>
      </c>
      <c r="K205" s="55" t="str">
        <f t="shared" si="61"/>
        <v/>
      </c>
      <c r="L205" s="55"/>
      <c r="M205" s="55"/>
      <c r="N205" s="56" t="str">
        <f t="shared" si="3"/>
        <v/>
      </c>
      <c r="O205" s="6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1" t="s">
        <v>2560</v>
      </c>
      <c r="B206" s="21" t="s">
        <v>672</v>
      </c>
      <c r="C206" s="9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267</v>
      </c>
      <c r="K206" s="55" t="str">
        <f t="shared" si="61"/>
        <v/>
      </c>
      <c r="L206" s="55"/>
      <c r="M206" s="55"/>
      <c r="N206" s="56" t="str">
        <f t="shared" si="3"/>
        <v/>
      </c>
      <c r="O206" s="6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1" t="s">
        <v>2561</v>
      </c>
      <c r="B207" s="21" t="s">
        <v>682</v>
      </c>
      <c r="C207" s="9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267</v>
      </c>
      <c r="K207" s="55" t="str">
        <f t="shared" si="61"/>
        <v/>
      </c>
      <c r="L207" s="55"/>
      <c r="M207" s="55"/>
      <c r="N207" s="56" t="str">
        <f t="shared" si="3"/>
        <v/>
      </c>
      <c r="O207" s="6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1" t="s">
        <v>2562</v>
      </c>
      <c r="B208" s="21" t="s">
        <v>676</v>
      </c>
      <c r="C208" s="9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267</v>
      </c>
      <c r="K208" s="55" t="str">
        <f t="shared" si="61"/>
        <v/>
      </c>
      <c r="L208" s="55"/>
      <c r="M208" s="55"/>
      <c r="N208" s="56" t="str">
        <f t="shared" si="3"/>
        <v/>
      </c>
      <c r="O208" s="6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1" t="s">
        <v>2563</v>
      </c>
      <c r="B209" s="21" t="s">
        <v>1793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1" t="s">
        <v>2564</v>
      </c>
      <c r="B210" s="21" t="s">
        <v>683</v>
      </c>
      <c r="C210" s="9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267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6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21" t="s">
        <v>2565</v>
      </c>
      <c r="B211" s="21" t="s">
        <v>689</v>
      </c>
      <c r="C211" s="9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267</v>
      </c>
      <c r="K211" s="55" t="str">
        <f t="shared" si="62"/>
        <v/>
      </c>
      <c r="L211" s="55"/>
      <c r="M211" s="55"/>
      <c r="N211" s="56" t="str">
        <f t="shared" si="3"/>
        <v/>
      </c>
      <c r="O211" s="6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21" t="s">
        <v>2566</v>
      </c>
      <c r="B212" s="21" t="s">
        <v>693</v>
      </c>
      <c r="C212" s="9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253</v>
      </c>
      <c r="K212" s="55" t="str">
        <f t="shared" si="62"/>
        <v/>
      </c>
      <c r="L212" s="55"/>
      <c r="M212" s="55"/>
      <c r="N212" s="56" t="str">
        <f t="shared" si="3"/>
        <v/>
      </c>
      <c r="O212" s="6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1" t="s">
        <v>2567</v>
      </c>
      <c r="B213" s="21" t="s">
        <v>696</v>
      </c>
      <c r="C213" s="9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253</v>
      </c>
      <c r="K213" s="55" t="str">
        <f t="shared" si="62"/>
        <v/>
      </c>
      <c r="L213" s="55"/>
      <c r="M213" s="55"/>
      <c r="N213" s="56" t="str">
        <f t="shared" si="3"/>
        <v/>
      </c>
      <c r="O213" s="6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1" t="s">
        <v>2568</v>
      </c>
      <c r="B214" s="21" t="s">
        <v>1808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1" t="s">
        <v>2569</v>
      </c>
      <c r="B215" s="21" t="s">
        <v>1810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1" t="s">
        <v>2570</v>
      </c>
      <c r="B216" s="21" t="s">
        <v>705</v>
      </c>
      <c r="C216" s="9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246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6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21" t="s">
        <v>2571</v>
      </c>
      <c r="B217" s="21" t="s">
        <v>708</v>
      </c>
      <c r="C217" s="9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246</v>
      </c>
      <c r="K217" s="55" t="str">
        <f t="shared" si="65"/>
        <v/>
      </c>
      <c r="L217" s="55"/>
      <c r="M217" s="55"/>
      <c r="N217" s="56" t="str">
        <f t="shared" si="3"/>
        <v/>
      </c>
      <c r="O217" s="6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1" t="s">
        <v>2572</v>
      </c>
      <c r="B218" s="21" t="s">
        <v>700</v>
      </c>
      <c r="C218" s="9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246</v>
      </c>
      <c r="K218" s="55" t="str">
        <f t="shared" si="65"/>
        <v/>
      </c>
      <c r="L218" s="55"/>
      <c r="M218" s="55"/>
      <c r="N218" s="56" t="str">
        <f t="shared" si="3"/>
        <v/>
      </c>
      <c r="O218" s="6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1" t="s">
        <v>2573</v>
      </c>
      <c r="B219" s="21" t="s">
        <v>1817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1" t="s">
        <v>2574</v>
      </c>
      <c r="B220" s="21" t="s">
        <v>716</v>
      </c>
      <c r="C220" s="9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243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6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1" t="s">
        <v>2575</v>
      </c>
      <c r="B221" s="21" t="s">
        <v>712</v>
      </c>
      <c r="C221" s="9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243</v>
      </c>
      <c r="K221" s="55" t="str">
        <f t="shared" si="66"/>
        <v/>
      </c>
      <c r="L221" s="55"/>
      <c r="M221" s="55"/>
      <c r="N221" s="56" t="str">
        <f t="shared" si="3"/>
        <v/>
      </c>
      <c r="O221" s="6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21" t="s">
        <v>2576</v>
      </c>
      <c r="B222" s="21" t="s">
        <v>725</v>
      </c>
      <c r="C222" s="9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243</v>
      </c>
      <c r="K222" s="55" t="str">
        <f t="shared" si="66"/>
        <v/>
      </c>
      <c r="L222" s="55"/>
      <c r="M222" s="55"/>
      <c r="N222" s="56" t="str">
        <f t="shared" si="3"/>
        <v/>
      </c>
      <c r="O222" s="6" t="str">
        <f t="array" ref="O222">IFERROR(_xlfn.XLOOKUP(B222,EMPRESA_1!A:A,EMPRESA_1!K:K),"")</f>
        <v>V1 PAMA-LS</v>
      </c>
      <c r="P222" s="9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1" t="s">
        <v>2577</v>
      </c>
      <c r="B223" s="21" t="s">
        <v>718</v>
      </c>
      <c r="C223" s="9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243</v>
      </c>
      <c r="K223" s="55" t="str">
        <f t="shared" si="66"/>
        <v/>
      </c>
      <c r="L223" s="55"/>
      <c r="M223" s="55"/>
      <c r="N223" s="56" t="str">
        <f t="shared" si="3"/>
        <v/>
      </c>
      <c r="O223" s="6" t="str">
        <f t="array" ref="O223">IFERROR(_xlfn.XLOOKUP(B223,EMPRESA_1!A:A,EMPRESA_1!K:K),"")</f>
        <v>V1 PAMA-LS</v>
      </c>
      <c r="P223" s="9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1" t="s">
        <v>2578</v>
      </c>
      <c r="B224" s="21" t="s">
        <v>1744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6" t="str">
        <f t="array" ref="O224">IFERROR(_xlfn.XLOOKUP(B224,EMPRESA_1!A:A,EMPRESA_1!K:K),"")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1" t="s">
        <v>2579</v>
      </c>
      <c r="B225" s="21" t="s">
        <v>728</v>
      </c>
      <c r="C225" s="9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225</v>
      </c>
      <c r="K225" s="55" t="str">
        <f t="shared" si="66"/>
        <v/>
      </c>
      <c r="L225" s="55"/>
      <c r="M225" s="55"/>
      <c r="N225" s="56" t="str">
        <f t="shared" si="3"/>
        <v/>
      </c>
      <c r="O225" s="6" t="str">
        <f t="array" ref="O225">IFERROR(_xlfn.XLOOKUP(B225,EMPRESA_1!A:A,EMPRESA_1!K:K),"")</f>
        <v>VEE ONE</v>
      </c>
      <c r="P225" s="9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1" t="s">
        <v>2580</v>
      </c>
      <c r="B226" s="21" t="s">
        <v>732</v>
      </c>
      <c r="C226" s="9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225</v>
      </c>
      <c r="K226" s="55" t="str">
        <f t="shared" si="66"/>
        <v/>
      </c>
      <c r="L226" s="55"/>
      <c r="M226" s="55"/>
      <c r="N226" s="56" t="str">
        <f t="shared" si="3"/>
        <v/>
      </c>
      <c r="O226" s="6" t="str">
        <f t="array" ref="O226">IFERROR(_xlfn.XLOOKUP(B226,EMPRESA_1!A:A,EMPRESA_1!K:K),"")</f>
        <v>VEE ONE</v>
      </c>
      <c r="P226" s="9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1" t="s">
        <v>2581</v>
      </c>
      <c r="B227" s="21" t="s">
        <v>739</v>
      </c>
      <c r="C227" s="9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225</v>
      </c>
      <c r="K227" s="55" t="str">
        <f t="shared" si="66"/>
        <v/>
      </c>
      <c r="L227" s="55"/>
      <c r="M227" s="55"/>
      <c r="N227" s="56" t="str">
        <f t="shared" si="3"/>
        <v/>
      </c>
      <c r="O227" s="6" t="str">
        <f t="array" ref="O227">IFERROR(_xlfn.XLOOKUP(B227,EMPRESA_1!A:A,EMPRESA_1!K:K),"")</f>
        <v>VEE ONE</v>
      </c>
      <c r="P227" s="9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1" t="s">
        <v>2582</v>
      </c>
      <c r="B228" s="21" t="s">
        <v>735</v>
      </c>
      <c r="C228" s="9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225</v>
      </c>
      <c r="K228" s="55" t="str">
        <f t="shared" si="66"/>
        <v/>
      </c>
      <c r="L228" s="55"/>
      <c r="M228" s="55"/>
      <c r="N228" s="56" t="str">
        <f t="shared" si="3"/>
        <v/>
      </c>
      <c r="O228" s="6" t="str">
        <f t="array" ref="O228">IFERROR(_xlfn.XLOOKUP(B228,EMPRESA_1!A:A,EMPRESA_1!K:K),"")</f>
        <v>VEE ONE</v>
      </c>
      <c r="P228" s="9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1" t="s">
        <v>2583</v>
      </c>
      <c r="B229" s="21" t="s">
        <v>747</v>
      </c>
      <c r="C229" s="9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225</v>
      </c>
      <c r="K229" s="55" t="str">
        <f t="shared" si="66"/>
        <v/>
      </c>
      <c r="L229" s="55"/>
      <c r="M229" s="55"/>
      <c r="N229" s="56" t="str">
        <f t="shared" si="3"/>
        <v/>
      </c>
      <c r="O229" s="6" t="str">
        <f t="array" ref="O229">IFERROR(_xlfn.XLOOKUP(B229,EMPRESA_1!A:A,EMPRESA_1!K:K),"")</f>
        <v>VEE ONE</v>
      </c>
      <c r="P229" s="9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1" t="s">
        <v>2584</v>
      </c>
      <c r="B230" s="21" t="s">
        <v>745</v>
      </c>
      <c r="C230" s="9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225</v>
      </c>
      <c r="K230" s="55" t="str">
        <f t="shared" si="66"/>
        <v/>
      </c>
      <c r="L230" s="55"/>
      <c r="M230" s="55"/>
      <c r="N230" s="56" t="str">
        <f t="shared" si="3"/>
        <v/>
      </c>
      <c r="O230" s="6" t="str">
        <f t="array" ref="O230">IFERROR(_xlfn.XLOOKUP(B230,EMPRESA_1!A:A,EMPRESA_1!K:K),"")</f>
        <v>VEE ONE</v>
      </c>
      <c r="P230" s="9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1" t="s">
        <v>2585</v>
      </c>
      <c r="B231" s="21" t="s">
        <v>742</v>
      </c>
      <c r="C231" s="9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225</v>
      </c>
      <c r="K231" s="55" t="str">
        <f t="shared" si="66"/>
        <v/>
      </c>
      <c r="L231" s="55"/>
      <c r="M231" s="55"/>
      <c r="N231" s="56" t="str">
        <f t="shared" si="3"/>
        <v/>
      </c>
      <c r="O231" s="6" t="str">
        <f t="array" ref="O231">IFERROR(_xlfn.XLOOKUP(B231,EMPRESA_1!A:A,EMPRESA_1!K:K),"")</f>
        <v>VEE ONE</v>
      </c>
      <c r="P231" s="9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1" t="s">
        <v>2586</v>
      </c>
      <c r="B232" s="21" t="s">
        <v>1736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6" t="str">
        <f t="array" ref="O232">IFERROR(_xlfn.XLOOKUP(B232,EMPRESA_1!A:A,EMPRESA_1!K:K),"")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1" t="s">
        <v>2587</v>
      </c>
      <c r="B233" s="21" t="s">
        <v>750</v>
      </c>
      <c r="C233" s="9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225</v>
      </c>
      <c r="K233" s="55" t="str">
        <f t="shared" si="66"/>
        <v/>
      </c>
      <c r="L233" s="55"/>
      <c r="M233" s="55"/>
      <c r="N233" s="56" t="str">
        <f t="shared" si="3"/>
        <v/>
      </c>
      <c r="O233" s="6" t="str">
        <f t="array" ref="O233">IFERROR(_xlfn.XLOOKUP(B233,EMPRESA_1!A:A,EMPRESA_1!K:K),"")</f>
        <v>WILLIAM</v>
      </c>
      <c r="P233" s="9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21" t="s">
        <v>2588</v>
      </c>
      <c r="B234" s="21" t="s">
        <v>763</v>
      </c>
      <c r="C234" s="9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225</v>
      </c>
      <c r="K234" s="55" t="str">
        <f t="shared" si="66"/>
        <v/>
      </c>
      <c r="L234" s="55"/>
      <c r="M234" s="55"/>
      <c r="N234" s="56" t="str">
        <f t="shared" si="3"/>
        <v/>
      </c>
      <c r="O234" s="6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1" t="s">
        <v>2589</v>
      </c>
      <c r="B235" s="21" t="s">
        <v>1836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1" t="s">
        <v>2590</v>
      </c>
      <c r="B236" s="21" t="s">
        <v>1838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1" t="s">
        <v>2591</v>
      </c>
      <c r="B237" s="21" t="s">
        <v>759</v>
      </c>
      <c r="C237" s="9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225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6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21" t="s">
        <v>2592</v>
      </c>
      <c r="B238" s="21" t="s">
        <v>755</v>
      </c>
      <c r="C238" s="9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225</v>
      </c>
      <c r="K238" s="55" t="str">
        <f t="shared" si="69"/>
        <v/>
      </c>
      <c r="L238" s="55"/>
      <c r="M238" s="55"/>
      <c r="N238" s="56" t="str">
        <f t="shared" si="3"/>
        <v/>
      </c>
      <c r="O238" s="6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21" t="s">
        <v>2593</v>
      </c>
      <c r="B239" s="21" t="s">
        <v>770</v>
      </c>
      <c r="C239" s="9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225</v>
      </c>
      <c r="K239" s="55" t="str">
        <f t="shared" si="69"/>
        <v/>
      </c>
      <c r="L239" s="55"/>
      <c r="M239" s="55"/>
      <c r="N239" s="56" t="str">
        <f t="shared" si="3"/>
        <v/>
      </c>
      <c r="O239" s="6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1" t="s">
        <v>2594</v>
      </c>
      <c r="B240" s="21" t="s">
        <v>765</v>
      </c>
      <c r="C240" s="9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225</v>
      </c>
      <c r="K240" s="55" t="str">
        <f t="shared" si="69"/>
        <v/>
      </c>
      <c r="L240" s="55"/>
      <c r="M240" s="55"/>
      <c r="N240" s="56" t="str">
        <f t="shared" si="3"/>
        <v/>
      </c>
      <c r="O240" s="6" t="str">
        <f t="array" ref="O240">IFERROR(_xlfn.XLOOKUP(B240,EMPRESA_1!A:A,EMPRESA_1!K:K),"")</f>
        <v>VEE ONE</v>
      </c>
      <c r="P240" s="9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/>
      </c>
    </row>
    <row r="241" hidden="1">
      <c r="A241" s="21" t="s">
        <v>2595</v>
      </c>
      <c r="B241" s="21" t="s">
        <v>1913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1" t="s">
        <v>2596</v>
      </c>
      <c r="B242" s="21" t="s">
        <v>776</v>
      </c>
      <c r="C242" s="9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217</v>
      </c>
      <c r="K242" s="55" t="str">
        <f>IF(N242="","",N242-G242)</f>
        <v/>
      </c>
      <c r="L242" s="55"/>
      <c r="M242" s="55"/>
      <c r="N242" s="56" t="str">
        <f t="shared" si="3"/>
        <v/>
      </c>
      <c r="O242" s="6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1" t="s">
        <v>2597</v>
      </c>
      <c r="B243" s="21" t="s">
        <v>1852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1" t="s">
        <v>2598</v>
      </c>
      <c r="B244" s="21" t="s">
        <v>1854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1" t="s">
        <v>2599</v>
      </c>
      <c r="B245" s="21" t="s">
        <v>783</v>
      </c>
      <c r="C245" s="9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217</v>
      </c>
      <c r="K245" s="55" t="str">
        <f>IF(N245="","",N245-G245)</f>
        <v/>
      </c>
      <c r="L245" s="55"/>
      <c r="M245" s="55"/>
      <c r="N245" s="56" t="str">
        <f t="shared" si="3"/>
        <v/>
      </c>
      <c r="O245" s="6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1" t="s">
        <v>2600</v>
      </c>
      <c r="B246" s="21" t="s">
        <v>1536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1" t="s">
        <v>2601</v>
      </c>
      <c r="B247" s="21" t="s">
        <v>787</v>
      </c>
      <c r="C247" s="9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205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6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1" t="s">
        <v>2602</v>
      </c>
      <c r="B248" s="21" t="s">
        <v>791</v>
      </c>
      <c r="C248" s="9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205</v>
      </c>
      <c r="K248" s="55" t="str">
        <f t="shared" si="72"/>
        <v/>
      </c>
      <c r="L248" s="55"/>
      <c r="M248" s="55"/>
      <c r="N248" s="56" t="str">
        <f t="shared" si="3"/>
        <v/>
      </c>
      <c r="O248" s="6" t="str">
        <f t="array" ref="O248">IFERROR(_xlfn.XLOOKUP(B248,EMPRESA_1!A:A,EMPRESA_1!K:K),"")</f>
        <v>V1 PAMA-LS</v>
      </c>
      <c r="P248" s="9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1" t="s">
        <v>2603</v>
      </c>
      <c r="B249" s="21" t="s">
        <v>797</v>
      </c>
      <c r="C249" s="9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203</v>
      </c>
      <c r="K249" s="55" t="str">
        <f t="shared" si="72"/>
        <v/>
      </c>
      <c r="L249" s="55"/>
      <c r="M249" s="55"/>
      <c r="N249" s="56" t="str">
        <f t="shared" si="3"/>
        <v/>
      </c>
      <c r="O249" s="6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1" t="s">
        <v>2604</v>
      </c>
      <c r="B250" s="21" t="s">
        <v>1861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1" t="s">
        <v>2605</v>
      </c>
      <c r="B251" s="21" t="s">
        <v>1863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1" t="s">
        <v>2606</v>
      </c>
      <c r="B252" s="21" t="s">
        <v>793</v>
      </c>
      <c r="C252" s="9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203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6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1" t="s">
        <v>2607</v>
      </c>
      <c r="B253" s="21" t="s">
        <v>801</v>
      </c>
      <c r="C253" s="9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190</v>
      </c>
      <c r="K253" s="55" t="str">
        <f t="shared" si="75"/>
        <v/>
      </c>
      <c r="L253" s="55"/>
      <c r="M253" s="55"/>
      <c r="N253" s="56" t="str">
        <f t="shared" si="3"/>
        <v/>
      </c>
      <c r="O253" s="6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1" t="s">
        <v>2608</v>
      </c>
      <c r="B254" s="21" t="s">
        <v>1868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1" t="s">
        <v>2609</v>
      </c>
      <c r="B255" s="21" t="s">
        <v>1871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1" t="s">
        <v>2610</v>
      </c>
      <c r="B256" s="21" t="s">
        <v>811</v>
      </c>
      <c r="C256" s="9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190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6" t="str">
        <f t="array" ref="O256">IFERROR(_xlfn.XLOOKUP(B256,EMPRESA_1!A:A,EMPRESA_1!K:K),"")</f>
        <v>WILLIAM</v>
      </c>
      <c r="P256" s="9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1" t="s">
        <v>2611</v>
      </c>
      <c r="B257" s="21" t="s">
        <v>817</v>
      </c>
      <c r="C257" s="9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190</v>
      </c>
      <c r="K257" s="55" t="str">
        <f t="shared" si="78"/>
        <v/>
      </c>
      <c r="L257" s="55"/>
      <c r="M257" s="55"/>
      <c r="N257" s="56" t="str">
        <f t="shared" si="3"/>
        <v/>
      </c>
      <c r="O257" s="6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1" t="s">
        <v>2612</v>
      </c>
      <c r="B258" s="21" t="s">
        <v>805</v>
      </c>
      <c r="C258" s="9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190</v>
      </c>
      <c r="K258" s="55" t="str">
        <f t="shared" si="78"/>
        <v/>
      </c>
      <c r="L258" s="55"/>
      <c r="M258" s="55"/>
      <c r="N258" s="56" t="str">
        <f t="shared" si="3"/>
        <v/>
      </c>
      <c r="O258" s="6" t="str">
        <f t="array" ref="O258">IFERROR(_xlfn.XLOOKUP(B258,EMPRESA_1!A:A,EMPRESA_1!K:K),"")</f>
        <v>V1 PAMA-LS</v>
      </c>
      <c r="P258" s="9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1" t="s">
        <v>2613</v>
      </c>
      <c r="B259" s="21" t="s">
        <v>822</v>
      </c>
      <c r="C259" s="9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190</v>
      </c>
      <c r="K259" s="55" t="str">
        <f t="shared" si="78"/>
        <v/>
      </c>
      <c r="L259" s="55"/>
      <c r="M259" s="55"/>
      <c r="N259" s="56" t="str">
        <f t="shared" si="3"/>
        <v/>
      </c>
      <c r="O259" s="6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1" t="s">
        <v>2614</v>
      </c>
      <c r="B260" s="21" t="s">
        <v>1876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1" t="s">
        <v>2615</v>
      </c>
      <c r="B261" s="21" t="s">
        <v>1879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1" t="s">
        <v>2616</v>
      </c>
      <c r="B262" s="21" t="s">
        <v>829</v>
      </c>
      <c r="C262" s="9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190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6" t="str">
        <f t="array" ref="O262">IFERROR(_xlfn.XLOOKUP(B262,EMPRESA_1!A:A,EMPRESA_1!K:K),"")</f>
        <v>V1 PAMA-LS</v>
      </c>
      <c r="P262" s="9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1" t="s">
        <v>2617</v>
      </c>
      <c r="B263" s="21" t="s">
        <v>836</v>
      </c>
      <c r="C263" s="9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190</v>
      </c>
      <c r="K263" s="55" t="str">
        <f t="shared" si="81"/>
        <v/>
      </c>
      <c r="L263" s="55"/>
      <c r="M263" s="55"/>
      <c r="N263" s="56" t="str">
        <f t="shared" si="3"/>
        <v/>
      </c>
      <c r="O263" s="6" t="str">
        <f t="array" ref="O263">IFERROR(_xlfn.XLOOKUP(B263,EMPRESA_1!A:A,EMPRESA_1!K:K),"")</f>
        <v>V1 PAMA-LS</v>
      </c>
      <c r="P263" s="9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1" t="s">
        <v>2618</v>
      </c>
      <c r="B264" s="21" t="s">
        <v>833</v>
      </c>
      <c r="C264" s="9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190</v>
      </c>
      <c r="K264" s="55" t="str">
        <f t="shared" si="81"/>
        <v/>
      </c>
      <c r="L264" s="55"/>
      <c r="M264" s="55"/>
      <c r="N264" s="56" t="str">
        <f t="shared" si="3"/>
        <v/>
      </c>
      <c r="O264" s="6" t="str">
        <f t="array" ref="O264">IFERROR(_xlfn.XLOOKUP(B264,EMPRESA_1!A:A,EMPRESA_1!K:K),"")</f>
        <v>WILLIAM</v>
      </c>
      <c r="P264" s="9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1" t="s">
        <v>2619</v>
      </c>
      <c r="B265" s="21" t="s">
        <v>831</v>
      </c>
      <c r="C265" s="9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190</v>
      </c>
      <c r="K265" s="55" t="str">
        <f t="shared" si="81"/>
        <v/>
      </c>
      <c r="L265" s="55"/>
      <c r="M265" s="55"/>
      <c r="N265" s="56" t="str">
        <f t="shared" si="3"/>
        <v/>
      </c>
      <c r="O265" s="6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1" t="s">
        <v>2620</v>
      </c>
      <c r="B266" s="21" t="s">
        <v>1884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1" t="s">
        <v>2621</v>
      </c>
      <c r="B267" s="21" t="s">
        <v>835</v>
      </c>
      <c r="C267" s="9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190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6" t="str">
        <f t="array" ref="O267">IFERROR(_xlfn.XLOOKUP(B267,EMPRESA_1!A:A,EMPRESA_1!K:K),"")</f>
        <v>WILLIAM</v>
      </c>
      <c r="P267" s="9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1" t="s">
        <v>2622</v>
      </c>
      <c r="B268" s="21" t="s">
        <v>838</v>
      </c>
      <c r="C268" s="9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190</v>
      </c>
      <c r="K268" s="55" t="str">
        <f t="shared" si="82"/>
        <v/>
      </c>
      <c r="L268" s="55"/>
      <c r="M268" s="55"/>
      <c r="N268" s="56" t="str">
        <f t="shared" si="3"/>
        <v/>
      </c>
      <c r="O268" s="6" t="str">
        <f t="array" ref="O268">IFERROR(_xlfn.XLOOKUP(B268,EMPRESA_1!A:A,EMPRESA_1!K:K),"")</f>
        <v>WILLIAM</v>
      </c>
      <c r="P268" s="9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1" t="s">
        <v>2623</v>
      </c>
      <c r="B269" s="21" t="s">
        <v>843</v>
      </c>
      <c r="C269" s="9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190</v>
      </c>
      <c r="K269" s="55" t="str">
        <f t="shared" si="82"/>
        <v/>
      </c>
      <c r="L269" s="55"/>
      <c r="M269" s="55"/>
      <c r="N269" s="56" t="str">
        <f t="shared" si="3"/>
        <v/>
      </c>
      <c r="O269" s="6" t="str">
        <f t="array" ref="O269">IFERROR(_xlfn.XLOOKUP(B269,EMPRESA_1!A:A,EMPRESA_1!K:K),"")</f>
        <v>V1 PAMA-LS</v>
      </c>
      <c r="P269" s="9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1" t="s">
        <v>2624</v>
      </c>
      <c r="B270" s="21" t="s">
        <v>846</v>
      </c>
      <c r="C270" s="9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190</v>
      </c>
      <c r="K270" s="55" t="str">
        <f t="shared" si="82"/>
        <v/>
      </c>
      <c r="L270" s="55"/>
      <c r="M270" s="55"/>
      <c r="N270" s="56" t="str">
        <f t="shared" si="3"/>
        <v/>
      </c>
      <c r="O270" s="6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1" t="s">
        <v>2625</v>
      </c>
      <c r="B271" s="21" t="s">
        <v>847</v>
      </c>
      <c r="C271" s="9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190</v>
      </c>
      <c r="K271" s="55" t="str">
        <f t="shared" si="82"/>
        <v/>
      </c>
      <c r="L271" s="55"/>
      <c r="M271" s="55"/>
      <c r="N271" s="56" t="str">
        <f t="shared" si="3"/>
        <v/>
      </c>
      <c r="O271" s="6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1" t="s">
        <v>2626</v>
      </c>
      <c r="B272" s="21" t="s">
        <v>859</v>
      </c>
      <c r="C272" s="9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190</v>
      </c>
      <c r="K272" s="55" t="str">
        <f t="shared" si="82"/>
        <v/>
      </c>
      <c r="L272" s="55"/>
      <c r="M272" s="55"/>
      <c r="N272" s="56" t="str">
        <f t="shared" si="3"/>
        <v/>
      </c>
      <c r="O272" s="6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1" t="s">
        <v>2627</v>
      </c>
      <c r="B273" s="21" t="s">
        <v>848</v>
      </c>
      <c r="C273" s="9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190</v>
      </c>
      <c r="K273" s="55" t="str">
        <f t="shared" si="82"/>
        <v/>
      </c>
      <c r="L273" s="55"/>
      <c r="M273" s="55"/>
      <c r="N273" s="56" t="str">
        <f t="shared" si="3"/>
        <v/>
      </c>
      <c r="O273" s="6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1" t="s">
        <v>2628</v>
      </c>
      <c r="B274" s="21" t="s">
        <v>864</v>
      </c>
      <c r="C274" s="9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190</v>
      </c>
      <c r="K274" s="55" t="str">
        <f t="shared" si="82"/>
        <v/>
      </c>
      <c r="L274" s="55"/>
      <c r="M274" s="55"/>
      <c r="N274" s="56" t="str">
        <f t="shared" si="3"/>
        <v/>
      </c>
      <c r="O274" s="6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1" t="s">
        <v>2629</v>
      </c>
      <c r="B275" s="21" t="s">
        <v>853</v>
      </c>
      <c r="C275" s="9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190</v>
      </c>
      <c r="K275" s="55" t="str">
        <f t="shared" si="82"/>
        <v/>
      </c>
      <c r="L275" s="55"/>
      <c r="M275" s="55"/>
      <c r="N275" s="56" t="str">
        <f t="shared" si="3"/>
        <v/>
      </c>
      <c r="O275" s="6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1" t="s">
        <v>2630</v>
      </c>
      <c r="B276" s="21" t="s">
        <v>1894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1" t="s">
        <v>2631</v>
      </c>
      <c r="B277" s="21" t="s">
        <v>871</v>
      </c>
      <c r="C277" s="9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190</v>
      </c>
      <c r="K277" s="55" t="str">
        <f>IF(N277="","",N277-G277)</f>
        <v/>
      </c>
      <c r="L277" s="55"/>
      <c r="M277" s="55"/>
      <c r="N277" s="56" t="str">
        <f t="shared" si="3"/>
        <v/>
      </c>
      <c r="O277" s="6" t="str">
        <f t="array" ref="O277">IFERROR(_xlfn.XLOOKUP(B277,EMPRESA_1!A:A,EMPRESA_1!K:K),"")</f>
        <v>VEE ONE</v>
      </c>
      <c r="P277" s="9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1" t="s">
        <v>2632</v>
      </c>
      <c r="B278" s="21" t="s">
        <v>1898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1" t="s">
        <v>2633</v>
      </c>
      <c r="B279" s="21" t="s">
        <v>867</v>
      </c>
      <c r="C279" s="9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190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6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1" t="s">
        <v>2634</v>
      </c>
      <c r="B280" s="21" t="s">
        <v>874</v>
      </c>
      <c r="C280" s="9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190</v>
      </c>
      <c r="K280" s="55" t="str">
        <f t="shared" si="83"/>
        <v/>
      </c>
      <c r="L280" s="55"/>
      <c r="M280" s="55"/>
      <c r="N280" s="56" t="str">
        <f t="shared" si="3"/>
        <v/>
      </c>
      <c r="O280" s="6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1" t="s">
        <v>1429</v>
      </c>
      <c r="B281" s="21" t="s">
        <v>881</v>
      </c>
      <c r="C281" s="9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176</v>
      </c>
      <c r="K281" s="55" t="str">
        <f t="shared" si="83"/>
        <v/>
      </c>
      <c r="L281" s="55"/>
      <c r="M281" s="55"/>
      <c r="N281" s="56" t="str">
        <f t="shared" si="3"/>
        <v/>
      </c>
      <c r="O281" s="6" t="str">
        <f t="array" ref="O281">IFERROR(_xlfn.XLOOKUP(B281,EMPRESA_1!A:A,EMPRESA_1!K:K),"")</f>
        <v>WILLIAM</v>
      </c>
      <c r="P281" s="9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1" t="s">
        <v>1483</v>
      </c>
      <c r="B282" s="21" t="s">
        <v>877</v>
      </c>
      <c r="C282" s="9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176</v>
      </c>
      <c r="K282" s="55" t="str">
        <f t="shared" si="83"/>
        <v/>
      </c>
      <c r="L282" s="55"/>
      <c r="M282" s="55"/>
      <c r="N282" s="56" t="str">
        <f t="shared" si="3"/>
        <v/>
      </c>
      <c r="O282" s="6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1" t="s">
        <v>2635</v>
      </c>
      <c r="B283" s="21" t="s">
        <v>883</v>
      </c>
      <c r="C283" s="9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168</v>
      </c>
      <c r="K283" s="55" t="str">
        <f t="shared" si="83"/>
        <v/>
      </c>
      <c r="L283" s="55"/>
      <c r="M283" s="55"/>
      <c r="N283" s="56" t="str">
        <f t="shared" si="3"/>
        <v/>
      </c>
      <c r="O283" s="6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1" t="s">
        <v>2636</v>
      </c>
      <c r="B284" s="21" t="s">
        <v>886</v>
      </c>
      <c r="C284" s="9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168</v>
      </c>
      <c r="K284" s="55" t="str">
        <f t="shared" si="83"/>
        <v/>
      </c>
      <c r="L284" s="55"/>
      <c r="M284" s="55"/>
      <c r="N284" s="56" t="str">
        <f t="shared" si="3"/>
        <v/>
      </c>
      <c r="O284" s="6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1" t="s">
        <v>2637</v>
      </c>
      <c r="B285" s="21" t="s">
        <v>888</v>
      </c>
      <c r="C285" s="9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163</v>
      </c>
      <c r="K285" s="55" t="str">
        <f t="shared" si="83"/>
        <v/>
      </c>
      <c r="L285" s="55"/>
      <c r="M285" s="55"/>
      <c r="N285" s="56" t="str">
        <f t="shared" si="3"/>
        <v/>
      </c>
      <c r="O285" s="6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1" t="s">
        <v>2638</v>
      </c>
      <c r="B286" s="21" t="s">
        <v>1914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1" t="s">
        <v>2639</v>
      </c>
      <c r="B287" s="21" t="s">
        <v>1917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1" t="s">
        <v>2640</v>
      </c>
      <c r="B288" s="21" t="s">
        <v>1786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1" t="s">
        <v>2641</v>
      </c>
      <c r="B289" s="21" t="s">
        <v>1789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1" t="s">
        <v>2642</v>
      </c>
      <c r="B290" s="21" t="s">
        <v>1922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1" t="s">
        <v>2643</v>
      </c>
      <c r="B291" s="21" t="s">
        <v>889</v>
      </c>
      <c r="C291" s="9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146</v>
      </c>
      <c r="K291" s="55" t="str">
        <f>IF(N291="","",N291-G291)</f>
        <v/>
      </c>
      <c r="L291" s="55"/>
      <c r="M291" s="55"/>
      <c r="N291" s="56" t="str">
        <f t="shared" si="3"/>
        <v/>
      </c>
      <c r="O291" s="6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1" t="s">
        <v>2644</v>
      </c>
      <c r="B292" s="21" t="s">
        <v>1923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1" t="s">
        <v>1489</v>
      </c>
      <c r="B293" s="21" t="s">
        <v>891</v>
      </c>
      <c r="C293" s="9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146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6" t="str">
        <f t="array" ref="O293">IFERROR(_xlfn.XLOOKUP(B293,EMPRESA_1!A:A,EMPRESA_1!K:K),"")</f>
        <v>V1 PAMA-LS</v>
      </c>
      <c r="P293" s="9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21" t="s">
        <v>2645</v>
      </c>
      <c r="B294" s="21" t="s">
        <v>893</v>
      </c>
      <c r="C294" s="9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146</v>
      </c>
      <c r="K294" s="55" t="str">
        <f t="shared" si="86"/>
        <v/>
      </c>
      <c r="L294" s="55"/>
      <c r="M294" s="55"/>
      <c r="N294" s="56" t="str">
        <f t="shared" si="3"/>
        <v/>
      </c>
      <c r="O294" s="6" t="str">
        <f t="array" ref="O294">IFERROR(_xlfn.XLOOKUP(B294,EMPRESA_1!A:A,EMPRESA_1!K:K),"")</f>
        <v>V1 PAMA-LS</v>
      </c>
      <c r="P294" s="9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21" t="s">
        <v>1437</v>
      </c>
      <c r="B295" s="21" t="s">
        <v>895</v>
      </c>
      <c r="C295" s="9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141</v>
      </c>
      <c r="K295" s="55" t="str">
        <f t="shared" si="86"/>
        <v/>
      </c>
      <c r="L295" s="55"/>
      <c r="M295" s="55"/>
      <c r="N295" s="56" t="str">
        <f t="shared" si="3"/>
        <v/>
      </c>
      <c r="O295" s="6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21" t="s">
        <v>1497</v>
      </c>
      <c r="B296" s="21" t="s">
        <v>897</v>
      </c>
      <c r="C296" s="9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128</v>
      </c>
      <c r="K296" s="55" t="str">
        <f t="shared" si="86"/>
        <v/>
      </c>
      <c r="L296" s="55"/>
      <c r="M296" s="55"/>
      <c r="N296" s="56" t="str">
        <f t="shared" si="3"/>
        <v/>
      </c>
      <c r="O296" s="6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21" t="s">
        <v>2646</v>
      </c>
      <c r="B297" s="21" t="s">
        <v>905</v>
      </c>
      <c r="C297" s="9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128</v>
      </c>
      <c r="K297" s="55" t="str">
        <f t="shared" si="86"/>
        <v/>
      </c>
      <c r="L297" s="55"/>
      <c r="M297" s="55"/>
      <c r="N297" s="56" t="str">
        <f t="shared" si="3"/>
        <v/>
      </c>
      <c r="O297" s="6" t="str">
        <f t="array" ref="O297">IFERROR(_xlfn.XLOOKUP(B297,EMPRESA_1!A:A,EMPRESA_1!K:K),"")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21" t="s">
        <v>2647</v>
      </c>
      <c r="B298" s="21" t="s">
        <v>909</v>
      </c>
      <c r="C298" s="9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128</v>
      </c>
      <c r="K298" s="55" t="str">
        <f t="shared" si="86"/>
        <v/>
      </c>
      <c r="L298" s="55"/>
      <c r="M298" s="55"/>
      <c r="N298" s="56" t="str">
        <f t="shared" si="3"/>
        <v/>
      </c>
      <c r="O298" s="6" t="str">
        <f t="array" ref="O298">IFERROR(_xlfn.XLOOKUP(B298,EMPRESA_1!A:A,EMPRESA_1!K:K),"")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21" t="s">
        <v>2648</v>
      </c>
      <c r="B299" s="21" t="s">
        <v>911</v>
      </c>
      <c r="C299" s="9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128</v>
      </c>
      <c r="K299" s="55" t="str">
        <f t="shared" si="86"/>
        <v/>
      </c>
      <c r="L299" s="55"/>
      <c r="M299" s="55"/>
      <c r="N299" s="56" t="str">
        <f t="shared" si="3"/>
        <v/>
      </c>
      <c r="O299" s="6" t="str">
        <f t="array" ref="O299">IFERROR(_xlfn.XLOOKUP(B299,EMPRESA_1!A:A,EMPRESA_1!K:K),"")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1" t="s">
        <v>2649</v>
      </c>
      <c r="B300" s="21" t="s">
        <v>1807</v>
      </c>
      <c r="C300" s="9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6" t="str">
        <f t="array" ref="O300">IFERROR(_xlfn.XLOOKUP(B300,EMPRESA_1!A:A,EMPRESA_1!K:K),"")</f>
        <v>VEE ONE</v>
      </c>
      <c r="P300" s="9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21" t="s">
        <v>1477</v>
      </c>
      <c r="B301" s="21" t="s">
        <v>904</v>
      </c>
      <c r="C301" s="9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128</v>
      </c>
      <c r="K301" s="55" t="str">
        <f t="shared" si="86"/>
        <v/>
      </c>
      <c r="L301" s="55"/>
      <c r="M301" s="55"/>
      <c r="N301" s="56" t="str">
        <f t="shared" si="3"/>
        <v/>
      </c>
      <c r="O301" s="6" t="str">
        <f t="array" ref="O301">IFERROR(_xlfn.XLOOKUP(B301,EMPRESA_1!A:A,EMPRESA_1!K:K),"")</f>
        <v>VEE ONE</v>
      </c>
      <c r="P301" s="9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21" t="s">
        <v>2650</v>
      </c>
      <c r="B302" s="21" t="s">
        <v>916</v>
      </c>
      <c r="C302" s="9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128</v>
      </c>
      <c r="K302" s="55" t="str">
        <f t="shared" si="86"/>
        <v/>
      </c>
      <c r="L302" s="55"/>
      <c r="M302" s="55"/>
      <c r="N302" s="56" t="str">
        <f t="shared" si="3"/>
        <v/>
      </c>
      <c r="O302" s="6" t="str">
        <f t="array" ref="O302">IFERROR(_xlfn.XLOOKUP(B302,EMPRESA_1!A:A,EMPRESA_1!K:K),"")</f>
        <v>WILLIAM</v>
      </c>
      <c r="P302" s="9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21" t="s">
        <v>2651</v>
      </c>
      <c r="B303" s="21" t="s">
        <v>917</v>
      </c>
      <c r="C303" s="9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128</v>
      </c>
      <c r="K303" s="55" t="str">
        <f t="shared" si="86"/>
        <v/>
      </c>
      <c r="L303" s="55"/>
      <c r="M303" s="55"/>
      <c r="N303" s="56" t="str">
        <f t="shared" si="3"/>
        <v/>
      </c>
      <c r="O303" s="6" t="str">
        <f t="array" ref="O303">IFERROR(_xlfn.XLOOKUP(B303,EMPRESA_1!A:A,EMPRESA_1!K:K),"")</f>
        <v>WILLIAM</v>
      </c>
      <c r="P303" s="9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21" t="s">
        <v>2652</v>
      </c>
      <c r="B304" s="21" t="s">
        <v>914</v>
      </c>
      <c r="C304" s="9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128</v>
      </c>
      <c r="K304" s="55" t="str">
        <f t="shared" si="86"/>
        <v/>
      </c>
      <c r="L304" s="55"/>
      <c r="M304" s="55"/>
      <c r="N304" s="56" t="str">
        <f t="shared" si="3"/>
        <v/>
      </c>
      <c r="O304" s="6" t="str">
        <f t="array" ref="O304">IFERROR(_xlfn.XLOOKUP(B304,EMPRESA_1!A:A,EMPRESA_1!K:K),"")</f>
        <v>WILLIAM</v>
      </c>
      <c r="P304" s="9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21" t="s">
        <v>2653</v>
      </c>
      <c r="B305" s="21" t="s">
        <v>920</v>
      </c>
      <c r="C305" s="9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128</v>
      </c>
      <c r="K305" s="55" t="str">
        <f t="shared" si="86"/>
        <v/>
      </c>
      <c r="L305" s="55"/>
      <c r="M305" s="55"/>
      <c r="N305" s="56" t="str">
        <f t="shared" si="3"/>
        <v/>
      </c>
      <c r="O305" s="6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21" t="s">
        <v>2654</v>
      </c>
      <c r="B306" s="21" t="s">
        <v>918</v>
      </c>
      <c r="C306" s="9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128</v>
      </c>
      <c r="K306" s="55" t="str">
        <f t="shared" si="86"/>
        <v/>
      </c>
      <c r="L306" s="55"/>
      <c r="M306" s="55"/>
      <c r="N306" s="56" t="str">
        <f t="shared" si="3"/>
        <v/>
      </c>
      <c r="O306" s="6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21" t="s">
        <v>2655</v>
      </c>
      <c r="B307" s="21" t="s">
        <v>921</v>
      </c>
      <c r="C307" s="9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128</v>
      </c>
      <c r="K307" s="55" t="str">
        <f t="shared" si="86"/>
        <v/>
      </c>
      <c r="L307" s="55"/>
      <c r="M307" s="55"/>
      <c r="N307" s="56" t="str">
        <f t="shared" si="3"/>
        <v/>
      </c>
      <c r="O307" s="6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21" t="s">
        <v>2656</v>
      </c>
      <c r="B308" s="21" t="s">
        <v>931</v>
      </c>
      <c r="C308" s="9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128</v>
      </c>
      <c r="K308" s="55" t="str">
        <f t="shared" si="86"/>
        <v/>
      </c>
      <c r="L308" s="55"/>
      <c r="M308" s="55"/>
      <c r="N308" s="56" t="str">
        <f t="shared" si="3"/>
        <v/>
      </c>
      <c r="O308" s="6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21" t="s">
        <v>2657</v>
      </c>
      <c r="B309" s="21" t="s">
        <v>929</v>
      </c>
      <c r="C309" s="9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128</v>
      </c>
      <c r="K309" s="55" t="str">
        <f t="shared" si="86"/>
        <v/>
      </c>
      <c r="L309" s="55"/>
      <c r="M309" s="55"/>
      <c r="N309" s="56" t="str">
        <f t="shared" si="3"/>
        <v/>
      </c>
      <c r="O309" s="6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1" t="s">
        <v>2658</v>
      </c>
      <c r="B310" s="21" t="s">
        <v>928</v>
      </c>
      <c r="C310" s="9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128</v>
      </c>
      <c r="K310" s="55" t="str">
        <f t="shared" si="86"/>
        <v/>
      </c>
      <c r="L310" s="55"/>
      <c r="M310" s="55"/>
      <c r="N310" s="56" t="str">
        <f t="shared" si="3"/>
        <v/>
      </c>
      <c r="O310" s="6" t="str">
        <f t="array" ref="O310">IFERROR(_xlfn.XLOOKUP(B310,EMPRESA_1!A:A,EMPRESA_1!K:K),"")</f>
        <v>LEAP</v>
      </c>
      <c r="P310" s="9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21" t="s">
        <v>2659</v>
      </c>
      <c r="B311" s="21" t="s">
        <v>927</v>
      </c>
      <c r="C311" s="9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128</v>
      </c>
      <c r="K311" s="55" t="str">
        <f t="shared" si="86"/>
        <v/>
      </c>
      <c r="L311" s="55"/>
      <c r="M311" s="55"/>
      <c r="N311" s="56" t="str">
        <f t="shared" si="3"/>
        <v/>
      </c>
      <c r="O311" s="6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1" t="s">
        <v>2660</v>
      </c>
      <c r="B312" s="21" t="s">
        <v>934</v>
      </c>
      <c r="C312" s="9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128</v>
      </c>
      <c r="K312" s="55" t="str">
        <f t="shared" si="86"/>
        <v/>
      </c>
      <c r="L312" s="55"/>
      <c r="M312" s="55"/>
      <c r="N312" s="56" t="str">
        <f t="shared" si="3"/>
        <v/>
      </c>
      <c r="O312" s="6" t="str">
        <f t="array" ref="O312">IFERROR(_xlfn.XLOOKUP(B312,EMPRESA_1!A:A,EMPRESA_1!K:K),"")</f>
        <v>LEAP</v>
      </c>
      <c r="P312" s="9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21" t="s">
        <v>2661</v>
      </c>
      <c r="B313" s="21" t="s">
        <v>932</v>
      </c>
      <c r="C313" s="9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128</v>
      </c>
      <c r="K313" s="55" t="str">
        <f t="shared" si="86"/>
        <v/>
      </c>
      <c r="L313" s="55"/>
      <c r="M313" s="55"/>
      <c r="N313" s="56" t="str">
        <f t="shared" si="3"/>
        <v/>
      </c>
      <c r="O313" s="6" t="str">
        <f t="array" ref="O313">IFERROR(_xlfn.XLOOKUP(B313,EMPRESA_1!A:A,EMPRESA_1!K:K),"")</f>
        <v>VEE ONE</v>
      </c>
      <c r="P313" s="9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21" t="s">
        <v>2662</v>
      </c>
      <c r="B314" s="21" t="s">
        <v>935</v>
      </c>
      <c r="C314" s="9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128</v>
      </c>
      <c r="K314" s="55" t="str">
        <f t="shared" si="86"/>
        <v/>
      </c>
      <c r="L314" s="55"/>
      <c r="M314" s="55"/>
      <c r="N314" s="56" t="str">
        <f t="shared" si="3"/>
        <v/>
      </c>
      <c r="O314" s="6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1" t="s">
        <v>2663</v>
      </c>
      <c r="B315" s="21" t="s">
        <v>937</v>
      </c>
      <c r="C315" s="9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128</v>
      </c>
      <c r="K315" s="55" t="str">
        <f t="shared" si="86"/>
        <v/>
      </c>
      <c r="L315" s="55"/>
      <c r="M315" s="55"/>
      <c r="N315" s="56" t="str">
        <f t="shared" si="3"/>
        <v/>
      </c>
      <c r="O315" s="6" t="str">
        <f t="array" ref="O315">IFERROR(_xlfn.XLOOKUP(B315,EMPRESA_1!A:A,EMPRESA_1!K:K),"")</f>
        <v>VEE ONE</v>
      </c>
      <c r="P315" s="9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1" t="s">
        <v>2664</v>
      </c>
      <c r="B316" s="21" t="s">
        <v>1812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6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1" t="s">
        <v>2665</v>
      </c>
      <c r="B317" s="21" t="s">
        <v>936</v>
      </c>
      <c r="C317" s="9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128</v>
      </c>
      <c r="K317" s="55" t="str">
        <f t="shared" si="86"/>
        <v/>
      </c>
      <c r="L317" s="55"/>
      <c r="M317" s="55"/>
      <c r="N317" s="56" t="str">
        <f t="shared" si="3"/>
        <v/>
      </c>
      <c r="O317" s="6" t="str">
        <f t="array" ref="O317">IFERROR(_xlfn.XLOOKUP(B317,EMPRESA_1!A:A,EMPRESA_1!K:K),"")</f>
        <v>VEE ONE</v>
      </c>
      <c r="P317" s="9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1" t="s">
        <v>2666</v>
      </c>
      <c r="B318" s="21" t="s">
        <v>940</v>
      </c>
      <c r="C318" s="9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128</v>
      </c>
      <c r="K318" s="55" t="str">
        <f t="shared" si="86"/>
        <v/>
      </c>
      <c r="L318" s="55"/>
      <c r="M318" s="55"/>
      <c r="N318" s="56" t="str">
        <f t="shared" si="3"/>
        <v/>
      </c>
      <c r="O318" s="6" t="str">
        <f t="array" ref="O318">IFERROR(_xlfn.XLOOKUP(B318,EMPRESA_1!A:A,EMPRESA_1!K:K),"")</f>
        <v>VEE ONE</v>
      </c>
      <c r="P318" s="9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21" t="s">
        <v>2667</v>
      </c>
      <c r="B319" s="21" t="s">
        <v>939</v>
      </c>
      <c r="C319" s="9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128</v>
      </c>
      <c r="K319" s="55" t="str">
        <f t="shared" si="86"/>
        <v/>
      </c>
      <c r="L319" s="55"/>
      <c r="M319" s="55"/>
      <c r="N319" s="56" t="str">
        <f t="shared" si="3"/>
        <v/>
      </c>
      <c r="O319" s="6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1" t="s">
        <v>2668</v>
      </c>
      <c r="B320" s="21" t="s">
        <v>941</v>
      </c>
      <c r="C320" s="9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128</v>
      </c>
      <c r="K320" s="55" t="str">
        <f t="shared" si="86"/>
        <v/>
      </c>
      <c r="L320" s="55"/>
      <c r="M320" s="55"/>
      <c r="N320" s="56" t="str">
        <f t="shared" si="3"/>
        <v/>
      </c>
      <c r="O320" s="6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1" t="s">
        <v>2669</v>
      </c>
      <c r="B321" s="21" t="s">
        <v>1802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1" t="s">
        <v>2670</v>
      </c>
      <c r="B322" s="21" t="s">
        <v>1804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6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1" t="s">
        <v>2671</v>
      </c>
      <c r="B323" s="21" t="s">
        <v>943</v>
      </c>
      <c r="C323" s="9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128</v>
      </c>
      <c r="K323" s="55" t="str">
        <f t="shared" si="87"/>
        <v/>
      </c>
      <c r="L323" s="55"/>
      <c r="M323" s="55"/>
      <c r="N323" s="56" t="str">
        <f t="shared" si="3"/>
        <v/>
      </c>
      <c r="O323" s="6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21" t="s">
        <v>2672</v>
      </c>
      <c r="B324" s="21" t="s">
        <v>945</v>
      </c>
      <c r="C324" s="9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128</v>
      </c>
      <c r="K324" s="55" t="str">
        <f t="shared" si="87"/>
        <v/>
      </c>
      <c r="L324" s="55"/>
      <c r="M324" s="55"/>
      <c r="N324" s="56" t="str">
        <f t="shared" si="3"/>
        <v/>
      </c>
      <c r="O324" s="6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21" t="s">
        <v>2673</v>
      </c>
      <c r="B325" s="21" t="s">
        <v>948</v>
      </c>
      <c r="C325" s="9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128</v>
      </c>
      <c r="K325" s="55" t="str">
        <f t="shared" si="87"/>
        <v/>
      </c>
      <c r="L325" s="55"/>
      <c r="M325" s="55"/>
      <c r="N325" s="56" t="str">
        <f t="shared" si="3"/>
        <v/>
      </c>
      <c r="O325" s="6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1" t="s">
        <v>2674</v>
      </c>
      <c r="B326" s="21" t="s">
        <v>952</v>
      </c>
      <c r="C326" s="9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128</v>
      </c>
      <c r="K326" s="55" t="str">
        <f t="shared" si="87"/>
        <v/>
      </c>
      <c r="L326" s="55"/>
      <c r="M326" s="55"/>
      <c r="N326" s="56" t="str">
        <f t="shared" si="3"/>
        <v/>
      </c>
      <c r="O326" s="6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1" t="s">
        <v>1475</v>
      </c>
      <c r="B327" s="21" t="s">
        <v>963</v>
      </c>
      <c r="C327" s="9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128</v>
      </c>
      <c r="K327" s="55" t="str">
        <f t="shared" si="87"/>
        <v/>
      </c>
      <c r="L327" s="55"/>
      <c r="M327" s="55"/>
      <c r="N327" s="56" t="str">
        <f t="shared" si="3"/>
        <v/>
      </c>
      <c r="O327" s="6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21" t="s">
        <v>1480</v>
      </c>
      <c r="B328" s="21" t="s">
        <v>962</v>
      </c>
      <c r="C328" s="9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128</v>
      </c>
      <c r="K328" s="55" t="str">
        <f t="shared" si="87"/>
        <v/>
      </c>
      <c r="L328" s="55"/>
      <c r="M328" s="55"/>
      <c r="N328" s="56" t="str">
        <f t="shared" si="3"/>
        <v/>
      </c>
      <c r="O328" s="6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1" t="s">
        <v>2675</v>
      </c>
      <c r="B329" s="21" t="s">
        <v>960</v>
      </c>
      <c r="C329" s="9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128</v>
      </c>
      <c r="K329" s="55" t="str">
        <f t="shared" si="87"/>
        <v/>
      </c>
      <c r="L329" s="55"/>
      <c r="M329" s="55"/>
      <c r="N329" s="56" t="str">
        <f t="shared" si="3"/>
        <v/>
      </c>
      <c r="O329" s="6" t="str">
        <f t="array" ref="O329">IFERROR(_xlfn.XLOOKUP(B329,EMPRESA_1!A:A,EMPRESA_1!K:K),"")</f>
        <v>VEE ONE</v>
      </c>
      <c r="P329" s="9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21" t="s">
        <v>2676</v>
      </c>
      <c r="B330" s="21" t="s">
        <v>958</v>
      </c>
      <c r="C330" s="9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128</v>
      </c>
      <c r="K330" s="55" t="str">
        <f t="shared" si="87"/>
        <v/>
      </c>
      <c r="L330" s="55"/>
      <c r="M330" s="55"/>
      <c r="N330" s="56" t="str">
        <f t="shared" si="3"/>
        <v/>
      </c>
      <c r="O330" s="6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21" t="s">
        <v>1711</v>
      </c>
      <c r="B331" s="21" t="s">
        <v>955</v>
      </c>
      <c r="C331" s="9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128</v>
      </c>
      <c r="K331" s="55" t="str">
        <f t="shared" si="87"/>
        <v/>
      </c>
      <c r="L331" s="55"/>
      <c r="M331" s="55"/>
      <c r="N331" s="56" t="str">
        <f t="shared" si="3"/>
        <v/>
      </c>
      <c r="O331" s="6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21" t="s">
        <v>2677</v>
      </c>
      <c r="B332" s="21" t="s">
        <v>954</v>
      </c>
      <c r="C332" s="9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128</v>
      </c>
      <c r="K332" s="55" t="str">
        <f t="shared" si="87"/>
        <v/>
      </c>
      <c r="L332" s="55"/>
      <c r="M332" s="55"/>
      <c r="N332" s="56" t="str">
        <f t="shared" si="3"/>
        <v/>
      </c>
      <c r="O332" s="6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21" t="s">
        <v>2678</v>
      </c>
      <c r="B333" s="21" t="s">
        <v>953</v>
      </c>
      <c r="C333" s="9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128</v>
      </c>
      <c r="K333" s="55" t="str">
        <f t="shared" si="87"/>
        <v/>
      </c>
      <c r="L333" s="55"/>
      <c r="M333" s="55"/>
      <c r="N333" s="56" t="str">
        <f t="shared" si="3"/>
        <v/>
      </c>
      <c r="O333" s="6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21" t="s">
        <v>2679</v>
      </c>
      <c r="B334" s="21" t="s">
        <v>964</v>
      </c>
      <c r="C334" s="9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128</v>
      </c>
      <c r="K334" s="55" t="str">
        <f t="shared" si="87"/>
        <v/>
      </c>
      <c r="L334" s="55"/>
      <c r="M334" s="55"/>
      <c r="N334" s="56" t="str">
        <f t="shared" si="3"/>
        <v/>
      </c>
      <c r="O334" s="6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21" t="s">
        <v>2680</v>
      </c>
      <c r="B335" s="21" t="s">
        <v>968</v>
      </c>
      <c r="C335" s="9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128</v>
      </c>
      <c r="K335" s="55" t="str">
        <f t="shared" si="87"/>
        <v/>
      </c>
      <c r="L335" s="55"/>
      <c r="M335" s="55"/>
      <c r="N335" s="56" t="str">
        <f t="shared" si="3"/>
        <v/>
      </c>
      <c r="O335" s="6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21" t="s">
        <v>2681</v>
      </c>
      <c r="B336" s="21" t="s">
        <v>970</v>
      </c>
      <c r="C336" s="9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128</v>
      </c>
      <c r="K336" s="55" t="str">
        <f t="shared" si="87"/>
        <v/>
      </c>
      <c r="L336" s="55"/>
      <c r="M336" s="55"/>
      <c r="N336" s="56" t="str">
        <f t="shared" si="3"/>
        <v/>
      </c>
      <c r="O336" s="6" t="str">
        <f t="array" ref="O336">IFERROR(_xlfn.XLOOKUP(B336,EMPRESA_1!A:A,EMPRESA_1!K:K),"")</f>
        <v>WILLIAM</v>
      </c>
      <c r="P336" s="9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21" t="s">
        <v>2682</v>
      </c>
      <c r="B337" s="21" t="s">
        <v>972</v>
      </c>
      <c r="C337" s="9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128</v>
      </c>
      <c r="K337" s="55" t="str">
        <f t="shared" si="87"/>
        <v/>
      </c>
      <c r="L337" s="55"/>
      <c r="M337" s="55"/>
      <c r="N337" s="56" t="str">
        <f t="shared" si="3"/>
        <v/>
      </c>
      <c r="O337" s="6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1" t="s">
        <v>2683</v>
      </c>
      <c r="B338" s="21" t="s">
        <v>1820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6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1" t="s">
        <v>2684</v>
      </c>
      <c r="B339" s="21" t="s">
        <v>973</v>
      </c>
      <c r="C339" s="9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126</v>
      </c>
      <c r="K339" s="55" t="str">
        <f t="shared" si="87"/>
        <v/>
      </c>
      <c r="L339" s="55"/>
      <c r="M339" s="55"/>
      <c r="N339" s="56" t="str">
        <f t="shared" si="3"/>
        <v/>
      </c>
      <c r="O339" s="6" t="str">
        <f t="array" ref="O339">IFERROR(_xlfn.XLOOKUP(B339,EMPRESA_1!A:A,EMPRESA_1!K:K),"")</f>
        <v>V1 PAMA-LS</v>
      </c>
      <c r="P339" s="9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1" t="s">
        <v>2685</v>
      </c>
      <c r="B340" s="21" t="s">
        <v>1822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6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1" t="s">
        <v>2686</v>
      </c>
      <c r="B341" s="21" t="s">
        <v>975</v>
      </c>
      <c r="C341" s="9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126</v>
      </c>
      <c r="K341" s="55" t="str">
        <f t="shared" si="87"/>
        <v/>
      </c>
      <c r="L341" s="55"/>
      <c r="M341" s="55"/>
      <c r="N341" s="56" t="str">
        <f t="shared" si="3"/>
        <v/>
      </c>
      <c r="O341" s="6" t="str">
        <f t="array" ref="O341">IFERROR(_xlfn.XLOOKUP(B341,EMPRESA_1!A:A,EMPRESA_1!K:K),"")</f>
        <v>V1 PAMA-LS</v>
      </c>
      <c r="P341" s="9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1" t="s">
        <v>2687</v>
      </c>
      <c r="B342" s="21" t="s">
        <v>2008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1" t="s">
        <v>2688</v>
      </c>
      <c r="B343" s="62" t="s">
        <v>978</v>
      </c>
      <c r="C343" s="9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111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6" t="str">
        <f t="array" ref="O343">IFERROR(_xlfn.XLOOKUP(B343,EMPRESA_1!A:A,EMPRESA_1!K:K),"")</f>
        <v>LEAP</v>
      </c>
      <c r="P343" s="9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21" t="s">
        <v>2689</v>
      </c>
      <c r="B344" s="62" t="s">
        <v>980</v>
      </c>
      <c r="C344" s="9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111</v>
      </c>
      <c r="K344" s="55" t="str">
        <f t="shared" si="88"/>
        <v/>
      </c>
      <c r="L344" s="55"/>
      <c r="M344" s="55"/>
      <c r="N344" s="56" t="str">
        <f t="shared" si="3"/>
        <v/>
      </c>
      <c r="O344" s="6" t="str">
        <f t="array" ref="O344">IFERROR(_xlfn.XLOOKUP(B344,EMPRESA_1!A:A,EMPRESA_1!K:K),"")</f>
        <v>LEAP</v>
      </c>
      <c r="P344" s="9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21" t="s">
        <v>2690</v>
      </c>
      <c r="B345" s="62" t="s">
        <v>985</v>
      </c>
      <c r="C345" s="9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111</v>
      </c>
      <c r="K345" s="55" t="str">
        <f t="shared" si="88"/>
        <v/>
      </c>
      <c r="L345" s="55"/>
      <c r="M345" s="55"/>
      <c r="N345" s="56" t="str">
        <f t="shared" si="3"/>
        <v/>
      </c>
      <c r="O345" s="6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1" t="s">
        <v>2691</v>
      </c>
      <c r="B346" s="62" t="s">
        <v>992</v>
      </c>
      <c r="C346" s="9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111</v>
      </c>
      <c r="K346" s="55" t="str">
        <f t="shared" si="88"/>
        <v/>
      </c>
      <c r="L346" s="55"/>
      <c r="M346" s="55"/>
      <c r="N346" s="56" t="str">
        <f t="shared" si="3"/>
        <v/>
      </c>
      <c r="O346" s="6" t="str">
        <f t="array" ref="O346">IFERROR(_xlfn.XLOOKUP(B346,EMPRESA_1!A:A,EMPRESA_1!K:K),"")</f>
        <v>VEE ONE</v>
      </c>
      <c r="P346" s="9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1" t="s">
        <v>2692</v>
      </c>
      <c r="B347" s="62" t="s">
        <v>989</v>
      </c>
      <c r="C347" s="9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111</v>
      </c>
      <c r="K347" s="55" t="str">
        <f t="shared" si="88"/>
        <v/>
      </c>
      <c r="L347" s="55"/>
      <c r="M347" s="55"/>
      <c r="N347" s="56" t="str">
        <f t="shared" si="3"/>
        <v/>
      </c>
      <c r="O347" s="6" t="str">
        <f t="array" ref="O347">IFERROR(_xlfn.XLOOKUP(B347,EMPRESA_1!A:A,EMPRESA_1!K:K),"")</f>
        <v>VEE ONE</v>
      </c>
      <c r="P347" s="9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21" t="s">
        <v>2693</v>
      </c>
      <c r="B348" s="62" t="s">
        <v>988</v>
      </c>
      <c r="C348" s="9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111</v>
      </c>
      <c r="K348" s="55" t="str">
        <f t="shared" si="88"/>
        <v/>
      </c>
      <c r="L348" s="55"/>
      <c r="M348" s="55"/>
      <c r="N348" s="56" t="str">
        <f t="shared" si="3"/>
        <v/>
      </c>
      <c r="O348" s="6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1" t="s">
        <v>2694</v>
      </c>
      <c r="B349" s="62" t="s">
        <v>983</v>
      </c>
      <c r="C349" s="9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111</v>
      </c>
      <c r="K349" s="55" t="str">
        <f t="shared" si="88"/>
        <v/>
      </c>
      <c r="L349" s="55"/>
      <c r="M349" s="55"/>
      <c r="N349" s="56" t="str">
        <f t="shared" si="3"/>
        <v/>
      </c>
      <c r="O349" s="6" t="str">
        <f t="array" ref="O349">IFERROR(_xlfn.XLOOKUP(B349,EMPRESA_1!A:A,EMPRESA_1!K:K),"")</f>
        <v>VEE ONE</v>
      </c>
      <c r="P349" s="9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21" t="s">
        <v>2695</v>
      </c>
      <c r="B350" s="62" t="s">
        <v>997</v>
      </c>
      <c r="C350" s="9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111</v>
      </c>
      <c r="K350" s="55" t="str">
        <f t="shared" si="88"/>
        <v/>
      </c>
      <c r="L350" s="55"/>
      <c r="M350" s="55"/>
      <c r="N350" s="56" t="str">
        <f t="shared" si="3"/>
        <v/>
      </c>
      <c r="O350" s="6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21" t="s">
        <v>2696</v>
      </c>
      <c r="B351" s="62" t="s">
        <v>998</v>
      </c>
      <c r="C351" s="9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111</v>
      </c>
      <c r="K351" s="55" t="str">
        <f t="shared" si="88"/>
        <v/>
      </c>
      <c r="L351" s="55"/>
      <c r="M351" s="55"/>
      <c r="N351" s="56" t="str">
        <f t="shared" si="3"/>
        <v/>
      </c>
      <c r="O351" s="6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21" t="s">
        <v>2697</v>
      </c>
      <c r="B352" s="62" t="s">
        <v>996</v>
      </c>
      <c r="C352" s="9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111</v>
      </c>
      <c r="K352" s="55" t="str">
        <f t="shared" si="88"/>
        <v/>
      </c>
      <c r="L352" s="55"/>
      <c r="M352" s="55"/>
      <c r="N352" s="56" t="str">
        <f t="shared" si="3"/>
        <v/>
      </c>
      <c r="O352" s="6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21" t="s">
        <v>2698</v>
      </c>
      <c r="B353" s="62" t="s">
        <v>995</v>
      </c>
      <c r="C353" s="9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111</v>
      </c>
      <c r="K353" s="55" t="str">
        <f t="shared" si="88"/>
        <v/>
      </c>
      <c r="L353" s="55"/>
      <c r="M353" s="55"/>
      <c r="N353" s="56" t="str">
        <f t="shared" si="3"/>
        <v/>
      </c>
      <c r="O353" s="6" t="str">
        <f t="array" ref="O353">IFERROR(_xlfn.XLOOKUP(B353,EMPRESA_1!A:A,EMPRESA_1!K:K),"")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21" t="s">
        <v>2699</v>
      </c>
      <c r="B354" s="62" t="s">
        <v>1000</v>
      </c>
      <c r="C354" s="9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111</v>
      </c>
      <c r="K354" s="55" t="str">
        <f t="shared" si="88"/>
        <v/>
      </c>
      <c r="L354" s="55"/>
      <c r="M354" s="55"/>
      <c r="N354" s="56" t="str">
        <f t="shared" si="3"/>
        <v/>
      </c>
      <c r="O354" s="6" t="str">
        <f t="array" ref="O354">IFERROR(_xlfn.XLOOKUP(B354,EMPRESA_1!A:A,EMPRESA_1!K:K),"")</f>
        <v>AV AERONAUTICA</v>
      </c>
      <c r="P354" s="9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21" t="s">
        <v>2700</v>
      </c>
      <c r="B355" s="62" t="s">
        <v>999</v>
      </c>
      <c r="C355" s="9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111</v>
      </c>
      <c r="K355" s="55" t="str">
        <f t="shared" si="88"/>
        <v/>
      </c>
      <c r="L355" s="55"/>
      <c r="M355" s="55"/>
      <c r="N355" s="56" t="str">
        <f t="shared" si="3"/>
        <v/>
      </c>
      <c r="O355" s="6" t="str">
        <f t="array" ref="O355">IFERROR(_xlfn.XLOOKUP(B355,EMPRESA_1!A:A,EMPRESA_1!K:K),"")</f>
        <v>AV AERONAUTICA</v>
      </c>
      <c r="P355" s="9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21" t="s">
        <v>2701</v>
      </c>
      <c r="B356" s="62" t="s">
        <v>1001</v>
      </c>
      <c r="C356" s="9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111</v>
      </c>
      <c r="K356" s="55" t="str">
        <f t="shared" si="88"/>
        <v/>
      </c>
      <c r="L356" s="55"/>
      <c r="M356" s="55"/>
      <c r="N356" s="56" t="str">
        <f t="shared" si="3"/>
        <v/>
      </c>
      <c r="O356" s="6" t="str">
        <f t="array" ref="O356">IFERROR(_xlfn.XLOOKUP(B356,EMPRESA_1!A:A,EMPRESA_1!K:K),"")</f>
        <v>WILLIAM</v>
      </c>
      <c r="P356" s="9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21" t="s">
        <v>2702</v>
      </c>
      <c r="B357" s="62" t="s">
        <v>1005</v>
      </c>
      <c r="C357" s="9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111</v>
      </c>
      <c r="K357" s="55" t="str">
        <f t="shared" si="88"/>
        <v/>
      </c>
      <c r="L357" s="55"/>
      <c r="M357" s="55"/>
      <c r="N357" s="56" t="str">
        <f t="shared" si="3"/>
        <v/>
      </c>
      <c r="O357" s="6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21" t="s">
        <v>2703</v>
      </c>
      <c r="B358" s="62" t="s">
        <v>1003</v>
      </c>
      <c r="C358" s="9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111</v>
      </c>
      <c r="K358" s="55" t="str">
        <f t="shared" si="88"/>
        <v/>
      </c>
      <c r="L358" s="55"/>
      <c r="M358" s="55"/>
      <c r="N358" s="56" t="str">
        <f t="shared" si="3"/>
        <v/>
      </c>
      <c r="O358" s="6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1" t="s">
        <v>2704</v>
      </c>
      <c r="B359" s="62" t="s">
        <v>1826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6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1" t="s">
        <v>1632</v>
      </c>
      <c r="B360" s="62" t="s">
        <v>1013</v>
      </c>
      <c r="C360" s="9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111</v>
      </c>
      <c r="K360" s="55" t="str">
        <f t="shared" si="88"/>
        <v/>
      </c>
      <c r="L360" s="55"/>
      <c r="M360" s="55"/>
      <c r="N360" s="56" t="str">
        <f t="shared" si="3"/>
        <v/>
      </c>
      <c r="O360" s="6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1" t="s">
        <v>2705</v>
      </c>
      <c r="B361" s="62" t="s">
        <v>1010</v>
      </c>
      <c r="C361" s="9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111</v>
      </c>
      <c r="K361" s="55" t="str">
        <f t="shared" si="88"/>
        <v/>
      </c>
      <c r="L361" s="55"/>
      <c r="M361" s="55"/>
      <c r="N361" s="56" t="str">
        <f t="shared" si="3"/>
        <v/>
      </c>
      <c r="O361" s="6" t="str">
        <f t="array" ref="O361">IFERROR(_xlfn.XLOOKUP(B361,EMPRESA_1!A:A,EMPRESA_1!K:K),"")</f>
        <v>WILLIAM</v>
      </c>
      <c r="P361" s="9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/>
      </c>
      <c r="AI361" s="57" t="str">
        <f t="array" ref="AI361">IFERROR(_xlfn.XLOOKUP($F361,'Acerto virtual'!$E:$E,'Acerto virtual'!U:U),"")</f>
        <v/>
      </c>
    </row>
    <row r="362" hidden="1">
      <c r="A362" s="21" t="s">
        <v>2706</v>
      </c>
      <c r="B362" s="62" t="s">
        <v>1833</v>
      </c>
      <c r="C362" s="9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6" t="str">
        <f t="array" ref="O362">IFERROR(_xlfn.XLOOKUP(B362,EMPRESA_1!A:A,EMPRESA_1!K:K),"")</f>
        <v>WILLIAM</v>
      </c>
      <c r="P362" s="9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21" t="s">
        <v>2707</v>
      </c>
      <c r="B363" s="62" t="s">
        <v>1007</v>
      </c>
      <c r="C363" s="9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111</v>
      </c>
      <c r="K363" s="55" t="str">
        <f t="shared" si="88"/>
        <v/>
      </c>
      <c r="L363" s="55"/>
      <c r="M363" s="55"/>
      <c r="N363" s="56" t="str">
        <f t="shared" si="3"/>
        <v/>
      </c>
      <c r="O363" s="6" t="str">
        <f t="array" ref="O363">IFERROR(_xlfn.XLOOKUP(B363,EMPRESA_1!A:A,EMPRESA_1!K:K),"")</f>
        <v>WILLIAM</v>
      </c>
      <c r="P363" s="9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21" t="s">
        <v>2708</v>
      </c>
      <c r="B364" s="62" t="s">
        <v>1016</v>
      </c>
      <c r="C364" s="9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111</v>
      </c>
      <c r="K364" s="55" t="str">
        <f t="shared" si="88"/>
        <v/>
      </c>
      <c r="L364" s="55"/>
      <c r="M364" s="55"/>
      <c r="N364" s="56" t="str">
        <f t="shared" si="3"/>
        <v/>
      </c>
      <c r="O364" s="6" t="str">
        <f t="array" ref="O364">IFERROR(_xlfn.XLOOKUP(B364,EMPRESA_1!A:A,EMPRESA_1!K:K),"")</f>
        <v>WILLIAM</v>
      </c>
      <c r="P364" s="9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21" t="s">
        <v>2709</v>
      </c>
      <c r="B365" s="62" t="s">
        <v>1018</v>
      </c>
      <c r="C365" s="9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111</v>
      </c>
      <c r="K365" s="55" t="str">
        <f t="shared" si="88"/>
        <v/>
      </c>
      <c r="L365" s="55"/>
      <c r="M365" s="55"/>
      <c r="N365" s="56" t="str">
        <f t="shared" si="3"/>
        <v/>
      </c>
      <c r="O365" s="6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21" t="s">
        <v>2710</v>
      </c>
      <c r="B366" s="62" t="s">
        <v>1020</v>
      </c>
      <c r="C366" s="9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111</v>
      </c>
      <c r="K366" s="55" t="str">
        <f t="shared" si="88"/>
        <v/>
      </c>
      <c r="L366" s="55"/>
      <c r="M366" s="55"/>
      <c r="N366" s="56" t="str">
        <f t="shared" si="3"/>
        <v/>
      </c>
      <c r="O366" s="6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21" t="s">
        <v>2711</v>
      </c>
      <c r="B367" s="62" t="s">
        <v>1014</v>
      </c>
      <c r="C367" s="9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111</v>
      </c>
      <c r="K367" s="55" t="str">
        <f t="shared" si="88"/>
        <v/>
      </c>
      <c r="L367" s="55"/>
      <c r="M367" s="55"/>
      <c r="N367" s="56" t="str">
        <f t="shared" si="3"/>
        <v/>
      </c>
      <c r="O367" s="6" t="str">
        <f t="array" ref="O367">IFERROR(_xlfn.XLOOKUP(B367,EMPRESA_1!A:A,EMPRESA_1!K:K),"")</f>
        <v>WILLIAM</v>
      </c>
      <c r="P367" s="9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21" t="s">
        <v>2712</v>
      </c>
      <c r="B368" s="62" t="s">
        <v>1022</v>
      </c>
      <c r="C368" s="9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111</v>
      </c>
      <c r="K368" s="55" t="str">
        <f t="shared" si="88"/>
        <v/>
      </c>
      <c r="L368" s="55"/>
      <c r="M368" s="55"/>
      <c r="N368" s="56" t="str">
        <f t="shared" si="3"/>
        <v/>
      </c>
      <c r="O368" s="6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21" t="s">
        <v>2713</v>
      </c>
      <c r="B369" s="62" t="s">
        <v>1025</v>
      </c>
      <c r="C369" s="9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105</v>
      </c>
      <c r="K369" s="55" t="str">
        <f t="shared" si="88"/>
        <v/>
      </c>
      <c r="L369" s="55"/>
      <c r="M369" s="55"/>
      <c r="N369" s="56" t="str">
        <f t="shared" si="3"/>
        <v/>
      </c>
      <c r="O369" s="6" t="str">
        <f t="array" ref="O369">IFERROR(_xlfn.XLOOKUP(B369,EMPRESA_1!A:A,EMPRESA_1!K:K),"")</f>
        <v>WILLIAM</v>
      </c>
      <c r="P369" s="9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21" t="s">
        <v>2714</v>
      </c>
      <c r="B370" s="62" t="s">
        <v>1024</v>
      </c>
      <c r="C370" s="9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105</v>
      </c>
      <c r="K370" s="55" t="str">
        <f t="shared" si="88"/>
        <v/>
      </c>
      <c r="L370" s="55"/>
      <c r="M370" s="55"/>
      <c r="N370" s="56" t="str">
        <f t="shared" si="3"/>
        <v/>
      </c>
      <c r="O370" s="6" t="str">
        <f t="array" ref="O370">IFERROR(_xlfn.XLOOKUP(B370,EMPRESA_1!A:A,EMPRESA_1!K:K),"")</f>
        <v>WILLIAM</v>
      </c>
      <c r="P370" s="9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21" t="s">
        <v>2715</v>
      </c>
      <c r="B371" s="62" t="s">
        <v>1023</v>
      </c>
      <c r="C371" s="9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105</v>
      </c>
      <c r="K371" s="55" t="str">
        <f t="shared" si="88"/>
        <v/>
      </c>
      <c r="L371" s="55"/>
      <c r="M371" s="55"/>
      <c r="N371" s="56" t="str">
        <f t="shared" si="3"/>
        <v/>
      </c>
      <c r="O371" s="6" t="str">
        <f t="array" ref="O371">IFERROR(_xlfn.XLOOKUP(B371,EMPRESA_1!A:A,EMPRESA_1!K:K),"")</f>
        <v>WILLIAM</v>
      </c>
      <c r="P371" s="9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21" t="s">
        <v>2716</v>
      </c>
      <c r="B372" s="62" t="s">
        <v>1026</v>
      </c>
      <c r="C372" s="9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105</v>
      </c>
      <c r="K372" s="55" t="str">
        <f t="shared" si="88"/>
        <v/>
      </c>
      <c r="L372" s="55"/>
      <c r="M372" s="55"/>
      <c r="N372" s="56" t="str">
        <f t="shared" si="3"/>
        <v/>
      </c>
      <c r="O372" s="6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21" t="s">
        <v>2717</v>
      </c>
      <c r="B373" s="62" t="s">
        <v>1027</v>
      </c>
      <c r="C373" s="9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105</v>
      </c>
      <c r="K373" s="55" t="str">
        <f t="shared" si="88"/>
        <v/>
      </c>
      <c r="L373" s="55"/>
      <c r="M373" s="55"/>
      <c r="N373" s="56" t="str">
        <f t="shared" si="3"/>
        <v/>
      </c>
      <c r="O373" s="6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21" t="s">
        <v>2718</v>
      </c>
      <c r="B374" s="62" t="s">
        <v>1030</v>
      </c>
      <c r="C374" s="9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105</v>
      </c>
      <c r="K374" s="55" t="str">
        <f t="shared" si="88"/>
        <v/>
      </c>
      <c r="L374" s="55"/>
      <c r="M374" s="55"/>
      <c r="N374" s="56" t="str">
        <f t="shared" si="3"/>
        <v/>
      </c>
      <c r="O374" s="6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1" t="s">
        <v>2719</v>
      </c>
      <c r="B375" s="62" t="s">
        <v>1032</v>
      </c>
      <c r="C375" s="9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105</v>
      </c>
      <c r="K375" s="55" t="str">
        <f t="shared" si="88"/>
        <v/>
      </c>
      <c r="L375" s="55"/>
      <c r="M375" s="55"/>
      <c r="N375" s="56" t="str">
        <f t="shared" si="3"/>
        <v/>
      </c>
      <c r="O375" s="6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21" t="s">
        <v>2720</v>
      </c>
      <c r="B376" s="62" t="s">
        <v>1036</v>
      </c>
      <c r="C376" s="9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104</v>
      </c>
      <c r="K376" s="55" t="str">
        <f t="shared" si="88"/>
        <v/>
      </c>
      <c r="L376" s="55"/>
      <c r="M376" s="55"/>
      <c r="N376" s="56" t="str">
        <f t="shared" si="3"/>
        <v/>
      </c>
      <c r="O376" s="6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21" t="s">
        <v>2721</v>
      </c>
      <c r="B377" s="62" t="s">
        <v>1034</v>
      </c>
      <c r="C377" s="9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104</v>
      </c>
      <c r="K377" s="55" t="str">
        <f t="shared" si="88"/>
        <v/>
      </c>
      <c r="L377" s="55"/>
      <c r="M377" s="55"/>
      <c r="N377" s="56" t="str">
        <f t="shared" si="3"/>
        <v/>
      </c>
      <c r="O377" s="6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21" t="s">
        <v>2722</v>
      </c>
      <c r="B378" s="62" t="s">
        <v>1038</v>
      </c>
      <c r="C378" s="9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99</v>
      </c>
      <c r="K378" s="55" t="str">
        <f t="shared" si="88"/>
        <v/>
      </c>
      <c r="L378" s="55"/>
      <c r="M378" s="55"/>
      <c r="N378" s="56" t="str">
        <f t="shared" si="3"/>
        <v/>
      </c>
      <c r="O378" s="6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21" t="s">
        <v>2723</v>
      </c>
      <c r="B379" s="62" t="s">
        <v>1041</v>
      </c>
      <c r="C379" s="9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99</v>
      </c>
      <c r="K379" s="55" t="str">
        <f t="shared" si="88"/>
        <v/>
      </c>
      <c r="L379" s="55"/>
      <c r="M379" s="55"/>
      <c r="N379" s="56" t="str">
        <f t="shared" si="3"/>
        <v/>
      </c>
      <c r="O379" s="6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1" t="s">
        <v>2724</v>
      </c>
      <c r="B380" s="62" t="s">
        <v>1841</v>
      </c>
      <c r="C380" s="9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6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21" t="s">
        <v>2725</v>
      </c>
      <c r="B381" s="62" t="s">
        <v>1042</v>
      </c>
      <c r="C381" s="9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99</v>
      </c>
      <c r="K381" s="55" t="str">
        <f t="shared" si="88"/>
        <v/>
      </c>
      <c r="L381" s="55"/>
      <c r="M381" s="55"/>
      <c r="N381" s="56" t="str">
        <f t="shared" si="3"/>
        <v/>
      </c>
      <c r="O381" s="6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21" t="s">
        <v>2726</v>
      </c>
      <c r="B382" s="62" t="s">
        <v>1043</v>
      </c>
      <c r="C382" s="9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99</v>
      </c>
      <c r="K382" s="55" t="str">
        <f t="shared" si="88"/>
        <v/>
      </c>
      <c r="L382" s="55"/>
      <c r="M382" s="55"/>
      <c r="N382" s="56" t="str">
        <f t="shared" si="3"/>
        <v/>
      </c>
      <c r="O382" s="6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21" t="s">
        <v>2727</v>
      </c>
      <c r="B383" s="62" t="s">
        <v>1046</v>
      </c>
      <c r="C383" s="9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99</v>
      </c>
      <c r="K383" s="55" t="str">
        <f t="shared" si="88"/>
        <v/>
      </c>
      <c r="L383" s="55"/>
      <c r="M383" s="55"/>
      <c r="N383" s="56" t="str">
        <f t="shared" si="3"/>
        <v/>
      </c>
      <c r="O383" s="6" t="str">
        <f t="array" ref="O383">IFERROR(_xlfn.XLOOKUP(B383,EMPRESA_1!A:A,EMPRESA_1!K:K),"")</f>
        <v>WILLIAM</v>
      </c>
      <c r="P383" s="9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21" t="s">
        <v>2728</v>
      </c>
      <c r="B384" s="62" t="s">
        <v>1045</v>
      </c>
      <c r="C384" s="9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99</v>
      </c>
      <c r="K384" s="55" t="str">
        <f t="shared" si="88"/>
        <v/>
      </c>
      <c r="L384" s="55"/>
      <c r="M384" s="55"/>
      <c r="N384" s="56" t="str">
        <f t="shared" si="3"/>
        <v/>
      </c>
      <c r="O384" s="6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21" t="s">
        <v>2729</v>
      </c>
      <c r="B385" s="62" t="s">
        <v>1050</v>
      </c>
      <c r="C385" s="9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99</v>
      </c>
      <c r="K385" s="55" t="str">
        <f t="shared" si="88"/>
        <v/>
      </c>
      <c r="L385" s="55"/>
      <c r="M385" s="55"/>
      <c r="N385" s="56" t="str">
        <f t="shared" si="3"/>
        <v/>
      </c>
      <c r="O385" s="6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21" t="s">
        <v>2730</v>
      </c>
      <c r="B386" s="62" t="s">
        <v>1047</v>
      </c>
      <c r="C386" s="9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99</v>
      </c>
      <c r="K386" s="55" t="str">
        <f t="shared" si="88"/>
        <v/>
      </c>
      <c r="L386" s="55"/>
      <c r="M386" s="55"/>
      <c r="N386" s="56" t="str">
        <f t="shared" si="3"/>
        <v/>
      </c>
      <c r="O386" s="6" t="str">
        <f t="array" ref="O386">IFERROR(_xlfn.XLOOKUP(B386,EMPRESA_1!A:A,EMPRESA_1!K:K),"")</f>
        <v>WILLIAM</v>
      </c>
      <c r="P386" s="9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21" t="s">
        <v>2731</v>
      </c>
      <c r="B387" s="62" t="s">
        <v>1052</v>
      </c>
      <c r="C387" s="9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89</v>
      </c>
      <c r="K387" s="55" t="str">
        <f t="shared" si="88"/>
        <v/>
      </c>
      <c r="L387" s="55"/>
      <c r="M387" s="55"/>
      <c r="N387" s="56" t="str">
        <f t="shared" si="3"/>
        <v/>
      </c>
      <c r="O387" s="6" t="str">
        <f t="array" ref="O387">IFERROR(_xlfn.XLOOKUP(B387,EMPRESA_1!A:A,EMPRESA_1!K:K),"")</f>
        <v>LEAP</v>
      </c>
      <c r="P387" s="9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21" t="s">
        <v>2732</v>
      </c>
      <c r="B388" s="62" t="s">
        <v>1051</v>
      </c>
      <c r="C388" s="9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89</v>
      </c>
      <c r="K388" s="55" t="str">
        <f t="shared" si="88"/>
        <v/>
      </c>
      <c r="L388" s="55"/>
      <c r="M388" s="55"/>
      <c r="N388" s="56" t="str">
        <f t="shared" si="3"/>
        <v/>
      </c>
      <c r="O388" s="6" t="str">
        <f t="array" ref="O388">IFERROR(_xlfn.XLOOKUP(B388,EMPRESA_1!A:A,EMPRESA_1!K:K),"")</f>
        <v>LEAP</v>
      </c>
      <c r="P388" s="9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21" t="s">
        <v>2733</v>
      </c>
      <c r="B389" s="62" t="s">
        <v>1063</v>
      </c>
      <c r="C389" s="9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82</v>
      </c>
      <c r="K389" s="55" t="str">
        <f t="shared" si="88"/>
        <v/>
      </c>
      <c r="L389" s="55"/>
      <c r="M389" s="55"/>
      <c r="N389" s="56" t="str">
        <f t="shared" si="3"/>
        <v/>
      </c>
      <c r="O389" s="6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21" t="s">
        <v>2734</v>
      </c>
      <c r="B390" s="62" t="s">
        <v>1060</v>
      </c>
      <c r="C390" s="9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82</v>
      </c>
      <c r="K390" s="55" t="str">
        <f t="shared" si="88"/>
        <v/>
      </c>
      <c r="L390" s="55"/>
      <c r="M390" s="55"/>
      <c r="N390" s="56" t="str">
        <f t="shared" si="3"/>
        <v/>
      </c>
      <c r="O390" s="6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21" t="s">
        <v>2735</v>
      </c>
      <c r="B391" s="62" t="s">
        <v>1065</v>
      </c>
      <c r="C391" s="9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82</v>
      </c>
      <c r="K391" s="55" t="str">
        <f t="shared" si="88"/>
        <v/>
      </c>
      <c r="L391" s="55"/>
      <c r="M391" s="55"/>
      <c r="N391" s="56" t="str">
        <f t="shared" si="3"/>
        <v/>
      </c>
      <c r="O391" s="6" t="str">
        <f t="array" ref="O391">IFERROR(_xlfn.XLOOKUP(B391,EMPRESA_1!A:A,EMPRESA_1!K:K),"")</f>
        <v>WILLIAM</v>
      </c>
      <c r="P391" s="9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21" t="s">
        <v>2736</v>
      </c>
      <c r="B392" s="62" t="s">
        <v>1070</v>
      </c>
      <c r="C392" s="9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82</v>
      </c>
      <c r="K392" s="55" t="str">
        <f t="shared" si="88"/>
        <v/>
      </c>
      <c r="L392" s="55"/>
      <c r="M392" s="55"/>
      <c r="N392" s="56" t="str">
        <f t="shared" si="3"/>
        <v/>
      </c>
      <c r="O392" s="6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1" t="s">
        <v>2737</v>
      </c>
      <c r="B393" s="62" t="s">
        <v>1067</v>
      </c>
      <c r="C393" s="9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82</v>
      </c>
      <c r="K393" s="55" t="str">
        <f t="shared" si="88"/>
        <v/>
      </c>
      <c r="L393" s="55"/>
      <c r="M393" s="55"/>
      <c r="N393" s="56" t="str">
        <f t="shared" si="3"/>
        <v/>
      </c>
      <c r="O393" s="6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1" t="s">
        <v>2738</v>
      </c>
      <c r="B394" s="62" t="s">
        <v>1850</v>
      </c>
      <c r="C394" s="9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6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1" t="s">
        <v>2739</v>
      </c>
      <c r="B395" s="62" t="s">
        <v>1848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6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1" t="s">
        <v>2740</v>
      </c>
      <c r="B396" s="62" t="s">
        <v>1075</v>
      </c>
      <c r="C396" s="9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82</v>
      </c>
      <c r="K396" s="55" t="str">
        <f t="shared" si="88"/>
        <v/>
      </c>
      <c r="L396" s="55"/>
      <c r="M396" s="55"/>
      <c r="N396" s="56" t="str">
        <f t="shared" si="3"/>
        <v/>
      </c>
      <c r="O396" s="6" t="str">
        <f t="array" ref="O396">IFERROR(_xlfn.XLOOKUP(B396,EMPRESA_1!A:A,EMPRESA_1!K:K),"")</f>
        <v>WILLIAM</v>
      </c>
      <c r="P396" s="9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1" t="s">
        <v>2741</v>
      </c>
      <c r="B397" s="62" t="s">
        <v>1085</v>
      </c>
      <c r="C397" s="9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82</v>
      </c>
      <c r="K397" s="55" t="str">
        <f t="shared" si="88"/>
        <v/>
      </c>
      <c r="L397" s="55"/>
      <c r="M397" s="55"/>
      <c r="N397" s="56" t="str">
        <f t="shared" si="3"/>
        <v/>
      </c>
      <c r="O397" s="6" t="str">
        <f t="array" ref="O397">IFERROR(_xlfn.XLOOKUP(B397,EMPRESA_1!A:A,EMPRESA_1!K:K),"")</f>
        <v>WILLIAM</v>
      </c>
      <c r="P397" s="9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/>
      </c>
      <c r="U397" s="57" t="str">
        <f t="array" ref="U397">IFERROR(_xlfn.XLOOKUP($F397,'Acerto virtual'!$E:$E,'Acerto virtual'!G:G),"")</f>
        <v/>
      </c>
      <c r="V397" s="57" t="str">
        <f t="array" ref="V397">IFERROR(_xlfn.XLOOKUP($F397,'Acerto virtual'!$E:$E,'Acerto virtual'!H:H),"")</f>
        <v/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/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1" t="s">
        <v>2742</v>
      </c>
      <c r="B398" s="62" t="s">
        <v>1087</v>
      </c>
      <c r="C398" s="9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82</v>
      </c>
      <c r="K398" s="55" t="str">
        <f t="shared" si="88"/>
        <v/>
      </c>
      <c r="L398" s="55"/>
      <c r="M398" s="55"/>
      <c r="N398" s="56" t="str">
        <f t="shared" si="3"/>
        <v/>
      </c>
      <c r="O398" s="6" t="str">
        <f t="array" ref="O398">IFERROR(_xlfn.XLOOKUP(B398,EMPRESA_1!A:A,EMPRESA_1!K:K),"")</f>
        <v>WILLIAM</v>
      </c>
      <c r="P398" s="9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1" t="s">
        <v>2743</v>
      </c>
      <c r="B399" s="62" t="s">
        <v>1077</v>
      </c>
      <c r="C399" s="9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82</v>
      </c>
      <c r="K399" s="55" t="str">
        <f t="shared" si="88"/>
        <v/>
      </c>
      <c r="L399" s="55"/>
      <c r="M399" s="55"/>
      <c r="N399" s="56" t="str">
        <f t="shared" si="3"/>
        <v/>
      </c>
      <c r="O399" s="6" t="str">
        <f t="array" ref="O399">IFERROR(_xlfn.XLOOKUP(B399,EMPRESA_1!A:A,EMPRESA_1!K:K),"")</f>
        <v>WILLIAM</v>
      </c>
      <c r="P399" s="9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21" t="s">
        <v>2744</v>
      </c>
      <c r="B400" s="62" t="s">
        <v>1083</v>
      </c>
      <c r="C400" s="9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82</v>
      </c>
      <c r="K400" s="55" t="str">
        <f t="shared" si="88"/>
        <v/>
      </c>
      <c r="L400" s="55"/>
      <c r="M400" s="55"/>
      <c r="N400" s="56" t="str">
        <f t="shared" si="3"/>
        <v/>
      </c>
      <c r="O400" s="6" t="str">
        <f t="array" ref="O400">IFERROR(_xlfn.XLOOKUP(B400,EMPRESA_1!A:A,EMPRESA_1!K:K),"")</f>
        <v>WILLIAM</v>
      </c>
      <c r="P400" s="9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/>
      </c>
      <c r="U400" s="57" t="str">
        <f t="array" ref="U400">IFERROR(_xlfn.XLOOKUP($F400,'Acerto virtual'!$E:$E,'Acerto virtual'!G:G),"")</f>
        <v/>
      </c>
      <c r="V400" s="57" t="str">
        <f t="array" ref="V400">IFERROR(_xlfn.XLOOKUP($F400,'Acerto virtual'!$E:$E,'Acerto virtual'!H:H),"")</f>
        <v/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/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1" t="s">
        <v>2745</v>
      </c>
      <c r="B401" s="62" t="s">
        <v>1079</v>
      </c>
      <c r="C401" s="9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82</v>
      </c>
      <c r="K401" s="55" t="str">
        <f t="shared" si="88"/>
        <v/>
      </c>
      <c r="L401" s="55"/>
      <c r="M401" s="55"/>
      <c r="N401" s="56" t="str">
        <f t="shared" si="3"/>
        <v/>
      </c>
      <c r="O401" s="6" t="str">
        <f t="array" ref="O401">IFERROR(_xlfn.XLOOKUP(B401,EMPRESA_1!A:A,EMPRESA_1!K:K),"")</f>
        <v>WILLIAM</v>
      </c>
      <c r="P401" s="9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1" t="s">
        <v>2746</v>
      </c>
      <c r="B402" s="62" t="s">
        <v>1843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6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1" t="s">
        <v>2747</v>
      </c>
      <c r="B403" s="62" t="s">
        <v>1058</v>
      </c>
      <c r="C403" s="9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82</v>
      </c>
      <c r="K403" s="55" t="str">
        <f t="shared" si="88"/>
        <v/>
      </c>
      <c r="L403" s="55"/>
      <c r="M403" s="55"/>
      <c r="N403" s="56" t="str">
        <f t="shared" si="3"/>
        <v/>
      </c>
      <c r="O403" s="6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1" t="s">
        <v>2748</v>
      </c>
      <c r="B404" s="62" t="s">
        <v>1056</v>
      </c>
      <c r="C404" s="9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82</v>
      </c>
      <c r="K404" s="55" t="str">
        <f t="shared" si="88"/>
        <v/>
      </c>
      <c r="L404" s="55"/>
      <c r="M404" s="55"/>
      <c r="N404" s="56" t="str">
        <f t="shared" si="3"/>
        <v/>
      </c>
      <c r="O404" s="6" t="str">
        <f t="array" ref="O404">IFERROR(_xlfn.XLOOKUP(B404,EMPRESA_1!A:A,EMPRESA_1!K:K),"")</f>
        <v>WILLIAM</v>
      </c>
      <c r="P404" s="9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21" t="s">
        <v>2749</v>
      </c>
      <c r="B405" s="62" t="s">
        <v>1061</v>
      </c>
      <c r="C405" s="9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82</v>
      </c>
      <c r="K405" s="55" t="str">
        <f t="shared" si="88"/>
        <v/>
      </c>
      <c r="L405" s="55"/>
      <c r="M405" s="55"/>
      <c r="N405" s="56" t="str">
        <f t="shared" si="3"/>
        <v/>
      </c>
      <c r="O405" s="6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21" t="s">
        <v>2750</v>
      </c>
      <c r="B406" s="62" t="s">
        <v>1073</v>
      </c>
      <c r="C406" s="9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82</v>
      </c>
      <c r="K406" s="55" t="str">
        <f t="shared" si="88"/>
        <v/>
      </c>
      <c r="L406" s="55"/>
      <c r="M406" s="55"/>
      <c r="N406" s="56" t="str">
        <f t="shared" si="3"/>
        <v/>
      </c>
      <c r="O406" s="6" t="str">
        <f t="array" ref="O406">IFERROR(_xlfn.XLOOKUP(B406,EMPRESA_1!A:A,EMPRESA_1!K:K),"")</f>
        <v>PROCURANDO</v>
      </c>
      <c r="P406" s="55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21" t="s">
        <v>2751</v>
      </c>
      <c r="B407" s="62" t="s">
        <v>1074</v>
      </c>
      <c r="C407" s="9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82</v>
      </c>
      <c r="K407" s="55" t="str">
        <f t="shared" si="88"/>
        <v/>
      </c>
      <c r="L407" s="55"/>
      <c r="M407" s="55"/>
      <c r="N407" s="56" t="str">
        <f t="shared" si="3"/>
        <v/>
      </c>
      <c r="O407" s="6" t="str">
        <f t="array" ref="O407">IFERROR(_xlfn.XLOOKUP(B407,EMPRESA_1!A:A,EMPRESA_1!K:K),"")</f>
        <v>PROCURANDO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21" t="s">
        <v>2297</v>
      </c>
      <c r="C408" s="9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6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9"/>
      <c r="B409" s="21" t="s">
        <v>1089</v>
      </c>
      <c r="C409" s="9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70</v>
      </c>
      <c r="K409" s="55" t="str">
        <f t="shared" si="88"/>
        <v/>
      </c>
      <c r="L409" s="55"/>
      <c r="M409" s="55"/>
      <c r="N409" s="55"/>
      <c r="O409" s="6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21" t="s">
        <v>1096</v>
      </c>
      <c r="C410" s="9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70</v>
      </c>
      <c r="K410" s="55" t="str">
        <f t="shared" si="88"/>
        <v/>
      </c>
      <c r="L410" s="55"/>
      <c r="M410" s="55"/>
      <c r="N410" s="55"/>
      <c r="O410" s="6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21" t="s">
        <v>1095</v>
      </c>
      <c r="C411" s="9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70</v>
      </c>
      <c r="K411" s="55" t="str">
        <f t="shared" si="88"/>
        <v/>
      </c>
      <c r="L411" s="55"/>
      <c r="M411" s="55"/>
      <c r="N411" s="55"/>
      <c r="O411" s="6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21" t="s">
        <v>1093</v>
      </c>
      <c r="C412" s="9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70</v>
      </c>
      <c r="K412" s="55" t="str">
        <f t="shared" si="88"/>
        <v/>
      </c>
      <c r="L412" s="55"/>
      <c r="M412" s="55"/>
      <c r="N412" s="55"/>
      <c r="O412" s="6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21" t="s">
        <v>1097</v>
      </c>
      <c r="C413" s="9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70</v>
      </c>
      <c r="K413" s="55" t="str">
        <f t="shared" si="88"/>
        <v/>
      </c>
      <c r="L413" s="55"/>
      <c r="M413" s="55"/>
      <c r="N413" s="55"/>
      <c r="O413" s="6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21" t="s">
        <v>1104</v>
      </c>
      <c r="C414" s="9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65</v>
      </c>
      <c r="K414" s="55" t="str">
        <f t="shared" si="88"/>
        <v/>
      </c>
      <c r="L414" s="55"/>
      <c r="M414" s="55"/>
      <c r="N414" s="55"/>
      <c r="O414" s="6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21" t="s">
        <v>1106</v>
      </c>
      <c r="C415" s="9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65</v>
      </c>
      <c r="K415" s="55" t="str">
        <f t="shared" si="88"/>
        <v/>
      </c>
      <c r="L415" s="55"/>
      <c r="M415" s="55"/>
      <c r="N415" s="55"/>
      <c r="O415" s="6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21" t="s">
        <v>1098</v>
      </c>
      <c r="C416" s="9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65</v>
      </c>
      <c r="K416" s="55" t="str">
        <f t="shared" si="88"/>
        <v/>
      </c>
      <c r="L416" s="55"/>
      <c r="M416" s="55"/>
      <c r="N416" s="55"/>
      <c r="O416" s="6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21" t="s">
        <v>1101</v>
      </c>
      <c r="C417" s="9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65</v>
      </c>
      <c r="K417" s="55" t="str">
        <f t="shared" si="88"/>
        <v/>
      </c>
      <c r="L417" s="55"/>
      <c r="M417" s="55"/>
      <c r="N417" s="55"/>
      <c r="O417" s="6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21" t="s">
        <v>1109</v>
      </c>
      <c r="C418" s="9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65</v>
      </c>
      <c r="K418" s="55" t="str">
        <f t="shared" si="88"/>
        <v/>
      </c>
      <c r="L418" s="55"/>
      <c r="M418" s="55"/>
      <c r="N418" s="55"/>
      <c r="O418" s="6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21" t="s">
        <v>1157</v>
      </c>
      <c r="C419" s="9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65</v>
      </c>
      <c r="K419" s="55" t="str">
        <f t="shared" si="88"/>
        <v/>
      </c>
      <c r="L419" s="55"/>
      <c r="M419" s="55"/>
      <c r="N419" s="55"/>
      <c r="O419" s="6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21" t="s">
        <v>1119</v>
      </c>
      <c r="C420" s="9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65</v>
      </c>
      <c r="K420" s="55" t="str">
        <f t="shared" si="88"/>
        <v/>
      </c>
      <c r="L420" s="55"/>
      <c r="M420" s="55"/>
      <c r="N420" s="55"/>
      <c r="O420" s="6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21" t="s">
        <v>1113</v>
      </c>
      <c r="C421" s="9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65</v>
      </c>
      <c r="K421" s="55" t="str">
        <f t="shared" si="88"/>
        <v/>
      </c>
      <c r="L421" s="55"/>
      <c r="M421" s="55"/>
      <c r="N421" s="55"/>
      <c r="O421" s="6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21" t="s">
        <v>1154</v>
      </c>
      <c r="C422" s="9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65</v>
      </c>
      <c r="K422" s="55" t="str">
        <f t="shared" si="88"/>
        <v/>
      </c>
      <c r="L422" s="55"/>
      <c r="M422" s="55"/>
      <c r="N422" s="55"/>
      <c r="O422" s="6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21" t="s">
        <v>1132</v>
      </c>
      <c r="C423" s="9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65</v>
      </c>
      <c r="K423" s="55" t="str">
        <f t="shared" si="88"/>
        <v/>
      </c>
      <c r="L423" s="55"/>
      <c r="M423" s="55"/>
      <c r="N423" s="55"/>
      <c r="O423" s="6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21" t="s">
        <v>1133</v>
      </c>
      <c r="C424" s="9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65</v>
      </c>
      <c r="K424" s="55" t="str">
        <f t="shared" si="88"/>
        <v/>
      </c>
      <c r="L424" s="55"/>
      <c r="M424" s="55"/>
      <c r="N424" s="55"/>
      <c r="O424" s="6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21" t="s">
        <v>1140</v>
      </c>
      <c r="C425" s="9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65</v>
      </c>
      <c r="K425" s="55" t="str">
        <f t="shared" si="88"/>
        <v/>
      </c>
      <c r="L425" s="55"/>
      <c r="M425" s="55"/>
      <c r="N425" s="55"/>
      <c r="O425" s="6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21" t="s">
        <v>1138</v>
      </c>
      <c r="C426" s="9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65</v>
      </c>
      <c r="K426" s="55" t="str">
        <f t="shared" si="88"/>
        <v/>
      </c>
      <c r="L426" s="55"/>
      <c r="M426" s="55"/>
      <c r="N426" s="55"/>
      <c r="O426" s="6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21" t="s">
        <v>1122</v>
      </c>
      <c r="C427" s="9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65</v>
      </c>
      <c r="K427" s="55" t="str">
        <f t="shared" si="88"/>
        <v/>
      </c>
      <c r="L427" s="55"/>
      <c r="M427" s="55"/>
      <c r="N427" s="55"/>
      <c r="O427" s="6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21" t="s">
        <v>1152</v>
      </c>
      <c r="C428" s="9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65</v>
      </c>
      <c r="K428" s="55" t="str">
        <f t="shared" si="88"/>
        <v/>
      </c>
      <c r="L428" s="55"/>
      <c r="M428" s="55"/>
      <c r="N428" s="55"/>
      <c r="O428" s="6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21" t="s">
        <v>1150</v>
      </c>
      <c r="C429" s="9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65</v>
      </c>
      <c r="K429" s="55" t="str">
        <f t="shared" si="88"/>
        <v/>
      </c>
      <c r="L429" s="55"/>
      <c r="M429" s="55"/>
      <c r="N429" s="55"/>
      <c r="O429" s="6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21" t="s">
        <v>1128</v>
      </c>
      <c r="C430" s="9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65</v>
      </c>
      <c r="K430" s="55" t="str">
        <f t="shared" si="88"/>
        <v/>
      </c>
      <c r="L430" s="55"/>
      <c r="M430" s="55"/>
      <c r="N430" s="55"/>
      <c r="O430" s="6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21" t="s">
        <v>1127</v>
      </c>
      <c r="C431" s="9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65</v>
      </c>
      <c r="K431" s="55" t="str">
        <f t="shared" si="88"/>
        <v/>
      </c>
      <c r="L431" s="55"/>
      <c r="M431" s="55"/>
      <c r="N431" s="55"/>
      <c r="O431" s="6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21" t="s">
        <v>1124</v>
      </c>
      <c r="C432" s="9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65</v>
      </c>
      <c r="K432" s="55" t="str">
        <f t="shared" si="88"/>
        <v/>
      </c>
      <c r="L432" s="55"/>
      <c r="M432" s="55"/>
      <c r="N432" s="55"/>
      <c r="O432" s="6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21" t="s">
        <v>1164</v>
      </c>
      <c r="C433" s="9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65</v>
      </c>
      <c r="K433" s="55" t="str">
        <f t="shared" si="88"/>
        <v/>
      </c>
      <c r="L433" s="55"/>
      <c r="M433" s="55"/>
      <c r="N433" s="55"/>
      <c r="O433" s="6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21" t="s">
        <v>1169</v>
      </c>
      <c r="C434" s="9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65</v>
      </c>
      <c r="K434" s="55" t="str">
        <f t="shared" si="88"/>
        <v/>
      </c>
      <c r="L434" s="55"/>
      <c r="M434" s="55"/>
      <c r="N434" s="55"/>
      <c r="O434" s="6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21" t="s">
        <v>1159</v>
      </c>
      <c r="C435" s="9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65</v>
      </c>
      <c r="K435" s="55" t="str">
        <f t="shared" si="88"/>
        <v/>
      </c>
      <c r="L435" s="55"/>
      <c r="M435" s="55"/>
      <c r="N435" s="55"/>
      <c r="O435" s="6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21" t="s">
        <v>1136</v>
      </c>
      <c r="C436" s="9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65</v>
      </c>
      <c r="K436" s="55" t="str">
        <f t="shared" si="88"/>
        <v/>
      </c>
      <c r="L436" s="55"/>
      <c r="M436" s="55"/>
      <c r="N436" s="55"/>
      <c r="O436" s="6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21" t="s">
        <v>1144</v>
      </c>
      <c r="C437" s="9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65</v>
      </c>
      <c r="K437" s="55" t="str">
        <f t="shared" si="88"/>
        <v/>
      </c>
      <c r="L437" s="55"/>
      <c r="M437" s="55"/>
      <c r="N437" s="55"/>
      <c r="O437" s="6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21" t="s">
        <v>1147</v>
      </c>
      <c r="C438" s="9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65</v>
      </c>
      <c r="K438" s="55" t="str">
        <f t="shared" si="88"/>
        <v/>
      </c>
      <c r="L438" s="55"/>
      <c r="M438" s="55"/>
      <c r="N438" s="55"/>
      <c r="O438" s="6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21" t="s">
        <v>1145</v>
      </c>
      <c r="C439" s="9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65</v>
      </c>
      <c r="K439" s="55" t="str">
        <f t="shared" si="88"/>
        <v/>
      </c>
      <c r="L439" s="55"/>
      <c r="M439" s="55"/>
      <c r="N439" s="55"/>
      <c r="O439" s="6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21" t="s">
        <v>1224</v>
      </c>
      <c r="C440" s="9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65</v>
      </c>
      <c r="K440" s="55" t="str">
        <f t="shared" si="88"/>
        <v/>
      </c>
      <c r="L440" s="55"/>
      <c r="M440" s="55"/>
      <c r="N440" s="55"/>
      <c r="O440" s="6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21" t="s">
        <v>1225</v>
      </c>
      <c r="C441" s="9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65</v>
      </c>
      <c r="K441" s="55" t="str">
        <f t="shared" si="88"/>
        <v/>
      </c>
      <c r="L441" s="55"/>
      <c r="M441" s="55"/>
      <c r="N441" s="55"/>
      <c r="O441" s="6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21" t="s">
        <v>1171</v>
      </c>
      <c r="C442" s="9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57</v>
      </c>
      <c r="K442" s="55"/>
      <c r="L442" s="55"/>
      <c r="M442" s="55"/>
      <c r="N442" s="55"/>
      <c r="O442" s="6" t="str">
        <f t="array" ref="O442">IFERROR(_xlfn.XLOOKUP(B442,EMPRESA_1!A:A,EMPRESA_1!K:K),"")</f>
        <v/>
      </c>
      <c r="P442" s="9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21" t="s">
        <v>1174</v>
      </c>
      <c r="C443" s="9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57</v>
      </c>
      <c r="K443" s="55"/>
      <c r="L443" s="55"/>
      <c r="M443" s="55"/>
      <c r="N443" s="55"/>
      <c r="O443" s="6" t="str">
        <f t="array" ref="O443">IFERROR(_xlfn.XLOOKUP(B443,EMPRESA_1!A:A,EMPRESA_1!K:K),"")</f>
        <v/>
      </c>
      <c r="P443" s="9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21" t="s">
        <v>1177</v>
      </c>
      <c r="C444" s="9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50</v>
      </c>
      <c r="K444" s="55"/>
      <c r="L444" s="55"/>
      <c r="M444" s="55"/>
      <c r="N444" s="55"/>
      <c r="O444" s="6" t="str">
        <f t="array" ref="O444">IFERROR(_xlfn.XLOOKUP(B444,EMPRESA_1!A:A,EMPRESA_1!K:K),"")</f>
        <v/>
      </c>
      <c r="P444" s="9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21" t="s">
        <v>1176</v>
      </c>
      <c r="C445" s="9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50</v>
      </c>
      <c r="K445" s="55"/>
      <c r="L445" s="55"/>
      <c r="M445" s="55"/>
      <c r="N445" s="55"/>
      <c r="O445" s="6" t="str">
        <f t="array" ref="O445">IFERROR(_xlfn.XLOOKUP(B445,EMPRESA_1!A:A,EMPRESA_1!K:K),"")</f>
        <v/>
      </c>
      <c r="P445" s="9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21" t="s">
        <v>1178</v>
      </c>
      <c r="C446" s="9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48</v>
      </c>
      <c r="K446" s="55"/>
      <c r="L446" s="55"/>
      <c r="M446" s="55"/>
      <c r="N446" s="55"/>
      <c r="O446" s="55"/>
      <c r="P446" s="9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21" t="s">
        <v>1184</v>
      </c>
      <c r="C447" s="9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48</v>
      </c>
      <c r="K447" s="55"/>
      <c r="L447" s="55"/>
      <c r="M447" s="55"/>
      <c r="N447" s="55"/>
      <c r="O447" s="55"/>
      <c r="P447" s="9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21" t="s">
        <v>1182</v>
      </c>
      <c r="C448" s="9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48</v>
      </c>
      <c r="K448" s="55"/>
      <c r="L448" s="55"/>
      <c r="M448" s="55"/>
      <c r="N448" s="55"/>
      <c r="O448" s="55"/>
      <c r="P448" s="9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21" t="s">
        <v>1186</v>
      </c>
      <c r="C449" s="9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42</v>
      </c>
      <c r="K449" s="55"/>
      <c r="L449" s="55"/>
      <c r="M449" s="55"/>
      <c r="N449" s="55"/>
      <c r="O449" s="55"/>
      <c r="P449" s="9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21" t="s">
        <v>1187</v>
      </c>
      <c r="C450" s="9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42</v>
      </c>
      <c r="K450" s="55"/>
      <c r="L450" s="55"/>
      <c r="M450" s="55"/>
      <c r="N450" s="55"/>
      <c r="O450" s="55"/>
      <c r="P450" s="9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9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9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9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9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9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9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9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9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9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9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9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9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9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9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9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9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9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9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9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9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9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9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9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9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9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9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9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9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9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9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9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9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9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9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9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9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9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9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9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9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9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9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9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9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9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9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9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9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9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9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9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9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9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9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9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9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9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9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9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9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9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9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9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9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9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9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9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9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9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9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9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9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9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9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9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9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9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9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9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9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9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9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9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9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9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9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9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9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9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9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9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9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9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9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9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9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9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9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9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9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9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9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9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9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9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9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9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9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9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9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9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9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9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9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9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9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9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9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9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9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9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9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9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9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9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9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9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9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9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9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9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9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9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9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9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9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9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9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9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9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9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9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9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9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9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9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9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9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9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9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9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9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9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9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9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9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9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9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9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9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9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9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9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9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9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9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9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9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9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9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9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9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9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9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9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9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9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9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9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9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9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9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9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9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9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9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9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9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9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9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9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9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9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9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9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9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9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9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9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9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9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9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9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9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9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9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9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9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9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9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9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9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9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9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9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9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9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9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9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9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9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9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9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9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9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9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9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9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9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9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9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9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9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9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9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9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9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9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9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9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9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9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9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9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9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9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9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9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9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9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9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9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9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9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9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9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9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9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9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9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9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9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9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9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9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9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9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9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9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9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9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9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9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9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9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9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9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9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9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9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9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9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9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9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9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9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9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9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9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9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9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9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9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9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9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9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9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9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9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9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9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9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9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9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9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9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9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9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9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9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9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9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9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9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9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9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9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9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9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9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9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9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9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9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9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9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9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9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9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9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9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9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9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9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9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9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9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9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9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9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9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9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9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9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9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9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9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9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9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9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9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9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9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9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9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9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9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9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9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9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9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9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9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9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9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9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9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9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9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9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9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9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9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9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9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9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9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9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9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9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9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9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9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9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9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9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9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9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9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9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9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9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9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9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9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9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9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9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9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9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9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9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9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9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9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9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9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9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9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9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9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9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9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9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9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9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9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9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9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9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9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9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9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9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9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9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9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9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9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9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9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9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9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9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9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9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9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9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9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9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9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9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9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9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9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9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9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9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9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9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9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9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9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9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9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9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9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9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9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9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9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9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9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9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9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9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9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9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9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9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9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9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9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9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9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9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9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9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9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9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9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9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9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9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9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9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9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9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9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9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9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9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9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9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9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9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9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9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9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9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9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9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9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9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9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9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9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9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9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9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9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9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9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9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9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9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9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9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9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9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9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9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9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9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9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9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9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9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9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9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9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9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9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9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9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9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9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9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9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9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9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9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9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9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9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9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9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9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9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9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9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9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9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8"/>
        <filter val="190"/>
        <filter val="274"/>
        <filter val="111"/>
        <filter val="398"/>
        <filter val="355"/>
        <filter val="555"/>
        <filter val="314"/>
        <filter val="359"/>
        <filter val="316"/>
        <filter val="517"/>
        <filter val="50"/>
        <filter val="99"/>
        <filter val="57"/>
        <filter val="282"/>
        <filter val="163"/>
        <filter val="362"/>
        <filter val="285"/>
        <filter val="484"/>
        <filter val="440"/>
        <filter val="286"/>
        <filter val="243"/>
        <filter val="288"/>
        <filter val="168"/>
        <filter val="400"/>
        <filter val="246"/>
        <filter val="203"/>
        <filter val="126"/>
        <filter val="205"/>
        <filter val="128"/>
        <filter val="404"/>
        <filter val="65"/>
        <filter val="371"/>
        <filter val="450"/>
        <filter val="253"/>
        <filter val="176"/>
        <filter val="454"/>
        <filter val="413"/>
        <filter val="336"/>
        <filter val="217"/>
        <filter val="70"/>
        <filter val="539"/>
        <filter val="141"/>
        <filter val="384"/>
        <filter val="343"/>
        <filter val="267"/>
        <filter val="146"/>
        <filter val="422"/>
        <filter val="225"/>
        <filter val="105"/>
        <filter val="307"/>
        <filter val="82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4" t="s">
        <v>3</v>
      </c>
      <c r="C1" s="6" t="s">
        <v>4</v>
      </c>
      <c r="D1" s="9"/>
      <c r="E1" s="9"/>
      <c r="F1" s="9"/>
      <c r="G1" s="9"/>
      <c r="H1" s="9"/>
      <c r="I1" s="9"/>
      <c r="J1" s="9"/>
      <c r="K1" s="9"/>
      <c r="L1" s="10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3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6" t="s">
        <v>11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14" t="s">
        <v>17</v>
      </c>
      <c r="M2" s="6" t="s">
        <v>18</v>
      </c>
      <c r="N2" s="6" t="s">
        <v>19</v>
      </c>
      <c r="O2" s="6" t="s">
        <v>20</v>
      </c>
      <c r="P2" s="6" t="s">
        <v>21</v>
      </c>
      <c r="Q2" s="6" t="s">
        <v>22</v>
      </c>
      <c r="R2" s="6" t="s">
        <v>23</v>
      </c>
      <c r="S2" s="6" t="s">
        <v>24</v>
      </c>
      <c r="T2" s="6" t="s">
        <v>25</v>
      </c>
      <c r="U2" s="6" t="s">
        <v>26</v>
      </c>
      <c r="V2" s="6" t="s">
        <v>27</v>
      </c>
      <c r="W2" s="6" t="s">
        <v>28</v>
      </c>
      <c r="X2" s="6" t="s">
        <v>29</v>
      </c>
      <c r="Y2" s="6" t="s">
        <v>30</v>
      </c>
      <c r="Z2" s="6" t="s">
        <v>31</v>
      </c>
      <c r="AA2" s="6" t="s">
        <v>32</v>
      </c>
      <c r="AB2" s="6" t="s">
        <v>33</v>
      </c>
      <c r="AC2" s="6" t="s">
        <v>34</v>
      </c>
      <c r="AD2" s="6" t="s">
        <v>35</v>
      </c>
      <c r="AE2" s="9"/>
      <c r="AF2" s="9"/>
      <c r="AG2" s="9"/>
    </row>
    <row r="3" hidden="1">
      <c r="A3" s="21">
        <f>COUNTIF('Histórico'!$B:$B,B3)</f>
        <v>1</v>
      </c>
      <c r="B3" s="21" t="s">
        <v>38</v>
      </c>
      <c r="C3" s="9"/>
      <c r="D3" s="6" t="s">
        <v>39</v>
      </c>
      <c r="E3" s="6" t="s">
        <v>40</v>
      </c>
      <c r="F3" s="23">
        <v>45698.0</v>
      </c>
      <c r="G3" s="6" t="s">
        <v>41</v>
      </c>
      <c r="H3" s="23">
        <v>45698.0</v>
      </c>
      <c r="I3" s="6" t="s">
        <v>42</v>
      </c>
      <c r="J3" s="6">
        <v>22373.0</v>
      </c>
      <c r="K3" s="6" t="s">
        <v>43</v>
      </c>
      <c r="L3" s="14">
        <v>3859.0</v>
      </c>
      <c r="M3" s="9"/>
      <c r="N3" s="9"/>
      <c r="O3" s="9"/>
      <c r="P3" s="9"/>
      <c r="Q3" s="6">
        <v>1.0</v>
      </c>
      <c r="R3" s="23">
        <v>45694.0</v>
      </c>
      <c r="S3" s="23">
        <v>45700.0</v>
      </c>
      <c r="T3" s="23">
        <v>45698.0</v>
      </c>
      <c r="U3" s="9"/>
      <c r="V3" s="6" t="s">
        <v>44</v>
      </c>
      <c r="W3" s="9"/>
      <c r="X3" s="6" t="s">
        <v>45</v>
      </c>
      <c r="Y3" s="6" t="s">
        <v>46</v>
      </c>
      <c r="Z3" s="6">
        <v>3.040205095E9</v>
      </c>
      <c r="AA3" s="6" t="s">
        <v>45</v>
      </c>
      <c r="AB3" s="6" t="s">
        <v>46</v>
      </c>
      <c r="AC3" s="6" t="s">
        <v>47</v>
      </c>
      <c r="AD3" s="9"/>
      <c r="AE3" s="9"/>
      <c r="AF3" s="9"/>
      <c r="AG3" s="9"/>
    </row>
    <row r="4" hidden="1">
      <c r="A4" s="21">
        <f>COUNTIF('Histórico'!$B:$B,B4)</f>
        <v>1</v>
      </c>
      <c r="B4" s="21" t="s">
        <v>48</v>
      </c>
      <c r="C4" s="9"/>
      <c r="D4" s="6" t="s">
        <v>39</v>
      </c>
      <c r="E4" s="6" t="s">
        <v>40</v>
      </c>
      <c r="F4" s="23">
        <v>45714.0</v>
      </c>
      <c r="G4" s="6" t="s">
        <v>41</v>
      </c>
      <c r="H4" s="23">
        <v>45714.0</v>
      </c>
      <c r="I4" s="6" t="s">
        <v>51</v>
      </c>
      <c r="J4" s="6">
        <v>78286.0</v>
      </c>
      <c r="K4" s="6" t="s">
        <v>54</v>
      </c>
      <c r="L4" s="14" t="s">
        <v>55</v>
      </c>
      <c r="M4" s="9"/>
      <c r="N4" s="9"/>
      <c r="O4" s="9"/>
      <c r="P4" s="9"/>
      <c r="Q4" s="6">
        <v>1.0</v>
      </c>
      <c r="R4" s="23">
        <v>45713.0</v>
      </c>
      <c r="S4" s="23">
        <v>45719.0</v>
      </c>
      <c r="T4" s="23">
        <v>45714.0</v>
      </c>
      <c r="U4" s="9"/>
      <c r="V4" s="6" t="s">
        <v>44</v>
      </c>
      <c r="W4" s="9"/>
      <c r="X4" s="6" t="s">
        <v>45</v>
      </c>
      <c r="Y4" s="6" t="s">
        <v>46</v>
      </c>
      <c r="Z4" s="6">
        <v>3.04030802E9</v>
      </c>
      <c r="AA4" s="6" t="s">
        <v>57</v>
      </c>
      <c r="AB4" s="6" t="s">
        <v>58</v>
      </c>
      <c r="AC4" s="6" t="s">
        <v>59</v>
      </c>
      <c r="AD4" s="9"/>
      <c r="AE4" s="9"/>
      <c r="AF4" s="9"/>
      <c r="AG4" s="9"/>
    </row>
    <row r="5" hidden="1">
      <c r="A5" s="21">
        <f>COUNTIF('Histórico'!$B:$B,B5)</f>
        <v>1</v>
      </c>
      <c r="B5" s="21" t="s">
        <v>61</v>
      </c>
      <c r="C5" s="9"/>
      <c r="D5" s="6" t="s">
        <v>39</v>
      </c>
      <c r="E5" s="6" t="s">
        <v>40</v>
      </c>
      <c r="F5" s="23">
        <v>45714.0</v>
      </c>
      <c r="G5" s="6" t="s">
        <v>41</v>
      </c>
      <c r="H5" s="23">
        <v>45714.0</v>
      </c>
      <c r="I5" s="6" t="s">
        <v>51</v>
      </c>
      <c r="J5" s="6">
        <v>78286.0</v>
      </c>
      <c r="K5" s="6" t="s">
        <v>54</v>
      </c>
      <c r="L5" s="14" t="s">
        <v>67</v>
      </c>
      <c r="M5" s="9"/>
      <c r="N5" s="9"/>
      <c r="O5" s="9"/>
      <c r="P5" s="9"/>
      <c r="Q5" s="6">
        <v>1.0</v>
      </c>
      <c r="R5" s="23">
        <v>45713.0</v>
      </c>
      <c r="S5" s="23">
        <v>45719.0</v>
      </c>
      <c r="T5" s="23">
        <v>45714.0</v>
      </c>
      <c r="U5" s="9"/>
      <c r="V5" s="6" t="s">
        <v>44</v>
      </c>
      <c r="W5" s="9"/>
      <c r="X5" s="6" t="s">
        <v>45</v>
      </c>
      <c r="Y5" s="6" t="s">
        <v>46</v>
      </c>
      <c r="Z5" s="6">
        <v>3.040309304E9</v>
      </c>
      <c r="AA5" s="6" t="s">
        <v>63</v>
      </c>
      <c r="AB5" s="6" t="s">
        <v>72</v>
      </c>
      <c r="AC5" s="6" t="s">
        <v>74</v>
      </c>
      <c r="AD5" s="9"/>
      <c r="AE5" s="9"/>
      <c r="AF5" s="9"/>
      <c r="AG5" s="9"/>
    </row>
    <row r="6" hidden="1">
      <c r="A6" s="21">
        <f>COUNTIF('Histórico'!$B:$B,B6)</f>
        <v>1</v>
      </c>
      <c r="B6" s="21" t="s">
        <v>77</v>
      </c>
      <c r="C6" s="9"/>
      <c r="D6" s="6" t="s">
        <v>39</v>
      </c>
      <c r="E6" s="6" t="s">
        <v>40</v>
      </c>
      <c r="F6" s="23">
        <v>45714.0</v>
      </c>
      <c r="G6" s="6" t="s">
        <v>41</v>
      </c>
      <c r="H6" s="23">
        <v>45714.0</v>
      </c>
      <c r="I6" s="6">
        <v>3034792.0</v>
      </c>
      <c r="J6" s="6">
        <v>198.0</v>
      </c>
      <c r="K6" s="6" t="s">
        <v>78</v>
      </c>
      <c r="L6" s="14">
        <v>3342.0</v>
      </c>
      <c r="M6" s="9"/>
      <c r="N6" s="9"/>
      <c r="O6" s="9"/>
      <c r="P6" s="9"/>
      <c r="Q6" s="6">
        <v>1.0</v>
      </c>
      <c r="R6" s="23">
        <v>45713.0</v>
      </c>
      <c r="S6" s="23">
        <v>45964.0</v>
      </c>
      <c r="T6" s="23">
        <v>45714.0</v>
      </c>
      <c r="U6" s="9"/>
      <c r="V6" s="6" t="s">
        <v>44</v>
      </c>
      <c r="W6" s="9"/>
      <c r="X6" s="6" t="s">
        <v>45</v>
      </c>
      <c r="Y6" s="6" t="s">
        <v>46</v>
      </c>
      <c r="Z6" s="6">
        <v>3.040310537E9</v>
      </c>
      <c r="AA6" s="6" t="s">
        <v>45</v>
      </c>
      <c r="AB6" s="6" t="s">
        <v>46</v>
      </c>
      <c r="AC6" s="6" t="s">
        <v>80</v>
      </c>
      <c r="AD6" s="9"/>
      <c r="AE6" s="9"/>
      <c r="AF6" s="9"/>
      <c r="AG6" s="9"/>
    </row>
    <row r="7" hidden="1">
      <c r="A7" s="21">
        <f>COUNTIF('Histórico'!$B:$B,B7)</f>
        <v>1</v>
      </c>
      <c r="B7" s="21" t="s">
        <v>81</v>
      </c>
      <c r="C7" s="9"/>
      <c r="D7" s="6" t="s">
        <v>39</v>
      </c>
      <c r="E7" s="6" t="s">
        <v>40</v>
      </c>
      <c r="F7" s="23">
        <v>45736.0</v>
      </c>
      <c r="G7" s="6" t="s">
        <v>41</v>
      </c>
      <c r="H7" s="23">
        <v>45736.0</v>
      </c>
      <c r="I7" s="6" t="s">
        <v>84</v>
      </c>
      <c r="J7" s="6">
        <v>60253.0</v>
      </c>
      <c r="K7" s="6" t="s">
        <v>85</v>
      </c>
      <c r="L7" s="14">
        <v>9450.0</v>
      </c>
      <c r="M7" s="9"/>
      <c r="N7" s="9"/>
      <c r="O7" s="9"/>
      <c r="P7" s="9"/>
      <c r="Q7" s="6">
        <v>1.0</v>
      </c>
      <c r="R7" s="23">
        <v>45730.0</v>
      </c>
      <c r="S7" s="23">
        <v>45736.0</v>
      </c>
      <c r="T7" s="23">
        <v>45736.0</v>
      </c>
      <c r="U7" s="9"/>
      <c r="V7" s="6" t="s">
        <v>44</v>
      </c>
      <c r="W7" s="21"/>
      <c r="X7" s="6" t="s">
        <v>45</v>
      </c>
      <c r="Y7" s="6" t="s">
        <v>46</v>
      </c>
      <c r="Z7" s="6">
        <v>3.040310142E9</v>
      </c>
      <c r="AA7" s="6" t="s">
        <v>63</v>
      </c>
      <c r="AB7" s="6" t="s">
        <v>72</v>
      </c>
      <c r="AC7" s="6" t="s">
        <v>74</v>
      </c>
      <c r="AD7" s="9"/>
      <c r="AE7" s="9"/>
      <c r="AF7" s="9"/>
      <c r="AG7" s="9"/>
    </row>
    <row r="8" hidden="1">
      <c r="A8" s="21">
        <f>COUNTIF('Histórico'!$B:$B,B8)</f>
        <v>1</v>
      </c>
      <c r="B8" s="21" t="s">
        <v>89</v>
      </c>
      <c r="C8" s="9"/>
      <c r="D8" s="6" t="s">
        <v>39</v>
      </c>
      <c r="E8" s="6" t="s">
        <v>40</v>
      </c>
      <c r="F8" s="23">
        <v>45736.0</v>
      </c>
      <c r="G8" s="6" t="s">
        <v>41</v>
      </c>
      <c r="H8" s="23">
        <v>45736.0</v>
      </c>
      <c r="I8" s="6" t="s">
        <v>90</v>
      </c>
      <c r="J8" s="6">
        <v>83326.0</v>
      </c>
      <c r="K8" s="6" t="s">
        <v>91</v>
      </c>
      <c r="L8" s="14">
        <v>2697.0</v>
      </c>
      <c r="M8" s="9"/>
      <c r="N8" s="9"/>
      <c r="O8" s="9"/>
      <c r="P8" s="9"/>
      <c r="Q8" s="6">
        <v>1.0</v>
      </c>
      <c r="R8" s="23">
        <v>45730.0</v>
      </c>
      <c r="S8" s="23">
        <v>45736.0</v>
      </c>
      <c r="T8" s="23">
        <v>45736.0</v>
      </c>
      <c r="U8" s="9"/>
      <c r="V8" s="6" t="s">
        <v>44</v>
      </c>
      <c r="W8" s="21"/>
      <c r="X8" s="6" t="s">
        <v>45</v>
      </c>
      <c r="Y8" s="6" t="s">
        <v>46</v>
      </c>
      <c r="Z8" s="6">
        <v>3.040309199E9</v>
      </c>
      <c r="AA8" s="6" t="s">
        <v>64</v>
      </c>
      <c r="AB8" s="6" t="s">
        <v>94</v>
      </c>
      <c r="AC8" s="6" t="s">
        <v>95</v>
      </c>
      <c r="AD8" s="9"/>
      <c r="AE8" s="9"/>
      <c r="AF8" s="9"/>
      <c r="AG8" s="9"/>
    </row>
    <row r="9" hidden="1">
      <c r="A9" s="21">
        <f>COUNTIF('Histórico'!$B:$B,B9)</f>
        <v>1</v>
      </c>
      <c r="B9" s="21" t="s">
        <v>96</v>
      </c>
      <c r="C9" s="9"/>
      <c r="D9" s="6" t="s">
        <v>39</v>
      </c>
      <c r="E9" s="6" t="s">
        <v>40</v>
      </c>
      <c r="F9" s="23">
        <v>45736.0</v>
      </c>
      <c r="G9" s="6" t="s">
        <v>41</v>
      </c>
      <c r="H9" s="23">
        <v>45736.0</v>
      </c>
      <c r="I9" s="6" t="s">
        <v>100</v>
      </c>
      <c r="J9" s="6">
        <v>71379.0</v>
      </c>
      <c r="K9" s="6" t="s">
        <v>101</v>
      </c>
      <c r="L9" s="14" t="s">
        <v>102</v>
      </c>
      <c r="M9" s="9"/>
      <c r="N9" s="9"/>
      <c r="O9" s="9"/>
      <c r="P9" s="9"/>
      <c r="Q9" s="6">
        <v>1.0</v>
      </c>
      <c r="R9" s="23">
        <v>45730.0</v>
      </c>
      <c r="S9" s="50">
        <v>45981.0</v>
      </c>
      <c r="T9" s="23">
        <v>45736.0</v>
      </c>
      <c r="U9" s="9"/>
      <c r="V9" s="6" t="s">
        <v>103</v>
      </c>
      <c r="W9" s="6">
        <v>3.13250016538E11</v>
      </c>
      <c r="X9" s="6" t="s">
        <v>45</v>
      </c>
      <c r="Y9" s="6" t="s">
        <v>46</v>
      </c>
      <c r="Z9" s="6">
        <v>3.040304272E9</v>
      </c>
      <c r="AA9" s="6" t="s">
        <v>64</v>
      </c>
      <c r="AB9" s="6" t="s">
        <v>94</v>
      </c>
      <c r="AC9" s="6" t="s">
        <v>95</v>
      </c>
      <c r="AD9" s="9"/>
      <c r="AE9" s="9"/>
      <c r="AF9" s="9"/>
      <c r="AG9" s="9"/>
    </row>
    <row r="10" hidden="1">
      <c r="A10" s="21">
        <f>COUNTIF('Histórico'!$B:$B,B10)</f>
        <v>1</v>
      </c>
      <c r="B10" s="21" t="s">
        <v>116</v>
      </c>
      <c r="C10" s="9"/>
      <c r="D10" s="6" t="s">
        <v>39</v>
      </c>
      <c r="E10" s="6" t="s">
        <v>40</v>
      </c>
      <c r="F10" s="23">
        <v>45736.0</v>
      </c>
      <c r="G10" s="6" t="s">
        <v>41</v>
      </c>
      <c r="H10" s="23">
        <v>45736.0</v>
      </c>
      <c r="I10" s="6" t="s">
        <v>100</v>
      </c>
      <c r="J10" s="6">
        <v>71379.0</v>
      </c>
      <c r="K10" s="6" t="s">
        <v>101</v>
      </c>
      <c r="L10" s="14">
        <v>2410.0</v>
      </c>
      <c r="M10" s="9"/>
      <c r="N10" s="9"/>
      <c r="O10" s="9"/>
      <c r="P10" s="9"/>
      <c r="Q10" s="6">
        <v>1.0</v>
      </c>
      <c r="R10" s="23">
        <v>45730.0</v>
      </c>
      <c r="S10" s="50">
        <v>45981.0</v>
      </c>
      <c r="T10" s="23">
        <v>45736.0</v>
      </c>
      <c r="U10" s="9"/>
      <c r="V10" s="6" t="s">
        <v>103</v>
      </c>
      <c r="W10" s="6">
        <v>3.04250073785E11</v>
      </c>
      <c r="X10" s="6" t="s">
        <v>45</v>
      </c>
      <c r="Y10" s="6" t="s">
        <v>46</v>
      </c>
      <c r="Z10" s="6">
        <v>3.040307586E9</v>
      </c>
      <c r="AA10" s="6" t="s">
        <v>62</v>
      </c>
      <c r="AB10" s="6" t="s">
        <v>120</v>
      </c>
      <c r="AC10" s="6" t="s">
        <v>121</v>
      </c>
      <c r="AD10" s="9"/>
      <c r="AE10" s="9"/>
      <c r="AF10" s="9"/>
      <c r="AG10" s="9"/>
    </row>
    <row r="11" hidden="1">
      <c r="A11" s="21">
        <f>COUNTIF('Histórico'!$B:$B,B11)</f>
        <v>1</v>
      </c>
      <c r="B11" s="21" t="s">
        <v>138</v>
      </c>
      <c r="C11" s="9"/>
      <c r="D11" s="6" t="s">
        <v>39</v>
      </c>
      <c r="E11" s="6" t="s">
        <v>40</v>
      </c>
      <c r="F11" s="23">
        <v>45736.0</v>
      </c>
      <c r="G11" s="6" t="s">
        <v>41</v>
      </c>
      <c r="H11" s="23">
        <v>45736.0</v>
      </c>
      <c r="I11" s="6" t="s">
        <v>90</v>
      </c>
      <c r="J11" s="6">
        <v>83326.0</v>
      </c>
      <c r="K11" s="6" t="s">
        <v>91</v>
      </c>
      <c r="L11" s="14">
        <v>1920.0</v>
      </c>
      <c r="M11" s="9"/>
      <c r="N11" s="9"/>
      <c r="O11" s="9"/>
      <c r="P11" s="9"/>
      <c r="Q11" s="6">
        <v>1.0</v>
      </c>
      <c r="R11" s="23">
        <v>45730.0</v>
      </c>
      <c r="S11" s="23">
        <v>45757.0</v>
      </c>
      <c r="T11" s="23">
        <v>45736.0</v>
      </c>
      <c r="U11" s="9"/>
      <c r="V11" s="6" t="s">
        <v>44</v>
      </c>
      <c r="W11" s="9"/>
      <c r="X11" s="6" t="s">
        <v>45</v>
      </c>
      <c r="Y11" s="6" t="s">
        <v>46</v>
      </c>
      <c r="Z11" s="6">
        <v>3.04030642E9</v>
      </c>
      <c r="AA11" s="6" t="s">
        <v>143</v>
      </c>
      <c r="AB11" s="6" t="s">
        <v>144</v>
      </c>
      <c r="AC11" s="6" t="s">
        <v>145</v>
      </c>
      <c r="AD11" s="9"/>
      <c r="AE11" s="9"/>
      <c r="AF11" s="9"/>
      <c r="AG11" s="9"/>
    </row>
    <row r="12" hidden="1">
      <c r="A12" s="21">
        <f>COUNTIF('Histórico'!$B:$B,B12)</f>
        <v>1</v>
      </c>
      <c r="B12" s="21" t="s">
        <v>146</v>
      </c>
      <c r="C12" s="9"/>
      <c r="D12" s="6" t="s">
        <v>39</v>
      </c>
      <c r="E12" s="6" t="s">
        <v>40</v>
      </c>
      <c r="F12" s="23">
        <v>45736.0</v>
      </c>
      <c r="G12" s="6" t="s">
        <v>41</v>
      </c>
      <c r="H12" s="23">
        <v>45736.0</v>
      </c>
      <c r="I12" s="6" t="s">
        <v>147</v>
      </c>
      <c r="J12" s="6">
        <v>13068.0</v>
      </c>
      <c r="K12" s="6" t="s">
        <v>148</v>
      </c>
      <c r="L12" s="14" t="s">
        <v>150</v>
      </c>
      <c r="M12" s="9"/>
      <c r="N12" s="9"/>
      <c r="O12" s="9"/>
      <c r="P12" s="9"/>
      <c r="Q12" s="6">
        <v>1.0</v>
      </c>
      <c r="R12" s="23">
        <v>45730.0</v>
      </c>
      <c r="S12" s="23">
        <v>45736.0</v>
      </c>
      <c r="T12" s="23">
        <v>45736.0</v>
      </c>
      <c r="U12" s="9"/>
      <c r="V12" s="6" t="s">
        <v>44</v>
      </c>
      <c r="W12" s="9"/>
      <c r="X12" s="6" t="s">
        <v>45</v>
      </c>
      <c r="Y12" s="6" t="s">
        <v>46</v>
      </c>
      <c r="Z12" s="6">
        <v>3.040310112E9</v>
      </c>
      <c r="AA12" s="6" t="s">
        <v>75</v>
      </c>
      <c r="AB12" s="6" t="s">
        <v>152</v>
      </c>
      <c r="AC12" s="6" t="s">
        <v>153</v>
      </c>
      <c r="AD12" s="9"/>
      <c r="AE12" s="9"/>
      <c r="AF12" s="9"/>
      <c r="AG12" s="9"/>
    </row>
    <row r="13" hidden="1">
      <c r="A13" s="21">
        <f>COUNTIF('Histórico'!$B:$B,B13)</f>
        <v>1</v>
      </c>
      <c r="B13" s="21" t="s">
        <v>154</v>
      </c>
      <c r="C13" s="9"/>
      <c r="D13" s="6" t="s">
        <v>39</v>
      </c>
      <c r="E13" s="6" t="s">
        <v>40</v>
      </c>
      <c r="F13" s="23">
        <v>45736.0</v>
      </c>
      <c r="G13" s="6" t="s">
        <v>41</v>
      </c>
      <c r="H13" s="23">
        <v>45736.0</v>
      </c>
      <c r="I13" s="6" t="s">
        <v>155</v>
      </c>
      <c r="J13" s="6" t="s">
        <v>156</v>
      </c>
      <c r="K13" s="6" t="s">
        <v>157</v>
      </c>
      <c r="L13" s="14">
        <v>1569.0</v>
      </c>
      <c r="M13" s="9"/>
      <c r="N13" s="9"/>
      <c r="O13" s="9"/>
      <c r="P13" s="9"/>
      <c r="Q13" s="6">
        <v>1.0</v>
      </c>
      <c r="R13" s="23">
        <v>45730.0</v>
      </c>
      <c r="S13" s="50">
        <v>45981.0</v>
      </c>
      <c r="T13" s="23">
        <v>45736.0</v>
      </c>
      <c r="U13" s="9"/>
      <c r="V13" s="6" t="s">
        <v>103</v>
      </c>
      <c r="W13" s="6">
        <v>3.13250017551E11</v>
      </c>
      <c r="X13" s="6" t="s">
        <v>45</v>
      </c>
      <c r="Y13" s="6" t="s">
        <v>46</v>
      </c>
      <c r="Z13" s="6">
        <v>3.040239627E9</v>
      </c>
      <c r="AA13" s="6" t="s">
        <v>160</v>
      </c>
      <c r="AB13" s="6" t="s">
        <v>161</v>
      </c>
      <c r="AC13" s="6" t="s">
        <v>162</v>
      </c>
      <c r="AD13" s="9"/>
      <c r="AE13" s="9"/>
      <c r="AF13" s="9"/>
      <c r="AG13" s="9"/>
    </row>
    <row r="14" hidden="1">
      <c r="A14" s="21">
        <f>COUNTIF('Histórico'!$B:$B,B14)</f>
        <v>1</v>
      </c>
      <c r="B14" s="21" t="s">
        <v>163</v>
      </c>
      <c r="C14" s="9"/>
      <c r="D14" s="6" t="s">
        <v>39</v>
      </c>
      <c r="E14" s="6" t="s">
        <v>40</v>
      </c>
      <c r="F14" s="23">
        <v>45736.0</v>
      </c>
      <c r="G14" s="6" t="s">
        <v>41</v>
      </c>
      <c r="H14" s="23">
        <v>45736.0</v>
      </c>
      <c r="I14" s="6" t="s">
        <v>164</v>
      </c>
      <c r="J14" s="6">
        <v>71653.0</v>
      </c>
      <c r="K14" s="6" t="s">
        <v>165</v>
      </c>
      <c r="L14" s="14" t="s">
        <v>167</v>
      </c>
      <c r="M14" s="9"/>
      <c r="N14" s="9"/>
      <c r="O14" s="9"/>
      <c r="P14" s="9"/>
      <c r="Q14" s="6">
        <v>1.0</v>
      </c>
      <c r="R14" s="23">
        <v>45730.0</v>
      </c>
      <c r="S14" s="50">
        <v>45981.0</v>
      </c>
      <c r="T14" s="23">
        <v>45736.0</v>
      </c>
      <c r="U14" s="9"/>
      <c r="V14" s="6" t="s">
        <v>103</v>
      </c>
      <c r="W14" s="6">
        <v>3.13250016499E11</v>
      </c>
      <c r="X14" s="6" t="s">
        <v>45</v>
      </c>
      <c r="Y14" s="6" t="s">
        <v>46</v>
      </c>
      <c r="Z14" s="6">
        <v>3.040265936E9</v>
      </c>
      <c r="AA14" s="6" t="s">
        <v>169</v>
      </c>
      <c r="AB14" s="6" t="s">
        <v>120</v>
      </c>
      <c r="AC14" s="6" t="s">
        <v>170</v>
      </c>
      <c r="AD14" s="9"/>
      <c r="AE14" s="9"/>
      <c r="AF14" s="9"/>
      <c r="AG14" s="9"/>
    </row>
    <row r="15" hidden="1">
      <c r="A15" s="21">
        <f>COUNTIF('Histórico'!$B:$B,B15)</f>
        <v>1</v>
      </c>
      <c r="B15" s="21" t="s">
        <v>171</v>
      </c>
      <c r="C15" s="9"/>
      <c r="D15" s="6" t="s">
        <v>39</v>
      </c>
      <c r="E15" s="6" t="s">
        <v>40</v>
      </c>
      <c r="F15" s="23">
        <v>45736.0</v>
      </c>
      <c r="G15" s="6" t="s">
        <v>41</v>
      </c>
      <c r="H15" s="23">
        <v>45736.0</v>
      </c>
      <c r="I15" s="6" t="s">
        <v>174</v>
      </c>
      <c r="J15" s="6" t="s">
        <v>156</v>
      </c>
      <c r="K15" s="6" t="s">
        <v>175</v>
      </c>
      <c r="L15" s="14" t="s">
        <v>176</v>
      </c>
      <c r="M15" s="9"/>
      <c r="N15" s="9"/>
      <c r="O15" s="9"/>
      <c r="P15" s="9"/>
      <c r="Q15" s="6">
        <v>1.0</v>
      </c>
      <c r="R15" s="23">
        <v>45730.0</v>
      </c>
      <c r="S15" s="23">
        <v>45736.0</v>
      </c>
      <c r="T15" s="23">
        <v>45736.0</v>
      </c>
      <c r="U15" s="9"/>
      <c r="V15" s="6" t="s">
        <v>44</v>
      </c>
      <c r="W15" s="21"/>
      <c r="X15" s="6" t="s">
        <v>45</v>
      </c>
      <c r="Y15" s="6" t="s">
        <v>46</v>
      </c>
      <c r="Z15" s="6">
        <v>3.040309916E9</v>
      </c>
      <c r="AA15" s="6" t="s">
        <v>45</v>
      </c>
      <c r="AB15" s="6" t="s">
        <v>46</v>
      </c>
      <c r="AC15" s="6" t="s">
        <v>177</v>
      </c>
      <c r="AD15" s="9"/>
      <c r="AE15" s="9"/>
      <c r="AF15" s="9"/>
      <c r="AG15" s="9"/>
    </row>
    <row r="16" hidden="1">
      <c r="A16" s="21">
        <f>COUNTIF('Histórico'!$B:$B,B16)</f>
        <v>1</v>
      </c>
      <c r="B16" s="21" t="s">
        <v>180</v>
      </c>
      <c r="C16" s="9"/>
      <c r="D16" s="6" t="s">
        <v>39</v>
      </c>
      <c r="E16" s="6" t="s">
        <v>40</v>
      </c>
      <c r="F16" s="23">
        <v>45736.0</v>
      </c>
      <c r="G16" s="6" t="s">
        <v>41</v>
      </c>
      <c r="H16" s="23">
        <v>45736.0</v>
      </c>
      <c r="I16" s="6" t="s">
        <v>181</v>
      </c>
      <c r="J16" s="6" t="s">
        <v>156</v>
      </c>
      <c r="K16" s="6" t="s">
        <v>182</v>
      </c>
      <c r="L16" s="14">
        <v>791.0</v>
      </c>
      <c r="M16" s="9"/>
      <c r="N16" s="9"/>
      <c r="O16" s="9"/>
      <c r="P16" s="9"/>
      <c r="Q16" s="6">
        <v>1.0</v>
      </c>
      <c r="R16" s="23">
        <v>45730.0</v>
      </c>
      <c r="S16" s="50">
        <v>45981.0</v>
      </c>
      <c r="T16" s="23">
        <v>45736.0</v>
      </c>
      <c r="U16" s="9"/>
      <c r="V16" s="6" t="s">
        <v>44</v>
      </c>
      <c r="W16" s="21"/>
      <c r="X16" s="6" t="s">
        <v>45</v>
      </c>
      <c r="Y16" s="6" t="s">
        <v>46</v>
      </c>
      <c r="Z16" s="6">
        <v>3.040233376E9</v>
      </c>
      <c r="AA16" s="6" t="s">
        <v>169</v>
      </c>
      <c r="AB16" s="6" t="s">
        <v>183</v>
      </c>
      <c r="AC16" s="6" t="s">
        <v>184</v>
      </c>
      <c r="AD16" s="9"/>
      <c r="AE16" s="9"/>
      <c r="AF16" s="9"/>
      <c r="AG16" s="9"/>
    </row>
    <row r="17" hidden="1">
      <c r="A17" s="21">
        <f>COUNTIF('Histórico'!$B:$B,B17)</f>
        <v>1</v>
      </c>
      <c r="B17" s="21" t="s">
        <v>187</v>
      </c>
      <c r="C17" s="9"/>
      <c r="D17" s="6" t="s">
        <v>39</v>
      </c>
      <c r="E17" s="6" t="s">
        <v>40</v>
      </c>
      <c r="F17" s="23">
        <v>45736.0</v>
      </c>
      <c r="G17" s="6" t="s">
        <v>41</v>
      </c>
      <c r="H17" s="23">
        <v>45736.0</v>
      </c>
      <c r="I17" s="6" t="s">
        <v>181</v>
      </c>
      <c r="J17" s="6" t="s">
        <v>156</v>
      </c>
      <c r="K17" s="6" t="s">
        <v>182</v>
      </c>
      <c r="L17" s="14">
        <v>7077.0</v>
      </c>
      <c r="M17" s="9"/>
      <c r="N17" s="9"/>
      <c r="O17" s="9"/>
      <c r="P17" s="9"/>
      <c r="Q17" s="6">
        <v>1.0</v>
      </c>
      <c r="R17" s="23">
        <v>45730.0</v>
      </c>
      <c r="S17" s="50">
        <v>45981.0</v>
      </c>
      <c r="T17" s="23">
        <v>45736.0</v>
      </c>
      <c r="U17" s="9"/>
      <c r="V17" s="6" t="s">
        <v>44</v>
      </c>
      <c r="W17" s="9"/>
      <c r="X17" s="6" t="s">
        <v>45</v>
      </c>
      <c r="Y17" s="6" t="s">
        <v>46</v>
      </c>
      <c r="Z17" s="6">
        <v>3.040242891E9</v>
      </c>
      <c r="AA17" s="6" t="s">
        <v>188</v>
      </c>
      <c r="AB17" s="6" t="s">
        <v>189</v>
      </c>
      <c r="AC17" s="6" t="s">
        <v>190</v>
      </c>
      <c r="AD17" s="9"/>
      <c r="AE17" s="9"/>
      <c r="AF17" s="9"/>
      <c r="AG17" s="9"/>
    </row>
    <row r="18" hidden="1">
      <c r="A18" s="21">
        <f>COUNTIF('Histórico'!$B:$B,B18)</f>
        <v>1</v>
      </c>
      <c r="B18" s="21" t="s">
        <v>193</v>
      </c>
      <c r="C18" s="9"/>
      <c r="D18" s="6" t="s">
        <v>39</v>
      </c>
      <c r="E18" s="6" t="s">
        <v>40</v>
      </c>
      <c r="F18" s="23">
        <v>45736.0</v>
      </c>
      <c r="G18" s="6" t="s">
        <v>41</v>
      </c>
      <c r="H18" s="23">
        <v>45736.0</v>
      </c>
      <c r="I18" s="6" t="s">
        <v>42</v>
      </c>
      <c r="J18" s="6">
        <v>22373.0</v>
      </c>
      <c r="K18" s="6" t="s">
        <v>43</v>
      </c>
      <c r="L18" s="14">
        <v>3885.0</v>
      </c>
      <c r="M18" s="9"/>
      <c r="N18" s="9"/>
      <c r="O18" s="9"/>
      <c r="P18" s="9"/>
      <c r="Q18" s="6">
        <v>1.0</v>
      </c>
      <c r="R18" s="23">
        <v>45729.0</v>
      </c>
      <c r="S18" s="23">
        <v>45735.0</v>
      </c>
      <c r="T18" s="23">
        <v>45736.0</v>
      </c>
      <c r="U18" s="9"/>
      <c r="V18" s="6" t="s">
        <v>44</v>
      </c>
      <c r="W18" s="9"/>
      <c r="X18" s="6" t="s">
        <v>45</v>
      </c>
      <c r="Y18" s="6" t="s">
        <v>46</v>
      </c>
      <c r="Z18" s="6">
        <v>3.040235688E9</v>
      </c>
      <c r="AA18" s="6" t="s">
        <v>188</v>
      </c>
      <c r="AB18" s="6" t="s">
        <v>194</v>
      </c>
      <c r="AC18" s="6" t="s">
        <v>195</v>
      </c>
      <c r="AD18" s="9"/>
      <c r="AE18" s="9"/>
      <c r="AF18" s="9"/>
      <c r="AG18" s="9"/>
    </row>
    <row r="19" hidden="1">
      <c r="A19" s="21">
        <f>COUNTIF('Histórico'!$B:$B,B19)</f>
        <v>1</v>
      </c>
      <c r="B19" s="21" t="s">
        <v>196</v>
      </c>
      <c r="C19" s="9"/>
      <c r="D19" s="6" t="s">
        <v>39</v>
      </c>
      <c r="E19" s="6" t="s">
        <v>40</v>
      </c>
      <c r="F19" s="23">
        <v>45736.0</v>
      </c>
      <c r="G19" s="6" t="s">
        <v>41</v>
      </c>
      <c r="H19" s="23">
        <v>45736.0</v>
      </c>
      <c r="I19" s="6" t="s">
        <v>199</v>
      </c>
      <c r="J19" s="6">
        <v>22373.0</v>
      </c>
      <c r="K19" s="6" t="s">
        <v>200</v>
      </c>
      <c r="L19" s="14" t="s">
        <v>201</v>
      </c>
      <c r="M19" s="9"/>
      <c r="N19" s="9"/>
      <c r="O19" s="9"/>
      <c r="P19" s="9"/>
      <c r="Q19" s="6">
        <v>1.0</v>
      </c>
      <c r="R19" s="23">
        <v>45729.0</v>
      </c>
      <c r="S19" s="23">
        <v>45735.0</v>
      </c>
      <c r="T19" s="23">
        <v>45736.0</v>
      </c>
      <c r="U19" s="9"/>
      <c r="V19" s="6" t="s">
        <v>44</v>
      </c>
      <c r="W19" s="9"/>
      <c r="X19" s="6" t="s">
        <v>45</v>
      </c>
      <c r="Y19" s="6" t="s">
        <v>46</v>
      </c>
      <c r="Z19" s="6">
        <v>3.040293359E9</v>
      </c>
      <c r="AA19" s="6" t="s">
        <v>45</v>
      </c>
      <c r="AB19" s="6" t="s">
        <v>203</v>
      </c>
      <c r="AC19" s="6" t="s">
        <v>204</v>
      </c>
      <c r="AD19" s="9"/>
      <c r="AE19" s="9"/>
      <c r="AF19" s="9"/>
      <c r="AG19" s="9"/>
    </row>
    <row r="20" hidden="1">
      <c r="A20" s="21">
        <f>COUNTIF('Histórico'!$B:$B,B20)</f>
        <v>1</v>
      </c>
      <c r="B20" s="21" t="s">
        <v>205</v>
      </c>
      <c r="C20" s="9"/>
      <c r="D20" s="6" t="s">
        <v>39</v>
      </c>
      <c r="E20" s="6" t="s">
        <v>40</v>
      </c>
      <c r="F20" s="23">
        <v>45736.0</v>
      </c>
      <c r="G20" s="6" t="s">
        <v>41</v>
      </c>
      <c r="H20" s="23">
        <v>45736.0</v>
      </c>
      <c r="I20" s="6" t="s">
        <v>42</v>
      </c>
      <c r="J20" s="6">
        <v>22373.0</v>
      </c>
      <c r="K20" s="6" t="s">
        <v>43</v>
      </c>
      <c r="L20" s="14">
        <v>3861.0</v>
      </c>
      <c r="M20" s="9"/>
      <c r="N20" s="9"/>
      <c r="O20" s="9"/>
      <c r="P20" s="9"/>
      <c r="Q20" s="6">
        <v>1.0</v>
      </c>
      <c r="R20" s="23">
        <v>45729.0</v>
      </c>
      <c r="S20" s="23">
        <v>45735.0</v>
      </c>
      <c r="T20" s="23">
        <v>45736.0</v>
      </c>
      <c r="U20" s="9"/>
      <c r="V20" s="6" t="s">
        <v>44</v>
      </c>
      <c r="W20" s="9"/>
      <c r="X20" s="6" t="s">
        <v>45</v>
      </c>
      <c r="Y20" s="6" t="s">
        <v>46</v>
      </c>
      <c r="Z20" s="6">
        <v>3.040262311E9</v>
      </c>
      <c r="AA20" s="6" t="s">
        <v>70</v>
      </c>
      <c r="AB20" s="6" t="s">
        <v>152</v>
      </c>
      <c r="AC20" s="6" t="s">
        <v>208</v>
      </c>
      <c r="AD20" s="9"/>
      <c r="AE20" s="9"/>
      <c r="AF20" s="9"/>
      <c r="AG20" s="9"/>
    </row>
    <row r="21" hidden="1">
      <c r="A21" s="21">
        <f>COUNTIF('Histórico'!$B:$B,B21)</f>
        <v>1</v>
      </c>
      <c r="B21" s="21" t="s">
        <v>209</v>
      </c>
      <c r="C21" s="9"/>
      <c r="D21" s="6" t="s">
        <v>39</v>
      </c>
      <c r="E21" s="6" t="s">
        <v>40</v>
      </c>
      <c r="F21" s="23">
        <v>45736.0</v>
      </c>
      <c r="G21" s="6" t="s">
        <v>41</v>
      </c>
      <c r="H21" s="23">
        <v>45736.0</v>
      </c>
      <c r="I21" s="6" t="s">
        <v>210</v>
      </c>
      <c r="J21" s="6">
        <v>22373.0</v>
      </c>
      <c r="K21" s="6" t="s">
        <v>211</v>
      </c>
      <c r="L21" s="14" t="s">
        <v>212</v>
      </c>
      <c r="M21" s="9"/>
      <c r="N21" s="9"/>
      <c r="O21" s="9"/>
      <c r="P21" s="9"/>
      <c r="Q21" s="6">
        <v>1.0</v>
      </c>
      <c r="R21" s="23">
        <v>45729.0</v>
      </c>
      <c r="S21" s="23">
        <v>45735.0</v>
      </c>
      <c r="T21" s="23">
        <v>45736.0</v>
      </c>
      <c r="U21" s="9"/>
      <c r="V21" s="6" t="s">
        <v>44</v>
      </c>
      <c r="W21" s="9"/>
      <c r="X21" s="6" t="s">
        <v>45</v>
      </c>
      <c r="Y21" s="6" t="s">
        <v>46</v>
      </c>
      <c r="Z21" s="6">
        <v>3.040310542E9</v>
      </c>
      <c r="AA21" s="6" t="s">
        <v>45</v>
      </c>
      <c r="AB21" s="6" t="s">
        <v>46</v>
      </c>
      <c r="AC21" s="6" t="s">
        <v>80</v>
      </c>
      <c r="AD21" s="9"/>
      <c r="AE21" s="9"/>
      <c r="AF21" s="9"/>
      <c r="AG21" s="9"/>
    </row>
    <row r="22" hidden="1">
      <c r="A22" s="21">
        <f>COUNTIF('Histórico'!$B:$B,B22)</f>
        <v>1</v>
      </c>
      <c r="B22" s="21" t="s">
        <v>215</v>
      </c>
      <c r="C22" s="9"/>
      <c r="D22" s="6" t="s">
        <v>39</v>
      </c>
      <c r="E22" s="6" t="s">
        <v>40</v>
      </c>
      <c r="F22" s="23">
        <v>45736.0</v>
      </c>
      <c r="G22" s="6" t="s">
        <v>41</v>
      </c>
      <c r="H22" s="23">
        <v>45736.0</v>
      </c>
      <c r="I22" s="6" t="s">
        <v>216</v>
      </c>
      <c r="J22" s="6">
        <v>22373.0</v>
      </c>
      <c r="K22" s="6" t="s">
        <v>217</v>
      </c>
      <c r="L22" s="14">
        <v>75123.0</v>
      </c>
      <c r="M22" s="9"/>
      <c r="N22" s="9"/>
      <c r="O22" s="9"/>
      <c r="P22" s="9"/>
      <c r="Q22" s="6">
        <v>1.0</v>
      </c>
      <c r="R22" s="23">
        <v>45729.0</v>
      </c>
      <c r="S22" s="23">
        <v>45735.0</v>
      </c>
      <c r="T22" s="23">
        <v>45736.0</v>
      </c>
      <c r="U22" s="9"/>
      <c r="V22" s="6" t="s">
        <v>44</v>
      </c>
      <c r="W22" s="21"/>
      <c r="X22" s="6" t="s">
        <v>45</v>
      </c>
      <c r="Y22" s="6" t="s">
        <v>46</v>
      </c>
      <c r="Z22" s="6">
        <v>3.04022812E9</v>
      </c>
      <c r="AA22" s="6" t="s">
        <v>45</v>
      </c>
      <c r="AB22" s="6" t="s">
        <v>220</v>
      </c>
      <c r="AC22" s="6" t="s">
        <v>221</v>
      </c>
      <c r="AD22" s="9"/>
      <c r="AE22" s="9"/>
      <c r="AF22" s="9"/>
      <c r="AG22" s="9"/>
    </row>
    <row r="23" hidden="1">
      <c r="A23" s="21">
        <f>COUNTIF('Histórico'!$B:$B,B23)</f>
        <v>1</v>
      </c>
      <c r="B23" s="21" t="s">
        <v>222</v>
      </c>
      <c r="C23" s="9"/>
      <c r="D23" s="6" t="s">
        <v>39</v>
      </c>
      <c r="E23" s="6" t="s">
        <v>40</v>
      </c>
      <c r="F23" s="23">
        <v>45736.0</v>
      </c>
      <c r="G23" s="6" t="s">
        <v>41</v>
      </c>
      <c r="H23" s="23">
        <v>45736.0</v>
      </c>
      <c r="I23" s="6" t="s">
        <v>223</v>
      </c>
      <c r="J23" s="6">
        <v>33269.0</v>
      </c>
      <c r="K23" s="6" t="s">
        <v>224</v>
      </c>
      <c r="L23" s="14" t="s">
        <v>225</v>
      </c>
      <c r="M23" s="9"/>
      <c r="N23" s="9"/>
      <c r="O23" s="9"/>
      <c r="P23" s="9"/>
      <c r="Q23" s="6">
        <v>1.0</v>
      </c>
      <c r="R23" s="23">
        <v>45729.0</v>
      </c>
      <c r="S23" s="50">
        <v>45980.0</v>
      </c>
      <c r="T23" s="23">
        <v>45736.0</v>
      </c>
      <c r="U23" s="9"/>
      <c r="V23" s="6" t="s">
        <v>44</v>
      </c>
      <c r="W23" s="9"/>
      <c r="X23" s="6" t="s">
        <v>45</v>
      </c>
      <c r="Y23" s="6" t="s">
        <v>46</v>
      </c>
      <c r="Z23" s="6">
        <v>3.040307832E9</v>
      </c>
      <c r="AA23" s="6" t="s">
        <v>66</v>
      </c>
      <c r="AB23" s="6" t="s">
        <v>228</v>
      </c>
      <c r="AC23" s="6" t="s">
        <v>229</v>
      </c>
      <c r="AD23" s="9"/>
      <c r="AE23" s="9"/>
      <c r="AF23" s="9"/>
      <c r="AG23" s="9"/>
    </row>
    <row r="24" hidden="1">
      <c r="A24" s="21">
        <f>COUNTIF('Histórico'!$B:$B,B24)</f>
        <v>1</v>
      </c>
      <c r="B24" s="21" t="s">
        <v>230</v>
      </c>
      <c r="C24" s="9"/>
      <c r="D24" s="6" t="s">
        <v>39</v>
      </c>
      <c r="E24" s="6" t="s">
        <v>40</v>
      </c>
      <c r="F24" s="23">
        <v>45736.0</v>
      </c>
      <c r="G24" s="6" t="s">
        <v>41</v>
      </c>
      <c r="H24" s="23">
        <v>45736.0</v>
      </c>
      <c r="I24" s="6" t="s">
        <v>231</v>
      </c>
      <c r="J24" s="6">
        <v>71513.0</v>
      </c>
      <c r="K24" s="6" t="s">
        <v>232</v>
      </c>
      <c r="L24" s="14">
        <v>42.0</v>
      </c>
      <c r="M24" s="9"/>
      <c r="N24" s="9"/>
      <c r="O24" s="9"/>
      <c r="P24" s="9"/>
      <c r="Q24" s="6">
        <v>1.0</v>
      </c>
      <c r="R24" s="23">
        <v>45729.0</v>
      </c>
      <c r="S24" s="50">
        <v>45974.0</v>
      </c>
      <c r="T24" s="23">
        <v>45736.0</v>
      </c>
      <c r="U24" s="9"/>
      <c r="V24" s="6" t="s">
        <v>44</v>
      </c>
      <c r="W24" s="21"/>
      <c r="X24" s="6" t="s">
        <v>45</v>
      </c>
      <c r="Y24" s="6" t="s">
        <v>46</v>
      </c>
      <c r="Z24" s="6">
        <v>3.040301283E9</v>
      </c>
      <c r="AA24" s="6" t="s">
        <v>75</v>
      </c>
      <c r="AB24" s="6" t="s">
        <v>152</v>
      </c>
      <c r="AC24" s="6" t="s">
        <v>234</v>
      </c>
      <c r="AD24" s="9"/>
      <c r="AE24" s="9"/>
      <c r="AF24" s="9"/>
      <c r="AG24" s="9"/>
    </row>
    <row r="25" hidden="1">
      <c r="A25" s="21">
        <f>COUNTIF('Histórico'!$B:$B,B25)</f>
        <v>1</v>
      </c>
      <c r="B25" s="21" t="s">
        <v>236</v>
      </c>
      <c r="C25" s="9"/>
      <c r="D25" s="6" t="s">
        <v>39</v>
      </c>
      <c r="E25" s="6" t="s">
        <v>40</v>
      </c>
      <c r="F25" s="23">
        <v>45736.0</v>
      </c>
      <c r="G25" s="6" t="s">
        <v>41</v>
      </c>
      <c r="H25" s="23">
        <v>45736.0</v>
      </c>
      <c r="I25" s="6" t="s">
        <v>237</v>
      </c>
      <c r="J25" s="6" t="s">
        <v>156</v>
      </c>
      <c r="K25" s="6" t="s">
        <v>238</v>
      </c>
      <c r="L25" s="58"/>
      <c r="M25" s="9"/>
      <c r="N25" s="9"/>
      <c r="O25" s="9"/>
      <c r="P25" s="9"/>
      <c r="Q25" s="6">
        <v>1.0</v>
      </c>
      <c r="R25" s="23">
        <v>45729.0</v>
      </c>
      <c r="S25" s="23">
        <v>45735.0</v>
      </c>
      <c r="T25" s="23">
        <v>45736.0</v>
      </c>
      <c r="U25" s="9"/>
      <c r="V25" s="6" t="s">
        <v>44</v>
      </c>
      <c r="W25" s="9"/>
      <c r="X25" s="6" t="s">
        <v>45</v>
      </c>
      <c r="Y25" s="6" t="s">
        <v>46</v>
      </c>
      <c r="Z25" s="6">
        <v>3.040294873E9</v>
      </c>
      <c r="AA25" s="6" t="s">
        <v>63</v>
      </c>
      <c r="AB25" s="6" t="s">
        <v>241</v>
      </c>
      <c r="AC25" s="6" t="s">
        <v>242</v>
      </c>
      <c r="AD25" s="9"/>
      <c r="AE25" s="9"/>
      <c r="AF25" s="9"/>
      <c r="AG25" s="9"/>
    </row>
    <row r="26" hidden="1">
      <c r="A26" s="21">
        <f>COUNTIF('Histórico'!$B:$B,B26)</f>
        <v>1</v>
      </c>
      <c r="B26" s="21" t="s">
        <v>243</v>
      </c>
      <c r="C26" s="9"/>
      <c r="D26" s="6" t="s">
        <v>39</v>
      </c>
      <c r="E26" s="6" t="s">
        <v>40</v>
      </c>
      <c r="F26" s="23">
        <v>45736.0</v>
      </c>
      <c r="G26" s="6" t="s">
        <v>41</v>
      </c>
      <c r="H26" s="23">
        <v>45736.0</v>
      </c>
      <c r="I26" s="6" t="s">
        <v>237</v>
      </c>
      <c r="J26" s="6" t="s">
        <v>156</v>
      </c>
      <c r="K26" s="6" t="s">
        <v>238</v>
      </c>
      <c r="L26" s="58"/>
      <c r="M26" s="9"/>
      <c r="N26" s="9"/>
      <c r="O26" s="9"/>
      <c r="P26" s="9"/>
      <c r="Q26" s="6">
        <v>1.0</v>
      </c>
      <c r="R26" s="23">
        <v>45729.0</v>
      </c>
      <c r="S26" s="23">
        <v>45735.0</v>
      </c>
      <c r="T26" s="23">
        <v>45736.0</v>
      </c>
      <c r="U26" s="9"/>
      <c r="V26" s="6" t="s">
        <v>103</v>
      </c>
      <c r="W26" s="6">
        <v>3.13250016672E11</v>
      </c>
      <c r="X26" s="6" t="s">
        <v>45</v>
      </c>
      <c r="Y26" s="6" t="s">
        <v>46</v>
      </c>
      <c r="Z26" s="6">
        <v>3.040281041E9</v>
      </c>
      <c r="AA26" s="6" t="s">
        <v>64</v>
      </c>
      <c r="AB26" s="6" t="s">
        <v>246</v>
      </c>
      <c r="AC26" s="6" t="s">
        <v>247</v>
      </c>
      <c r="AD26" s="9"/>
      <c r="AE26" s="9"/>
      <c r="AF26" s="9"/>
      <c r="AG26" s="9"/>
    </row>
    <row r="27" hidden="1">
      <c r="A27" s="21">
        <f>COUNTIF('Histórico'!$B:$B,B27)</f>
        <v>1</v>
      </c>
      <c r="B27" s="21" t="s">
        <v>248</v>
      </c>
      <c r="C27" s="9"/>
      <c r="D27" s="6" t="s">
        <v>39</v>
      </c>
      <c r="E27" s="6" t="s">
        <v>40</v>
      </c>
      <c r="F27" s="23">
        <v>45769.0</v>
      </c>
      <c r="G27" s="6" t="s">
        <v>41</v>
      </c>
      <c r="H27" s="23">
        <v>45769.0</v>
      </c>
      <c r="I27" s="6" t="s">
        <v>251</v>
      </c>
      <c r="J27" s="6" t="s">
        <v>156</v>
      </c>
      <c r="K27" s="6" t="s">
        <v>252</v>
      </c>
      <c r="L27" s="14" t="s">
        <v>253</v>
      </c>
      <c r="M27" s="9"/>
      <c r="N27" s="9"/>
      <c r="O27" s="9"/>
      <c r="P27" s="9"/>
      <c r="Q27" s="6">
        <v>1.0</v>
      </c>
      <c r="R27" s="23">
        <v>45762.0</v>
      </c>
      <c r="S27" s="23">
        <v>45770.0</v>
      </c>
      <c r="T27" s="23">
        <v>45769.0</v>
      </c>
      <c r="U27" s="9"/>
      <c r="V27" s="6" t="s">
        <v>44</v>
      </c>
      <c r="W27" s="9"/>
      <c r="X27" s="6" t="s">
        <v>45</v>
      </c>
      <c r="Y27" s="6" t="s">
        <v>46</v>
      </c>
      <c r="Z27" s="6">
        <v>3.04021637E9</v>
      </c>
      <c r="AA27" s="6" t="s">
        <v>45</v>
      </c>
      <c r="AB27" s="6" t="s">
        <v>203</v>
      </c>
      <c r="AC27" s="6" t="s">
        <v>254</v>
      </c>
      <c r="AD27" s="9"/>
      <c r="AE27" s="9"/>
      <c r="AF27" s="9"/>
      <c r="AG27" s="9"/>
    </row>
    <row r="28" hidden="1">
      <c r="A28" s="21">
        <f>COUNTIF('Histórico'!$B:$B,B28)</f>
        <v>1</v>
      </c>
      <c r="B28" s="21" t="s">
        <v>258</v>
      </c>
      <c r="C28" s="9"/>
      <c r="D28" s="6" t="s">
        <v>39</v>
      </c>
      <c r="E28" s="6" t="s">
        <v>40</v>
      </c>
      <c r="F28" s="23">
        <v>45769.0</v>
      </c>
      <c r="G28" s="6" t="s">
        <v>41</v>
      </c>
      <c r="H28" s="23">
        <v>45769.0</v>
      </c>
      <c r="I28" s="6" t="s">
        <v>259</v>
      </c>
      <c r="J28" s="6">
        <v>22373.0</v>
      </c>
      <c r="K28" s="6" t="s">
        <v>260</v>
      </c>
      <c r="L28" s="14" t="s">
        <v>261</v>
      </c>
      <c r="M28" s="9"/>
      <c r="N28" s="9"/>
      <c r="O28" s="9"/>
      <c r="P28" s="9"/>
      <c r="Q28" s="6">
        <v>1.0</v>
      </c>
      <c r="R28" s="23">
        <v>45762.0</v>
      </c>
      <c r="S28" s="23">
        <v>45770.0</v>
      </c>
      <c r="T28" s="23">
        <v>45769.0</v>
      </c>
      <c r="U28" s="9"/>
      <c r="V28" s="6" t="s">
        <v>44</v>
      </c>
      <c r="W28" s="9"/>
      <c r="X28" s="6" t="s">
        <v>45</v>
      </c>
      <c r="Y28" s="6" t="s">
        <v>46</v>
      </c>
      <c r="Z28" s="6">
        <v>3.04025329E9</v>
      </c>
      <c r="AA28" s="6" t="s">
        <v>262</v>
      </c>
      <c r="AB28" s="6" t="s">
        <v>263</v>
      </c>
      <c r="AC28" s="6" t="s">
        <v>264</v>
      </c>
      <c r="AD28" s="9"/>
      <c r="AE28" s="9"/>
      <c r="AF28" s="9"/>
      <c r="AG28" s="9"/>
    </row>
    <row r="29" hidden="1">
      <c r="A29" s="21">
        <f>COUNTIF('Histórico'!$B:$B,B29)</f>
        <v>1</v>
      </c>
      <c r="B29" s="21" t="s">
        <v>267</v>
      </c>
      <c r="C29" s="9"/>
      <c r="D29" s="6" t="s">
        <v>39</v>
      </c>
      <c r="E29" s="6" t="s">
        <v>40</v>
      </c>
      <c r="F29" s="23">
        <v>45769.0</v>
      </c>
      <c r="G29" s="6" t="s">
        <v>41</v>
      </c>
      <c r="H29" s="23">
        <v>45769.0</v>
      </c>
      <c r="I29" s="6" t="s">
        <v>259</v>
      </c>
      <c r="J29" s="6">
        <v>22373.0</v>
      </c>
      <c r="K29" s="6" t="s">
        <v>260</v>
      </c>
      <c r="L29" s="14">
        <v>53450.0</v>
      </c>
      <c r="M29" s="9"/>
      <c r="N29" s="9"/>
      <c r="O29" s="9"/>
      <c r="P29" s="9"/>
      <c r="Q29" s="6">
        <v>1.0</v>
      </c>
      <c r="R29" s="23">
        <v>45762.0</v>
      </c>
      <c r="S29" s="23">
        <v>45770.0</v>
      </c>
      <c r="T29" s="23">
        <v>45769.0</v>
      </c>
      <c r="U29" s="9"/>
      <c r="V29" s="6" t="s">
        <v>44</v>
      </c>
      <c r="W29" s="9"/>
      <c r="X29" s="6" t="s">
        <v>45</v>
      </c>
      <c r="Y29" s="6" t="s">
        <v>46</v>
      </c>
      <c r="Z29" s="6">
        <v>3.040306523E9</v>
      </c>
      <c r="AA29" s="6" t="s">
        <v>75</v>
      </c>
      <c r="AB29" s="6" t="s">
        <v>152</v>
      </c>
      <c r="AC29" s="6" t="s">
        <v>153</v>
      </c>
      <c r="AD29" s="9"/>
      <c r="AE29" s="9"/>
      <c r="AF29" s="9"/>
      <c r="AG29" s="9"/>
    </row>
    <row r="30" hidden="1">
      <c r="A30" s="21">
        <f>COUNTIF('Histórico'!$B:$B,B30)</f>
        <v>1</v>
      </c>
      <c r="B30" s="21" t="s">
        <v>270</v>
      </c>
      <c r="C30" s="9"/>
      <c r="D30" s="6" t="s">
        <v>39</v>
      </c>
      <c r="E30" s="6" t="s">
        <v>40</v>
      </c>
      <c r="F30" s="23">
        <v>45769.0</v>
      </c>
      <c r="G30" s="6" t="s">
        <v>41</v>
      </c>
      <c r="H30" s="23">
        <v>45769.0</v>
      </c>
      <c r="I30" s="6" t="s">
        <v>259</v>
      </c>
      <c r="J30" s="6">
        <v>22373.0</v>
      </c>
      <c r="K30" s="6" t="s">
        <v>260</v>
      </c>
      <c r="L30" s="14">
        <v>52537.0</v>
      </c>
      <c r="M30" s="9"/>
      <c r="N30" s="9"/>
      <c r="O30" s="9"/>
      <c r="P30" s="9"/>
      <c r="Q30" s="6">
        <v>1.0</v>
      </c>
      <c r="R30" s="23">
        <v>45762.0</v>
      </c>
      <c r="S30" s="23">
        <v>45770.0</v>
      </c>
      <c r="T30" s="23">
        <v>45769.0</v>
      </c>
      <c r="U30" s="9"/>
      <c r="V30" s="6" t="s">
        <v>44</v>
      </c>
      <c r="W30" s="9"/>
      <c r="X30" s="6" t="s">
        <v>45</v>
      </c>
      <c r="Y30" s="6" t="s">
        <v>46</v>
      </c>
      <c r="Z30" s="6">
        <v>3.040308557E9</v>
      </c>
      <c r="AA30" s="6" t="s">
        <v>75</v>
      </c>
      <c r="AB30" s="6" t="s">
        <v>152</v>
      </c>
      <c r="AC30" s="6" t="s">
        <v>153</v>
      </c>
      <c r="AD30" s="9"/>
      <c r="AE30" s="9"/>
      <c r="AF30" s="9"/>
      <c r="AG30" s="9"/>
    </row>
    <row r="31" hidden="1">
      <c r="A31" s="21">
        <f>COUNTIF('Histórico'!$B:$B,B31)</f>
        <v>1</v>
      </c>
      <c r="B31" s="21" t="s">
        <v>273</v>
      </c>
      <c r="C31" s="9"/>
      <c r="D31" s="6" t="s">
        <v>39</v>
      </c>
      <c r="E31" s="6" t="s">
        <v>40</v>
      </c>
      <c r="F31" s="23">
        <v>45769.0</v>
      </c>
      <c r="G31" s="6" t="s">
        <v>41</v>
      </c>
      <c r="H31" s="23">
        <v>45769.0</v>
      </c>
      <c r="I31" s="6" t="s">
        <v>274</v>
      </c>
      <c r="J31" s="6" t="s">
        <v>275</v>
      </c>
      <c r="K31" s="6" t="s">
        <v>276</v>
      </c>
      <c r="L31" s="14">
        <v>8.6805596E7</v>
      </c>
      <c r="M31" s="9"/>
      <c r="N31" s="9"/>
      <c r="O31" s="9"/>
      <c r="P31" s="9"/>
      <c r="Q31" s="6">
        <v>1.0</v>
      </c>
      <c r="R31" s="23">
        <v>45762.0</v>
      </c>
      <c r="S31" s="50">
        <v>45984.0</v>
      </c>
      <c r="T31" s="23">
        <v>45769.0</v>
      </c>
      <c r="U31" s="9"/>
      <c r="V31" s="6" t="s">
        <v>44</v>
      </c>
      <c r="W31" s="9"/>
      <c r="X31" s="6" t="s">
        <v>45</v>
      </c>
      <c r="Y31" s="6" t="s">
        <v>46</v>
      </c>
      <c r="Z31" s="6">
        <v>3.040294707E9</v>
      </c>
      <c r="AA31" s="6" t="s">
        <v>63</v>
      </c>
      <c r="AB31" s="6" t="s">
        <v>72</v>
      </c>
      <c r="AC31" s="6" t="s">
        <v>279</v>
      </c>
      <c r="AD31" s="9"/>
      <c r="AE31" s="9"/>
      <c r="AF31" s="9"/>
      <c r="AG31" s="9"/>
    </row>
    <row r="32" hidden="1">
      <c r="A32" s="21">
        <f>COUNTIF('Histórico'!$B:$B,B32)</f>
        <v>1</v>
      </c>
      <c r="B32" s="21" t="s">
        <v>280</v>
      </c>
      <c r="C32" s="9"/>
      <c r="D32" s="6" t="s">
        <v>39</v>
      </c>
      <c r="E32" s="6" t="s">
        <v>40</v>
      </c>
      <c r="F32" s="23">
        <v>45769.0</v>
      </c>
      <c r="G32" s="6" t="s">
        <v>41</v>
      </c>
      <c r="H32" s="23">
        <v>45769.0</v>
      </c>
      <c r="I32" s="6" t="s">
        <v>281</v>
      </c>
      <c r="J32" s="6">
        <v>22373.0</v>
      </c>
      <c r="K32" s="6" t="s">
        <v>282</v>
      </c>
      <c r="L32" s="14">
        <v>28411.0</v>
      </c>
      <c r="M32" s="9"/>
      <c r="N32" s="9"/>
      <c r="O32" s="9"/>
      <c r="P32" s="9"/>
      <c r="Q32" s="6">
        <v>1.0</v>
      </c>
      <c r="R32" s="23">
        <v>45762.0</v>
      </c>
      <c r="S32" s="50">
        <v>45984.0</v>
      </c>
      <c r="T32" s="23">
        <v>45769.0</v>
      </c>
      <c r="U32" s="9"/>
      <c r="V32" s="6" t="s">
        <v>44</v>
      </c>
      <c r="W32" s="21"/>
      <c r="X32" s="6" t="s">
        <v>45</v>
      </c>
      <c r="Y32" s="6" t="s">
        <v>46</v>
      </c>
      <c r="Z32" s="6">
        <v>3.040310113E9</v>
      </c>
      <c r="AA32" s="6" t="s">
        <v>75</v>
      </c>
      <c r="AB32" s="6" t="s">
        <v>152</v>
      </c>
      <c r="AC32" s="6" t="s">
        <v>153</v>
      </c>
      <c r="AD32" s="9"/>
      <c r="AE32" s="9"/>
      <c r="AF32" s="9"/>
      <c r="AG32" s="9"/>
    </row>
    <row r="33" hidden="1">
      <c r="A33" s="21">
        <f>COUNTIF('Histórico'!$B:$B,B33)</f>
        <v>1</v>
      </c>
      <c r="B33" s="21" t="s">
        <v>285</v>
      </c>
      <c r="C33" s="9"/>
      <c r="D33" s="6" t="s">
        <v>39</v>
      </c>
      <c r="E33" s="6" t="s">
        <v>40</v>
      </c>
      <c r="F33" s="23">
        <v>45769.0</v>
      </c>
      <c r="G33" s="6" t="s">
        <v>41</v>
      </c>
      <c r="H33" s="23">
        <v>45769.0</v>
      </c>
      <c r="I33" s="6" t="s">
        <v>286</v>
      </c>
      <c r="J33" s="6">
        <v>22373.0</v>
      </c>
      <c r="K33" s="6" t="s">
        <v>287</v>
      </c>
      <c r="L33" s="14">
        <v>30865.0</v>
      </c>
      <c r="M33" s="9"/>
      <c r="N33" s="9"/>
      <c r="O33" s="9"/>
      <c r="P33" s="9"/>
      <c r="Q33" s="6">
        <v>1.0</v>
      </c>
      <c r="R33" s="23">
        <v>45762.0</v>
      </c>
      <c r="S33" s="23">
        <v>45770.0</v>
      </c>
      <c r="T33" s="23">
        <v>45769.0</v>
      </c>
      <c r="U33" s="9"/>
      <c r="V33" s="6" t="s">
        <v>44</v>
      </c>
      <c r="W33" s="9"/>
      <c r="X33" s="6" t="s">
        <v>45</v>
      </c>
      <c r="Y33" s="6" t="s">
        <v>46</v>
      </c>
      <c r="Z33" s="6">
        <v>3.040311368E9</v>
      </c>
      <c r="AA33" s="6" t="s">
        <v>45</v>
      </c>
      <c r="AB33" s="6" t="s">
        <v>46</v>
      </c>
      <c r="AC33" s="6" t="s">
        <v>80</v>
      </c>
      <c r="AD33" s="9"/>
      <c r="AE33" s="9"/>
      <c r="AF33" s="9"/>
      <c r="AG33" s="9"/>
    </row>
    <row r="34" hidden="1">
      <c r="A34" s="21">
        <f>COUNTIF('Histórico'!$B:$B,B34)</f>
        <v>1</v>
      </c>
      <c r="B34" s="21" t="s">
        <v>290</v>
      </c>
      <c r="C34" s="9"/>
      <c r="D34" s="6" t="s">
        <v>39</v>
      </c>
      <c r="E34" s="6" t="s">
        <v>40</v>
      </c>
      <c r="F34" s="23">
        <v>45769.0</v>
      </c>
      <c r="G34" s="6" t="s">
        <v>41</v>
      </c>
      <c r="H34" s="23">
        <v>45769.0</v>
      </c>
      <c r="I34" s="6" t="s">
        <v>286</v>
      </c>
      <c r="J34" s="6">
        <v>22373.0</v>
      </c>
      <c r="K34" s="6" t="s">
        <v>287</v>
      </c>
      <c r="L34" s="14">
        <v>34257.0</v>
      </c>
      <c r="M34" s="9"/>
      <c r="N34" s="9"/>
      <c r="O34" s="9"/>
      <c r="P34" s="9"/>
      <c r="Q34" s="6">
        <v>1.0</v>
      </c>
      <c r="R34" s="23">
        <v>45762.0</v>
      </c>
      <c r="S34" s="23">
        <v>45770.0</v>
      </c>
      <c r="T34" s="23">
        <v>45769.0</v>
      </c>
      <c r="U34" s="9"/>
      <c r="V34" s="6" t="s">
        <v>44</v>
      </c>
      <c r="W34" s="9"/>
      <c r="X34" s="6" t="s">
        <v>45</v>
      </c>
      <c r="Y34" s="6" t="s">
        <v>46</v>
      </c>
      <c r="Z34" s="6">
        <v>3.040311455E9</v>
      </c>
      <c r="AA34" s="6" t="s">
        <v>64</v>
      </c>
      <c r="AB34" s="6" t="s">
        <v>94</v>
      </c>
      <c r="AC34" s="6" t="s">
        <v>95</v>
      </c>
      <c r="AD34" s="9"/>
      <c r="AE34" s="9"/>
      <c r="AF34" s="9"/>
      <c r="AG34" s="9"/>
    </row>
    <row r="35" hidden="1">
      <c r="A35" s="21">
        <f>COUNTIF('Histórico'!$B:$B,B35)</f>
        <v>1</v>
      </c>
      <c r="B35" s="21" t="s">
        <v>293</v>
      </c>
      <c r="C35" s="9"/>
      <c r="D35" s="6" t="s">
        <v>39</v>
      </c>
      <c r="E35" s="6" t="s">
        <v>40</v>
      </c>
      <c r="F35" s="23">
        <v>45769.0</v>
      </c>
      <c r="G35" s="6" t="s">
        <v>41</v>
      </c>
      <c r="H35" s="23">
        <v>45769.0</v>
      </c>
      <c r="I35" s="6" t="s">
        <v>286</v>
      </c>
      <c r="J35" s="6">
        <v>22373.0</v>
      </c>
      <c r="K35" s="6" t="s">
        <v>287</v>
      </c>
      <c r="L35" s="14">
        <v>4355.0</v>
      </c>
      <c r="M35" s="9"/>
      <c r="N35" s="9"/>
      <c r="O35" s="9"/>
      <c r="P35" s="9"/>
      <c r="Q35" s="6">
        <v>1.0</v>
      </c>
      <c r="R35" s="23">
        <v>45762.0</v>
      </c>
      <c r="S35" s="23">
        <v>45770.0</v>
      </c>
      <c r="T35" s="23">
        <v>45769.0</v>
      </c>
      <c r="U35" s="9"/>
      <c r="V35" s="6" t="s">
        <v>44</v>
      </c>
      <c r="W35" s="9"/>
      <c r="X35" s="6" t="s">
        <v>45</v>
      </c>
      <c r="Y35" s="6" t="s">
        <v>46</v>
      </c>
      <c r="Z35" s="6">
        <v>3.040277219E9</v>
      </c>
      <c r="AA35" s="6" t="s">
        <v>294</v>
      </c>
      <c r="AB35" s="6" t="s">
        <v>295</v>
      </c>
      <c r="AC35" s="6" t="s">
        <v>296</v>
      </c>
      <c r="AD35" s="9"/>
      <c r="AE35" s="9"/>
      <c r="AF35" s="9"/>
      <c r="AG35" s="9"/>
    </row>
    <row r="36" hidden="1">
      <c r="A36" s="21">
        <f>COUNTIF('Histórico'!$B:$B,B36)</f>
        <v>1</v>
      </c>
      <c r="B36" s="21" t="s">
        <v>301</v>
      </c>
      <c r="C36" s="9"/>
      <c r="D36" s="6" t="s">
        <v>39</v>
      </c>
      <c r="E36" s="6" t="s">
        <v>40</v>
      </c>
      <c r="F36" s="23">
        <v>45769.0</v>
      </c>
      <c r="G36" s="6" t="s">
        <v>41</v>
      </c>
      <c r="H36" s="23">
        <v>45769.0</v>
      </c>
      <c r="I36" s="6" t="s">
        <v>302</v>
      </c>
      <c r="J36" s="6">
        <v>22373.0</v>
      </c>
      <c r="K36" s="6" t="s">
        <v>303</v>
      </c>
      <c r="L36" s="14">
        <v>86012.0</v>
      </c>
      <c r="M36" s="9"/>
      <c r="N36" s="9"/>
      <c r="O36" s="9"/>
      <c r="P36" s="9"/>
      <c r="Q36" s="6">
        <v>1.0</v>
      </c>
      <c r="R36" s="23">
        <v>45762.0</v>
      </c>
      <c r="S36" s="23">
        <v>45770.0</v>
      </c>
      <c r="T36" s="23">
        <v>45769.0</v>
      </c>
      <c r="U36" s="9"/>
      <c r="V36" s="6" t="s">
        <v>44</v>
      </c>
      <c r="W36" s="9"/>
      <c r="X36" s="6" t="s">
        <v>45</v>
      </c>
      <c r="Y36" s="6" t="s">
        <v>46</v>
      </c>
      <c r="Z36" s="6">
        <v>3.040250226E9</v>
      </c>
      <c r="AA36" s="6" t="s">
        <v>304</v>
      </c>
      <c r="AB36" s="6" t="s">
        <v>306</v>
      </c>
      <c r="AC36" s="6" t="s">
        <v>308</v>
      </c>
      <c r="AD36" s="9"/>
      <c r="AE36" s="9"/>
      <c r="AF36" s="9"/>
      <c r="AG36" s="9"/>
    </row>
    <row r="37" hidden="1">
      <c r="A37" s="21">
        <f>COUNTIF('Histórico'!$B:$B,B37)</f>
        <v>1</v>
      </c>
      <c r="B37" s="21" t="s">
        <v>309</v>
      </c>
      <c r="C37" s="9"/>
      <c r="D37" s="6" t="s">
        <v>39</v>
      </c>
      <c r="E37" s="6" t="s">
        <v>40</v>
      </c>
      <c r="F37" s="23">
        <v>45799.0</v>
      </c>
      <c r="G37" s="6" t="s">
        <v>41</v>
      </c>
      <c r="H37" s="23">
        <v>45799.0</v>
      </c>
      <c r="I37" s="6" t="s">
        <v>310</v>
      </c>
      <c r="J37" s="6" t="s">
        <v>156</v>
      </c>
      <c r="K37" s="6" t="s">
        <v>311</v>
      </c>
      <c r="L37" s="14" t="s">
        <v>312</v>
      </c>
      <c r="M37" s="9"/>
      <c r="N37" s="9"/>
      <c r="O37" s="9"/>
      <c r="P37" s="9"/>
      <c r="Q37" s="6">
        <v>1.0</v>
      </c>
      <c r="R37" s="23">
        <v>45796.0</v>
      </c>
      <c r="S37" s="50">
        <v>45984.0</v>
      </c>
      <c r="T37" s="23">
        <v>45799.0</v>
      </c>
      <c r="U37" s="9"/>
      <c r="V37" s="6" t="s">
        <v>44</v>
      </c>
      <c r="W37" s="9"/>
      <c r="X37" s="6" t="s">
        <v>45</v>
      </c>
      <c r="Y37" s="6" t="s">
        <v>46</v>
      </c>
      <c r="Z37" s="6">
        <v>3.040307826E9</v>
      </c>
      <c r="AA37" s="6" t="s">
        <v>66</v>
      </c>
      <c r="AB37" s="6" t="s">
        <v>228</v>
      </c>
      <c r="AC37" s="6" t="s">
        <v>229</v>
      </c>
      <c r="AD37" s="9"/>
      <c r="AE37" s="9"/>
      <c r="AF37" s="9"/>
      <c r="AG37" s="9"/>
    </row>
    <row r="38" hidden="1">
      <c r="A38" s="21">
        <f>COUNTIF('Histórico'!$B:$B,B38)</f>
        <v>1</v>
      </c>
      <c r="B38" s="21" t="s">
        <v>315</v>
      </c>
      <c r="C38" s="9"/>
      <c r="D38" s="6" t="s">
        <v>39</v>
      </c>
      <c r="E38" s="6" t="s">
        <v>40</v>
      </c>
      <c r="F38" s="23">
        <v>45799.0</v>
      </c>
      <c r="G38" s="6" t="s">
        <v>41</v>
      </c>
      <c r="H38" s="23">
        <v>45799.0</v>
      </c>
      <c r="I38" s="6" t="s">
        <v>223</v>
      </c>
      <c r="J38" s="6">
        <v>33269.0</v>
      </c>
      <c r="K38" s="6" t="s">
        <v>224</v>
      </c>
      <c r="L38" s="14">
        <v>2.0</v>
      </c>
      <c r="M38" s="9"/>
      <c r="N38" s="9"/>
      <c r="O38" s="9"/>
      <c r="P38" s="9"/>
      <c r="Q38" s="6">
        <v>1.0</v>
      </c>
      <c r="R38" s="23">
        <v>45796.0</v>
      </c>
      <c r="S38" s="50">
        <v>45984.0</v>
      </c>
      <c r="T38" s="23">
        <v>45799.0</v>
      </c>
      <c r="U38" s="9"/>
      <c r="V38" s="6" t="s">
        <v>103</v>
      </c>
      <c r="W38" s="6">
        <v>3.96250014613E11</v>
      </c>
      <c r="X38" s="6" t="s">
        <v>45</v>
      </c>
      <c r="Y38" s="6" t="s">
        <v>46</v>
      </c>
      <c r="Z38" s="6">
        <v>3.040310145E9</v>
      </c>
      <c r="AA38" s="6" t="s">
        <v>143</v>
      </c>
      <c r="AB38" s="6" t="s">
        <v>316</v>
      </c>
      <c r="AC38" s="6" t="s">
        <v>317</v>
      </c>
      <c r="AD38" s="9"/>
      <c r="AE38" s="9"/>
      <c r="AF38" s="9"/>
      <c r="AG38" s="9"/>
    </row>
    <row r="39" hidden="1">
      <c r="A39" s="21">
        <f>COUNTIF('Histórico'!$B:$B,B39)</f>
        <v>1</v>
      </c>
      <c r="B39" s="21" t="s">
        <v>319</v>
      </c>
      <c r="C39" s="9"/>
      <c r="D39" s="6" t="s">
        <v>39</v>
      </c>
      <c r="E39" s="6" t="s">
        <v>40</v>
      </c>
      <c r="F39" s="23">
        <v>45803.0</v>
      </c>
      <c r="G39" s="6" t="s">
        <v>41</v>
      </c>
      <c r="H39" s="23">
        <v>45803.0</v>
      </c>
      <c r="I39" s="6" t="s">
        <v>226</v>
      </c>
      <c r="J39" s="6">
        <v>71513.0</v>
      </c>
      <c r="K39" s="6" t="s">
        <v>320</v>
      </c>
      <c r="L39" s="14" t="s">
        <v>321</v>
      </c>
      <c r="M39" s="9"/>
      <c r="N39" s="9"/>
      <c r="O39" s="9"/>
      <c r="P39" s="9"/>
      <c r="Q39" s="6">
        <v>1.0</v>
      </c>
      <c r="R39" s="23">
        <v>45800.0</v>
      </c>
      <c r="S39" s="50">
        <v>45990.0</v>
      </c>
      <c r="T39" s="23">
        <v>45803.0</v>
      </c>
      <c r="U39" s="9"/>
      <c r="V39" s="6" t="s">
        <v>44</v>
      </c>
      <c r="W39" s="21"/>
      <c r="X39" s="6" t="s">
        <v>45</v>
      </c>
      <c r="Y39" s="6" t="s">
        <v>46</v>
      </c>
      <c r="Z39" s="6">
        <v>3.040313477E9</v>
      </c>
      <c r="AA39" s="6" t="s">
        <v>45</v>
      </c>
      <c r="AB39" s="6" t="s">
        <v>46</v>
      </c>
      <c r="AC39" s="6" t="s">
        <v>324</v>
      </c>
      <c r="AD39" s="9"/>
      <c r="AE39" s="9"/>
      <c r="AF39" s="9"/>
      <c r="AG39" s="9"/>
    </row>
    <row r="40" hidden="1">
      <c r="A40" s="21">
        <f>COUNTIF('Histórico'!$B:$B,B40)</f>
        <v>1</v>
      </c>
      <c r="B40" s="21" t="s">
        <v>325</v>
      </c>
      <c r="C40" s="9"/>
      <c r="D40" s="6" t="s">
        <v>39</v>
      </c>
      <c r="E40" s="6" t="s">
        <v>40</v>
      </c>
      <c r="F40" s="23">
        <v>45803.0</v>
      </c>
      <c r="G40" s="6" t="s">
        <v>41</v>
      </c>
      <c r="H40" s="23">
        <v>45803.0</v>
      </c>
      <c r="I40" s="6" t="s">
        <v>226</v>
      </c>
      <c r="J40" s="6">
        <v>71513.0</v>
      </c>
      <c r="K40" s="6" t="s">
        <v>320</v>
      </c>
      <c r="L40" s="14">
        <v>39.0</v>
      </c>
      <c r="M40" s="9"/>
      <c r="N40" s="9"/>
      <c r="O40" s="9"/>
      <c r="P40" s="9"/>
      <c r="Q40" s="6">
        <v>1.0</v>
      </c>
      <c r="R40" s="23">
        <v>45800.0</v>
      </c>
      <c r="S40" s="50">
        <v>45990.0</v>
      </c>
      <c r="T40" s="23">
        <v>45803.0</v>
      </c>
      <c r="U40" s="9"/>
      <c r="V40" s="6" t="s">
        <v>44</v>
      </c>
      <c r="W40" s="21"/>
      <c r="X40" s="6" t="s">
        <v>45</v>
      </c>
      <c r="Y40" s="6" t="s">
        <v>46</v>
      </c>
      <c r="Z40" s="6">
        <v>3.04031145E9</v>
      </c>
      <c r="AA40" s="6" t="s">
        <v>71</v>
      </c>
      <c r="AB40" s="6" t="s">
        <v>328</v>
      </c>
      <c r="AC40" s="6" t="s">
        <v>329</v>
      </c>
      <c r="AD40" s="9"/>
      <c r="AE40" s="9"/>
      <c r="AF40" s="9"/>
      <c r="AG40" s="9"/>
    </row>
    <row r="41" hidden="1">
      <c r="A41" s="21">
        <f>COUNTIF('Histórico'!$B:$B,B41)</f>
        <v>1</v>
      </c>
      <c r="B41" s="21" t="s">
        <v>330</v>
      </c>
      <c r="C41" s="9"/>
      <c r="D41" s="6" t="s">
        <v>39</v>
      </c>
      <c r="E41" s="6" t="s">
        <v>40</v>
      </c>
      <c r="F41" s="23">
        <v>45803.0</v>
      </c>
      <c r="G41" s="6" t="s">
        <v>41</v>
      </c>
      <c r="H41" s="23">
        <v>45803.0</v>
      </c>
      <c r="I41" s="6" t="s">
        <v>226</v>
      </c>
      <c r="J41" s="6">
        <v>71513.0</v>
      </c>
      <c r="K41" s="6" t="s">
        <v>320</v>
      </c>
      <c r="L41" s="14">
        <v>967.0</v>
      </c>
      <c r="M41" s="9"/>
      <c r="N41" s="9"/>
      <c r="O41" s="9"/>
      <c r="P41" s="9"/>
      <c r="Q41" s="6">
        <v>1.0</v>
      </c>
      <c r="R41" s="23">
        <v>45800.0</v>
      </c>
      <c r="S41" s="50">
        <v>45990.0</v>
      </c>
      <c r="T41" s="23">
        <v>45803.0</v>
      </c>
      <c r="U41" s="9"/>
      <c r="V41" s="6" t="s">
        <v>44</v>
      </c>
      <c r="W41" s="9"/>
      <c r="X41" s="6" t="s">
        <v>45</v>
      </c>
      <c r="Y41" s="6" t="s">
        <v>46</v>
      </c>
      <c r="Z41" s="6">
        <v>3.040313478E9</v>
      </c>
      <c r="AA41" s="6" t="s">
        <v>45</v>
      </c>
      <c r="AB41" s="6" t="s">
        <v>46</v>
      </c>
      <c r="AC41" s="6" t="s">
        <v>324</v>
      </c>
      <c r="AD41" s="9"/>
      <c r="AE41" s="9"/>
      <c r="AF41" s="9"/>
      <c r="AG41" s="9"/>
    </row>
    <row r="42" hidden="1">
      <c r="A42" s="21">
        <f>COUNTIF('Histórico'!$B:$B,B42)</f>
        <v>1</v>
      </c>
      <c r="B42" s="21" t="s">
        <v>334</v>
      </c>
      <c r="C42" s="9"/>
      <c r="D42" s="6" t="s">
        <v>39</v>
      </c>
      <c r="E42" s="6" t="s">
        <v>40</v>
      </c>
      <c r="F42" s="23">
        <v>45803.0</v>
      </c>
      <c r="G42" s="6" t="s">
        <v>41</v>
      </c>
      <c r="H42" s="23">
        <v>45803.0</v>
      </c>
      <c r="I42" s="6" t="s">
        <v>335</v>
      </c>
      <c r="J42" s="6">
        <v>71513.0</v>
      </c>
      <c r="K42" s="6" t="s">
        <v>336</v>
      </c>
      <c r="L42" s="14">
        <v>772.0</v>
      </c>
      <c r="M42" s="9"/>
      <c r="N42" s="9"/>
      <c r="O42" s="9"/>
      <c r="P42" s="9"/>
      <c r="Q42" s="6">
        <v>1.0</v>
      </c>
      <c r="R42" s="23">
        <v>45800.0</v>
      </c>
      <c r="S42" s="50">
        <v>45990.0</v>
      </c>
      <c r="T42" s="23">
        <v>45803.0</v>
      </c>
      <c r="U42" s="9"/>
      <c r="V42" s="6" t="s">
        <v>44</v>
      </c>
      <c r="W42" s="9"/>
      <c r="X42" s="6" t="s">
        <v>45</v>
      </c>
      <c r="Y42" s="6" t="s">
        <v>46</v>
      </c>
      <c r="Z42" s="6">
        <v>3.040313076E9</v>
      </c>
      <c r="AA42" s="6" t="s">
        <v>66</v>
      </c>
      <c r="AB42" s="6" t="s">
        <v>339</v>
      </c>
      <c r="AC42" s="6" t="s">
        <v>229</v>
      </c>
      <c r="AD42" s="9"/>
      <c r="AE42" s="9"/>
      <c r="AF42" s="9"/>
      <c r="AG42" s="9"/>
    </row>
    <row r="43" hidden="1">
      <c r="A43" s="21">
        <f>COUNTIF('Histórico'!$B:$B,B43)</f>
        <v>1</v>
      </c>
      <c r="B43" s="21" t="s">
        <v>340</v>
      </c>
      <c r="C43" s="9"/>
      <c r="D43" s="6" t="s">
        <v>39</v>
      </c>
      <c r="E43" s="6" t="s">
        <v>40</v>
      </c>
      <c r="F43" s="23">
        <v>45803.0</v>
      </c>
      <c r="G43" s="6" t="s">
        <v>41</v>
      </c>
      <c r="H43" s="23">
        <v>45803.0</v>
      </c>
      <c r="I43" s="6" t="s">
        <v>335</v>
      </c>
      <c r="J43" s="6">
        <v>71513.0</v>
      </c>
      <c r="K43" s="6" t="s">
        <v>336</v>
      </c>
      <c r="L43" s="14">
        <v>49.0</v>
      </c>
      <c r="M43" s="9"/>
      <c r="N43" s="9"/>
      <c r="O43" s="9"/>
      <c r="P43" s="9"/>
      <c r="Q43" s="6">
        <v>1.0</v>
      </c>
      <c r="R43" s="23">
        <v>45800.0</v>
      </c>
      <c r="S43" s="50">
        <v>45984.0</v>
      </c>
      <c r="T43" s="23">
        <v>45803.0</v>
      </c>
      <c r="U43" s="9"/>
      <c r="V43" s="6" t="s">
        <v>44</v>
      </c>
      <c r="W43" s="9"/>
      <c r="X43" s="6" t="s">
        <v>45</v>
      </c>
      <c r="Y43" s="6" t="s">
        <v>46</v>
      </c>
      <c r="Z43" s="6">
        <v>3.04031348E9</v>
      </c>
      <c r="AA43" s="6" t="s">
        <v>45</v>
      </c>
      <c r="AB43" s="6" t="s">
        <v>46</v>
      </c>
      <c r="AC43" s="6" t="s">
        <v>324</v>
      </c>
      <c r="AD43" s="9"/>
      <c r="AE43" s="9"/>
      <c r="AF43" s="9"/>
      <c r="AG43" s="9"/>
    </row>
    <row r="44" hidden="1">
      <c r="A44" s="21">
        <f>COUNTIF('Histórico'!$B:$B,B44)</f>
        <v>1</v>
      </c>
      <c r="B44" s="21" t="s">
        <v>342</v>
      </c>
      <c r="C44" s="9"/>
      <c r="D44" s="6" t="s">
        <v>39</v>
      </c>
      <c r="E44" s="6" t="s">
        <v>40</v>
      </c>
      <c r="F44" s="23">
        <v>45803.0</v>
      </c>
      <c r="G44" s="6" t="s">
        <v>41</v>
      </c>
      <c r="H44" s="23">
        <v>45803.0</v>
      </c>
      <c r="I44" s="6" t="s">
        <v>218</v>
      </c>
      <c r="J44" s="6">
        <v>33269.0</v>
      </c>
      <c r="K44" s="6" t="s">
        <v>343</v>
      </c>
      <c r="L44" s="14">
        <v>32.0</v>
      </c>
      <c r="M44" s="9"/>
      <c r="N44" s="9"/>
      <c r="O44" s="9"/>
      <c r="P44" s="9"/>
      <c r="Q44" s="6">
        <v>1.0</v>
      </c>
      <c r="R44" s="23">
        <v>45800.0</v>
      </c>
      <c r="S44" s="50">
        <v>45990.0</v>
      </c>
      <c r="T44" s="23">
        <v>45803.0</v>
      </c>
      <c r="U44" s="9"/>
      <c r="V44" s="6" t="s">
        <v>44</v>
      </c>
      <c r="W44" s="9"/>
      <c r="X44" s="6" t="s">
        <v>45</v>
      </c>
      <c r="Y44" s="6" t="s">
        <v>46</v>
      </c>
      <c r="Z44" s="6">
        <v>3.040311452E9</v>
      </c>
      <c r="AA44" s="6" t="s">
        <v>71</v>
      </c>
      <c r="AB44" s="6" t="s">
        <v>328</v>
      </c>
      <c r="AC44" s="6" t="s">
        <v>329</v>
      </c>
      <c r="AD44" s="9"/>
      <c r="AE44" s="9"/>
      <c r="AF44" s="9"/>
      <c r="AG44" s="9"/>
    </row>
    <row r="45" hidden="1">
      <c r="A45" s="21">
        <f>COUNTIF('Histórico'!$B:$B,B45)</f>
        <v>1</v>
      </c>
      <c r="B45" s="21" t="s">
        <v>344</v>
      </c>
      <c r="C45" s="9"/>
      <c r="D45" s="6" t="s">
        <v>39</v>
      </c>
      <c r="E45" s="6" t="s">
        <v>40</v>
      </c>
      <c r="F45" s="23">
        <v>45803.0</v>
      </c>
      <c r="G45" s="6" t="s">
        <v>41</v>
      </c>
      <c r="H45" s="23">
        <v>45803.0</v>
      </c>
      <c r="I45" s="6" t="s">
        <v>218</v>
      </c>
      <c r="J45" s="6">
        <v>33269.0</v>
      </c>
      <c r="K45" s="6" t="s">
        <v>343</v>
      </c>
      <c r="L45" s="14">
        <v>969.0</v>
      </c>
      <c r="M45" s="9"/>
      <c r="N45" s="9"/>
      <c r="O45" s="9"/>
      <c r="P45" s="9"/>
      <c r="Q45" s="6">
        <v>1.0</v>
      </c>
      <c r="R45" s="23">
        <v>45800.0</v>
      </c>
      <c r="S45" s="50">
        <v>45990.0</v>
      </c>
      <c r="T45" s="23">
        <v>45803.0</v>
      </c>
      <c r="U45" s="9"/>
      <c r="V45" s="6" t="s">
        <v>44</v>
      </c>
      <c r="W45" s="9"/>
      <c r="X45" s="6" t="s">
        <v>45</v>
      </c>
      <c r="Y45" s="6" t="s">
        <v>46</v>
      </c>
      <c r="Z45" s="6">
        <v>3.040313475E9</v>
      </c>
      <c r="AA45" s="6" t="s">
        <v>45</v>
      </c>
      <c r="AB45" s="6" t="s">
        <v>46</v>
      </c>
      <c r="AC45" s="6" t="s">
        <v>324</v>
      </c>
      <c r="AD45" s="9"/>
      <c r="AE45" s="9"/>
      <c r="AF45" s="9"/>
      <c r="AG45" s="9"/>
    </row>
    <row r="46" hidden="1">
      <c r="A46" s="21">
        <f>COUNTIF('Histórico'!$B:$B,B46)</f>
        <v>1</v>
      </c>
      <c r="B46" s="21" t="s">
        <v>347</v>
      </c>
      <c r="C46" s="9"/>
      <c r="D46" s="6" t="s">
        <v>39</v>
      </c>
      <c r="E46" s="6" t="s">
        <v>40</v>
      </c>
      <c r="F46" s="23">
        <v>45813.0</v>
      </c>
      <c r="G46" s="6" t="s">
        <v>41</v>
      </c>
      <c r="H46" s="23">
        <v>45813.0</v>
      </c>
      <c r="I46" s="6" t="s">
        <v>286</v>
      </c>
      <c r="J46" s="6">
        <v>22373.0</v>
      </c>
      <c r="K46" s="6" t="s">
        <v>287</v>
      </c>
      <c r="L46" s="14">
        <v>3945.0</v>
      </c>
      <c r="M46" s="9"/>
      <c r="N46" s="9"/>
      <c r="O46" s="9"/>
      <c r="P46" s="9"/>
      <c r="Q46" s="6">
        <v>1.0</v>
      </c>
      <c r="R46" s="23">
        <v>45812.0</v>
      </c>
      <c r="S46" s="23">
        <v>45818.0</v>
      </c>
      <c r="T46" s="23">
        <v>45813.0</v>
      </c>
      <c r="U46" s="9"/>
      <c r="V46" s="6" t="s">
        <v>44</v>
      </c>
      <c r="W46" s="9"/>
      <c r="X46" s="6" t="s">
        <v>45</v>
      </c>
      <c r="Y46" s="6" t="s">
        <v>46</v>
      </c>
      <c r="Z46" s="6">
        <v>3.040172638E9</v>
      </c>
      <c r="AA46" s="6" t="s">
        <v>349</v>
      </c>
      <c r="AB46" s="6" t="s">
        <v>351</v>
      </c>
      <c r="AC46" s="6" t="s">
        <v>352</v>
      </c>
      <c r="AD46" s="9"/>
      <c r="AE46" s="9"/>
      <c r="AF46" s="9"/>
      <c r="AG46" s="9"/>
    </row>
    <row r="47" hidden="1">
      <c r="A47" s="21">
        <f>COUNTIF('Histórico'!$B:$B,B47)</f>
        <v>1</v>
      </c>
      <c r="B47" s="21" t="s">
        <v>353</v>
      </c>
      <c r="C47" s="9"/>
      <c r="D47" s="6" t="s">
        <v>39</v>
      </c>
      <c r="E47" s="6" t="s">
        <v>40</v>
      </c>
      <c r="F47" s="23">
        <v>45813.0</v>
      </c>
      <c r="G47" s="6" t="s">
        <v>41</v>
      </c>
      <c r="H47" s="23">
        <v>45813.0</v>
      </c>
      <c r="I47" s="6" t="s">
        <v>90</v>
      </c>
      <c r="J47" s="6">
        <v>83326.0</v>
      </c>
      <c r="K47" s="6" t="s">
        <v>91</v>
      </c>
      <c r="L47" s="14">
        <v>197.0</v>
      </c>
      <c r="M47" s="9"/>
      <c r="N47" s="9"/>
      <c r="O47" s="9"/>
      <c r="P47" s="9"/>
      <c r="Q47" s="6">
        <v>1.0</v>
      </c>
      <c r="R47" s="23">
        <v>45812.0</v>
      </c>
      <c r="S47" s="23">
        <v>45818.0</v>
      </c>
      <c r="T47" s="23">
        <v>45813.0</v>
      </c>
      <c r="U47" s="9"/>
      <c r="V47" s="6" t="s">
        <v>44</v>
      </c>
      <c r="W47" s="9"/>
      <c r="X47" s="6" t="s">
        <v>45</v>
      </c>
      <c r="Y47" s="6" t="s">
        <v>46</v>
      </c>
      <c r="Z47" s="6">
        <v>3.040309276E9</v>
      </c>
      <c r="AA47" s="6" t="s">
        <v>63</v>
      </c>
      <c r="AB47" s="6" t="s">
        <v>72</v>
      </c>
      <c r="AC47" s="6" t="s">
        <v>355</v>
      </c>
      <c r="AD47" s="9"/>
      <c r="AE47" s="9"/>
      <c r="AF47" s="9"/>
      <c r="AG47" s="9"/>
    </row>
    <row r="48" hidden="1">
      <c r="A48" s="21">
        <f>COUNTIF('Histórico'!$B:$B,B48)</f>
        <v>1</v>
      </c>
      <c r="B48" s="21" t="s">
        <v>356</v>
      </c>
      <c r="C48" s="9"/>
      <c r="D48" s="6" t="s">
        <v>39</v>
      </c>
      <c r="E48" s="6" t="s">
        <v>40</v>
      </c>
      <c r="F48" s="23">
        <v>45813.0</v>
      </c>
      <c r="G48" s="6" t="s">
        <v>41</v>
      </c>
      <c r="H48" s="23">
        <v>45813.0</v>
      </c>
      <c r="I48" s="6" t="s">
        <v>90</v>
      </c>
      <c r="J48" s="6">
        <v>83326.0</v>
      </c>
      <c r="K48" s="6" t="s">
        <v>91</v>
      </c>
      <c r="L48" s="14" t="s">
        <v>357</v>
      </c>
      <c r="M48" s="9"/>
      <c r="N48" s="9"/>
      <c r="O48" s="9"/>
      <c r="P48" s="9"/>
      <c r="Q48" s="6">
        <v>1.0</v>
      </c>
      <c r="R48" s="23">
        <v>45812.0</v>
      </c>
      <c r="S48" s="23">
        <v>45818.0</v>
      </c>
      <c r="T48" s="23">
        <v>45813.0</v>
      </c>
      <c r="U48" s="9"/>
      <c r="V48" s="6" t="s">
        <v>103</v>
      </c>
      <c r="W48" s="6">
        <v>3.0425007378E11</v>
      </c>
      <c r="X48" s="6" t="s">
        <v>45</v>
      </c>
      <c r="Y48" s="6" t="s">
        <v>46</v>
      </c>
      <c r="Z48" s="6">
        <v>3.040309286E9</v>
      </c>
      <c r="AA48" s="6" t="s">
        <v>63</v>
      </c>
      <c r="AB48" s="6" t="s">
        <v>72</v>
      </c>
      <c r="AC48" s="6" t="s">
        <v>360</v>
      </c>
      <c r="AD48" s="9"/>
      <c r="AE48" s="9"/>
      <c r="AF48" s="9"/>
      <c r="AG48" s="9"/>
    </row>
    <row r="49" hidden="1">
      <c r="A49" s="21">
        <f>COUNTIF('Histórico'!$B:$B,B49)</f>
        <v>1</v>
      </c>
      <c r="B49" s="21" t="s">
        <v>361</v>
      </c>
      <c r="C49" s="9"/>
      <c r="D49" s="6" t="s">
        <v>39</v>
      </c>
      <c r="E49" s="6" t="s">
        <v>40</v>
      </c>
      <c r="F49" s="23">
        <v>45813.0</v>
      </c>
      <c r="G49" s="6" t="s">
        <v>41</v>
      </c>
      <c r="H49" s="23">
        <v>45813.0</v>
      </c>
      <c r="I49" s="6" t="s">
        <v>90</v>
      </c>
      <c r="J49" s="6">
        <v>83326.0</v>
      </c>
      <c r="K49" s="6" t="s">
        <v>91</v>
      </c>
      <c r="L49" s="14">
        <v>2469.0</v>
      </c>
      <c r="M49" s="9"/>
      <c r="N49" s="9"/>
      <c r="O49" s="9"/>
      <c r="P49" s="9"/>
      <c r="Q49" s="6">
        <v>1.0</v>
      </c>
      <c r="R49" s="23">
        <v>45812.0</v>
      </c>
      <c r="S49" s="23">
        <v>45818.0</v>
      </c>
      <c r="T49" s="23">
        <v>45813.0</v>
      </c>
      <c r="U49" s="9"/>
      <c r="V49" s="6" t="s">
        <v>103</v>
      </c>
      <c r="W49" s="6">
        <v>3.13250016763E11</v>
      </c>
      <c r="X49" s="6" t="s">
        <v>45</v>
      </c>
      <c r="Y49" s="6" t="s">
        <v>46</v>
      </c>
      <c r="Z49" s="6">
        <v>3.040313472E9</v>
      </c>
      <c r="AA49" s="6" t="s">
        <v>45</v>
      </c>
      <c r="AB49" s="6" t="s">
        <v>46</v>
      </c>
      <c r="AC49" s="6" t="s">
        <v>177</v>
      </c>
      <c r="AD49" s="9"/>
      <c r="AE49" s="9"/>
      <c r="AF49" s="9"/>
      <c r="AG49" s="9"/>
    </row>
    <row r="50" hidden="1">
      <c r="A50" s="21">
        <f>COUNTIF('Histórico'!$B:$B,B50)</f>
        <v>1</v>
      </c>
      <c r="B50" s="21" t="s">
        <v>364</v>
      </c>
      <c r="C50" s="9"/>
      <c r="D50" s="6" t="s">
        <v>39</v>
      </c>
      <c r="E50" s="6" t="s">
        <v>40</v>
      </c>
      <c r="F50" s="23">
        <v>45813.0</v>
      </c>
      <c r="G50" s="6" t="s">
        <v>41</v>
      </c>
      <c r="H50" s="23">
        <v>45813.0</v>
      </c>
      <c r="I50" s="6" t="s">
        <v>365</v>
      </c>
      <c r="J50" s="6" t="s">
        <v>156</v>
      </c>
      <c r="K50" s="6" t="s">
        <v>366</v>
      </c>
      <c r="L50" s="14">
        <v>292.0</v>
      </c>
      <c r="M50" s="9"/>
      <c r="N50" s="9"/>
      <c r="O50" s="9"/>
      <c r="P50" s="9"/>
      <c r="Q50" s="6">
        <v>1.0</v>
      </c>
      <c r="R50" s="23">
        <v>45812.0</v>
      </c>
      <c r="S50" s="50">
        <v>45971.0</v>
      </c>
      <c r="T50" s="23">
        <v>45813.0</v>
      </c>
      <c r="U50" s="9"/>
      <c r="V50" s="6" t="s">
        <v>44</v>
      </c>
      <c r="W50" s="21"/>
      <c r="X50" s="6" t="s">
        <v>45</v>
      </c>
      <c r="Y50" s="6" t="s">
        <v>46</v>
      </c>
      <c r="Z50" s="6">
        <v>3.040313068E9</v>
      </c>
      <c r="AA50" s="6" t="s">
        <v>60</v>
      </c>
      <c r="AB50" s="6" t="s">
        <v>367</v>
      </c>
      <c r="AC50" s="6" t="s">
        <v>368</v>
      </c>
      <c r="AD50" s="9"/>
      <c r="AE50" s="9"/>
      <c r="AF50" s="9"/>
      <c r="AG50" s="9"/>
    </row>
    <row r="51" hidden="1">
      <c r="A51" s="21">
        <f>COUNTIF('Histórico'!$B:$B,B51)</f>
        <v>1</v>
      </c>
      <c r="B51" s="21" t="s">
        <v>371</v>
      </c>
      <c r="C51" s="9"/>
      <c r="D51" s="6" t="s">
        <v>39</v>
      </c>
      <c r="E51" s="6" t="s">
        <v>40</v>
      </c>
      <c r="F51" s="23">
        <v>45831.0</v>
      </c>
      <c r="G51" s="6" t="s">
        <v>41</v>
      </c>
      <c r="H51" s="23">
        <v>45831.0</v>
      </c>
      <c r="I51" s="6" t="s">
        <v>372</v>
      </c>
      <c r="J51" s="6" t="s">
        <v>373</v>
      </c>
      <c r="K51" s="6" t="s">
        <v>374</v>
      </c>
      <c r="L51" s="14">
        <v>5385.0</v>
      </c>
      <c r="M51" s="9"/>
      <c r="N51" s="9"/>
      <c r="O51" s="9"/>
      <c r="P51" s="9"/>
      <c r="Q51" s="6">
        <v>1.0</v>
      </c>
      <c r="R51" s="23">
        <v>45825.0</v>
      </c>
      <c r="S51" s="50">
        <v>45984.0</v>
      </c>
      <c r="T51" s="23">
        <v>45831.0</v>
      </c>
      <c r="U51" s="9"/>
      <c r="V51" s="6" t="s">
        <v>44</v>
      </c>
      <c r="W51" s="21"/>
      <c r="X51" s="6" t="s">
        <v>45</v>
      </c>
      <c r="Y51" s="6" t="s">
        <v>46</v>
      </c>
      <c r="Z51" s="6">
        <v>3.040313462E9</v>
      </c>
      <c r="AA51" s="6" t="s">
        <v>45</v>
      </c>
      <c r="AB51" s="6" t="s">
        <v>46</v>
      </c>
      <c r="AC51" s="6" t="s">
        <v>177</v>
      </c>
      <c r="AD51" s="9"/>
      <c r="AE51" s="9"/>
      <c r="AF51" s="9"/>
      <c r="AG51" s="9"/>
    </row>
    <row r="52" hidden="1">
      <c r="A52" s="21">
        <f>COUNTIF('Histórico'!$B:$B,B52)</f>
        <v>1</v>
      </c>
      <c r="B52" s="21" t="s">
        <v>377</v>
      </c>
      <c r="C52" s="9"/>
      <c r="D52" s="6" t="s">
        <v>39</v>
      </c>
      <c r="E52" s="6" t="s">
        <v>40</v>
      </c>
      <c r="F52" s="23">
        <v>45831.0</v>
      </c>
      <c r="G52" s="6" t="s">
        <v>41</v>
      </c>
      <c r="H52" s="23">
        <v>45831.0</v>
      </c>
      <c r="I52" s="6" t="s">
        <v>378</v>
      </c>
      <c r="J52" s="6" t="s">
        <v>156</v>
      </c>
      <c r="K52" s="6" t="s">
        <v>379</v>
      </c>
      <c r="L52" s="14">
        <v>1.0</v>
      </c>
      <c r="M52" s="9"/>
      <c r="N52" s="9"/>
      <c r="O52" s="9"/>
      <c r="P52" s="9"/>
      <c r="Q52" s="6">
        <v>1.0</v>
      </c>
      <c r="R52" s="23">
        <v>45825.0</v>
      </c>
      <c r="S52" s="23">
        <v>45831.0</v>
      </c>
      <c r="T52" s="23">
        <v>45831.0</v>
      </c>
      <c r="U52" s="9"/>
      <c r="V52" s="6" t="s">
        <v>44</v>
      </c>
      <c r="W52" s="9"/>
      <c r="X52" s="6" t="s">
        <v>45</v>
      </c>
      <c r="Y52" s="6" t="s">
        <v>46</v>
      </c>
      <c r="Z52" s="6">
        <v>3.040312973E9</v>
      </c>
      <c r="AA52" s="6" t="s">
        <v>45</v>
      </c>
      <c r="AB52" s="6" t="s">
        <v>46</v>
      </c>
      <c r="AC52" s="6" t="s">
        <v>80</v>
      </c>
      <c r="AD52" s="9"/>
      <c r="AE52" s="9"/>
      <c r="AF52" s="9"/>
      <c r="AG52" s="9"/>
    </row>
    <row r="53" hidden="1">
      <c r="A53" s="21">
        <f>COUNTIF('Histórico'!$B:$B,B53)</f>
        <v>1</v>
      </c>
      <c r="B53" s="21" t="s">
        <v>381</v>
      </c>
      <c r="C53" s="9"/>
      <c r="D53" s="6" t="s">
        <v>39</v>
      </c>
      <c r="E53" s="6" t="s">
        <v>40</v>
      </c>
      <c r="F53" s="23">
        <v>45831.0</v>
      </c>
      <c r="G53" s="6" t="s">
        <v>41</v>
      </c>
      <c r="H53" s="23">
        <v>45831.0</v>
      </c>
      <c r="I53" s="6" t="s">
        <v>383</v>
      </c>
      <c r="J53" s="6">
        <v>71379.0</v>
      </c>
      <c r="K53" s="6" t="s">
        <v>384</v>
      </c>
      <c r="L53" s="14" t="s">
        <v>385</v>
      </c>
      <c r="M53" s="9"/>
      <c r="N53" s="9"/>
      <c r="O53" s="9"/>
      <c r="P53" s="9"/>
      <c r="Q53" s="6">
        <v>1.0</v>
      </c>
      <c r="R53" s="23">
        <v>45825.0</v>
      </c>
      <c r="S53" s="23">
        <v>45831.0</v>
      </c>
      <c r="T53" s="23">
        <v>45831.0</v>
      </c>
      <c r="U53" s="9"/>
      <c r="V53" s="6" t="s">
        <v>44</v>
      </c>
      <c r="W53" s="21"/>
      <c r="X53" s="6" t="s">
        <v>45</v>
      </c>
      <c r="Y53" s="6" t="s">
        <v>46</v>
      </c>
      <c r="Z53" s="6">
        <v>3.040257642E9</v>
      </c>
      <c r="AA53" s="6" t="s">
        <v>45</v>
      </c>
      <c r="AB53" s="6" t="s">
        <v>220</v>
      </c>
      <c r="AC53" s="6" t="s">
        <v>386</v>
      </c>
      <c r="AD53" s="9"/>
      <c r="AE53" s="9"/>
      <c r="AF53" s="9"/>
      <c r="AG53" s="9"/>
    </row>
    <row r="54" hidden="1">
      <c r="A54" s="21">
        <f>COUNTIF('Histórico'!$B:$B,B54)</f>
        <v>1</v>
      </c>
      <c r="B54" s="21" t="s">
        <v>387</v>
      </c>
      <c r="C54" s="9"/>
      <c r="D54" s="6" t="s">
        <v>39</v>
      </c>
      <c r="E54" s="6" t="s">
        <v>40</v>
      </c>
      <c r="F54" s="23">
        <v>45831.0</v>
      </c>
      <c r="G54" s="6" t="s">
        <v>41</v>
      </c>
      <c r="H54" s="23">
        <v>45831.0</v>
      </c>
      <c r="I54" s="6" t="s">
        <v>383</v>
      </c>
      <c r="J54" s="6">
        <v>71379.0</v>
      </c>
      <c r="K54" s="6" t="s">
        <v>384</v>
      </c>
      <c r="L54" s="14" t="s">
        <v>388</v>
      </c>
      <c r="M54" s="9"/>
      <c r="N54" s="9"/>
      <c r="O54" s="9"/>
      <c r="P54" s="9"/>
      <c r="Q54" s="6">
        <v>1.0</v>
      </c>
      <c r="R54" s="23">
        <v>45825.0</v>
      </c>
      <c r="S54" s="23">
        <v>45831.0</v>
      </c>
      <c r="T54" s="23">
        <v>45831.0</v>
      </c>
      <c r="U54" s="9"/>
      <c r="V54" s="6" t="s">
        <v>103</v>
      </c>
      <c r="W54" s="6">
        <v>3.04250073784E11</v>
      </c>
      <c r="X54" s="6" t="s">
        <v>45</v>
      </c>
      <c r="Y54" s="6" t="s">
        <v>46</v>
      </c>
      <c r="Z54" s="6">
        <v>3.040265315E9</v>
      </c>
      <c r="AA54" s="6" t="s">
        <v>389</v>
      </c>
      <c r="AB54" s="6" t="s">
        <v>390</v>
      </c>
      <c r="AC54" s="6" t="s">
        <v>391</v>
      </c>
      <c r="AD54" s="9"/>
      <c r="AE54" s="9"/>
      <c r="AF54" s="9"/>
      <c r="AG54" s="9"/>
    </row>
    <row r="55" hidden="1">
      <c r="A55" s="21">
        <f>COUNTIF('Histórico'!$B:$B,B55)</f>
        <v>1</v>
      </c>
      <c r="B55" s="21" t="s">
        <v>392</v>
      </c>
      <c r="C55" s="9"/>
      <c r="D55" s="6" t="s">
        <v>39</v>
      </c>
      <c r="E55" s="6" t="s">
        <v>40</v>
      </c>
      <c r="F55" s="23">
        <v>45831.0</v>
      </c>
      <c r="G55" s="6" t="s">
        <v>41</v>
      </c>
      <c r="H55" s="23">
        <v>45831.0</v>
      </c>
      <c r="I55" s="6" t="s">
        <v>383</v>
      </c>
      <c r="J55" s="6">
        <v>71379.0</v>
      </c>
      <c r="K55" s="6" t="s">
        <v>384</v>
      </c>
      <c r="L55" s="14" t="s">
        <v>393</v>
      </c>
      <c r="M55" s="9"/>
      <c r="N55" s="9"/>
      <c r="O55" s="9"/>
      <c r="P55" s="9"/>
      <c r="Q55" s="6">
        <v>1.0</v>
      </c>
      <c r="R55" s="23">
        <v>45825.0</v>
      </c>
      <c r="S55" s="23">
        <v>45831.0</v>
      </c>
      <c r="T55" s="23">
        <v>45831.0</v>
      </c>
      <c r="U55" s="9"/>
      <c r="V55" s="6" t="s">
        <v>44</v>
      </c>
      <c r="W55" s="9"/>
      <c r="X55" s="6" t="s">
        <v>45</v>
      </c>
      <c r="Y55" s="6" t="s">
        <v>46</v>
      </c>
      <c r="Z55" s="6">
        <v>3.040313122E9</v>
      </c>
      <c r="AA55" s="6" t="s">
        <v>66</v>
      </c>
      <c r="AB55" s="6" t="s">
        <v>394</v>
      </c>
      <c r="AC55" s="6" t="s">
        <v>395</v>
      </c>
      <c r="AD55" s="9"/>
      <c r="AE55" s="9"/>
      <c r="AF55" s="9"/>
      <c r="AG55" s="9"/>
    </row>
    <row r="56" hidden="1">
      <c r="A56" s="21">
        <f>COUNTIF('Histórico'!$B:$B,B56)</f>
        <v>1</v>
      </c>
      <c r="B56" s="21" t="s">
        <v>397</v>
      </c>
      <c r="C56" s="9"/>
      <c r="D56" s="6" t="s">
        <v>39</v>
      </c>
      <c r="E56" s="6" t="s">
        <v>40</v>
      </c>
      <c r="F56" s="23">
        <v>45831.0</v>
      </c>
      <c r="G56" s="6" t="s">
        <v>41</v>
      </c>
      <c r="H56" s="23">
        <v>45831.0</v>
      </c>
      <c r="I56" s="6" t="s">
        <v>90</v>
      </c>
      <c r="J56" s="6">
        <v>83326.0</v>
      </c>
      <c r="K56" s="6" t="s">
        <v>91</v>
      </c>
      <c r="L56" s="14">
        <v>908.0</v>
      </c>
      <c r="M56" s="9"/>
      <c r="N56" s="9"/>
      <c r="O56" s="9"/>
      <c r="P56" s="9"/>
      <c r="Q56" s="6">
        <v>1.0</v>
      </c>
      <c r="R56" s="23">
        <v>45825.0</v>
      </c>
      <c r="S56" s="23">
        <v>45831.0</v>
      </c>
      <c r="T56" s="23">
        <v>45831.0</v>
      </c>
      <c r="U56" s="9"/>
      <c r="V56" s="6" t="s">
        <v>103</v>
      </c>
      <c r="W56" s="6">
        <v>3.13250016762E11</v>
      </c>
      <c r="X56" s="6" t="s">
        <v>45</v>
      </c>
      <c r="Y56" s="6" t="s">
        <v>46</v>
      </c>
      <c r="Z56" s="6">
        <v>3.040314952E9</v>
      </c>
      <c r="AA56" s="6" t="s">
        <v>64</v>
      </c>
      <c r="AB56" s="6" t="s">
        <v>399</v>
      </c>
      <c r="AC56" s="6" t="s">
        <v>400</v>
      </c>
      <c r="AD56" s="9"/>
      <c r="AE56" s="9"/>
      <c r="AF56" s="9"/>
      <c r="AG56" s="9"/>
    </row>
    <row r="57" hidden="1">
      <c r="A57" s="21">
        <f>COUNTIF('Histórico'!$B:$B,B57)</f>
        <v>1</v>
      </c>
      <c r="B57" s="21" t="s">
        <v>401</v>
      </c>
      <c r="C57" s="9"/>
      <c r="D57" s="6" t="s">
        <v>39</v>
      </c>
      <c r="E57" s="6" t="s">
        <v>40</v>
      </c>
      <c r="F57" s="23">
        <v>45840.0</v>
      </c>
      <c r="G57" s="6" t="s">
        <v>41</v>
      </c>
      <c r="H57" s="23">
        <v>45840.0</v>
      </c>
      <c r="I57" s="6" t="s">
        <v>216</v>
      </c>
      <c r="J57" s="6">
        <v>22373.0</v>
      </c>
      <c r="K57" s="6" t="s">
        <v>217</v>
      </c>
      <c r="L57" s="14">
        <v>56422.0</v>
      </c>
      <c r="M57" s="9"/>
      <c r="N57" s="9"/>
      <c r="O57" s="9"/>
      <c r="P57" s="9"/>
      <c r="Q57" s="6">
        <v>1.0</v>
      </c>
      <c r="R57" s="23">
        <v>45838.0</v>
      </c>
      <c r="S57" s="23">
        <v>45842.0</v>
      </c>
      <c r="T57" s="23">
        <v>45840.0</v>
      </c>
      <c r="U57" s="9"/>
      <c r="V57" s="6" t="s">
        <v>44</v>
      </c>
      <c r="W57" s="21"/>
      <c r="X57" s="6" t="s">
        <v>45</v>
      </c>
      <c r="Y57" s="6" t="s">
        <v>46</v>
      </c>
      <c r="Z57" s="6">
        <v>3.040233408E9</v>
      </c>
      <c r="AA57" s="6" t="s">
        <v>188</v>
      </c>
      <c r="AB57" s="6" t="s">
        <v>194</v>
      </c>
      <c r="AC57" s="6" t="s">
        <v>404</v>
      </c>
      <c r="AD57" s="9"/>
      <c r="AE57" s="9"/>
      <c r="AF57" s="9"/>
      <c r="AG57" s="9"/>
    </row>
    <row r="58" hidden="1">
      <c r="A58" s="21">
        <f>COUNTIF('Histórico'!$B:$B,B58)</f>
        <v>1</v>
      </c>
      <c r="B58" s="21" t="s">
        <v>405</v>
      </c>
      <c r="C58" s="9"/>
      <c r="D58" s="6" t="s">
        <v>39</v>
      </c>
      <c r="E58" s="6" t="s">
        <v>40</v>
      </c>
      <c r="F58" s="23">
        <v>45840.0</v>
      </c>
      <c r="G58" s="6" t="s">
        <v>41</v>
      </c>
      <c r="H58" s="23">
        <v>45840.0</v>
      </c>
      <c r="I58" s="6" t="s">
        <v>406</v>
      </c>
      <c r="J58" s="6">
        <v>26055.0</v>
      </c>
      <c r="K58" s="6" t="s">
        <v>407</v>
      </c>
      <c r="L58" s="14">
        <v>203103.0</v>
      </c>
      <c r="M58" s="9"/>
      <c r="N58" s="9"/>
      <c r="O58" s="9"/>
      <c r="P58" s="9"/>
      <c r="Q58" s="6">
        <v>1.0</v>
      </c>
      <c r="R58" s="23">
        <v>45838.0</v>
      </c>
      <c r="S58" s="23">
        <v>45965.0</v>
      </c>
      <c r="T58" s="23">
        <v>45840.0</v>
      </c>
      <c r="U58" s="9"/>
      <c r="V58" s="6" t="s">
        <v>103</v>
      </c>
      <c r="W58" s="6">
        <v>3.04250073783E11</v>
      </c>
      <c r="X58" s="6" t="s">
        <v>45</v>
      </c>
      <c r="Y58" s="6" t="s">
        <v>46</v>
      </c>
      <c r="Z58" s="6">
        <v>3.040308014E9</v>
      </c>
      <c r="AA58" s="6" t="s">
        <v>57</v>
      </c>
      <c r="AB58" s="6" t="s">
        <v>410</v>
      </c>
      <c r="AC58" s="6" t="s">
        <v>411</v>
      </c>
      <c r="AD58" s="9"/>
      <c r="AE58" s="9"/>
      <c r="AF58" s="9"/>
      <c r="AG58" s="9"/>
    </row>
    <row r="59" hidden="1">
      <c r="A59" s="21">
        <f>COUNTIF('Histórico'!$B:$B,B59)</f>
        <v>1</v>
      </c>
      <c r="B59" s="21" t="s">
        <v>412</v>
      </c>
      <c r="C59" s="9"/>
      <c r="D59" s="6" t="s">
        <v>39</v>
      </c>
      <c r="E59" s="6" t="s">
        <v>40</v>
      </c>
      <c r="F59" s="23">
        <v>45840.0</v>
      </c>
      <c r="G59" s="6" t="s">
        <v>41</v>
      </c>
      <c r="H59" s="23">
        <v>45840.0</v>
      </c>
      <c r="I59" s="6" t="s">
        <v>413</v>
      </c>
      <c r="J59" s="6">
        <v>54905.0</v>
      </c>
      <c r="K59" s="6" t="s">
        <v>414</v>
      </c>
      <c r="L59" s="14" t="s">
        <v>415</v>
      </c>
      <c r="M59" s="9"/>
      <c r="N59" s="9"/>
      <c r="O59" s="9"/>
      <c r="P59" s="9"/>
      <c r="Q59" s="6">
        <v>1.0</v>
      </c>
      <c r="R59" s="23">
        <v>45838.0</v>
      </c>
      <c r="S59" s="23">
        <v>45842.0</v>
      </c>
      <c r="T59" s="23">
        <v>45840.0</v>
      </c>
      <c r="U59" s="9"/>
      <c r="V59" s="6" t="s">
        <v>44</v>
      </c>
      <c r="W59" s="21"/>
      <c r="X59" s="6" t="s">
        <v>45</v>
      </c>
      <c r="Y59" s="6" t="s">
        <v>46</v>
      </c>
      <c r="Z59" s="6">
        <v>3.040280488E9</v>
      </c>
      <c r="AA59" s="6" t="s">
        <v>57</v>
      </c>
      <c r="AB59" s="6" t="s">
        <v>416</v>
      </c>
      <c r="AC59" s="6" t="s">
        <v>417</v>
      </c>
      <c r="AD59" s="9"/>
      <c r="AE59" s="9"/>
      <c r="AF59" s="9"/>
      <c r="AG59" s="9"/>
    </row>
    <row r="60" hidden="1">
      <c r="A60" s="21">
        <f>COUNTIF('Histórico'!$B:$B,B60)</f>
        <v>1</v>
      </c>
      <c r="B60" s="21" t="s">
        <v>420</v>
      </c>
      <c r="C60" s="9"/>
      <c r="D60" s="6" t="s">
        <v>39</v>
      </c>
      <c r="E60" s="6" t="s">
        <v>40</v>
      </c>
      <c r="F60" s="23">
        <v>45840.0</v>
      </c>
      <c r="G60" s="6" t="s">
        <v>41</v>
      </c>
      <c r="H60" s="23">
        <v>45840.0</v>
      </c>
      <c r="I60" s="6" t="s">
        <v>413</v>
      </c>
      <c r="J60" s="6">
        <v>54905.0</v>
      </c>
      <c r="K60" s="6" t="s">
        <v>414</v>
      </c>
      <c r="L60" s="14" t="s">
        <v>421</v>
      </c>
      <c r="M60" s="9"/>
      <c r="N60" s="9"/>
      <c r="O60" s="9"/>
      <c r="P60" s="9"/>
      <c r="Q60" s="6">
        <v>1.0</v>
      </c>
      <c r="R60" s="23">
        <v>45838.0</v>
      </c>
      <c r="S60" s="23">
        <v>45842.0</v>
      </c>
      <c r="T60" s="23">
        <v>45840.0</v>
      </c>
      <c r="U60" s="9"/>
      <c r="V60" s="6" t="s">
        <v>44</v>
      </c>
      <c r="W60" s="21"/>
      <c r="X60" s="6" t="s">
        <v>45</v>
      </c>
      <c r="Y60" s="6" t="s">
        <v>46</v>
      </c>
      <c r="Z60" s="6">
        <v>3.040216411E9</v>
      </c>
      <c r="AA60" s="6" t="s">
        <v>422</v>
      </c>
      <c r="AB60" s="6" t="s">
        <v>423</v>
      </c>
      <c r="AC60" s="6" t="s">
        <v>424</v>
      </c>
      <c r="AD60" s="9"/>
      <c r="AE60" s="9"/>
      <c r="AF60" s="9"/>
      <c r="AG60" s="9"/>
    </row>
    <row r="61" hidden="1">
      <c r="A61" s="21">
        <f>COUNTIF('Histórico'!$B:$B,B61)</f>
        <v>1</v>
      </c>
      <c r="B61" s="21" t="s">
        <v>425</v>
      </c>
      <c r="C61" s="9"/>
      <c r="D61" s="6" t="s">
        <v>39</v>
      </c>
      <c r="E61" s="6" t="s">
        <v>40</v>
      </c>
      <c r="F61" s="23">
        <v>45840.0</v>
      </c>
      <c r="G61" s="6" t="s">
        <v>41</v>
      </c>
      <c r="H61" s="23">
        <v>45840.0</v>
      </c>
      <c r="I61" s="6" t="s">
        <v>413</v>
      </c>
      <c r="J61" s="6">
        <v>54905.0</v>
      </c>
      <c r="K61" s="6" t="s">
        <v>414</v>
      </c>
      <c r="L61" s="14" t="s">
        <v>428</v>
      </c>
      <c r="M61" s="9"/>
      <c r="N61" s="9"/>
      <c r="O61" s="9"/>
      <c r="P61" s="9"/>
      <c r="Q61" s="6">
        <v>1.0</v>
      </c>
      <c r="R61" s="23">
        <v>45838.0</v>
      </c>
      <c r="S61" s="23">
        <v>45842.0</v>
      </c>
      <c r="T61" s="23">
        <v>45840.0</v>
      </c>
      <c r="U61" s="9"/>
      <c r="V61" s="6" t="s">
        <v>44</v>
      </c>
      <c r="W61" s="9"/>
      <c r="X61" s="6" t="s">
        <v>45</v>
      </c>
      <c r="Y61" s="6" t="s">
        <v>46</v>
      </c>
      <c r="Z61" s="6">
        <v>3.040276452E9</v>
      </c>
      <c r="AA61" s="6" t="s">
        <v>45</v>
      </c>
      <c r="AB61" s="6" t="s">
        <v>46</v>
      </c>
      <c r="AC61" s="6" t="s">
        <v>177</v>
      </c>
      <c r="AD61" s="9"/>
      <c r="AE61" s="9"/>
      <c r="AF61" s="9"/>
      <c r="AG61" s="9"/>
    </row>
    <row r="62" hidden="1">
      <c r="A62" s="21">
        <f>COUNTIF('Histórico'!$B:$B,B62)</f>
        <v>1</v>
      </c>
      <c r="B62" s="21" t="s">
        <v>429</v>
      </c>
      <c r="C62" s="9"/>
      <c r="D62" s="6" t="s">
        <v>39</v>
      </c>
      <c r="E62" s="6" t="s">
        <v>40</v>
      </c>
      <c r="F62" s="23">
        <v>45840.0</v>
      </c>
      <c r="G62" s="6" t="s">
        <v>41</v>
      </c>
      <c r="H62" s="23">
        <v>45840.0</v>
      </c>
      <c r="I62" s="6" t="s">
        <v>244</v>
      </c>
      <c r="J62" s="6" t="s">
        <v>156</v>
      </c>
      <c r="K62" s="6" t="s">
        <v>430</v>
      </c>
      <c r="L62" s="14" t="s">
        <v>431</v>
      </c>
      <c r="M62" s="9"/>
      <c r="N62" s="9"/>
      <c r="O62" s="9"/>
      <c r="P62" s="9"/>
      <c r="Q62" s="6">
        <v>1.0</v>
      </c>
      <c r="R62" s="23">
        <v>45838.0</v>
      </c>
      <c r="S62" s="23">
        <v>45965.0</v>
      </c>
      <c r="T62" s="23">
        <v>45840.0</v>
      </c>
      <c r="U62" s="9"/>
      <c r="V62" s="6" t="s">
        <v>103</v>
      </c>
      <c r="W62" s="6">
        <v>3.04250073773E11</v>
      </c>
      <c r="X62" s="6" t="s">
        <v>45</v>
      </c>
      <c r="Y62" s="6" t="s">
        <v>46</v>
      </c>
      <c r="Z62" s="6">
        <v>3.040220403E9</v>
      </c>
      <c r="AA62" s="6" t="s">
        <v>45</v>
      </c>
      <c r="AB62" s="6" t="s">
        <v>434</v>
      </c>
      <c r="AC62" s="6" t="s">
        <v>221</v>
      </c>
      <c r="AD62" s="9"/>
      <c r="AE62" s="9"/>
      <c r="AF62" s="9"/>
      <c r="AG62" s="9"/>
    </row>
    <row r="63" hidden="1">
      <c r="A63" s="21">
        <f>COUNTIF('Histórico'!$B:$B,B63)</f>
        <v>1</v>
      </c>
      <c r="B63" s="21" t="s">
        <v>435</v>
      </c>
      <c r="C63" s="9"/>
      <c r="D63" s="6" t="s">
        <v>39</v>
      </c>
      <c r="E63" s="6" t="s">
        <v>40</v>
      </c>
      <c r="F63" s="23">
        <v>45840.0</v>
      </c>
      <c r="G63" s="6" t="s">
        <v>41</v>
      </c>
      <c r="H63" s="23">
        <v>45840.0</v>
      </c>
      <c r="I63" s="6" t="s">
        <v>244</v>
      </c>
      <c r="J63" s="6" t="s">
        <v>156</v>
      </c>
      <c r="K63" s="6" t="s">
        <v>430</v>
      </c>
      <c r="L63" s="14" t="s">
        <v>438</v>
      </c>
      <c r="M63" s="9"/>
      <c r="N63" s="9"/>
      <c r="O63" s="9"/>
      <c r="P63" s="9"/>
      <c r="Q63" s="6">
        <v>1.0</v>
      </c>
      <c r="R63" s="23">
        <v>45838.0</v>
      </c>
      <c r="S63" s="23">
        <v>45965.0</v>
      </c>
      <c r="T63" s="23">
        <v>45840.0</v>
      </c>
      <c r="U63" s="9"/>
      <c r="V63" s="6" t="s">
        <v>103</v>
      </c>
      <c r="W63" s="6">
        <v>3.132600176E11</v>
      </c>
      <c r="X63" s="6" t="s">
        <v>45</v>
      </c>
      <c r="Y63" s="6" t="s">
        <v>46</v>
      </c>
      <c r="Z63" s="6">
        <v>3.040220402E9</v>
      </c>
      <c r="AA63" s="6" t="s">
        <v>45</v>
      </c>
      <c r="AB63" s="6" t="s">
        <v>434</v>
      </c>
      <c r="AC63" s="6" t="s">
        <v>221</v>
      </c>
      <c r="AD63" s="9"/>
      <c r="AE63" s="9"/>
      <c r="AF63" s="9"/>
      <c r="AG63" s="9"/>
    </row>
    <row r="64" hidden="1">
      <c r="A64" s="21">
        <f>COUNTIF('Histórico'!$B:$B,B64)</f>
        <v>1</v>
      </c>
      <c r="B64" s="21" t="s">
        <v>439</v>
      </c>
      <c r="C64" s="9"/>
      <c r="D64" s="6" t="s">
        <v>39</v>
      </c>
      <c r="E64" s="6" t="s">
        <v>40</v>
      </c>
      <c r="F64" s="23">
        <v>45840.0</v>
      </c>
      <c r="G64" s="6" t="s">
        <v>41</v>
      </c>
      <c r="H64" s="23">
        <v>45840.0</v>
      </c>
      <c r="I64" s="6" t="s">
        <v>440</v>
      </c>
      <c r="J64" s="6" t="s">
        <v>156</v>
      </c>
      <c r="K64" s="6" t="s">
        <v>441</v>
      </c>
      <c r="L64" s="14">
        <v>30998.0</v>
      </c>
      <c r="M64" s="9"/>
      <c r="N64" s="9"/>
      <c r="O64" s="9"/>
      <c r="P64" s="9"/>
      <c r="Q64" s="6">
        <v>1.0</v>
      </c>
      <c r="R64" s="23">
        <v>45838.0</v>
      </c>
      <c r="S64" s="23">
        <v>45965.0</v>
      </c>
      <c r="T64" s="23">
        <v>45840.0</v>
      </c>
      <c r="U64" s="9"/>
      <c r="V64" s="6" t="s">
        <v>44</v>
      </c>
      <c r="W64" s="21"/>
      <c r="X64" s="6" t="s">
        <v>45</v>
      </c>
      <c r="Y64" s="6" t="s">
        <v>46</v>
      </c>
      <c r="Z64" s="6">
        <v>3.040145273E9</v>
      </c>
      <c r="AA64" s="6" t="s">
        <v>45</v>
      </c>
      <c r="AB64" s="6" t="s">
        <v>46</v>
      </c>
      <c r="AC64" s="6" t="s">
        <v>444</v>
      </c>
      <c r="AD64" s="9"/>
      <c r="AE64" s="9"/>
      <c r="AF64" s="9"/>
      <c r="AG64" s="9"/>
    </row>
    <row r="65" hidden="1">
      <c r="A65" s="21">
        <f>COUNTIF('Histórico'!$B:$B,B65)</f>
        <v>1</v>
      </c>
      <c r="B65" s="21" t="s">
        <v>445</v>
      </c>
      <c r="C65" s="9"/>
      <c r="D65" s="6" t="s">
        <v>39</v>
      </c>
      <c r="E65" s="6" t="s">
        <v>40</v>
      </c>
      <c r="F65" s="23">
        <v>45840.0</v>
      </c>
      <c r="G65" s="6" t="s">
        <v>41</v>
      </c>
      <c r="H65" s="23">
        <v>45840.0</v>
      </c>
      <c r="I65" s="6" t="s">
        <v>440</v>
      </c>
      <c r="J65" s="6" t="s">
        <v>156</v>
      </c>
      <c r="K65" s="6" t="s">
        <v>441</v>
      </c>
      <c r="L65" s="14">
        <v>6132.0</v>
      </c>
      <c r="M65" s="9"/>
      <c r="N65" s="9"/>
      <c r="O65" s="9"/>
      <c r="P65" s="9"/>
      <c r="Q65" s="6">
        <v>1.0</v>
      </c>
      <c r="R65" s="23">
        <v>45838.0</v>
      </c>
      <c r="S65" s="23">
        <v>45965.0</v>
      </c>
      <c r="T65" s="23">
        <v>45840.0</v>
      </c>
      <c r="U65" s="9"/>
      <c r="V65" s="6" t="s">
        <v>44</v>
      </c>
      <c r="W65" s="21"/>
      <c r="X65" s="6" t="s">
        <v>45</v>
      </c>
      <c r="Y65" s="6" t="s">
        <v>46</v>
      </c>
      <c r="Z65" s="6">
        <v>3.040279379E9</v>
      </c>
      <c r="AA65" s="6" t="s">
        <v>60</v>
      </c>
      <c r="AB65" s="6" t="s">
        <v>189</v>
      </c>
      <c r="AC65" s="6" t="s">
        <v>448</v>
      </c>
      <c r="AD65" s="9"/>
      <c r="AE65" s="9"/>
      <c r="AF65" s="9"/>
      <c r="AG65" s="9"/>
    </row>
    <row r="66" hidden="1">
      <c r="A66" s="21">
        <f>COUNTIF('Histórico'!$B:$B,B66)</f>
        <v>1</v>
      </c>
      <c r="B66" s="21" t="s">
        <v>449</v>
      </c>
      <c r="C66" s="9"/>
      <c r="D66" s="6" t="s">
        <v>39</v>
      </c>
      <c r="E66" s="6" t="s">
        <v>40</v>
      </c>
      <c r="F66" s="23">
        <v>45840.0</v>
      </c>
      <c r="G66" s="6" t="s">
        <v>41</v>
      </c>
      <c r="H66" s="23">
        <v>45840.0</v>
      </c>
      <c r="I66" s="6" t="s">
        <v>51</v>
      </c>
      <c r="J66" s="6">
        <v>78286.0</v>
      </c>
      <c r="K66" s="6" t="s">
        <v>54</v>
      </c>
      <c r="L66" s="14" t="s">
        <v>450</v>
      </c>
      <c r="M66" s="9"/>
      <c r="N66" s="9"/>
      <c r="O66" s="9"/>
      <c r="P66" s="9"/>
      <c r="Q66" s="6">
        <v>1.0</v>
      </c>
      <c r="R66" s="23">
        <v>45838.0</v>
      </c>
      <c r="S66" s="23">
        <v>45842.0</v>
      </c>
      <c r="T66" s="23">
        <v>45840.0</v>
      </c>
      <c r="U66" s="9"/>
      <c r="V66" s="6" t="s">
        <v>44</v>
      </c>
      <c r="W66" s="9"/>
      <c r="X66" s="6" t="s">
        <v>45</v>
      </c>
      <c r="Y66" s="6" t="s">
        <v>46</v>
      </c>
      <c r="Z66" s="6">
        <v>3.040287606E9</v>
      </c>
      <c r="AA66" s="6" t="s">
        <v>63</v>
      </c>
      <c r="AB66" s="6" t="s">
        <v>72</v>
      </c>
      <c r="AC66" s="6" t="s">
        <v>451</v>
      </c>
      <c r="AD66" s="9"/>
      <c r="AE66" s="9"/>
      <c r="AF66" s="9"/>
      <c r="AG66" s="9"/>
    </row>
    <row r="67" hidden="1">
      <c r="A67" s="21">
        <f>COUNTIF('Histórico'!$B:$B,B67)</f>
        <v>1</v>
      </c>
      <c r="B67" s="21" t="s">
        <v>454</v>
      </c>
      <c r="C67" s="9"/>
      <c r="D67" s="6" t="s">
        <v>39</v>
      </c>
      <c r="E67" s="6" t="s">
        <v>40</v>
      </c>
      <c r="F67" s="23">
        <v>45840.0</v>
      </c>
      <c r="G67" s="6" t="s">
        <v>41</v>
      </c>
      <c r="H67" s="23">
        <v>45840.0</v>
      </c>
      <c r="I67" s="6" t="s">
        <v>51</v>
      </c>
      <c r="J67" s="6">
        <v>18560.0</v>
      </c>
      <c r="K67" s="6" t="s">
        <v>54</v>
      </c>
      <c r="L67" s="14" t="s">
        <v>455</v>
      </c>
      <c r="M67" s="9"/>
      <c r="N67" s="9"/>
      <c r="O67" s="9"/>
      <c r="P67" s="9"/>
      <c r="Q67" s="6">
        <v>1.0</v>
      </c>
      <c r="R67" s="23">
        <v>45838.0</v>
      </c>
      <c r="S67" s="23">
        <v>45965.0</v>
      </c>
      <c r="T67" s="23">
        <v>45840.0</v>
      </c>
      <c r="U67" s="9"/>
      <c r="V67" s="6" t="s">
        <v>44</v>
      </c>
      <c r="W67" s="21"/>
      <c r="X67" s="6" t="s">
        <v>45</v>
      </c>
      <c r="Y67" s="6" t="s">
        <v>46</v>
      </c>
      <c r="Z67" s="6">
        <v>3.040287605E9</v>
      </c>
      <c r="AA67" s="6" t="s">
        <v>63</v>
      </c>
      <c r="AB67" s="6" t="s">
        <v>72</v>
      </c>
      <c r="AC67" s="6" t="s">
        <v>451</v>
      </c>
      <c r="AD67" s="9"/>
      <c r="AE67" s="9"/>
      <c r="AF67" s="9"/>
      <c r="AG67" s="9"/>
    </row>
    <row r="68" hidden="1">
      <c r="A68" s="21">
        <f>COUNTIF('Histórico'!$B:$B,B68)</f>
        <v>1</v>
      </c>
      <c r="B68" s="21" t="s">
        <v>458</v>
      </c>
      <c r="C68" s="9"/>
      <c r="D68" s="6" t="s">
        <v>39</v>
      </c>
      <c r="E68" s="6" t="s">
        <v>40</v>
      </c>
      <c r="F68" s="23">
        <v>45840.0</v>
      </c>
      <c r="G68" s="6" t="s">
        <v>41</v>
      </c>
      <c r="H68" s="23">
        <v>45840.0</v>
      </c>
      <c r="I68" s="6" t="s">
        <v>51</v>
      </c>
      <c r="J68" s="6">
        <v>78286.0</v>
      </c>
      <c r="K68" s="6" t="s">
        <v>54</v>
      </c>
      <c r="L68" s="14" t="s">
        <v>459</v>
      </c>
      <c r="M68" s="9"/>
      <c r="N68" s="9"/>
      <c r="O68" s="9"/>
      <c r="P68" s="9"/>
      <c r="Q68" s="6">
        <v>1.0</v>
      </c>
      <c r="R68" s="23">
        <v>45838.0</v>
      </c>
      <c r="S68" s="23">
        <v>45842.0</v>
      </c>
      <c r="T68" s="23">
        <v>45840.0</v>
      </c>
      <c r="U68" s="9"/>
      <c r="V68" s="6" t="s">
        <v>44</v>
      </c>
      <c r="W68" s="9"/>
      <c r="X68" s="6" t="s">
        <v>45</v>
      </c>
      <c r="Y68" s="6" t="s">
        <v>46</v>
      </c>
      <c r="Z68" s="6">
        <v>3.040302697E9</v>
      </c>
      <c r="AA68" s="6" t="s">
        <v>63</v>
      </c>
      <c r="AB68" s="6" t="s">
        <v>72</v>
      </c>
      <c r="AC68" s="6" t="s">
        <v>451</v>
      </c>
      <c r="AD68" s="9"/>
      <c r="AE68" s="9"/>
      <c r="AF68" s="9"/>
      <c r="AG68" s="9"/>
    </row>
    <row r="69" hidden="1">
      <c r="A69" s="21">
        <f>COUNTIF('Histórico'!$B:$B,B69)</f>
        <v>1</v>
      </c>
      <c r="B69" s="21" t="s">
        <v>460</v>
      </c>
      <c r="C69" s="9"/>
      <c r="D69" s="6" t="s">
        <v>39</v>
      </c>
      <c r="E69" s="6" t="s">
        <v>40</v>
      </c>
      <c r="F69" s="23">
        <v>45840.0</v>
      </c>
      <c r="G69" s="6" t="s">
        <v>41</v>
      </c>
      <c r="H69" s="23">
        <v>45840.0</v>
      </c>
      <c r="I69" s="6" t="s">
        <v>51</v>
      </c>
      <c r="J69" s="6">
        <v>74703.0</v>
      </c>
      <c r="K69" s="6" t="s">
        <v>463</v>
      </c>
      <c r="L69" s="14" t="s">
        <v>464</v>
      </c>
      <c r="M69" s="9"/>
      <c r="N69" s="9"/>
      <c r="O69" s="9"/>
      <c r="P69" s="9"/>
      <c r="Q69" s="6">
        <v>1.0</v>
      </c>
      <c r="R69" s="23">
        <v>45838.0</v>
      </c>
      <c r="S69" s="23">
        <v>45965.0</v>
      </c>
      <c r="T69" s="23">
        <v>45840.0</v>
      </c>
      <c r="U69" s="9"/>
      <c r="V69" s="6" t="s">
        <v>44</v>
      </c>
      <c r="W69" s="21"/>
      <c r="X69" s="6" t="s">
        <v>45</v>
      </c>
      <c r="Y69" s="6" t="s">
        <v>46</v>
      </c>
      <c r="Z69" s="6">
        <v>3.040292325E9</v>
      </c>
      <c r="AA69" s="6" t="s">
        <v>465</v>
      </c>
      <c r="AB69" s="6" t="s">
        <v>466</v>
      </c>
      <c r="AC69" s="6" t="s">
        <v>308</v>
      </c>
      <c r="AD69" s="9"/>
      <c r="AE69" s="9"/>
      <c r="AF69" s="9"/>
      <c r="AG69" s="9"/>
    </row>
    <row r="70" hidden="1">
      <c r="A70" s="21">
        <f>COUNTIF('Histórico'!$B:$B,B70)</f>
        <v>1</v>
      </c>
      <c r="B70" s="21" t="s">
        <v>467</v>
      </c>
      <c r="C70" s="9"/>
      <c r="D70" s="6" t="s">
        <v>39</v>
      </c>
      <c r="E70" s="6" t="s">
        <v>40</v>
      </c>
      <c r="F70" s="23">
        <v>45840.0</v>
      </c>
      <c r="G70" s="6" t="s">
        <v>41</v>
      </c>
      <c r="H70" s="23">
        <v>45840.0</v>
      </c>
      <c r="I70" s="6" t="s">
        <v>51</v>
      </c>
      <c r="J70" s="6">
        <v>74703.0</v>
      </c>
      <c r="K70" s="6" t="s">
        <v>463</v>
      </c>
      <c r="L70" s="14" t="s">
        <v>468</v>
      </c>
      <c r="M70" s="9"/>
      <c r="N70" s="9"/>
      <c r="O70" s="9"/>
      <c r="P70" s="9"/>
      <c r="Q70" s="6">
        <v>1.0</v>
      </c>
      <c r="R70" s="23">
        <v>45838.0</v>
      </c>
      <c r="S70" s="23">
        <v>45965.0</v>
      </c>
      <c r="T70" s="23">
        <v>45840.0</v>
      </c>
      <c r="U70" s="9"/>
      <c r="V70" s="6" t="s">
        <v>44</v>
      </c>
      <c r="W70" s="21"/>
      <c r="X70" s="6" t="s">
        <v>45</v>
      </c>
      <c r="Y70" s="6" t="s">
        <v>46</v>
      </c>
      <c r="Z70" s="6">
        <v>3.040288467E9</v>
      </c>
      <c r="AA70" s="6" t="s">
        <v>63</v>
      </c>
      <c r="AB70" s="6" t="s">
        <v>72</v>
      </c>
      <c r="AC70" s="6" t="s">
        <v>279</v>
      </c>
      <c r="AD70" s="9"/>
      <c r="AE70" s="9"/>
      <c r="AF70" s="9"/>
      <c r="AG70" s="9"/>
    </row>
    <row r="71" hidden="1">
      <c r="A71" s="21">
        <f>COUNTIF('Histórico'!$B:$B,B71)</f>
        <v>1</v>
      </c>
      <c r="B71" s="21" t="s">
        <v>472</v>
      </c>
      <c r="C71" s="9"/>
      <c r="D71" s="6" t="s">
        <v>39</v>
      </c>
      <c r="E71" s="6" t="s">
        <v>40</v>
      </c>
      <c r="F71" s="23">
        <v>45840.0</v>
      </c>
      <c r="G71" s="6" t="s">
        <v>41</v>
      </c>
      <c r="H71" s="23">
        <v>45840.0</v>
      </c>
      <c r="I71" s="6" t="s">
        <v>51</v>
      </c>
      <c r="J71" s="6">
        <v>78286.0</v>
      </c>
      <c r="K71" s="6" t="s">
        <v>54</v>
      </c>
      <c r="L71" s="14" t="s">
        <v>473</v>
      </c>
      <c r="M71" s="9"/>
      <c r="N71" s="9"/>
      <c r="O71" s="9"/>
      <c r="P71" s="9"/>
      <c r="Q71" s="6">
        <v>1.0</v>
      </c>
      <c r="R71" s="23">
        <v>45838.0</v>
      </c>
      <c r="S71" s="23">
        <v>45842.0</v>
      </c>
      <c r="T71" s="23">
        <v>45840.0</v>
      </c>
      <c r="U71" s="9"/>
      <c r="V71" s="6" t="s">
        <v>44</v>
      </c>
      <c r="W71" s="9"/>
      <c r="X71" s="6" t="s">
        <v>45</v>
      </c>
      <c r="Y71" s="6" t="s">
        <v>46</v>
      </c>
      <c r="Z71" s="6">
        <v>3.040285494E9</v>
      </c>
      <c r="AA71" s="6" t="s">
        <v>465</v>
      </c>
      <c r="AB71" s="6" t="s">
        <v>466</v>
      </c>
      <c r="AC71" s="6" t="s">
        <v>308</v>
      </c>
      <c r="AD71" s="9"/>
      <c r="AE71" s="9"/>
      <c r="AF71" s="9"/>
      <c r="AG71" s="9"/>
    </row>
    <row r="72" hidden="1">
      <c r="A72" s="21">
        <f>COUNTIF('Histórico'!$B:$B,B72)</f>
        <v>1</v>
      </c>
      <c r="B72" s="21" t="s">
        <v>476</v>
      </c>
      <c r="C72" s="9"/>
      <c r="D72" s="6" t="s">
        <v>39</v>
      </c>
      <c r="E72" s="6" t="s">
        <v>40</v>
      </c>
      <c r="F72" s="23">
        <v>45849.0</v>
      </c>
      <c r="G72" s="6" t="s">
        <v>41</v>
      </c>
      <c r="H72" s="23">
        <v>45849.0</v>
      </c>
      <c r="I72" s="6" t="s">
        <v>274</v>
      </c>
      <c r="J72" s="6" t="s">
        <v>275</v>
      </c>
      <c r="K72" s="6" t="s">
        <v>276</v>
      </c>
      <c r="L72" s="14">
        <v>8.6800893E7</v>
      </c>
      <c r="M72" s="9"/>
      <c r="N72" s="9"/>
      <c r="O72" s="9"/>
      <c r="P72" s="9"/>
      <c r="Q72" s="6">
        <v>1.0</v>
      </c>
      <c r="R72" s="23">
        <v>45848.0</v>
      </c>
      <c r="S72" s="50">
        <v>45977.0</v>
      </c>
      <c r="T72" s="23">
        <v>45849.0</v>
      </c>
      <c r="U72" s="9"/>
      <c r="V72" s="6" t="s">
        <v>44</v>
      </c>
      <c r="W72" s="21"/>
      <c r="X72" s="6" t="s">
        <v>45</v>
      </c>
      <c r="Y72" s="6" t="s">
        <v>46</v>
      </c>
      <c r="Z72" s="6">
        <v>3.040299343E9</v>
      </c>
      <c r="AA72" s="6" t="s">
        <v>63</v>
      </c>
      <c r="AB72" s="6" t="s">
        <v>72</v>
      </c>
      <c r="AC72" s="6" t="s">
        <v>451</v>
      </c>
      <c r="AD72" s="9"/>
      <c r="AE72" s="9"/>
      <c r="AF72" s="9"/>
      <c r="AG72" s="9"/>
    </row>
    <row r="73" hidden="1">
      <c r="A73" s="21">
        <f>COUNTIF('Histórico'!$B:$B,B73)</f>
        <v>1</v>
      </c>
      <c r="B73" s="21" t="s">
        <v>479</v>
      </c>
      <c r="C73" s="9"/>
      <c r="D73" s="6" t="s">
        <v>39</v>
      </c>
      <c r="E73" s="6" t="s">
        <v>40</v>
      </c>
      <c r="F73" s="23">
        <v>45849.0</v>
      </c>
      <c r="G73" s="6" t="s">
        <v>41</v>
      </c>
      <c r="H73" s="23">
        <v>45849.0</v>
      </c>
      <c r="I73" s="6" t="s">
        <v>442</v>
      </c>
      <c r="J73" s="6">
        <v>59875.0</v>
      </c>
      <c r="K73" s="6" t="s">
        <v>443</v>
      </c>
      <c r="L73" s="14">
        <v>3614.0</v>
      </c>
      <c r="M73" s="9"/>
      <c r="N73" s="9"/>
      <c r="O73" s="9"/>
      <c r="P73" s="9"/>
      <c r="Q73" s="6">
        <v>1.0</v>
      </c>
      <c r="R73" s="23">
        <v>45848.0</v>
      </c>
      <c r="S73" s="23">
        <v>45938.0</v>
      </c>
      <c r="T73" s="23">
        <v>45849.0</v>
      </c>
      <c r="U73" s="9"/>
      <c r="V73" s="6" t="s">
        <v>44</v>
      </c>
      <c r="W73" s="21"/>
      <c r="X73" s="6" t="s">
        <v>45</v>
      </c>
      <c r="Y73" s="6" t="s">
        <v>46</v>
      </c>
      <c r="Z73" s="6">
        <v>3.04031272E9</v>
      </c>
      <c r="AA73" s="6" t="s">
        <v>304</v>
      </c>
      <c r="AB73" s="6" t="s">
        <v>480</v>
      </c>
      <c r="AC73" s="6" t="s">
        <v>481</v>
      </c>
      <c r="AD73" s="9"/>
      <c r="AE73" s="9"/>
      <c r="AF73" s="9"/>
      <c r="AG73" s="9"/>
    </row>
    <row r="74" hidden="1">
      <c r="A74" s="21">
        <f>COUNTIF('Histórico'!$B:$B,B74)</f>
        <v>1</v>
      </c>
      <c r="B74" s="21" t="s">
        <v>484</v>
      </c>
      <c r="C74" s="9"/>
      <c r="D74" s="6" t="s">
        <v>39</v>
      </c>
      <c r="E74" s="6" t="s">
        <v>40</v>
      </c>
      <c r="F74" s="23">
        <v>45853.0</v>
      </c>
      <c r="G74" s="6" t="s">
        <v>41</v>
      </c>
      <c r="H74" s="23">
        <v>45853.0</v>
      </c>
      <c r="I74" s="6" t="s">
        <v>271</v>
      </c>
      <c r="J74" s="6" t="s">
        <v>485</v>
      </c>
      <c r="K74" s="6" t="s">
        <v>486</v>
      </c>
      <c r="L74" s="14">
        <v>235.0</v>
      </c>
      <c r="M74" s="9"/>
      <c r="N74" s="9"/>
      <c r="O74" s="9"/>
      <c r="P74" s="9"/>
      <c r="Q74" s="6">
        <v>1.0</v>
      </c>
      <c r="R74" s="23">
        <v>45852.0</v>
      </c>
      <c r="S74" s="50">
        <v>45979.0</v>
      </c>
      <c r="T74" s="23">
        <v>45853.0</v>
      </c>
      <c r="U74" s="9"/>
      <c r="V74" s="6" t="s">
        <v>103</v>
      </c>
      <c r="W74" s="6">
        <v>3.13250016635E11</v>
      </c>
      <c r="X74" s="6" t="s">
        <v>45</v>
      </c>
      <c r="Y74" s="6" t="s">
        <v>46</v>
      </c>
      <c r="Z74" s="6">
        <v>3.040315236E9</v>
      </c>
      <c r="AA74" s="6" t="s">
        <v>45</v>
      </c>
      <c r="AB74" s="6" t="s">
        <v>46</v>
      </c>
      <c r="AC74" s="6" t="s">
        <v>177</v>
      </c>
      <c r="AD74" s="9"/>
      <c r="AE74" s="9"/>
      <c r="AF74" s="9"/>
      <c r="AG74" s="9"/>
    </row>
    <row r="75" hidden="1">
      <c r="A75" s="21">
        <f>COUNTIF('Histórico'!$B:$B,B75)</f>
        <v>1</v>
      </c>
      <c r="B75" s="21" t="s">
        <v>489</v>
      </c>
      <c r="C75" s="9"/>
      <c r="D75" s="6" t="s">
        <v>39</v>
      </c>
      <c r="E75" s="6" t="s">
        <v>40</v>
      </c>
      <c r="F75" s="23">
        <v>45855.0</v>
      </c>
      <c r="G75" s="6" t="s">
        <v>41</v>
      </c>
      <c r="H75" s="23">
        <v>45855.0</v>
      </c>
      <c r="I75" s="6" t="s">
        <v>375</v>
      </c>
      <c r="J75" s="6" t="s">
        <v>490</v>
      </c>
      <c r="K75" s="6" t="s">
        <v>491</v>
      </c>
      <c r="L75" s="14">
        <v>5236.0</v>
      </c>
      <c r="M75" s="9"/>
      <c r="N75" s="9"/>
      <c r="O75" s="9"/>
      <c r="P75" s="9"/>
      <c r="Q75" s="6">
        <v>1.0</v>
      </c>
      <c r="R75" s="23">
        <v>45854.0</v>
      </c>
      <c r="S75" s="23">
        <v>45860.0</v>
      </c>
      <c r="T75" s="23">
        <v>45855.0</v>
      </c>
      <c r="U75" s="9"/>
      <c r="V75" s="6" t="s">
        <v>44</v>
      </c>
      <c r="W75" s="9"/>
      <c r="X75" s="6" t="s">
        <v>45</v>
      </c>
      <c r="Y75" s="6" t="s">
        <v>46</v>
      </c>
      <c r="Z75" s="6">
        <v>3.040290764E9</v>
      </c>
      <c r="AA75" s="6" t="s">
        <v>64</v>
      </c>
      <c r="AB75" s="6" t="s">
        <v>94</v>
      </c>
      <c r="AC75" s="6" t="s">
        <v>492</v>
      </c>
      <c r="AD75" s="9"/>
      <c r="AE75" s="9"/>
      <c r="AF75" s="9"/>
      <c r="AG75" s="9"/>
    </row>
    <row r="76" hidden="1">
      <c r="A76" s="21">
        <f>COUNTIF('Histórico'!$B:$B,B76)</f>
        <v>1</v>
      </c>
      <c r="B76" s="21" t="s">
        <v>495</v>
      </c>
      <c r="C76" s="9"/>
      <c r="D76" s="6" t="s">
        <v>39</v>
      </c>
      <c r="E76" s="6" t="s">
        <v>40</v>
      </c>
      <c r="F76" s="23">
        <v>45869.0</v>
      </c>
      <c r="G76" s="6" t="s">
        <v>41</v>
      </c>
      <c r="H76" s="23">
        <v>45869.0</v>
      </c>
      <c r="I76" s="6" t="s">
        <v>487</v>
      </c>
      <c r="J76" s="6">
        <v>16455.0</v>
      </c>
      <c r="K76" s="6" t="s">
        <v>496</v>
      </c>
      <c r="L76" s="14" t="s">
        <v>497</v>
      </c>
      <c r="M76" s="9"/>
      <c r="N76" s="9"/>
      <c r="O76" s="9"/>
      <c r="P76" s="9"/>
      <c r="Q76" s="6">
        <v>1.0</v>
      </c>
      <c r="R76" s="23">
        <v>45868.0</v>
      </c>
      <c r="S76" s="23">
        <v>45966.0</v>
      </c>
      <c r="T76" s="23">
        <v>45869.0</v>
      </c>
      <c r="U76" s="9"/>
      <c r="V76" s="6" t="s">
        <v>44</v>
      </c>
      <c r="W76" s="9"/>
      <c r="X76" s="6" t="s">
        <v>45</v>
      </c>
      <c r="Y76" s="6" t="s">
        <v>46</v>
      </c>
      <c r="Z76" s="6">
        <v>3.040309896E9</v>
      </c>
      <c r="AA76" s="6" t="s">
        <v>45</v>
      </c>
      <c r="AB76" s="6" t="s">
        <v>46</v>
      </c>
      <c r="AC76" s="6" t="s">
        <v>177</v>
      </c>
      <c r="AD76" s="9"/>
      <c r="AE76" s="9"/>
      <c r="AF76" s="9"/>
      <c r="AG76" s="9"/>
    </row>
    <row r="77" hidden="1">
      <c r="A77" s="21">
        <f>COUNTIF('Histórico'!$B:$B,B77)</f>
        <v>1</v>
      </c>
      <c r="B77" s="21" t="s">
        <v>498</v>
      </c>
      <c r="C77" s="9"/>
      <c r="D77" s="6" t="s">
        <v>39</v>
      </c>
      <c r="E77" s="6" t="s">
        <v>40</v>
      </c>
      <c r="F77" s="23">
        <v>45869.0</v>
      </c>
      <c r="G77" s="6" t="s">
        <v>41</v>
      </c>
      <c r="H77" s="23">
        <v>45869.0</v>
      </c>
      <c r="I77" s="6" t="s">
        <v>499</v>
      </c>
      <c r="J77" s="6" t="s">
        <v>275</v>
      </c>
      <c r="K77" s="6" t="s">
        <v>500</v>
      </c>
      <c r="L77" s="14">
        <v>7.1306307E7</v>
      </c>
      <c r="M77" s="9"/>
      <c r="N77" s="9"/>
      <c r="O77" s="9"/>
      <c r="P77" s="9"/>
      <c r="Q77" s="6">
        <v>1.0</v>
      </c>
      <c r="R77" s="23">
        <v>45658.0</v>
      </c>
      <c r="S77" s="23">
        <v>45962.0</v>
      </c>
      <c r="T77" s="23">
        <v>45869.0</v>
      </c>
      <c r="U77" s="9"/>
      <c r="V77" s="6" t="s">
        <v>103</v>
      </c>
      <c r="W77" s="6">
        <v>3.13250017121E11</v>
      </c>
      <c r="X77" s="6" t="s">
        <v>45</v>
      </c>
      <c r="Y77" s="6" t="s">
        <v>46</v>
      </c>
      <c r="Z77" s="6">
        <v>3.040302771E9</v>
      </c>
      <c r="AA77" s="6" t="s">
        <v>68</v>
      </c>
      <c r="AB77" s="6" t="s">
        <v>501</v>
      </c>
      <c r="AC77" s="6" t="s">
        <v>502</v>
      </c>
      <c r="AD77" s="9"/>
      <c r="AE77" s="9"/>
      <c r="AF77" s="9"/>
      <c r="AG77" s="9"/>
    </row>
    <row r="78" hidden="1">
      <c r="A78" s="21">
        <f>COUNTIF('Histórico'!$B:$B,B78)</f>
        <v>1</v>
      </c>
      <c r="B78" s="21" t="s">
        <v>503</v>
      </c>
      <c r="C78" s="9"/>
      <c r="D78" s="6" t="s">
        <v>39</v>
      </c>
      <c r="E78" s="6" t="s">
        <v>40</v>
      </c>
      <c r="F78" s="23">
        <v>45869.0</v>
      </c>
      <c r="G78" s="6" t="s">
        <v>41</v>
      </c>
      <c r="H78" s="23">
        <v>45869.0</v>
      </c>
      <c r="I78" s="6" t="s">
        <v>499</v>
      </c>
      <c r="J78" s="6" t="s">
        <v>275</v>
      </c>
      <c r="K78" s="6" t="s">
        <v>500</v>
      </c>
      <c r="L78" s="14">
        <v>7.1308676E7</v>
      </c>
      <c r="M78" s="9"/>
      <c r="N78" s="9"/>
      <c r="O78" s="9"/>
      <c r="P78" s="9"/>
      <c r="Q78" s="6">
        <v>1.0</v>
      </c>
      <c r="R78" s="23">
        <v>45658.0</v>
      </c>
      <c r="S78" s="23">
        <v>45962.0</v>
      </c>
      <c r="T78" s="23">
        <v>45869.0</v>
      </c>
      <c r="U78" s="9"/>
      <c r="V78" s="6" t="s">
        <v>44</v>
      </c>
      <c r="W78" s="9"/>
      <c r="X78" s="6" t="s">
        <v>45</v>
      </c>
      <c r="Y78" s="6" t="s">
        <v>46</v>
      </c>
      <c r="Z78" s="6">
        <v>3.04030277E9</v>
      </c>
      <c r="AA78" s="6" t="s">
        <v>68</v>
      </c>
      <c r="AB78" s="6" t="s">
        <v>501</v>
      </c>
      <c r="AC78" s="6" t="s">
        <v>506</v>
      </c>
      <c r="AD78" s="9"/>
      <c r="AE78" s="9"/>
      <c r="AF78" s="9"/>
      <c r="AG78" s="9"/>
    </row>
    <row r="79" hidden="1">
      <c r="A79" s="21">
        <f>COUNTIF('Histórico'!$B:$B,B79)</f>
        <v>1</v>
      </c>
      <c r="B79" s="21" t="s">
        <v>507</v>
      </c>
      <c r="C79" s="9"/>
      <c r="D79" s="6" t="s">
        <v>39</v>
      </c>
      <c r="E79" s="6" t="s">
        <v>40</v>
      </c>
      <c r="F79" s="23">
        <v>45869.0</v>
      </c>
      <c r="G79" s="6" t="s">
        <v>41</v>
      </c>
      <c r="H79" s="23">
        <v>45869.0</v>
      </c>
      <c r="I79" s="6" t="s">
        <v>482</v>
      </c>
      <c r="J79" s="6" t="s">
        <v>275</v>
      </c>
      <c r="K79" s="6" t="s">
        <v>483</v>
      </c>
      <c r="L79" s="14">
        <v>4.7204432E7</v>
      </c>
      <c r="M79" s="9"/>
      <c r="N79" s="9"/>
      <c r="O79" s="9"/>
      <c r="P79" s="9"/>
      <c r="Q79" s="6">
        <v>1.0</v>
      </c>
      <c r="R79" s="23">
        <v>45868.0</v>
      </c>
      <c r="S79" s="23">
        <v>45874.0</v>
      </c>
      <c r="T79" s="23">
        <v>45869.0</v>
      </c>
      <c r="U79" s="9"/>
      <c r="V79" s="6" t="s">
        <v>44</v>
      </c>
      <c r="W79" s="9"/>
      <c r="X79" s="6" t="s">
        <v>45</v>
      </c>
      <c r="Y79" s="6" t="s">
        <v>46</v>
      </c>
      <c r="Z79" s="6">
        <v>3.040301262E9</v>
      </c>
      <c r="AA79" s="6" t="s">
        <v>60</v>
      </c>
      <c r="AB79" s="6" t="s">
        <v>194</v>
      </c>
      <c r="AC79" s="6" t="s">
        <v>508</v>
      </c>
      <c r="AD79" s="9"/>
      <c r="AE79" s="9"/>
      <c r="AF79" s="9"/>
      <c r="AG79" s="9"/>
    </row>
    <row r="80" hidden="1">
      <c r="A80" s="21">
        <f>COUNTIF('Histórico'!$B:$B,B80)</f>
        <v>1</v>
      </c>
      <c r="B80" s="21" t="s">
        <v>509</v>
      </c>
      <c r="C80" s="9"/>
      <c r="D80" s="6" t="s">
        <v>39</v>
      </c>
      <c r="E80" s="6" t="s">
        <v>40</v>
      </c>
      <c r="F80" s="23">
        <v>45882.0</v>
      </c>
      <c r="G80" s="6" t="s">
        <v>41</v>
      </c>
      <c r="H80" s="23">
        <v>45882.0</v>
      </c>
      <c r="I80" s="6" t="s">
        <v>510</v>
      </c>
      <c r="J80" s="6">
        <v>22373.0</v>
      </c>
      <c r="K80" s="6" t="s">
        <v>512</v>
      </c>
      <c r="L80" s="14">
        <v>8259.0</v>
      </c>
      <c r="M80" s="9"/>
      <c r="N80" s="9"/>
      <c r="O80" s="9"/>
      <c r="P80" s="9"/>
      <c r="Q80" s="6">
        <v>1.0</v>
      </c>
      <c r="R80" s="23">
        <v>45876.0</v>
      </c>
      <c r="S80" s="50">
        <v>45974.0</v>
      </c>
      <c r="T80" s="23">
        <v>45882.0</v>
      </c>
      <c r="U80" s="9"/>
      <c r="V80" s="6" t="s">
        <v>44</v>
      </c>
      <c r="W80" s="21"/>
      <c r="X80" s="6" t="s">
        <v>45</v>
      </c>
      <c r="Y80" s="6" t="s">
        <v>46</v>
      </c>
      <c r="Z80" s="6">
        <v>3.040179095E9</v>
      </c>
      <c r="AA80" s="6" t="s">
        <v>75</v>
      </c>
      <c r="AB80" s="6" t="s">
        <v>152</v>
      </c>
      <c r="AC80" s="6" t="s">
        <v>513</v>
      </c>
      <c r="AD80" s="9"/>
      <c r="AE80" s="9"/>
      <c r="AF80" s="9"/>
      <c r="AG80" s="9"/>
    </row>
    <row r="81" hidden="1">
      <c r="A81" s="21">
        <f>COUNTIF('Histórico'!$B:$B,B81)</f>
        <v>1</v>
      </c>
      <c r="B81" s="21" t="s">
        <v>514</v>
      </c>
      <c r="C81" s="9"/>
      <c r="D81" s="6" t="s">
        <v>39</v>
      </c>
      <c r="E81" s="6" t="s">
        <v>40</v>
      </c>
      <c r="F81" s="23">
        <v>45891.0</v>
      </c>
      <c r="G81" s="6" t="s">
        <v>41</v>
      </c>
      <c r="H81" s="23">
        <v>45891.0</v>
      </c>
      <c r="I81" s="6" t="s">
        <v>515</v>
      </c>
      <c r="J81" s="6">
        <v>66503.0</v>
      </c>
      <c r="K81" s="6" t="s">
        <v>516</v>
      </c>
      <c r="L81" s="14">
        <v>1.2056029E7</v>
      </c>
      <c r="M81" s="9"/>
      <c r="N81" s="9"/>
      <c r="O81" s="9"/>
      <c r="P81" s="9"/>
      <c r="Q81" s="6">
        <v>1.0</v>
      </c>
      <c r="R81" s="23">
        <v>45888.0</v>
      </c>
      <c r="S81" s="50">
        <v>45986.0</v>
      </c>
      <c r="T81" s="23">
        <v>45891.0</v>
      </c>
      <c r="U81" s="9"/>
      <c r="V81" s="6" t="s">
        <v>44</v>
      </c>
      <c r="W81" s="21"/>
      <c r="X81" s="6" t="s">
        <v>45</v>
      </c>
      <c r="Y81" s="6" t="s">
        <v>46</v>
      </c>
      <c r="Z81" s="6">
        <v>3.040316753E9</v>
      </c>
      <c r="AA81" s="6" t="s">
        <v>45</v>
      </c>
      <c r="AB81" s="6" t="s">
        <v>46</v>
      </c>
      <c r="AC81" s="6" t="s">
        <v>177</v>
      </c>
      <c r="AD81" s="9"/>
      <c r="AE81" s="9"/>
      <c r="AF81" s="9"/>
      <c r="AG81" s="9"/>
    </row>
    <row r="82" hidden="1">
      <c r="A82" s="21">
        <f>COUNTIF('Histórico'!$B:$B,B82)</f>
        <v>1</v>
      </c>
      <c r="B82" s="21" t="s">
        <v>519</v>
      </c>
      <c r="C82" s="9"/>
      <c r="D82" s="6" t="s">
        <v>39</v>
      </c>
      <c r="E82" s="6" t="s">
        <v>40</v>
      </c>
      <c r="F82" s="23">
        <v>45891.0</v>
      </c>
      <c r="G82" s="6" t="s">
        <v>41</v>
      </c>
      <c r="H82" s="23">
        <v>45891.0</v>
      </c>
      <c r="I82" s="6" t="s">
        <v>223</v>
      </c>
      <c r="J82" s="6">
        <v>33269.0</v>
      </c>
      <c r="K82" s="6" t="s">
        <v>224</v>
      </c>
      <c r="L82" s="14" t="s">
        <v>520</v>
      </c>
      <c r="M82" s="9"/>
      <c r="N82" s="9"/>
      <c r="O82" s="9"/>
      <c r="P82" s="9"/>
      <c r="Q82" s="6">
        <v>1.0</v>
      </c>
      <c r="R82" s="23">
        <v>45658.0</v>
      </c>
      <c r="S82" s="50">
        <v>45991.0</v>
      </c>
      <c r="T82" s="23">
        <v>45891.0</v>
      </c>
      <c r="U82" s="9"/>
      <c r="V82" s="6" t="s">
        <v>44</v>
      </c>
      <c r="W82" s="9"/>
      <c r="X82" s="6" t="s">
        <v>45</v>
      </c>
      <c r="Y82" s="6" t="s">
        <v>46</v>
      </c>
      <c r="Z82" s="6">
        <v>3.040236792E9</v>
      </c>
      <c r="AA82" s="6" t="s">
        <v>304</v>
      </c>
      <c r="AB82" s="6" t="s">
        <v>306</v>
      </c>
      <c r="AC82" s="6" t="s">
        <v>522</v>
      </c>
      <c r="AD82" s="9"/>
      <c r="AE82" s="9"/>
      <c r="AF82" s="9"/>
      <c r="AG82" s="9"/>
    </row>
    <row r="83" hidden="1">
      <c r="A83" s="21">
        <f>COUNTIF('Histórico'!$B:$B,B83)</f>
        <v>1</v>
      </c>
      <c r="B83" s="21" t="s">
        <v>523</v>
      </c>
      <c r="C83" s="9"/>
      <c r="D83" s="6" t="s">
        <v>39</v>
      </c>
      <c r="E83" s="6" t="s">
        <v>40</v>
      </c>
      <c r="F83" s="23">
        <v>45891.0</v>
      </c>
      <c r="G83" s="6" t="s">
        <v>41</v>
      </c>
      <c r="H83" s="23">
        <v>45891.0</v>
      </c>
      <c r="I83" s="6" t="s">
        <v>231</v>
      </c>
      <c r="J83" s="6">
        <v>71513.0</v>
      </c>
      <c r="K83" s="6" t="s">
        <v>232</v>
      </c>
      <c r="L83" s="14" t="s">
        <v>525</v>
      </c>
      <c r="M83" s="9"/>
      <c r="N83" s="9"/>
      <c r="O83" s="9"/>
      <c r="P83" s="9"/>
      <c r="Q83" s="6">
        <v>1.0</v>
      </c>
      <c r="R83" s="23">
        <v>45888.0</v>
      </c>
      <c r="S83" s="50">
        <v>45986.0</v>
      </c>
      <c r="T83" s="23">
        <v>45891.0</v>
      </c>
      <c r="U83" s="9"/>
      <c r="V83" s="6" t="s">
        <v>44</v>
      </c>
      <c r="W83" s="21"/>
      <c r="X83" s="6" t="s">
        <v>45</v>
      </c>
      <c r="Y83" s="6" t="s">
        <v>46</v>
      </c>
      <c r="Z83" s="6">
        <v>3.040317193E9</v>
      </c>
      <c r="AA83" s="6" t="s">
        <v>45</v>
      </c>
      <c r="AB83" s="6" t="s">
        <v>46</v>
      </c>
      <c r="AC83" s="6" t="s">
        <v>324</v>
      </c>
      <c r="AD83" s="9"/>
      <c r="AE83" s="9"/>
      <c r="AF83" s="9"/>
      <c r="AG83" s="9"/>
    </row>
    <row r="84" hidden="1">
      <c r="A84" s="21">
        <f>COUNTIF('Histórico'!$B:$B,B84)</f>
        <v>1</v>
      </c>
      <c r="B84" s="21" t="s">
        <v>526</v>
      </c>
      <c r="C84" s="9"/>
      <c r="D84" s="6" t="s">
        <v>39</v>
      </c>
      <c r="E84" s="6" t="s">
        <v>40</v>
      </c>
      <c r="F84" s="23">
        <v>45891.0</v>
      </c>
      <c r="G84" s="6" t="s">
        <v>41</v>
      </c>
      <c r="H84" s="23">
        <v>45891.0</v>
      </c>
      <c r="I84" s="6" t="s">
        <v>223</v>
      </c>
      <c r="J84" s="6">
        <v>33269.0</v>
      </c>
      <c r="K84" s="6" t="s">
        <v>224</v>
      </c>
      <c r="L84" s="14" t="s">
        <v>528</v>
      </c>
      <c r="M84" s="9"/>
      <c r="N84" s="9"/>
      <c r="O84" s="9"/>
      <c r="P84" s="9"/>
      <c r="Q84" s="6">
        <v>1.0</v>
      </c>
      <c r="R84" s="23">
        <v>45658.0</v>
      </c>
      <c r="S84" s="50">
        <v>45991.0</v>
      </c>
      <c r="T84" s="23">
        <v>45891.0</v>
      </c>
      <c r="U84" s="9"/>
      <c r="V84" s="6" t="s">
        <v>103</v>
      </c>
      <c r="W84" s="6">
        <v>3.13250016833E11</v>
      </c>
      <c r="X84" s="6" t="s">
        <v>45</v>
      </c>
      <c r="Y84" s="6" t="s">
        <v>46</v>
      </c>
      <c r="Z84" s="6">
        <v>3.04024507E9</v>
      </c>
      <c r="AA84" s="6" t="s">
        <v>160</v>
      </c>
      <c r="AB84" s="6" t="s">
        <v>530</v>
      </c>
      <c r="AC84" s="6" t="s">
        <v>531</v>
      </c>
      <c r="AD84" s="9"/>
      <c r="AE84" s="9"/>
      <c r="AF84" s="9"/>
      <c r="AG84" s="9"/>
    </row>
    <row r="85" hidden="1">
      <c r="A85" s="21">
        <f>COUNTIF('Histórico'!$B:$B,B85)</f>
        <v>1</v>
      </c>
      <c r="B85" s="21" t="s">
        <v>532</v>
      </c>
      <c r="C85" s="9"/>
      <c r="D85" s="6" t="s">
        <v>39</v>
      </c>
      <c r="E85" s="6" t="s">
        <v>40</v>
      </c>
      <c r="F85" s="23">
        <v>45891.0</v>
      </c>
      <c r="G85" s="6" t="s">
        <v>41</v>
      </c>
      <c r="H85" s="23">
        <v>45891.0</v>
      </c>
      <c r="I85" s="6" t="s">
        <v>226</v>
      </c>
      <c r="J85" s="6">
        <v>71513.0</v>
      </c>
      <c r="K85" s="6" t="s">
        <v>320</v>
      </c>
      <c r="L85" s="14" t="s">
        <v>534</v>
      </c>
      <c r="M85" s="9"/>
      <c r="N85" s="9"/>
      <c r="O85" s="9"/>
      <c r="P85" s="9"/>
      <c r="Q85" s="6">
        <v>1.0</v>
      </c>
      <c r="R85" s="23">
        <v>45888.0</v>
      </c>
      <c r="S85" s="50">
        <v>45986.0</v>
      </c>
      <c r="T85" s="23">
        <v>45891.0</v>
      </c>
      <c r="U85" s="9"/>
      <c r="V85" s="6" t="s">
        <v>103</v>
      </c>
      <c r="W85" s="6">
        <v>3.96250015515E11</v>
      </c>
      <c r="X85" s="6" t="s">
        <v>45</v>
      </c>
      <c r="Y85" s="6" t="s">
        <v>46</v>
      </c>
      <c r="Z85" s="6">
        <v>3.040317194E9</v>
      </c>
      <c r="AA85" s="6" t="s">
        <v>45</v>
      </c>
      <c r="AB85" s="6" t="s">
        <v>46</v>
      </c>
      <c r="AC85" s="6" t="s">
        <v>324</v>
      </c>
      <c r="AD85" s="9"/>
      <c r="AE85" s="9"/>
      <c r="AF85" s="9"/>
      <c r="AG85" s="9"/>
    </row>
    <row r="86" hidden="1">
      <c r="A86" s="21">
        <f>COUNTIF('Histórico'!$B:$B,B86)</f>
        <v>1</v>
      </c>
      <c r="B86" s="21" t="s">
        <v>536</v>
      </c>
      <c r="C86" s="9"/>
      <c r="D86" s="6" t="s">
        <v>39</v>
      </c>
      <c r="E86" s="6" t="s">
        <v>40</v>
      </c>
      <c r="F86" s="23">
        <v>45891.0</v>
      </c>
      <c r="G86" s="6" t="s">
        <v>41</v>
      </c>
      <c r="H86" s="23">
        <v>45891.0</v>
      </c>
      <c r="I86" s="6" t="s">
        <v>218</v>
      </c>
      <c r="J86" s="6">
        <v>33269.0</v>
      </c>
      <c r="K86" s="6" t="s">
        <v>343</v>
      </c>
      <c r="L86" s="14">
        <v>3.0</v>
      </c>
      <c r="M86" s="9"/>
      <c r="N86" s="9"/>
      <c r="O86" s="9"/>
      <c r="P86" s="9"/>
      <c r="Q86" s="6">
        <v>1.0</v>
      </c>
      <c r="R86" s="23">
        <v>45888.0</v>
      </c>
      <c r="S86" s="50">
        <v>45986.0</v>
      </c>
      <c r="T86" s="23">
        <v>45891.0</v>
      </c>
      <c r="U86" s="9"/>
      <c r="V86" s="6" t="s">
        <v>103</v>
      </c>
      <c r="W86" s="6">
        <v>3.0425007375E11</v>
      </c>
      <c r="X86" s="6" t="s">
        <v>45</v>
      </c>
      <c r="Y86" s="6" t="s">
        <v>46</v>
      </c>
      <c r="Z86" s="6">
        <v>3.040317198E9</v>
      </c>
      <c r="AA86" s="6" t="s">
        <v>45</v>
      </c>
      <c r="AB86" s="6" t="s">
        <v>46</v>
      </c>
      <c r="AC86" s="6" t="s">
        <v>324</v>
      </c>
      <c r="AD86" s="9"/>
      <c r="AE86" s="9"/>
      <c r="AF86" s="9"/>
      <c r="AG86" s="9"/>
    </row>
    <row r="87" hidden="1">
      <c r="A87" s="21">
        <f>COUNTIF('Histórico'!$B:$B,B87)</f>
        <v>1</v>
      </c>
      <c r="B87" s="21" t="s">
        <v>539</v>
      </c>
      <c r="C87" s="9"/>
      <c r="D87" s="6" t="s">
        <v>39</v>
      </c>
      <c r="E87" s="6" t="s">
        <v>40</v>
      </c>
      <c r="F87" s="23">
        <v>45891.0</v>
      </c>
      <c r="G87" s="6" t="s">
        <v>41</v>
      </c>
      <c r="H87" s="23">
        <v>45891.0</v>
      </c>
      <c r="I87" s="6" t="s">
        <v>537</v>
      </c>
      <c r="J87" s="6" t="s">
        <v>275</v>
      </c>
      <c r="K87" s="6" t="s">
        <v>541</v>
      </c>
      <c r="L87" s="14">
        <v>6.6306636E7</v>
      </c>
      <c r="M87" s="9"/>
      <c r="N87" s="9"/>
      <c r="O87" s="9"/>
      <c r="P87" s="9"/>
      <c r="Q87" s="6">
        <v>1.0</v>
      </c>
      <c r="R87" s="23">
        <v>45890.0</v>
      </c>
      <c r="S87" s="23">
        <v>45896.0</v>
      </c>
      <c r="T87" s="23">
        <v>45891.0</v>
      </c>
      <c r="U87" s="9"/>
      <c r="V87" s="6" t="s">
        <v>44</v>
      </c>
      <c r="W87" s="21"/>
      <c r="X87" s="6" t="s">
        <v>45</v>
      </c>
      <c r="Y87" s="6" t="s">
        <v>46</v>
      </c>
      <c r="Z87" s="6">
        <v>3.040281704E9</v>
      </c>
      <c r="AA87" s="6" t="s">
        <v>63</v>
      </c>
      <c r="AB87" s="6" t="s">
        <v>72</v>
      </c>
      <c r="AC87" s="6" t="s">
        <v>451</v>
      </c>
      <c r="AD87" s="9"/>
      <c r="AE87" s="9"/>
      <c r="AF87" s="9"/>
      <c r="AG87" s="9"/>
    </row>
    <row r="88" hidden="1">
      <c r="A88" s="21">
        <f>COUNTIF('Histórico'!$B:$B,B88)</f>
        <v>1</v>
      </c>
      <c r="B88" s="21" t="s">
        <v>542</v>
      </c>
      <c r="C88" s="9"/>
      <c r="D88" s="6" t="s">
        <v>39</v>
      </c>
      <c r="E88" s="6" t="s">
        <v>40</v>
      </c>
      <c r="F88" s="23">
        <v>45891.0</v>
      </c>
      <c r="G88" s="6" t="s">
        <v>41</v>
      </c>
      <c r="H88" s="23">
        <v>45891.0</v>
      </c>
      <c r="I88" s="6" t="s">
        <v>482</v>
      </c>
      <c r="J88" s="6" t="s">
        <v>275</v>
      </c>
      <c r="K88" s="6" t="s">
        <v>483</v>
      </c>
      <c r="L88" s="14">
        <v>4.7203806E7</v>
      </c>
      <c r="M88" s="9"/>
      <c r="N88" s="9"/>
      <c r="O88" s="9"/>
      <c r="P88" s="9"/>
      <c r="Q88" s="6">
        <v>1.0</v>
      </c>
      <c r="R88" s="23">
        <v>45890.0</v>
      </c>
      <c r="S88" s="23">
        <v>45890.0</v>
      </c>
      <c r="T88" s="23">
        <v>45891.0</v>
      </c>
      <c r="U88" s="9"/>
      <c r="V88" s="6" t="s">
        <v>44</v>
      </c>
      <c r="W88" s="21"/>
      <c r="X88" s="6" t="s">
        <v>45</v>
      </c>
      <c r="Y88" s="6" t="s">
        <v>46</v>
      </c>
      <c r="Z88" s="6">
        <v>3.04031055E9</v>
      </c>
      <c r="AA88" s="6" t="s">
        <v>45</v>
      </c>
      <c r="AB88" s="6" t="s">
        <v>46</v>
      </c>
      <c r="AC88" s="6" t="s">
        <v>80</v>
      </c>
      <c r="AD88" s="9"/>
      <c r="AE88" s="9"/>
      <c r="AF88" s="9"/>
      <c r="AG88" s="9"/>
    </row>
    <row r="89" hidden="1">
      <c r="A89" s="21">
        <f>COUNTIF('Histórico'!$B:$B,B89)</f>
        <v>1</v>
      </c>
      <c r="B89" s="21" t="s">
        <v>543</v>
      </c>
      <c r="C89" s="9"/>
      <c r="D89" s="6" t="s">
        <v>39</v>
      </c>
      <c r="E89" s="6" t="s">
        <v>40</v>
      </c>
      <c r="F89" s="23">
        <v>45891.0</v>
      </c>
      <c r="G89" s="6" t="s">
        <v>41</v>
      </c>
      <c r="H89" s="23">
        <v>45891.0</v>
      </c>
      <c r="I89" s="6" t="s">
        <v>537</v>
      </c>
      <c r="J89" s="6" t="s">
        <v>275</v>
      </c>
      <c r="K89" s="6" t="s">
        <v>541</v>
      </c>
      <c r="L89" s="14">
        <v>6.6305791E7</v>
      </c>
      <c r="M89" s="9"/>
      <c r="N89" s="9"/>
      <c r="O89" s="9"/>
      <c r="P89" s="9"/>
      <c r="Q89" s="6">
        <v>1.0</v>
      </c>
      <c r="R89" s="23">
        <v>45890.0</v>
      </c>
      <c r="S89" s="23">
        <v>45896.0</v>
      </c>
      <c r="T89" s="23">
        <v>45891.0</v>
      </c>
      <c r="U89" s="9"/>
      <c r="V89" s="6" t="s">
        <v>44</v>
      </c>
      <c r="W89" s="21"/>
      <c r="X89" s="6" t="s">
        <v>45</v>
      </c>
      <c r="Y89" s="6" t="s">
        <v>46</v>
      </c>
      <c r="Z89" s="6">
        <v>3.040272872E9</v>
      </c>
      <c r="AA89" s="6" t="s">
        <v>45</v>
      </c>
      <c r="AB89" s="6" t="s">
        <v>46</v>
      </c>
      <c r="AC89" s="6" t="s">
        <v>47</v>
      </c>
      <c r="AD89" s="9"/>
      <c r="AE89" s="9"/>
      <c r="AF89" s="9"/>
      <c r="AG89" s="9"/>
    </row>
    <row r="90" hidden="1">
      <c r="A90" s="21">
        <f>COUNTIF('Histórico'!$B:$B,B90)</f>
        <v>1</v>
      </c>
      <c r="B90" s="21" t="s">
        <v>546</v>
      </c>
      <c r="C90" s="9"/>
      <c r="D90" s="6" t="s">
        <v>39</v>
      </c>
      <c r="E90" s="6" t="s">
        <v>40</v>
      </c>
      <c r="F90" s="23">
        <v>45894.0</v>
      </c>
      <c r="G90" s="6" t="s">
        <v>41</v>
      </c>
      <c r="H90" s="23">
        <v>45894.0</v>
      </c>
      <c r="I90" s="6" t="s">
        <v>547</v>
      </c>
      <c r="J90" s="6">
        <v>198.0</v>
      </c>
      <c r="K90" s="6" t="s">
        <v>548</v>
      </c>
      <c r="L90" s="14" t="s">
        <v>549</v>
      </c>
      <c r="M90" s="9"/>
      <c r="N90" s="9"/>
      <c r="O90" s="9"/>
      <c r="P90" s="9"/>
      <c r="Q90" s="6">
        <v>1.0</v>
      </c>
      <c r="R90" s="23">
        <v>45888.0</v>
      </c>
      <c r="S90" s="50">
        <v>45986.0</v>
      </c>
      <c r="T90" s="23">
        <v>45894.0</v>
      </c>
      <c r="U90" s="9"/>
      <c r="V90" s="6" t="s">
        <v>44</v>
      </c>
      <c r="W90" s="9"/>
      <c r="X90" s="6" t="s">
        <v>45</v>
      </c>
      <c r="Y90" s="6" t="s">
        <v>46</v>
      </c>
      <c r="Z90" s="6">
        <v>3.040317809E9</v>
      </c>
      <c r="AA90" s="6" t="s">
        <v>304</v>
      </c>
      <c r="AB90" s="6" t="s">
        <v>306</v>
      </c>
      <c r="AC90" s="6" t="s">
        <v>550</v>
      </c>
      <c r="AD90" s="9"/>
      <c r="AE90" s="9"/>
      <c r="AF90" s="9"/>
      <c r="AG90" s="9"/>
    </row>
    <row r="91" hidden="1">
      <c r="A91" s="21">
        <f>COUNTIF('Histórico'!$B:$B,B91)</f>
        <v>1</v>
      </c>
      <c r="B91" s="21" t="s">
        <v>553</v>
      </c>
      <c r="C91" s="9"/>
      <c r="D91" s="6" t="s">
        <v>39</v>
      </c>
      <c r="E91" s="6" t="s">
        <v>40</v>
      </c>
      <c r="F91" s="23">
        <v>45894.0</v>
      </c>
      <c r="G91" s="6" t="s">
        <v>41</v>
      </c>
      <c r="H91" s="23">
        <v>45894.0</v>
      </c>
      <c r="I91" s="6" t="s">
        <v>226</v>
      </c>
      <c r="J91" s="6">
        <v>71513.0</v>
      </c>
      <c r="K91" s="6" t="s">
        <v>320</v>
      </c>
      <c r="L91" s="14">
        <v>479.0</v>
      </c>
      <c r="M91" s="9"/>
      <c r="N91" s="9"/>
      <c r="O91" s="9"/>
      <c r="P91" s="9"/>
      <c r="Q91" s="6">
        <v>1.0</v>
      </c>
      <c r="R91" s="23">
        <v>45888.0</v>
      </c>
      <c r="S91" s="50">
        <v>45986.0</v>
      </c>
      <c r="T91" s="23">
        <v>45894.0</v>
      </c>
      <c r="U91" s="9"/>
      <c r="V91" s="6" t="s">
        <v>103</v>
      </c>
      <c r="W91" s="6">
        <v>3.13250017138E11</v>
      </c>
      <c r="X91" s="6" t="s">
        <v>45</v>
      </c>
      <c r="Y91" s="6" t="s">
        <v>46</v>
      </c>
      <c r="Z91" s="6">
        <v>3.040317305E9</v>
      </c>
      <c r="AA91" s="6" t="s">
        <v>45</v>
      </c>
      <c r="AB91" s="6" t="s">
        <v>46</v>
      </c>
      <c r="AC91" s="6" t="s">
        <v>324</v>
      </c>
      <c r="AD91" s="9"/>
      <c r="AE91" s="9"/>
      <c r="AF91" s="9"/>
      <c r="AG91" s="9"/>
    </row>
    <row r="92" hidden="1">
      <c r="A92" s="21">
        <f>COUNTIF('Histórico'!$B:$B,B92)</f>
        <v>1</v>
      </c>
      <c r="B92" s="21" t="s">
        <v>554</v>
      </c>
      <c r="C92" s="9"/>
      <c r="D92" s="6" t="s">
        <v>39</v>
      </c>
      <c r="E92" s="6" t="s">
        <v>40</v>
      </c>
      <c r="F92" s="23">
        <v>45898.0</v>
      </c>
      <c r="G92" s="6" t="s">
        <v>41</v>
      </c>
      <c r="H92" s="23">
        <v>45898.0</v>
      </c>
      <c r="I92" s="6" t="s">
        <v>469</v>
      </c>
      <c r="J92" s="6" t="s">
        <v>275</v>
      </c>
      <c r="K92" s="6" t="s">
        <v>470</v>
      </c>
      <c r="L92" s="14" t="s">
        <v>555</v>
      </c>
      <c r="M92" s="9"/>
      <c r="N92" s="9"/>
      <c r="O92" s="9"/>
      <c r="P92" s="9"/>
      <c r="Q92" s="6">
        <v>1.0</v>
      </c>
      <c r="R92" s="23">
        <v>45898.0</v>
      </c>
      <c r="S92" s="23">
        <v>45965.0</v>
      </c>
      <c r="T92" s="23">
        <v>45898.0</v>
      </c>
      <c r="U92" s="9"/>
      <c r="V92" s="6" t="s">
        <v>44</v>
      </c>
      <c r="W92" s="21"/>
      <c r="X92" s="6" t="s">
        <v>45</v>
      </c>
      <c r="Y92" s="6" t="s">
        <v>46</v>
      </c>
      <c r="Z92" s="6">
        <v>3.040295438E9</v>
      </c>
      <c r="AA92" s="6" t="s">
        <v>60</v>
      </c>
      <c r="AB92" s="6" t="s">
        <v>194</v>
      </c>
      <c r="AC92" s="6" t="s">
        <v>558</v>
      </c>
      <c r="AD92" s="9"/>
      <c r="AE92" s="9"/>
      <c r="AF92" s="9"/>
      <c r="AG92" s="9"/>
    </row>
    <row r="93" hidden="1">
      <c r="A93" s="21">
        <f>COUNTIF('Histórico'!$B:$B,B93)</f>
        <v>1</v>
      </c>
      <c r="B93" s="21" t="s">
        <v>559</v>
      </c>
      <c r="C93" s="9"/>
      <c r="D93" s="6" t="s">
        <v>39</v>
      </c>
      <c r="E93" s="6" t="s">
        <v>40</v>
      </c>
      <c r="F93" s="23">
        <v>45898.0</v>
      </c>
      <c r="G93" s="6" t="s">
        <v>41</v>
      </c>
      <c r="H93" s="23">
        <v>45898.0</v>
      </c>
      <c r="I93" s="6" t="s">
        <v>469</v>
      </c>
      <c r="J93" s="6" t="s">
        <v>275</v>
      </c>
      <c r="K93" s="6" t="s">
        <v>470</v>
      </c>
      <c r="L93" s="14" t="s">
        <v>560</v>
      </c>
      <c r="M93" s="9"/>
      <c r="N93" s="9"/>
      <c r="O93" s="9"/>
      <c r="P93" s="9"/>
      <c r="Q93" s="6">
        <v>1.0</v>
      </c>
      <c r="R93" s="23">
        <v>45898.0</v>
      </c>
      <c r="S93" s="23">
        <v>45965.0</v>
      </c>
      <c r="T93" s="23">
        <v>45898.0</v>
      </c>
      <c r="U93" s="9"/>
      <c r="V93" s="6" t="s">
        <v>103</v>
      </c>
      <c r="W93" s="6">
        <v>3.1325001663E11</v>
      </c>
      <c r="X93" s="6" t="s">
        <v>45</v>
      </c>
      <c r="Y93" s="6" t="s">
        <v>46</v>
      </c>
      <c r="Z93" s="6">
        <v>3.040297381E9</v>
      </c>
      <c r="AA93" s="6" t="s">
        <v>60</v>
      </c>
      <c r="AB93" s="6" t="s">
        <v>194</v>
      </c>
      <c r="AC93" s="6" t="s">
        <v>561</v>
      </c>
      <c r="AD93" s="9"/>
      <c r="AE93" s="9"/>
      <c r="AF93" s="9"/>
      <c r="AG93" s="9"/>
    </row>
    <row r="94" hidden="1">
      <c r="A94" s="21">
        <f>COUNTIF('Histórico'!$B:$B,B94)</f>
        <v>1</v>
      </c>
      <c r="B94" s="21" t="s">
        <v>562</v>
      </c>
      <c r="C94" s="9"/>
      <c r="D94" s="6" t="s">
        <v>39</v>
      </c>
      <c r="E94" s="6" t="s">
        <v>40</v>
      </c>
      <c r="F94" s="23">
        <v>45898.0</v>
      </c>
      <c r="G94" s="6" t="s">
        <v>41</v>
      </c>
      <c r="H94" s="23">
        <v>45898.0</v>
      </c>
      <c r="I94" s="6" t="s">
        <v>564</v>
      </c>
      <c r="J94" s="6">
        <v>22373.0</v>
      </c>
      <c r="K94" s="6" t="s">
        <v>566</v>
      </c>
      <c r="L94" s="14">
        <v>2953.0</v>
      </c>
      <c r="M94" s="9"/>
      <c r="N94" s="9"/>
      <c r="O94" s="9"/>
      <c r="P94" s="9"/>
      <c r="Q94" s="6">
        <v>1.0</v>
      </c>
      <c r="R94" s="23">
        <v>45898.0</v>
      </c>
      <c r="S94" s="23">
        <v>45904.0</v>
      </c>
      <c r="T94" s="23">
        <v>45898.0</v>
      </c>
      <c r="U94" s="9"/>
      <c r="V94" s="6" t="s">
        <v>44</v>
      </c>
      <c r="W94" s="21"/>
      <c r="X94" s="6" t="s">
        <v>45</v>
      </c>
      <c r="Y94" s="6" t="s">
        <v>46</v>
      </c>
      <c r="Z94" s="6">
        <v>3.040282568E9</v>
      </c>
      <c r="AA94" s="6" t="s">
        <v>60</v>
      </c>
      <c r="AB94" s="6" t="s">
        <v>194</v>
      </c>
      <c r="AC94" s="6" t="s">
        <v>558</v>
      </c>
      <c r="AD94" s="9"/>
      <c r="AE94" s="9"/>
      <c r="AF94" s="9"/>
      <c r="AG94" s="9"/>
    </row>
    <row r="95" hidden="1">
      <c r="A95" s="21">
        <f>COUNTIF('Histórico'!$B:$B,B95)</f>
        <v>1</v>
      </c>
      <c r="B95" s="21" t="s">
        <v>567</v>
      </c>
      <c r="C95" s="9"/>
      <c r="D95" s="6" t="s">
        <v>39</v>
      </c>
      <c r="E95" s="6" t="s">
        <v>40</v>
      </c>
      <c r="F95" s="23">
        <v>45898.0</v>
      </c>
      <c r="G95" s="6" t="s">
        <v>41</v>
      </c>
      <c r="H95" s="23">
        <v>45898.0</v>
      </c>
      <c r="I95" s="6" t="s">
        <v>564</v>
      </c>
      <c r="J95" s="6">
        <v>22373.0</v>
      </c>
      <c r="K95" s="6" t="s">
        <v>566</v>
      </c>
      <c r="L95" s="14">
        <v>2982.0</v>
      </c>
      <c r="M95" s="9"/>
      <c r="N95" s="9"/>
      <c r="O95" s="9"/>
      <c r="P95" s="9"/>
      <c r="Q95" s="6">
        <v>1.0</v>
      </c>
      <c r="R95" s="23">
        <v>45898.0</v>
      </c>
      <c r="S95" s="23">
        <v>45904.0</v>
      </c>
      <c r="T95" s="23">
        <v>45898.0</v>
      </c>
      <c r="U95" s="9"/>
      <c r="V95" s="6" t="s">
        <v>44</v>
      </c>
      <c r="W95" s="21"/>
      <c r="X95" s="6" t="s">
        <v>45</v>
      </c>
      <c r="Y95" s="6" t="s">
        <v>46</v>
      </c>
      <c r="Z95" s="6">
        <v>3.0402848E9</v>
      </c>
      <c r="AA95" s="6" t="s">
        <v>60</v>
      </c>
      <c r="AB95" s="6" t="s">
        <v>194</v>
      </c>
      <c r="AC95" s="6" t="s">
        <v>558</v>
      </c>
      <c r="AD95" s="9"/>
      <c r="AE95" s="9"/>
      <c r="AF95" s="9"/>
      <c r="AG95" s="9"/>
    </row>
    <row r="96" hidden="1">
      <c r="A96" s="21">
        <f>COUNTIF('Histórico'!$B:$B,B96)</f>
        <v>1</v>
      </c>
      <c r="B96" s="21" t="s">
        <v>570</v>
      </c>
      <c r="C96" s="9"/>
      <c r="D96" s="6" t="s">
        <v>39</v>
      </c>
      <c r="E96" s="6" t="s">
        <v>40</v>
      </c>
      <c r="F96" s="23">
        <v>45917.0</v>
      </c>
      <c r="G96" s="6" t="s">
        <v>41</v>
      </c>
      <c r="H96" s="23">
        <v>45917.0</v>
      </c>
      <c r="I96" s="6" t="s">
        <v>571</v>
      </c>
      <c r="J96" s="6" t="s">
        <v>156</v>
      </c>
      <c r="K96" s="6" t="s">
        <v>572</v>
      </c>
      <c r="L96" s="14" t="s">
        <v>573</v>
      </c>
      <c r="M96" s="9"/>
      <c r="N96" s="9"/>
      <c r="O96" s="9"/>
      <c r="P96" s="9"/>
      <c r="Q96" s="6">
        <v>1.0</v>
      </c>
      <c r="R96" s="23">
        <v>45910.0</v>
      </c>
      <c r="S96" s="23">
        <v>45916.0</v>
      </c>
      <c r="T96" s="23">
        <v>45917.0</v>
      </c>
      <c r="U96" s="9"/>
      <c r="V96" s="6" t="s">
        <v>44</v>
      </c>
      <c r="W96" s="21"/>
      <c r="X96" s="6" t="s">
        <v>45</v>
      </c>
      <c r="Y96" s="6" t="s">
        <v>46</v>
      </c>
      <c r="Z96" s="6">
        <v>3.040270437E9</v>
      </c>
      <c r="AA96" s="6" t="s">
        <v>294</v>
      </c>
      <c r="AB96" s="6" t="s">
        <v>574</v>
      </c>
      <c r="AC96" s="6" t="s">
        <v>296</v>
      </c>
      <c r="AD96" s="9"/>
      <c r="AE96" s="9"/>
      <c r="AF96" s="9"/>
      <c r="AG96" s="9"/>
    </row>
    <row r="97" hidden="1">
      <c r="A97" s="21">
        <f>COUNTIF('Histórico'!$B:$B,B97)</f>
        <v>1</v>
      </c>
      <c r="B97" s="21" t="s">
        <v>575</v>
      </c>
      <c r="C97" s="9"/>
      <c r="D97" s="6" t="s">
        <v>39</v>
      </c>
      <c r="E97" s="6" t="s">
        <v>40</v>
      </c>
      <c r="F97" s="23">
        <v>45917.0</v>
      </c>
      <c r="G97" s="6" t="s">
        <v>41</v>
      </c>
      <c r="H97" s="23">
        <v>45917.0</v>
      </c>
      <c r="I97" s="6" t="s">
        <v>576</v>
      </c>
      <c r="J97" s="6">
        <v>7213.0</v>
      </c>
      <c r="K97" s="6" t="s">
        <v>577</v>
      </c>
      <c r="L97" s="14" t="s">
        <v>578</v>
      </c>
      <c r="M97" s="9"/>
      <c r="N97" s="9"/>
      <c r="O97" s="9"/>
      <c r="P97" s="9"/>
      <c r="Q97" s="6">
        <v>1.0</v>
      </c>
      <c r="R97" s="23">
        <v>45910.0</v>
      </c>
      <c r="S97" s="23">
        <v>45916.0</v>
      </c>
      <c r="T97" s="23">
        <v>45917.0</v>
      </c>
      <c r="U97" s="9"/>
      <c r="V97" s="6" t="s">
        <v>44</v>
      </c>
      <c r="W97" s="21"/>
      <c r="X97" s="6" t="s">
        <v>45</v>
      </c>
      <c r="Y97" s="6" t="s">
        <v>46</v>
      </c>
      <c r="Z97" s="6">
        <v>3.040315167E9</v>
      </c>
      <c r="AA97" s="6" t="s">
        <v>304</v>
      </c>
      <c r="AB97" s="6" t="s">
        <v>306</v>
      </c>
      <c r="AC97" s="6" t="s">
        <v>581</v>
      </c>
      <c r="AD97" s="9"/>
      <c r="AE97" s="9"/>
      <c r="AF97" s="9"/>
      <c r="AG97" s="9"/>
    </row>
    <row r="98" hidden="1">
      <c r="A98" s="21">
        <f>COUNTIF('Histórico'!$B:$B,B98)</f>
        <v>1</v>
      </c>
      <c r="B98" s="21" t="s">
        <v>582</v>
      </c>
      <c r="C98" s="9"/>
      <c r="D98" s="6" t="s">
        <v>39</v>
      </c>
      <c r="E98" s="6" t="s">
        <v>40</v>
      </c>
      <c r="F98" s="23">
        <v>45917.0</v>
      </c>
      <c r="G98" s="6" t="s">
        <v>41</v>
      </c>
      <c r="H98" s="23">
        <v>45917.0</v>
      </c>
      <c r="I98" s="6" t="s">
        <v>223</v>
      </c>
      <c r="J98" s="6">
        <v>33269.0</v>
      </c>
      <c r="K98" s="6" t="s">
        <v>224</v>
      </c>
      <c r="L98" s="14">
        <v>571.0</v>
      </c>
      <c r="M98" s="9"/>
      <c r="N98" s="9"/>
      <c r="O98" s="9"/>
      <c r="P98" s="9"/>
      <c r="Q98" s="6">
        <v>1.0</v>
      </c>
      <c r="R98" s="23">
        <v>45658.0</v>
      </c>
      <c r="S98" s="50">
        <v>45991.0</v>
      </c>
      <c r="T98" s="23">
        <v>45917.0</v>
      </c>
      <c r="U98" s="9"/>
      <c r="V98" s="6" t="s">
        <v>44</v>
      </c>
      <c r="W98" s="21"/>
      <c r="X98" s="6" t="s">
        <v>45</v>
      </c>
      <c r="Y98" s="6" t="s">
        <v>46</v>
      </c>
      <c r="Z98" s="6">
        <v>3.04031856E9</v>
      </c>
      <c r="AA98" s="6" t="s">
        <v>63</v>
      </c>
      <c r="AB98" s="6" t="s">
        <v>241</v>
      </c>
      <c r="AC98" s="6" t="s">
        <v>583</v>
      </c>
      <c r="AD98" s="9"/>
      <c r="AE98" s="9"/>
      <c r="AF98" s="9"/>
      <c r="AG98" s="9"/>
    </row>
    <row r="99" hidden="1">
      <c r="A99" s="21">
        <f>COUNTIF('Histórico'!$B:$B,B99)</f>
        <v>1</v>
      </c>
      <c r="B99" s="21" t="s">
        <v>584</v>
      </c>
      <c r="C99" s="9"/>
      <c r="D99" s="6" t="s">
        <v>39</v>
      </c>
      <c r="E99" s="6" t="s">
        <v>40</v>
      </c>
      <c r="F99" s="23">
        <v>45917.0</v>
      </c>
      <c r="G99" s="6" t="s">
        <v>41</v>
      </c>
      <c r="H99" s="23">
        <v>45917.0</v>
      </c>
      <c r="I99" s="6" t="s">
        <v>223</v>
      </c>
      <c r="J99" s="6">
        <v>33269.0</v>
      </c>
      <c r="K99" s="6" t="s">
        <v>224</v>
      </c>
      <c r="L99" s="14">
        <v>327.0</v>
      </c>
      <c r="M99" s="9"/>
      <c r="N99" s="9"/>
      <c r="O99" s="9"/>
      <c r="P99" s="9"/>
      <c r="Q99" s="6">
        <v>1.0</v>
      </c>
      <c r="R99" s="23">
        <v>45658.0</v>
      </c>
      <c r="S99" s="50">
        <v>45991.0</v>
      </c>
      <c r="T99" s="23">
        <v>45917.0</v>
      </c>
      <c r="U99" s="9"/>
      <c r="V99" s="6" t="s">
        <v>44</v>
      </c>
      <c r="W99" s="9"/>
      <c r="X99" s="6" t="s">
        <v>45</v>
      </c>
      <c r="Y99" s="6" t="s">
        <v>46</v>
      </c>
      <c r="Z99" s="6">
        <v>3.040318561E9</v>
      </c>
      <c r="AA99" s="6" t="s">
        <v>63</v>
      </c>
      <c r="AB99" s="6" t="s">
        <v>241</v>
      </c>
      <c r="AC99" s="6" t="s">
        <v>583</v>
      </c>
      <c r="AD99" s="9"/>
      <c r="AE99" s="9"/>
      <c r="AF99" s="9"/>
      <c r="AG99" s="9"/>
    </row>
    <row r="100" hidden="1">
      <c r="A100" s="21">
        <f>COUNTIF('Histórico'!$B:$B,B100)</f>
        <v>1</v>
      </c>
      <c r="B100" s="21" t="s">
        <v>587</v>
      </c>
      <c r="C100" s="9"/>
      <c r="D100" s="6" t="s">
        <v>39</v>
      </c>
      <c r="E100" s="6" t="s">
        <v>40</v>
      </c>
      <c r="F100" s="23">
        <v>45917.0</v>
      </c>
      <c r="G100" s="6" t="s">
        <v>41</v>
      </c>
      <c r="H100" s="23">
        <v>45917.0</v>
      </c>
      <c r="I100" s="6" t="s">
        <v>223</v>
      </c>
      <c r="J100" s="6">
        <v>33269.0</v>
      </c>
      <c r="K100" s="6" t="s">
        <v>224</v>
      </c>
      <c r="L100" s="14">
        <v>1.0</v>
      </c>
      <c r="M100" s="9"/>
      <c r="N100" s="9"/>
      <c r="O100" s="9"/>
      <c r="P100" s="9"/>
      <c r="Q100" s="6">
        <v>1.0</v>
      </c>
      <c r="R100" s="23">
        <v>45658.0</v>
      </c>
      <c r="S100" s="50">
        <v>45991.0</v>
      </c>
      <c r="T100" s="23">
        <v>45917.0</v>
      </c>
      <c r="U100" s="9"/>
      <c r="V100" s="6" t="s">
        <v>44</v>
      </c>
      <c r="W100" s="6"/>
      <c r="X100" s="6" t="s">
        <v>45</v>
      </c>
      <c r="Y100" s="6" t="s">
        <v>46</v>
      </c>
      <c r="Z100" s="6">
        <v>3.040318877E9</v>
      </c>
      <c r="AA100" s="6" t="s">
        <v>64</v>
      </c>
      <c r="AB100" s="6" t="s">
        <v>588</v>
      </c>
      <c r="AC100" s="6" t="s">
        <v>589</v>
      </c>
      <c r="AD100" s="9"/>
      <c r="AE100" s="9"/>
      <c r="AF100" s="9"/>
      <c r="AG100" s="9"/>
    </row>
    <row r="101" hidden="1">
      <c r="A101" s="21">
        <f>COUNTIF('Histórico'!$B:$B,B101)</f>
        <v>1</v>
      </c>
      <c r="B101" s="21" t="s">
        <v>590</v>
      </c>
      <c r="C101" s="9"/>
      <c r="D101" s="6" t="s">
        <v>39</v>
      </c>
      <c r="E101" s="6" t="s">
        <v>40</v>
      </c>
      <c r="F101" s="23">
        <v>45917.0</v>
      </c>
      <c r="G101" s="6" t="s">
        <v>41</v>
      </c>
      <c r="H101" s="23">
        <v>45917.0</v>
      </c>
      <c r="I101" s="6" t="s">
        <v>223</v>
      </c>
      <c r="J101" s="6">
        <v>33269.0</v>
      </c>
      <c r="K101" s="6" t="s">
        <v>224</v>
      </c>
      <c r="L101" s="14" t="s">
        <v>592</v>
      </c>
      <c r="M101" s="9"/>
      <c r="N101" s="9"/>
      <c r="O101" s="9"/>
      <c r="P101" s="9"/>
      <c r="Q101" s="6">
        <v>1.0</v>
      </c>
      <c r="R101" s="23">
        <v>45658.0</v>
      </c>
      <c r="S101" s="50">
        <v>45991.0</v>
      </c>
      <c r="T101" s="23">
        <v>45917.0</v>
      </c>
      <c r="U101" s="9"/>
      <c r="V101" s="6" t="s">
        <v>44</v>
      </c>
      <c r="W101" s="9"/>
      <c r="X101" s="6" t="s">
        <v>45</v>
      </c>
      <c r="Y101" s="6" t="s">
        <v>46</v>
      </c>
      <c r="Z101" s="6">
        <v>3.040318928E9</v>
      </c>
      <c r="AA101" s="6" t="s">
        <v>68</v>
      </c>
      <c r="AB101" s="6" t="s">
        <v>328</v>
      </c>
      <c r="AC101" s="6" t="s">
        <v>594</v>
      </c>
      <c r="AD101" s="9"/>
      <c r="AE101" s="9"/>
      <c r="AF101" s="9"/>
      <c r="AG101" s="9"/>
    </row>
    <row r="102" hidden="1">
      <c r="A102" s="21">
        <f>COUNTIF('Histórico'!$B:$B,B102)</f>
        <v>1</v>
      </c>
      <c r="B102" s="21" t="s">
        <v>595</v>
      </c>
      <c r="C102" s="9"/>
      <c r="D102" s="6" t="s">
        <v>39</v>
      </c>
      <c r="E102" s="6" t="s">
        <v>40</v>
      </c>
      <c r="F102" s="23">
        <v>45937.0</v>
      </c>
      <c r="G102" s="6" t="s">
        <v>41</v>
      </c>
      <c r="H102" s="23">
        <v>45937.0</v>
      </c>
      <c r="I102" s="6" t="s">
        <v>537</v>
      </c>
      <c r="J102" s="6" t="s">
        <v>275</v>
      </c>
      <c r="K102" s="6" t="s">
        <v>541</v>
      </c>
      <c r="L102" s="14">
        <v>6.6307595E7</v>
      </c>
      <c r="M102" s="9"/>
      <c r="N102" s="9"/>
      <c r="O102" s="9"/>
      <c r="P102" s="9"/>
      <c r="Q102" s="6">
        <v>1.0</v>
      </c>
      <c r="R102" s="23">
        <v>45936.0</v>
      </c>
      <c r="S102" s="50">
        <v>45940.0</v>
      </c>
      <c r="T102" s="23">
        <v>45937.0</v>
      </c>
      <c r="U102" s="9"/>
      <c r="V102" s="6" t="s">
        <v>44</v>
      </c>
      <c r="W102" s="9"/>
      <c r="X102" s="6" t="s">
        <v>45</v>
      </c>
      <c r="Y102" s="6" t="s">
        <v>46</v>
      </c>
      <c r="Z102" s="6">
        <v>3.040285493E9</v>
      </c>
      <c r="AA102" s="6" t="s">
        <v>465</v>
      </c>
      <c r="AB102" s="6" t="s">
        <v>466</v>
      </c>
      <c r="AC102" s="6" t="s">
        <v>308</v>
      </c>
      <c r="AD102" s="9"/>
      <c r="AE102" s="9"/>
      <c r="AF102" s="9"/>
      <c r="AG102" s="9"/>
    </row>
    <row r="103" hidden="1">
      <c r="A103" s="21">
        <f>COUNTIF('Histórico'!$B:$B,B103)</f>
        <v>1</v>
      </c>
      <c r="B103" s="21" t="s">
        <v>598</v>
      </c>
      <c r="C103" s="9"/>
      <c r="D103" s="6" t="s">
        <v>39</v>
      </c>
      <c r="E103" s="6" t="s">
        <v>40</v>
      </c>
      <c r="F103" s="23">
        <v>45937.0</v>
      </c>
      <c r="G103" s="6" t="s">
        <v>41</v>
      </c>
      <c r="H103" s="23">
        <v>45937.0</v>
      </c>
      <c r="I103" s="6" t="s">
        <v>515</v>
      </c>
      <c r="J103" s="6">
        <v>66503.0</v>
      </c>
      <c r="K103" s="6" t="s">
        <v>516</v>
      </c>
      <c r="L103" s="14">
        <v>1.6389901E7</v>
      </c>
      <c r="M103" s="9"/>
      <c r="N103" s="9"/>
      <c r="O103" s="9"/>
      <c r="P103" s="9"/>
      <c r="Q103" s="6">
        <v>1.0</v>
      </c>
      <c r="R103" s="23">
        <v>45936.0</v>
      </c>
      <c r="S103" s="50">
        <v>45971.0</v>
      </c>
      <c r="T103" s="23">
        <v>45937.0</v>
      </c>
      <c r="U103" s="9"/>
      <c r="V103" s="6" t="s">
        <v>44</v>
      </c>
      <c r="W103" s="21"/>
      <c r="X103" s="6" t="s">
        <v>45</v>
      </c>
      <c r="Y103" s="6" t="s">
        <v>46</v>
      </c>
      <c r="Z103" s="6">
        <v>3.040253457E9</v>
      </c>
      <c r="AA103" s="6" t="s">
        <v>45</v>
      </c>
      <c r="AB103" s="6" t="s">
        <v>203</v>
      </c>
      <c r="AC103" s="6" t="s">
        <v>601</v>
      </c>
      <c r="AD103" s="9"/>
      <c r="AE103" s="9"/>
      <c r="AF103" s="9"/>
      <c r="AG103" s="9"/>
    </row>
    <row r="104" hidden="1">
      <c r="A104" s="21">
        <f>COUNTIF('Histórico'!$B:$B,B104)</f>
        <v>1</v>
      </c>
      <c r="B104" s="21" t="s">
        <v>604</v>
      </c>
      <c r="C104" s="9"/>
      <c r="D104" s="6" t="s">
        <v>39</v>
      </c>
      <c r="E104" s="6" t="s">
        <v>40</v>
      </c>
      <c r="F104" s="23">
        <v>45937.0</v>
      </c>
      <c r="G104" s="6" t="s">
        <v>41</v>
      </c>
      <c r="H104" s="23">
        <v>45937.0</v>
      </c>
      <c r="I104" s="6" t="s">
        <v>515</v>
      </c>
      <c r="J104" s="6">
        <v>66503.0</v>
      </c>
      <c r="K104" s="6" t="s">
        <v>516</v>
      </c>
      <c r="L104" s="14" t="s">
        <v>605</v>
      </c>
      <c r="M104" s="9"/>
      <c r="N104" s="9"/>
      <c r="O104" s="9"/>
      <c r="P104" s="9"/>
      <c r="Q104" s="6">
        <v>1.0</v>
      </c>
      <c r="R104" s="23">
        <v>45936.0</v>
      </c>
      <c r="S104" s="50">
        <v>45971.0</v>
      </c>
      <c r="T104" s="23">
        <v>45937.0</v>
      </c>
      <c r="U104" s="9"/>
      <c r="V104" s="6" t="s">
        <v>44</v>
      </c>
      <c r="W104" s="9"/>
      <c r="X104" s="6" t="s">
        <v>45</v>
      </c>
      <c r="Y104" s="6" t="s">
        <v>46</v>
      </c>
      <c r="Z104" s="6">
        <v>3.040278924E9</v>
      </c>
      <c r="AA104" s="6" t="s">
        <v>63</v>
      </c>
      <c r="AB104" s="6" t="s">
        <v>228</v>
      </c>
      <c r="AC104" s="6" t="s">
        <v>608</v>
      </c>
      <c r="AD104" s="9"/>
      <c r="AE104" s="9"/>
      <c r="AF104" s="9"/>
      <c r="AG104" s="9"/>
    </row>
    <row r="105" hidden="1">
      <c r="A105" s="21">
        <f>COUNTIF('Histórico'!$B:$B,B105)</f>
        <v>1</v>
      </c>
      <c r="B105" s="21" t="s">
        <v>609</v>
      </c>
      <c r="C105" s="9"/>
      <c r="D105" s="6" t="s">
        <v>39</v>
      </c>
      <c r="E105" s="6" t="s">
        <v>40</v>
      </c>
      <c r="F105" s="23">
        <v>45939.0</v>
      </c>
      <c r="G105" s="6" t="s">
        <v>41</v>
      </c>
      <c r="H105" s="23">
        <v>45939.0</v>
      </c>
      <c r="I105" s="6" t="s">
        <v>610</v>
      </c>
      <c r="J105" s="6" t="s">
        <v>156</v>
      </c>
      <c r="K105" s="6" t="s">
        <v>611</v>
      </c>
      <c r="L105" s="14"/>
      <c r="M105" s="9"/>
      <c r="N105" s="9"/>
      <c r="O105" s="9"/>
      <c r="P105" s="9"/>
      <c r="Q105" s="6">
        <v>1.0</v>
      </c>
      <c r="R105" s="23">
        <v>45938.0</v>
      </c>
      <c r="S105" s="50">
        <v>45944.0</v>
      </c>
      <c r="T105" s="23">
        <v>45939.0</v>
      </c>
      <c r="U105" s="9"/>
      <c r="V105" s="6" t="s">
        <v>44</v>
      </c>
      <c r="W105" s="9"/>
      <c r="X105" s="6" t="s">
        <v>45</v>
      </c>
      <c r="Y105" s="6" t="s">
        <v>46</v>
      </c>
      <c r="Z105" s="6">
        <v>3.04031824E9</v>
      </c>
      <c r="AA105" s="6" t="s">
        <v>304</v>
      </c>
      <c r="AB105" s="6" t="s">
        <v>306</v>
      </c>
      <c r="AC105" s="6" t="s">
        <v>612</v>
      </c>
      <c r="AD105" s="9"/>
      <c r="AE105" s="9"/>
      <c r="AF105" s="9"/>
      <c r="AG105" s="9"/>
    </row>
    <row r="106" hidden="1">
      <c r="A106" s="21">
        <f>COUNTIF('Histórico'!$B:$B,B106)</f>
        <v>1</v>
      </c>
      <c r="B106" s="21" t="s">
        <v>613</v>
      </c>
      <c r="C106" s="9"/>
      <c r="D106" s="6" t="s">
        <v>39</v>
      </c>
      <c r="E106" s="6" t="s">
        <v>40</v>
      </c>
      <c r="F106" s="23">
        <v>45939.0</v>
      </c>
      <c r="G106" s="6" t="s">
        <v>41</v>
      </c>
      <c r="H106" s="23">
        <v>45939.0</v>
      </c>
      <c r="I106" s="6" t="s">
        <v>537</v>
      </c>
      <c r="J106" s="6" t="s">
        <v>275</v>
      </c>
      <c r="K106" s="6" t="s">
        <v>541</v>
      </c>
      <c r="L106" s="14">
        <v>6.6307058E7</v>
      </c>
      <c r="M106" s="9"/>
      <c r="N106" s="9"/>
      <c r="O106" s="9"/>
      <c r="P106" s="9"/>
      <c r="Q106" s="6">
        <v>1.0</v>
      </c>
      <c r="R106" s="23">
        <v>45938.0</v>
      </c>
      <c r="S106" s="50">
        <v>45944.0</v>
      </c>
      <c r="T106" s="23">
        <v>45939.0</v>
      </c>
      <c r="U106" s="9"/>
      <c r="V106" s="6" t="s">
        <v>103</v>
      </c>
      <c r="W106" s="6">
        <v>3.13250017124E11</v>
      </c>
      <c r="X106" s="6" t="s">
        <v>45</v>
      </c>
      <c r="Y106" s="6" t="s">
        <v>46</v>
      </c>
      <c r="Z106" s="6">
        <v>3.040317799E9</v>
      </c>
      <c r="AA106" s="6" t="s">
        <v>60</v>
      </c>
      <c r="AB106" s="6" t="s">
        <v>194</v>
      </c>
      <c r="AC106" s="6" t="s">
        <v>616</v>
      </c>
      <c r="AD106" s="9"/>
      <c r="AE106" s="9"/>
      <c r="AF106" s="9"/>
      <c r="AG106" s="9"/>
    </row>
    <row r="107" hidden="1">
      <c r="A107" s="21">
        <f>COUNTIF('Histórico'!$B:$B,B107)</f>
        <v>1</v>
      </c>
      <c r="B107" s="21" t="s">
        <v>617</v>
      </c>
      <c r="C107" s="9"/>
      <c r="D107" s="6" t="s">
        <v>39</v>
      </c>
      <c r="E107" s="6" t="s">
        <v>40</v>
      </c>
      <c r="F107" s="23">
        <v>45939.0</v>
      </c>
      <c r="G107" s="6" t="s">
        <v>41</v>
      </c>
      <c r="H107" s="23">
        <v>45939.0</v>
      </c>
      <c r="I107" s="6" t="s">
        <v>537</v>
      </c>
      <c r="J107" s="6" t="s">
        <v>275</v>
      </c>
      <c r="K107" s="6" t="s">
        <v>541</v>
      </c>
      <c r="L107" s="14">
        <v>6.6307562E7</v>
      </c>
      <c r="M107" s="9"/>
      <c r="N107" s="9"/>
      <c r="O107" s="9"/>
      <c r="P107" s="9"/>
      <c r="Q107" s="6">
        <v>1.0</v>
      </c>
      <c r="R107" s="23">
        <v>45938.0</v>
      </c>
      <c r="S107" s="50">
        <v>45944.0</v>
      </c>
      <c r="T107" s="23">
        <v>45939.0</v>
      </c>
      <c r="U107" s="9"/>
      <c r="V107" s="6" t="s">
        <v>44</v>
      </c>
      <c r="W107" s="21"/>
      <c r="X107" s="6" t="s">
        <v>45</v>
      </c>
      <c r="Y107" s="6" t="s">
        <v>46</v>
      </c>
      <c r="Z107" s="6">
        <v>3.040295895E9</v>
      </c>
      <c r="AA107" s="6" t="s">
        <v>465</v>
      </c>
      <c r="AB107" s="6" t="s">
        <v>466</v>
      </c>
      <c r="AC107" s="6" t="s">
        <v>308</v>
      </c>
      <c r="AD107" s="9"/>
      <c r="AE107" s="9"/>
      <c r="AF107" s="9"/>
      <c r="AG107" s="9"/>
    </row>
    <row r="108" hidden="1">
      <c r="A108" s="21">
        <f>COUNTIF('Histórico'!$B:$B,B108)</f>
        <v>1</v>
      </c>
      <c r="B108" s="21" t="s">
        <v>620</v>
      </c>
      <c r="C108" s="9"/>
      <c r="D108" s="6" t="s">
        <v>39</v>
      </c>
      <c r="E108" s="6" t="s">
        <v>40</v>
      </c>
      <c r="F108" s="23">
        <v>45939.0</v>
      </c>
      <c r="G108" s="6" t="s">
        <v>41</v>
      </c>
      <c r="H108" s="23">
        <v>45939.0</v>
      </c>
      <c r="I108" s="6" t="s">
        <v>537</v>
      </c>
      <c r="J108" s="6" t="s">
        <v>275</v>
      </c>
      <c r="K108" s="6" t="s">
        <v>541</v>
      </c>
      <c r="L108" s="14">
        <v>6.6306759E7</v>
      </c>
      <c r="M108" s="9"/>
      <c r="N108" s="9"/>
      <c r="O108" s="9"/>
      <c r="P108" s="9"/>
      <c r="Q108" s="6">
        <v>1.0</v>
      </c>
      <c r="R108" s="23">
        <v>45938.0</v>
      </c>
      <c r="S108" s="50">
        <v>45944.0</v>
      </c>
      <c r="T108" s="23">
        <v>45939.0</v>
      </c>
      <c r="U108" s="9"/>
      <c r="V108" s="6" t="s">
        <v>44</v>
      </c>
      <c r="W108" s="6"/>
      <c r="X108" s="6" t="s">
        <v>45</v>
      </c>
      <c r="Y108" s="6" t="s">
        <v>46</v>
      </c>
      <c r="Z108" s="6">
        <v>3.040303444E9</v>
      </c>
      <c r="AA108" s="6" t="s">
        <v>143</v>
      </c>
      <c r="AB108" s="6" t="s">
        <v>144</v>
      </c>
      <c r="AC108" s="6" t="s">
        <v>621</v>
      </c>
      <c r="AD108" s="9"/>
      <c r="AE108" s="9"/>
      <c r="AF108" s="9"/>
      <c r="AG108" s="9"/>
    </row>
    <row r="109" hidden="1">
      <c r="A109" s="21">
        <f>COUNTIF('Histórico'!$B:$B,B109)</f>
        <v>1</v>
      </c>
      <c r="B109" s="21" t="s">
        <v>624</v>
      </c>
      <c r="C109" s="9"/>
      <c r="D109" s="6" t="s">
        <v>39</v>
      </c>
      <c r="E109" s="6" t="s">
        <v>40</v>
      </c>
      <c r="F109" s="50">
        <v>45946.0</v>
      </c>
      <c r="G109" s="6" t="s">
        <v>41</v>
      </c>
      <c r="H109" s="50">
        <v>45946.0</v>
      </c>
      <c r="I109" s="6" t="s">
        <v>618</v>
      </c>
      <c r="J109" s="6">
        <v>22373.0</v>
      </c>
      <c r="K109" s="6" t="s">
        <v>625</v>
      </c>
      <c r="L109" s="14">
        <v>21107.0</v>
      </c>
      <c r="M109" s="9"/>
      <c r="N109" s="9"/>
      <c r="O109" s="9"/>
      <c r="P109" s="9"/>
      <c r="Q109" s="6">
        <v>1.0</v>
      </c>
      <c r="R109" s="50">
        <v>45946.0</v>
      </c>
      <c r="S109" s="50">
        <v>45952.0</v>
      </c>
      <c r="T109" s="50">
        <v>45946.0</v>
      </c>
      <c r="U109" s="9"/>
      <c r="V109" s="6" t="s">
        <v>44</v>
      </c>
      <c r="W109" s="21"/>
      <c r="X109" s="6" t="s">
        <v>45</v>
      </c>
      <c r="Y109" s="6" t="s">
        <v>46</v>
      </c>
      <c r="Z109" s="6">
        <v>3.040312898E9</v>
      </c>
      <c r="AA109" s="6" t="s">
        <v>45</v>
      </c>
      <c r="AB109" s="6" t="s">
        <v>46</v>
      </c>
      <c r="AC109" s="6" t="s">
        <v>324</v>
      </c>
      <c r="AD109" s="9"/>
      <c r="AE109" s="9"/>
      <c r="AF109" s="9"/>
      <c r="AG109" s="9"/>
    </row>
    <row r="110" hidden="1">
      <c r="A110" s="21">
        <f>COUNTIF('Histórico'!$B:$B,B110)</f>
        <v>1</v>
      </c>
      <c r="B110" s="21" t="s">
        <v>629</v>
      </c>
      <c r="C110" s="9"/>
      <c r="D110" s="6" t="s">
        <v>39</v>
      </c>
      <c r="E110" s="6" t="s">
        <v>40</v>
      </c>
      <c r="F110" s="23">
        <v>45965.0</v>
      </c>
      <c r="G110" s="6" t="s">
        <v>41</v>
      </c>
      <c r="H110" s="23">
        <v>45965.0</v>
      </c>
      <c r="I110" s="6" t="s">
        <v>42</v>
      </c>
      <c r="J110" s="6" t="s">
        <v>630</v>
      </c>
      <c r="K110" s="6" t="s">
        <v>631</v>
      </c>
      <c r="L110" s="14">
        <v>1608.0</v>
      </c>
      <c r="M110" s="9"/>
      <c r="N110" s="9"/>
      <c r="O110" s="9"/>
      <c r="P110" s="9"/>
      <c r="Q110" s="6">
        <v>1.0</v>
      </c>
      <c r="R110" s="23">
        <v>45965.0</v>
      </c>
      <c r="S110" s="50">
        <v>45971.0</v>
      </c>
      <c r="T110" s="23">
        <v>45965.0</v>
      </c>
      <c r="U110" s="9"/>
      <c r="V110" s="6" t="s">
        <v>44</v>
      </c>
      <c r="W110" s="9"/>
      <c r="X110" s="6" t="s">
        <v>45</v>
      </c>
      <c r="Y110" s="6" t="s">
        <v>46</v>
      </c>
      <c r="Z110" s="6">
        <v>3.04029076E9</v>
      </c>
      <c r="AA110" s="6" t="s">
        <v>64</v>
      </c>
      <c r="AB110" s="6" t="s">
        <v>94</v>
      </c>
      <c r="AC110" s="6" t="s">
        <v>492</v>
      </c>
      <c r="AD110" s="9"/>
      <c r="AE110" s="9"/>
      <c r="AF110" s="9"/>
      <c r="AG110" s="9"/>
    </row>
    <row r="111" hidden="1">
      <c r="A111" s="21">
        <f>COUNTIF('Histórico'!$B:$B,B111)</f>
        <v>1</v>
      </c>
      <c r="B111" s="21" t="s">
        <v>632</v>
      </c>
      <c r="C111" s="9"/>
      <c r="D111" s="6" t="s">
        <v>39</v>
      </c>
      <c r="E111" s="6" t="s">
        <v>40</v>
      </c>
      <c r="F111" s="23">
        <v>45965.0</v>
      </c>
      <c r="G111" s="6" t="s">
        <v>41</v>
      </c>
      <c r="H111" s="23">
        <v>45965.0</v>
      </c>
      <c r="I111" s="6" t="s">
        <v>42</v>
      </c>
      <c r="J111" s="6" t="s">
        <v>630</v>
      </c>
      <c r="K111" s="6" t="s">
        <v>631</v>
      </c>
      <c r="L111" s="14">
        <v>1318.0</v>
      </c>
      <c r="M111" s="9"/>
      <c r="N111" s="9"/>
      <c r="O111" s="9"/>
      <c r="P111" s="9"/>
      <c r="Q111" s="6">
        <v>1.0</v>
      </c>
      <c r="R111" s="23">
        <v>45965.0</v>
      </c>
      <c r="S111" s="50">
        <v>45971.0</v>
      </c>
      <c r="T111" s="23">
        <v>45965.0</v>
      </c>
      <c r="U111" s="9"/>
      <c r="V111" s="6" t="s">
        <v>44</v>
      </c>
      <c r="W111" s="9"/>
      <c r="X111" s="6" t="s">
        <v>45</v>
      </c>
      <c r="Y111" s="6" t="s">
        <v>46</v>
      </c>
      <c r="Z111" s="6">
        <v>3.040311489E9</v>
      </c>
      <c r="AA111" s="6" t="s">
        <v>60</v>
      </c>
      <c r="AB111" s="6" t="s">
        <v>194</v>
      </c>
      <c r="AC111" s="6" t="s">
        <v>635</v>
      </c>
      <c r="AD111" s="9"/>
      <c r="AE111" s="9"/>
      <c r="AF111" s="9"/>
      <c r="AG111" s="9"/>
    </row>
    <row r="112" hidden="1">
      <c r="A112" s="21">
        <f>COUNTIF('Histórico'!$B:$B,B112)</f>
        <v>1</v>
      </c>
      <c r="B112" s="21" t="s">
        <v>636</v>
      </c>
      <c r="C112" s="9"/>
      <c r="D112" s="6" t="s">
        <v>39</v>
      </c>
      <c r="E112" s="6" t="s">
        <v>40</v>
      </c>
      <c r="F112" s="23">
        <v>45967.0</v>
      </c>
      <c r="G112" s="6" t="s">
        <v>41</v>
      </c>
      <c r="H112" s="23">
        <v>45967.0</v>
      </c>
      <c r="I112" s="6" t="s">
        <v>337</v>
      </c>
      <c r="J112" s="6">
        <v>22373.0</v>
      </c>
      <c r="K112" s="6" t="s">
        <v>338</v>
      </c>
      <c r="L112" s="14">
        <v>17869.0</v>
      </c>
      <c r="M112" s="9"/>
      <c r="N112" s="9"/>
      <c r="O112" s="9"/>
      <c r="P112" s="9"/>
      <c r="Q112" s="6">
        <v>1.0</v>
      </c>
      <c r="R112" s="23">
        <v>45967.0</v>
      </c>
      <c r="S112" s="50">
        <v>45973.0</v>
      </c>
      <c r="T112" s="23">
        <v>45967.0</v>
      </c>
      <c r="U112" s="9"/>
      <c r="V112" s="6" t="s">
        <v>44</v>
      </c>
      <c r="W112" s="21"/>
      <c r="X112" s="6" t="s">
        <v>45</v>
      </c>
      <c r="Y112" s="6" t="s">
        <v>46</v>
      </c>
      <c r="Z112" s="6">
        <v>3.040308555E9</v>
      </c>
      <c r="AA112" s="6" t="s">
        <v>75</v>
      </c>
      <c r="AB112" s="6" t="s">
        <v>152</v>
      </c>
      <c r="AC112" s="6" t="s">
        <v>153</v>
      </c>
      <c r="AD112" s="9"/>
      <c r="AE112" s="9"/>
      <c r="AF112" s="9"/>
      <c r="AG112" s="9"/>
    </row>
    <row r="113" hidden="1">
      <c r="A113" s="21">
        <f>COUNTIF('Histórico'!$B:$B,B113)</f>
        <v>1</v>
      </c>
      <c r="B113" s="21" t="s">
        <v>639</v>
      </c>
      <c r="C113" s="9"/>
      <c r="D113" s="6" t="s">
        <v>39</v>
      </c>
      <c r="E113" s="6" t="s">
        <v>40</v>
      </c>
      <c r="F113" s="23">
        <v>45968.0</v>
      </c>
      <c r="G113" s="6" t="s">
        <v>41</v>
      </c>
      <c r="H113" s="23">
        <v>45968.0</v>
      </c>
      <c r="I113" s="6" t="s">
        <v>642</v>
      </c>
      <c r="J113" s="6">
        <v>86887.0</v>
      </c>
      <c r="K113" s="6" t="s">
        <v>643</v>
      </c>
      <c r="L113" s="14" t="s">
        <v>644</v>
      </c>
      <c r="M113" s="9"/>
      <c r="N113" s="9"/>
      <c r="O113" s="9"/>
      <c r="P113" s="9"/>
      <c r="Q113" s="6">
        <v>1.0</v>
      </c>
      <c r="R113" s="23">
        <v>45965.0</v>
      </c>
      <c r="S113" s="50">
        <v>45971.0</v>
      </c>
      <c r="T113" s="23">
        <v>45968.0</v>
      </c>
      <c r="U113" s="9"/>
      <c r="V113" s="6" t="s">
        <v>44</v>
      </c>
      <c r="W113" s="21"/>
      <c r="X113" s="6" t="s">
        <v>45</v>
      </c>
      <c r="Y113" s="6" t="s">
        <v>46</v>
      </c>
      <c r="Z113" s="6">
        <v>3.040310543E9</v>
      </c>
      <c r="AA113" s="6" t="s">
        <v>45</v>
      </c>
      <c r="AB113" s="6" t="s">
        <v>46</v>
      </c>
      <c r="AC113" s="6" t="s">
        <v>80</v>
      </c>
      <c r="AD113" s="9"/>
      <c r="AE113" s="9"/>
      <c r="AF113" s="9"/>
      <c r="AG113" s="9"/>
    </row>
    <row r="114" hidden="1">
      <c r="A114" s="21">
        <f>COUNTIF('Histórico'!$B:$B,B114)</f>
        <v>1</v>
      </c>
      <c r="B114" s="21" t="s">
        <v>645</v>
      </c>
      <c r="C114" s="9"/>
      <c r="D114" s="6" t="s">
        <v>39</v>
      </c>
      <c r="E114" s="6" t="s">
        <v>40</v>
      </c>
      <c r="F114" s="23">
        <v>45968.0</v>
      </c>
      <c r="G114" s="6" t="s">
        <v>41</v>
      </c>
      <c r="H114" s="23">
        <v>45968.0</v>
      </c>
      <c r="I114" s="6" t="s">
        <v>335</v>
      </c>
      <c r="J114" s="6">
        <v>71513.0</v>
      </c>
      <c r="K114" s="6" t="s">
        <v>336</v>
      </c>
      <c r="L114" s="14">
        <v>7.0</v>
      </c>
      <c r="M114" s="9"/>
      <c r="N114" s="9"/>
      <c r="O114" s="9"/>
      <c r="P114" s="9"/>
      <c r="Q114" s="6">
        <v>1.0</v>
      </c>
      <c r="R114" s="23">
        <v>45965.0</v>
      </c>
      <c r="S114" s="50">
        <v>45971.0</v>
      </c>
      <c r="T114" s="23">
        <v>45968.0</v>
      </c>
      <c r="U114" s="9"/>
      <c r="V114" s="6" t="s">
        <v>44</v>
      </c>
      <c r="W114" s="9"/>
      <c r="X114" s="6" t="s">
        <v>45</v>
      </c>
      <c r="Y114" s="6" t="s">
        <v>46</v>
      </c>
      <c r="Z114" s="6">
        <v>3.040319447E9</v>
      </c>
      <c r="AA114" s="6" t="s">
        <v>64</v>
      </c>
      <c r="AB114" s="6" t="s">
        <v>588</v>
      </c>
      <c r="AC114" s="6" t="s">
        <v>589</v>
      </c>
      <c r="AD114" s="9"/>
      <c r="AE114" s="9"/>
      <c r="AF114" s="9"/>
      <c r="AG114" s="9"/>
    </row>
    <row r="115" hidden="1">
      <c r="A115" s="21">
        <f>COUNTIF('Histórico'!$B:$B,B115)</f>
        <v>1</v>
      </c>
      <c r="B115" s="21" t="s">
        <v>648</v>
      </c>
      <c r="C115" s="9"/>
      <c r="D115" s="6" t="s">
        <v>39</v>
      </c>
      <c r="E115" s="6" t="s">
        <v>40</v>
      </c>
      <c r="F115" s="50">
        <v>45971.0</v>
      </c>
      <c r="G115" s="6" t="s">
        <v>41</v>
      </c>
      <c r="H115" s="50">
        <v>45971.0</v>
      </c>
      <c r="I115" s="6" t="s">
        <v>649</v>
      </c>
      <c r="J115" s="6" t="s">
        <v>650</v>
      </c>
      <c r="K115" s="6" t="s">
        <v>651</v>
      </c>
      <c r="L115" s="14" t="s">
        <v>652</v>
      </c>
      <c r="M115" s="9"/>
      <c r="N115" s="9"/>
      <c r="O115" s="9"/>
      <c r="P115" s="9"/>
      <c r="Q115" s="6">
        <v>1.0</v>
      </c>
      <c r="R115" s="23">
        <v>45968.0</v>
      </c>
      <c r="S115" s="50">
        <v>45974.0</v>
      </c>
      <c r="T115" s="50">
        <v>45971.0</v>
      </c>
      <c r="U115" s="9"/>
      <c r="V115" s="6" t="s">
        <v>44</v>
      </c>
      <c r="W115" s="9"/>
      <c r="X115" s="6" t="s">
        <v>45</v>
      </c>
      <c r="Y115" s="6" t="s">
        <v>46</v>
      </c>
      <c r="Z115" s="6">
        <v>3.040302335E9</v>
      </c>
      <c r="AA115" s="6" t="s">
        <v>62</v>
      </c>
      <c r="AB115" s="6" t="s">
        <v>120</v>
      </c>
      <c r="AC115" s="6" t="s">
        <v>655</v>
      </c>
      <c r="AD115" s="9"/>
      <c r="AE115" s="9"/>
      <c r="AF115" s="9"/>
      <c r="AG115" s="9"/>
    </row>
    <row r="116" hidden="1">
      <c r="A116" s="21">
        <f>COUNTIF('Histórico'!$B:$B,B116)</f>
        <v>1</v>
      </c>
      <c r="B116" s="21" t="s">
        <v>656</v>
      </c>
      <c r="C116" s="9"/>
      <c r="D116" s="6" t="s">
        <v>39</v>
      </c>
      <c r="E116" s="6" t="s">
        <v>40</v>
      </c>
      <c r="F116" s="50">
        <v>45979.0</v>
      </c>
      <c r="G116" s="6" t="s">
        <v>41</v>
      </c>
      <c r="H116" s="50">
        <v>45979.0</v>
      </c>
      <c r="I116" s="6" t="s">
        <v>657</v>
      </c>
      <c r="J116" s="6">
        <v>99167.0</v>
      </c>
      <c r="K116" s="6" t="s">
        <v>443</v>
      </c>
      <c r="L116" s="14">
        <v>1439.0</v>
      </c>
      <c r="M116" s="9"/>
      <c r="N116" s="9"/>
      <c r="O116" s="9"/>
      <c r="P116" s="9"/>
      <c r="Q116" s="6">
        <v>1.0</v>
      </c>
      <c r="R116" s="50">
        <v>45978.0</v>
      </c>
      <c r="S116" s="23">
        <v>46128.0</v>
      </c>
      <c r="T116" s="50">
        <v>45979.0</v>
      </c>
      <c r="U116" s="9"/>
      <c r="V116" s="6" t="s">
        <v>44</v>
      </c>
      <c r="W116" s="21"/>
      <c r="X116" s="6" t="s">
        <v>45</v>
      </c>
      <c r="Y116" s="6" t="s">
        <v>46</v>
      </c>
      <c r="Z116" s="6">
        <v>3.040301307E9</v>
      </c>
      <c r="AA116" s="6" t="s">
        <v>304</v>
      </c>
      <c r="AB116" s="6" t="s">
        <v>480</v>
      </c>
      <c r="AC116" s="6" t="s">
        <v>481</v>
      </c>
      <c r="AD116" s="9"/>
      <c r="AE116" s="9"/>
      <c r="AF116" s="9"/>
      <c r="AG116" s="9"/>
    </row>
    <row r="117" hidden="1">
      <c r="A117" s="21">
        <f>COUNTIF('Histórico'!$B:$B,B117)</f>
        <v>1</v>
      </c>
      <c r="B117" s="21" t="s">
        <v>660</v>
      </c>
      <c r="C117" s="9"/>
      <c r="D117" s="6" t="s">
        <v>39</v>
      </c>
      <c r="E117" s="6" t="s">
        <v>40</v>
      </c>
      <c r="F117" s="50">
        <v>45986.0</v>
      </c>
      <c r="G117" s="6" t="s">
        <v>41</v>
      </c>
      <c r="H117" s="50">
        <v>45986.0</v>
      </c>
      <c r="I117" s="6" t="s">
        <v>402</v>
      </c>
      <c r="J117" s="6" t="s">
        <v>156</v>
      </c>
      <c r="K117" s="6" t="s">
        <v>403</v>
      </c>
      <c r="L117" s="14" t="s">
        <v>661</v>
      </c>
      <c r="M117" s="9"/>
      <c r="N117" s="9"/>
      <c r="O117" s="9"/>
      <c r="P117" s="9"/>
      <c r="Q117" s="6">
        <v>1.0</v>
      </c>
      <c r="R117" s="50">
        <v>45986.0</v>
      </c>
      <c r="S117" s="23">
        <v>45992.0</v>
      </c>
      <c r="T117" s="50">
        <v>45986.0</v>
      </c>
      <c r="U117" s="9"/>
      <c r="V117" s="6" t="s">
        <v>44</v>
      </c>
      <c r="W117" s="9"/>
      <c r="X117" s="6" t="s">
        <v>45</v>
      </c>
      <c r="Y117" s="6" t="s">
        <v>46</v>
      </c>
      <c r="Z117" s="6">
        <v>3.040285255E9</v>
      </c>
      <c r="AA117" s="6" t="s">
        <v>62</v>
      </c>
      <c r="AB117" s="6" t="s">
        <v>120</v>
      </c>
      <c r="AC117" s="6" t="s">
        <v>662</v>
      </c>
      <c r="AD117" s="9"/>
      <c r="AE117" s="9"/>
      <c r="AF117" s="9"/>
      <c r="AG117" s="9"/>
    </row>
    <row r="118" hidden="1">
      <c r="A118" s="21">
        <f>COUNTIF('Histórico'!$B:$B,B118)</f>
        <v>1</v>
      </c>
      <c r="B118" s="21" t="s">
        <v>665</v>
      </c>
      <c r="C118" s="9"/>
      <c r="D118" s="6" t="s">
        <v>39</v>
      </c>
      <c r="E118" s="6" t="s">
        <v>40</v>
      </c>
      <c r="F118" s="50">
        <v>45986.0</v>
      </c>
      <c r="G118" s="6" t="s">
        <v>41</v>
      </c>
      <c r="H118" s="50">
        <v>45986.0</v>
      </c>
      <c r="I118" s="6" t="s">
        <v>402</v>
      </c>
      <c r="J118" s="6" t="s">
        <v>156</v>
      </c>
      <c r="K118" s="6" t="s">
        <v>403</v>
      </c>
      <c r="L118" s="14" t="s">
        <v>666</v>
      </c>
      <c r="M118" s="9"/>
      <c r="N118" s="9"/>
      <c r="O118" s="9"/>
      <c r="P118" s="9"/>
      <c r="Q118" s="6">
        <v>1.0</v>
      </c>
      <c r="R118" s="50">
        <v>45986.0</v>
      </c>
      <c r="S118" s="23">
        <v>45992.0</v>
      </c>
      <c r="T118" s="50">
        <v>45986.0</v>
      </c>
      <c r="U118" s="9"/>
      <c r="V118" s="6" t="s">
        <v>44</v>
      </c>
      <c r="W118" s="9"/>
      <c r="X118" s="6" t="s">
        <v>45</v>
      </c>
      <c r="Y118" s="6" t="s">
        <v>46</v>
      </c>
      <c r="Z118" s="6">
        <v>3.040312875E9</v>
      </c>
      <c r="AA118" s="6" t="s">
        <v>45</v>
      </c>
      <c r="AB118" s="6" t="s">
        <v>46</v>
      </c>
      <c r="AC118" s="6" t="s">
        <v>324</v>
      </c>
      <c r="AD118" s="9"/>
      <c r="AE118" s="9"/>
      <c r="AF118" s="9"/>
      <c r="AG118" s="9"/>
    </row>
    <row r="119" hidden="1">
      <c r="A119" s="21">
        <f>COUNTIF('Histórico'!$B:$B,B119)</f>
        <v>1</v>
      </c>
      <c r="B119" s="21" t="s">
        <v>669</v>
      </c>
      <c r="C119" s="9"/>
      <c r="D119" s="6" t="s">
        <v>39</v>
      </c>
      <c r="E119" s="6" t="s">
        <v>40</v>
      </c>
      <c r="F119" s="50">
        <v>45986.0</v>
      </c>
      <c r="G119" s="6" t="s">
        <v>41</v>
      </c>
      <c r="H119" s="50">
        <v>45986.0</v>
      </c>
      <c r="I119" s="6" t="s">
        <v>402</v>
      </c>
      <c r="J119" s="6" t="s">
        <v>156</v>
      </c>
      <c r="K119" s="6" t="s">
        <v>403</v>
      </c>
      <c r="L119" s="14">
        <v>182.0</v>
      </c>
      <c r="M119" s="9"/>
      <c r="N119" s="9"/>
      <c r="O119" s="9"/>
      <c r="P119" s="9"/>
      <c r="Q119" s="6">
        <v>1.0</v>
      </c>
      <c r="R119" s="50">
        <v>45986.0</v>
      </c>
      <c r="S119" s="23">
        <v>45992.0</v>
      </c>
      <c r="T119" s="50">
        <v>45986.0</v>
      </c>
      <c r="U119" s="9"/>
      <c r="V119" s="6" t="s">
        <v>44</v>
      </c>
      <c r="W119" s="9"/>
      <c r="X119" s="6" t="s">
        <v>45</v>
      </c>
      <c r="Y119" s="6" t="s">
        <v>46</v>
      </c>
      <c r="Z119" s="6">
        <v>3.040278353E9</v>
      </c>
      <c r="AA119" s="6" t="s">
        <v>64</v>
      </c>
      <c r="AB119" s="6" t="s">
        <v>94</v>
      </c>
      <c r="AC119" s="6" t="s">
        <v>670</v>
      </c>
      <c r="AD119" s="9"/>
      <c r="AE119" s="9"/>
      <c r="AF119" s="9"/>
      <c r="AG119" s="9"/>
    </row>
    <row r="120" hidden="1">
      <c r="A120" s="21">
        <f>COUNTIF('Histórico'!$B:$B,B120)</f>
        <v>1</v>
      </c>
      <c r="B120" s="21" t="s">
        <v>672</v>
      </c>
      <c r="C120" s="9"/>
      <c r="D120" s="6" t="s">
        <v>39</v>
      </c>
      <c r="E120" s="6" t="s">
        <v>40</v>
      </c>
      <c r="F120" s="50">
        <v>45986.0</v>
      </c>
      <c r="G120" s="6" t="s">
        <v>41</v>
      </c>
      <c r="H120" s="50">
        <v>45986.0</v>
      </c>
      <c r="I120" s="6" t="s">
        <v>402</v>
      </c>
      <c r="J120" s="6" t="s">
        <v>156</v>
      </c>
      <c r="K120" s="6" t="s">
        <v>403</v>
      </c>
      <c r="L120" s="14" t="s">
        <v>674</v>
      </c>
      <c r="M120" s="9"/>
      <c r="N120" s="9"/>
      <c r="O120" s="9"/>
      <c r="P120" s="9"/>
      <c r="Q120" s="6">
        <v>1.0</v>
      </c>
      <c r="R120" s="50">
        <v>45986.0</v>
      </c>
      <c r="S120" s="23">
        <v>45992.0</v>
      </c>
      <c r="T120" s="50">
        <v>45986.0</v>
      </c>
      <c r="U120" s="9"/>
      <c r="V120" s="6" t="s">
        <v>44</v>
      </c>
      <c r="W120" s="9"/>
      <c r="X120" s="6" t="s">
        <v>45</v>
      </c>
      <c r="Y120" s="6" t="s">
        <v>46</v>
      </c>
      <c r="Z120" s="6">
        <v>3.040262758E9</v>
      </c>
      <c r="AA120" s="6" t="s">
        <v>262</v>
      </c>
      <c r="AB120" s="6" t="s">
        <v>263</v>
      </c>
      <c r="AC120" s="6" t="s">
        <v>675</v>
      </c>
      <c r="AD120" s="9"/>
      <c r="AE120" s="9"/>
      <c r="AF120" s="9"/>
      <c r="AG120" s="9"/>
    </row>
    <row r="121" hidden="1">
      <c r="A121" s="21">
        <f>COUNTIF('Histórico'!$B:$B,B121)</f>
        <v>1</v>
      </c>
      <c r="B121" s="21" t="s">
        <v>676</v>
      </c>
      <c r="C121" s="9"/>
      <c r="D121" s="6" t="s">
        <v>39</v>
      </c>
      <c r="E121" s="6" t="s">
        <v>40</v>
      </c>
      <c r="F121" s="50">
        <v>45986.0</v>
      </c>
      <c r="G121" s="6" t="s">
        <v>41</v>
      </c>
      <c r="H121" s="50">
        <v>45986.0</v>
      </c>
      <c r="I121" s="6" t="s">
        <v>678</v>
      </c>
      <c r="J121" s="6">
        <v>22373.0</v>
      </c>
      <c r="K121" s="6" t="s">
        <v>680</v>
      </c>
      <c r="L121" s="14">
        <v>39816.0</v>
      </c>
      <c r="M121" s="9"/>
      <c r="N121" s="9"/>
      <c r="O121" s="9"/>
      <c r="P121" s="9"/>
      <c r="Q121" s="6">
        <v>1.0</v>
      </c>
      <c r="R121" s="50">
        <v>45986.0</v>
      </c>
      <c r="S121" s="23">
        <v>45992.0</v>
      </c>
      <c r="T121" s="50">
        <v>45986.0</v>
      </c>
      <c r="U121" s="9"/>
      <c r="V121" s="6" t="s">
        <v>44</v>
      </c>
      <c r="W121" s="21"/>
      <c r="X121" s="6" t="s">
        <v>45</v>
      </c>
      <c r="Y121" s="6" t="s">
        <v>46</v>
      </c>
      <c r="Z121" s="6">
        <v>3.04030424E9</v>
      </c>
      <c r="AA121" s="6" t="s">
        <v>45</v>
      </c>
      <c r="AB121" s="6" t="s">
        <v>203</v>
      </c>
      <c r="AC121" s="6" t="s">
        <v>681</v>
      </c>
      <c r="AD121" s="9"/>
      <c r="AE121" s="9"/>
      <c r="AF121" s="9"/>
      <c r="AG121" s="9"/>
    </row>
    <row r="122" hidden="1">
      <c r="A122" s="21">
        <f>COUNTIF('Histórico'!$B:$B,B122)</f>
        <v>1</v>
      </c>
      <c r="B122" s="21" t="s">
        <v>682</v>
      </c>
      <c r="C122" s="9"/>
      <c r="D122" s="6" t="s">
        <v>39</v>
      </c>
      <c r="E122" s="6" t="s">
        <v>40</v>
      </c>
      <c r="F122" s="50">
        <v>45986.0</v>
      </c>
      <c r="G122" s="6" t="s">
        <v>41</v>
      </c>
      <c r="H122" s="50">
        <v>45986.0</v>
      </c>
      <c r="I122" s="6" t="s">
        <v>678</v>
      </c>
      <c r="J122" s="6">
        <v>22373.0</v>
      </c>
      <c r="K122" s="6" t="s">
        <v>680</v>
      </c>
      <c r="L122" s="14">
        <v>37940.0</v>
      </c>
      <c r="M122" s="9"/>
      <c r="N122" s="9"/>
      <c r="O122" s="9"/>
      <c r="P122" s="9"/>
      <c r="Q122" s="6">
        <v>1.0</v>
      </c>
      <c r="R122" s="50">
        <v>45986.0</v>
      </c>
      <c r="S122" s="23">
        <v>45992.0</v>
      </c>
      <c r="T122" s="50">
        <v>45986.0</v>
      </c>
      <c r="U122" s="9"/>
      <c r="V122" s="6" t="s">
        <v>44</v>
      </c>
      <c r="W122" s="9"/>
      <c r="X122" s="6" t="s">
        <v>45</v>
      </c>
      <c r="Y122" s="6" t="s">
        <v>46</v>
      </c>
      <c r="Z122" s="6">
        <v>3.040316668E9</v>
      </c>
      <c r="AA122" s="6" t="s">
        <v>45</v>
      </c>
      <c r="AB122" s="6" t="s">
        <v>46</v>
      </c>
      <c r="AC122" s="6" t="s">
        <v>177</v>
      </c>
      <c r="AD122" s="9"/>
      <c r="AE122" s="9"/>
      <c r="AF122" s="9"/>
      <c r="AG122" s="9"/>
    </row>
    <row r="123" hidden="1">
      <c r="A123" s="21">
        <f>COUNTIF('Histórico'!$B:$B,B123)</f>
        <v>1</v>
      </c>
      <c r="B123" s="21" t="s">
        <v>683</v>
      </c>
      <c r="C123" s="9"/>
      <c r="D123" s="6" t="s">
        <v>39</v>
      </c>
      <c r="E123" s="6" t="s">
        <v>40</v>
      </c>
      <c r="F123" s="50">
        <v>45986.0</v>
      </c>
      <c r="G123" s="6" t="s">
        <v>41</v>
      </c>
      <c r="H123" s="50">
        <v>45986.0</v>
      </c>
      <c r="I123" s="6" t="s">
        <v>684</v>
      </c>
      <c r="J123" s="6">
        <v>22373.0</v>
      </c>
      <c r="K123" s="6" t="s">
        <v>685</v>
      </c>
      <c r="L123" s="14">
        <v>96293.0</v>
      </c>
      <c r="M123" s="9"/>
      <c r="N123" s="9"/>
      <c r="O123" s="9"/>
      <c r="P123" s="9"/>
      <c r="Q123" s="6">
        <v>1.0</v>
      </c>
      <c r="R123" s="50">
        <v>45986.0</v>
      </c>
      <c r="S123" s="23">
        <v>45992.0</v>
      </c>
      <c r="T123" s="50">
        <v>45986.0</v>
      </c>
      <c r="U123" s="9"/>
      <c r="V123" s="6" t="s">
        <v>44</v>
      </c>
      <c r="W123" s="9"/>
      <c r="X123" s="6" t="s">
        <v>45</v>
      </c>
      <c r="Y123" s="6" t="s">
        <v>46</v>
      </c>
      <c r="Z123" s="6">
        <v>3.040289327E9</v>
      </c>
      <c r="AA123" s="6" t="s">
        <v>64</v>
      </c>
      <c r="AB123" s="6" t="s">
        <v>94</v>
      </c>
      <c r="AC123" s="6" t="s">
        <v>688</v>
      </c>
      <c r="AD123" s="9"/>
      <c r="AE123" s="9"/>
      <c r="AF123" s="9"/>
      <c r="AG123" s="9"/>
    </row>
    <row r="124" hidden="1">
      <c r="A124" s="21">
        <f>COUNTIF('Histórico'!$B:$B,B124)</f>
        <v>1</v>
      </c>
      <c r="B124" s="21" t="s">
        <v>689</v>
      </c>
      <c r="C124" s="9"/>
      <c r="D124" s="6" t="s">
        <v>39</v>
      </c>
      <c r="E124" s="6" t="s">
        <v>40</v>
      </c>
      <c r="F124" s="50">
        <v>45986.0</v>
      </c>
      <c r="G124" s="6" t="s">
        <v>41</v>
      </c>
      <c r="H124" s="50">
        <v>45986.0</v>
      </c>
      <c r="I124" s="6" t="s">
        <v>684</v>
      </c>
      <c r="J124" s="6">
        <v>22373.0</v>
      </c>
      <c r="K124" s="6" t="s">
        <v>685</v>
      </c>
      <c r="L124" s="14">
        <v>89287.0</v>
      </c>
      <c r="M124" s="9"/>
      <c r="N124" s="9"/>
      <c r="O124" s="9"/>
      <c r="P124" s="9"/>
      <c r="Q124" s="6">
        <v>1.0</v>
      </c>
      <c r="R124" s="50">
        <v>45986.0</v>
      </c>
      <c r="S124" s="23">
        <v>45992.0</v>
      </c>
      <c r="T124" s="50">
        <v>45986.0</v>
      </c>
      <c r="U124" s="9"/>
      <c r="V124" s="6" t="s">
        <v>44</v>
      </c>
      <c r="W124" s="9"/>
      <c r="X124" s="6" t="s">
        <v>45</v>
      </c>
      <c r="Y124" s="6" t="s">
        <v>46</v>
      </c>
      <c r="Z124" s="6">
        <v>3.040288563E9</v>
      </c>
      <c r="AA124" s="6" t="s">
        <v>75</v>
      </c>
      <c r="AB124" s="6" t="s">
        <v>152</v>
      </c>
      <c r="AC124" s="6" t="s">
        <v>153</v>
      </c>
      <c r="AD124" s="9"/>
      <c r="AE124" s="9"/>
      <c r="AF124" s="9"/>
      <c r="AG124" s="9"/>
    </row>
    <row r="125" hidden="1">
      <c r="A125" s="21">
        <f>COUNTIF('Histórico'!$B:$B,B125)</f>
        <v>1</v>
      </c>
      <c r="B125" s="21" t="s">
        <v>693</v>
      </c>
      <c r="C125" s="9"/>
      <c r="D125" s="6" t="s">
        <v>39</v>
      </c>
      <c r="E125" s="6" t="s">
        <v>40</v>
      </c>
      <c r="F125" s="23">
        <v>46000.0</v>
      </c>
      <c r="G125" s="6" t="s">
        <v>41</v>
      </c>
      <c r="H125" s="23">
        <v>46000.0</v>
      </c>
      <c r="I125" s="6" t="s">
        <v>274</v>
      </c>
      <c r="J125" s="6" t="s">
        <v>275</v>
      </c>
      <c r="K125" s="6" t="s">
        <v>276</v>
      </c>
      <c r="L125" s="14">
        <v>8.6805429E7</v>
      </c>
      <c r="M125" s="9"/>
      <c r="N125" s="9"/>
      <c r="O125" s="9"/>
      <c r="P125" s="9"/>
      <c r="Q125" s="6">
        <v>1.0</v>
      </c>
      <c r="R125" s="23">
        <v>45996.0</v>
      </c>
      <c r="S125" s="50">
        <v>46002.0</v>
      </c>
      <c r="T125" s="23">
        <v>46000.0</v>
      </c>
      <c r="U125" s="9"/>
      <c r="V125" s="6" t="s">
        <v>44</v>
      </c>
      <c r="W125" s="21"/>
      <c r="X125" s="6" t="s">
        <v>45</v>
      </c>
      <c r="Y125" s="6" t="s">
        <v>46</v>
      </c>
      <c r="Z125" s="6">
        <v>3.040312886E9</v>
      </c>
      <c r="AA125" s="6" t="s">
        <v>45</v>
      </c>
      <c r="AB125" s="6" t="s">
        <v>46</v>
      </c>
      <c r="AC125" s="6" t="s">
        <v>324</v>
      </c>
      <c r="AD125" s="9"/>
      <c r="AE125" s="9"/>
      <c r="AF125" s="9"/>
      <c r="AG125" s="9"/>
    </row>
    <row r="126" hidden="1">
      <c r="A126" s="21">
        <f>COUNTIF('Histórico'!$B:$B,B126)</f>
        <v>1</v>
      </c>
      <c r="B126" s="21" t="s">
        <v>696</v>
      </c>
      <c r="C126" s="9"/>
      <c r="D126" s="6" t="s">
        <v>39</v>
      </c>
      <c r="E126" s="6" t="s">
        <v>40</v>
      </c>
      <c r="F126" s="23">
        <v>46000.0</v>
      </c>
      <c r="G126" s="6" t="s">
        <v>41</v>
      </c>
      <c r="H126" s="23">
        <v>46000.0</v>
      </c>
      <c r="I126" s="6" t="s">
        <v>697</v>
      </c>
      <c r="J126" s="6">
        <v>32108.0</v>
      </c>
      <c r="K126" s="6" t="s">
        <v>698</v>
      </c>
      <c r="L126" s="14" t="s">
        <v>699</v>
      </c>
      <c r="M126" s="9"/>
      <c r="N126" s="9"/>
      <c r="O126" s="9"/>
      <c r="P126" s="9"/>
      <c r="Q126" s="6">
        <v>1.0</v>
      </c>
      <c r="R126" s="23">
        <v>45996.0</v>
      </c>
      <c r="S126" s="50">
        <v>46002.0</v>
      </c>
      <c r="T126" s="23">
        <v>46000.0</v>
      </c>
      <c r="U126" s="9"/>
      <c r="V126" s="6" t="s">
        <v>44</v>
      </c>
      <c r="W126" s="21"/>
      <c r="X126" s="6" t="s">
        <v>45</v>
      </c>
      <c r="Y126" s="6" t="s">
        <v>46</v>
      </c>
      <c r="Z126" s="6">
        <v>3.040317039E9</v>
      </c>
      <c r="AA126" s="6" t="s">
        <v>45</v>
      </c>
      <c r="AB126" s="6" t="s">
        <v>46</v>
      </c>
      <c r="AC126" s="6" t="s">
        <v>177</v>
      </c>
      <c r="AD126" s="9"/>
      <c r="AE126" s="9"/>
      <c r="AF126" s="9"/>
      <c r="AG126" s="9"/>
    </row>
    <row r="127" hidden="1">
      <c r="A127" s="21">
        <f>COUNTIF('Histórico'!$B:$B,B127)</f>
        <v>1</v>
      </c>
      <c r="B127" s="21" t="s">
        <v>700</v>
      </c>
      <c r="C127" s="9"/>
      <c r="D127" s="6" t="s">
        <v>39</v>
      </c>
      <c r="E127" s="6" t="s">
        <v>40</v>
      </c>
      <c r="F127" s="50">
        <v>46007.0</v>
      </c>
      <c r="G127" s="6" t="s">
        <v>41</v>
      </c>
      <c r="H127" s="50">
        <v>46007.0</v>
      </c>
      <c r="I127" s="6" t="s">
        <v>702</v>
      </c>
      <c r="J127" s="6" t="s">
        <v>156</v>
      </c>
      <c r="K127" s="6" t="s">
        <v>703</v>
      </c>
      <c r="L127" s="14">
        <v>1.14111198E9</v>
      </c>
      <c r="M127" s="9"/>
      <c r="N127" s="9"/>
      <c r="O127" s="9"/>
      <c r="P127" s="9"/>
      <c r="Q127" s="6">
        <v>1.0</v>
      </c>
      <c r="R127" s="23">
        <v>46000.0</v>
      </c>
      <c r="S127" s="50">
        <v>46006.0</v>
      </c>
      <c r="T127" s="50">
        <v>46007.0</v>
      </c>
      <c r="U127" s="9"/>
      <c r="V127" s="6" t="s">
        <v>44</v>
      </c>
      <c r="W127" s="21"/>
      <c r="X127" s="6" t="s">
        <v>45</v>
      </c>
      <c r="Y127" s="6" t="s">
        <v>46</v>
      </c>
      <c r="Z127" s="6">
        <v>3.040310549E9</v>
      </c>
      <c r="AA127" s="6" t="s">
        <v>45</v>
      </c>
      <c r="AB127" s="6" t="s">
        <v>46</v>
      </c>
      <c r="AC127" s="6" t="s">
        <v>80</v>
      </c>
      <c r="AD127" s="9"/>
      <c r="AE127" s="9"/>
      <c r="AF127" s="9"/>
      <c r="AG127" s="9"/>
    </row>
    <row r="128" hidden="1">
      <c r="A128" s="21">
        <f>COUNTIF('Histórico'!$B:$B,B128)</f>
        <v>1</v>
      </c>
      <c r="B128" s="21" t="s">
        <v>705</v>
      </c>
      <c r="C128" s="9"/>
      <c r="D128" s="6" t="s">
        <v>39</v>
      </c>
      <c r="E128" s="6" t="s">
        <v>40</v>
      </c>
      <c r="F128" s="50">
        <v>46007.0</v>
      </c>
      <c r="G128" s="6" t="s">
        <v>41</v>
      </c>
      <c r="H128" s="50">
        <v>46007.0</v>
      </c>
      <c r="I128" s="6" t="s">
        <v>702</v>
      </c>
      <c r="J128" s="6" t="s">
        <v>156</v>
      </c>
      <c r="K128" s="6" t="s">
        <v>703</v>
      </c>
      <c r="L128" s="14">
        <v>1.381310971E9</v>
      </c>
      <c r="M128" s="9"/>
      <c r="N128" s="9"/>
      <c r="O128" s="9"/>
      <c r="P128" s="9"/>
      <c r="Q128" s="6">
        <v>1.0</v>
      </c>
      <c r="R128" s="23">
        <v>46000.0</v>
      </c>
      <c r="S128" s="50">
        <v>46006.0</v>
      </c>
      <c r="T128" s="50">
        <v>46007.0</v>
      </c>
      <c r="U128" s="9"/>
      <c r="V128" s="6" t="s">
        <v>44</v>
      </c>
      <c r="W128" s="21"/>
      <c r="X128" s="6" t="s">
        <v>45</v>
      </c>
      <c r="Y128" s="6" t="s">
        <v>46</v>
      </c>
      <c r="Z128" s="6">
        <v>3.040310548E9</v>
      </c>
      <c r="AA128" s="6" t="s">
        <v>45</v>
      </c>
      <c r="AB128" s="6" t="s">
        <v>46</v>
      </c>
      <c r="AC128" s="6" t="s">
        <v>80</v>
      </c>
      <c r="AD128" s="9"/>
      <c r="AE128" s="9"/>
      <c r="AF128" s="9"/>
      <c r="AG128" s="9"/>
    </row>
    <row r="129" hidden="1">
      <c r="A129" s="21">
        <f>COUNTIF('Histórico'!$B:$B,B129)</f>
        <v>1</v>
      </c>
      <c r="B129" s="21" t="s">
        <v>708</v>
      </c>
      <c r="C129" s="9"/>
      <c r="D129" s="6" t="s">
        <v>39</v>
      </c>
      <c r="E129" s="6" t="s">
        <v>40</v>
      </c>
      <c r="F129" s="50">
        <v>46007.0</v>
      </c>
      <c r="G129" s="6" t="s">
        <v>41</v>
      </c>
      <c r="H129" s="50">
        <v>46007.0</v>
      </c>
      <c r="I129" s="6" t="s">
        <v>564</v>
      </c>
      <c r="J129" s="6">
        <v>22373.0</v>
      </c>
      <c r="K129" s="6" t="s">
        <v>566</v>
      </c>
      <c r="L129" s="14" t="s">
        <v>709</v>
      </c>
      <c r="M129" s="9"/>
      <c r="N129" s="9"/>
      <c r="O129" s="9"/>
      <c r="P129" s="9"/>
      <c r="Q129" s="6">
        <v>1.0</v>
      </c>
      <c r="R129" s="23">
        <v>46000.0</v>
      </c>
      <c r="S129" s="50">
        <v>46006.0</v>
      </c>
      <c r="T129" s="50">
        <v>46007.0</v>
      </c>
      <c r="U129" s="9"/>
      <c r="V129" s="6" t="s">
        <v>44</v>
      </c>
      <c r="W129" s="21"/>
      <c r="X129" s="6" t="s">
        <v>45</v>
      </c>
      <c r="Y129" s="6" t="s">
        <v>46</v>
      </c>
      <c r="Z129" s="6">
        <v>3.040320858E9</v>
      </c>
      <c r="AA129" s="6" t="s">
        <v>64</v>
      </c>
      <c r="AB129" s="6" t="s">
        <v>399</v>
      </c>
      <c r="AC129" s="6" t="s">
        <v>710</v>
      </c>
      <c r="AD129" s="9"/>
      <c r="AE129" s="9"/>
      <c r="AF129" s="9"/>
      <c r="AG129" s="9"/>
    </row>
    <row r="130" hidden="1">
      <c r="A130" s="21">
        <f>COUNTIF('Histórico'!$B:$B,B130)</f>
        <v>1</v>
      </c>
      <c r="B130" s="21" t="s">
        <v>712</v>
      </c>
      <c r="C130" s="9"/>
      <c r="D130" s="6" t="s">
        <v>39</v>
      </c>
      <c r="E130" s="6" t="s">
        <v>40</v>
      </c>
      <c r="F130" s="50">
        <v>46010.0</v>
      </c>
      <c r="G130" s="6" t="s">
        <v>41</v>
      </c>
      <c r="H130" s="50">
        <v>46010.0</v>
      </c>
      <c r="I130" s="6" t="s">
        <v>164</v>
      </c>
      <c r="J130" s="6">
        <v>71653.0</v>
      </c>
      <c r="K130" s="6" t="s">
        <v>165</v>
      </c>
      <c r="L130" s="14" t="s">
        <v>713</v>
      </c>
      <c r="M130" s="9"/>
      <c r="N130" s="9"/>
      <c r="O130" s="9"/>
      <c r="P130" s="9"/>
      <c r="Q130" s="6">
        <v>1.0</v>
      </c>
      <c r="R130" s="50">
        <v>46010.0</v>
      </c>
      <c r="S130" s="23">
        <v>46029.0</v>
      </c>
      <c r="T130" s="50">
        <v>46010.0</v>
      </c>
      <c r="U130" s="9"/>
      <c r="V130" s="6" t="s">
        <v>44</v>
      </c>
      <c r="W130" s="9"/>
      <c r="X130" s="6" t="s">
        <v>45</v>
      </c>
      <c r="Y130" s="6" t="s">
        <v>46</v>
      </c>
      <c r="Z130" s="6">
        <v>3.040316656E9</v>
      </c>
      <c r="AA130" s="6" t="s">
        <v>45</v>
      </c>
      <c r="AB130" s="6" t="s">
        <v>46</v>
      </c>
      <c r="AC130" s="6" t="s">
        <v>324</v>
      </c>
      <c r="AD130" s="9"/>
      <c r="AE130" s="9"/>
      <c r="AF130" s="9"/>
      <c r="AG130" s="9"/>
    </row>
    <row r="131" hidden="1">
      <c r="A131" s="21">
        <f>COUNTIF('Histórico'!$B:$B,B131)</f>
        <v>1</v>
      </c>
      <c r="B131" s="21" t="s">
        <v>716</v>
      </c>
      <c r="C131" s="9"/>
      <c r="D131" s="6" t="s">
        <v>39</v>
      </c>
      <c r="E131" s="6" t="s">
        <v>40</v>
      </c>
      <c r="F131" s="50">
        <v>46010.0</v>
      </c>
      <c r="G131" s="6" t="s">
        <v>41</v>
      </c>
      <c r="H131" s="50">
        <v>46010.0</v>
      </c>
      <c r="I131" s="6" t="s">
        <v>717</v>
      </c>
      <c r="J131" s="6" t="s">
        <v>156</v>
      </c>
      <c r="K131" s="6" t="s">
        <v>101</v>
      </c>
      <c r="L131" s="14">
        <v>3201.0</v>
      </c>
      <c r="M131" s="9"/>
      <c r="N131" s="9"/>
      <c r="O131" s="9"/>
      <c r="P131" s="9"/>
      <c r="Q131" s="6">
        <v>1.0</v>
      </c>
      <c r="R131" s="50">
        <v>46010.0</v>
      </c>
      <c r="S131" s="23">
        <v>46029.0</v>
      </c>
      <c r="T131" s="50">
        <v>46010.0</v>
      </c>
      <c r="U131" s="9"/>
      <c r="V131" s="6" t="s">
        <v>44</v>
      </c>
      <c r="W131" s="21"/>
      <c r="X131" s="6" t="s">
        <v>45</v>
      </c>
      <c r="Y131" s="6" t="s">
        <v>46</v>
      </c>
      <c r="Z131" s="6">
        <v>3.040297631E9</v>
      </c>
      <c r="AA131" s="6" t="s">
        <v>64</v>
      </c>
      <c r="AB131" s="6" t="s">
        <v>94</v>
      </c>
      <c r="AC131" s="6" t="s">
        <v>95</v>
      </c>
      <c r="AD131" s="9"/>
      <c r="AE131" s="9"/>
      <c r="AF131" s="9"/>
      <c r="AG131" s="9"/>
    </row>
    <row r="132" hidden="1">
      <c r="A132" s="21">
        <f>COUNTIF('Histórico'!$B:$B,B132)</f>
        <v>1</v>
      </c>
      <c r="B132" s="21" t="s">
        <v>718</v>
      </c>
      <c r="C132" s="9"/>
      <c r="D132" s="6" t="s">
        <v>39</v>
      </c>
      <c r="E132" s="6" t="s">
        <v>40</v>
      </c>
      <c r="F132" s="50">
        <v>46010.0</v>
      </c>
      <c r="G132" s="6" t="s">
        <v>41</v>
      </c>
      <c r="H132" s="50">
        <v>46010.0</v>
      </c>
      <c r="I132" s="6" t="s">
        <v>721</v>
      </c>
      <c r="J132" s="6" t="s">
        <v>156</v>
      </c>
      <c r="K132" s="6" t="s">
        <v>722</v>
      </c>
      <c r="L132" s="14" t="s">
        <v>723</v>
      </c>
      <c r="M132" s="9"/>
      <c r="N132" s="9"/>
      <c r="O132" s="9"/>
      <c r="P132" s="9"/>
      <c r="Q132" s="6">
        <v>1.0</v>
      </c>
      <c r="R132" s="23">
        <v>45962.0</v>
      </c>
      <c r="S132" s="23">
        <v>46054.0</v>
      </c>
      <c r="T132" s="50">
        <v>46010.0</v>
      </c>
      <c r="U132" s="9"/>
      <c r="V132" s="6" t="s">
        <v>44</v>
      </c>
      <c r="W132" s="9"/>
      <c r="X132" s="6" t="s">
        <v>45</v>
      </c>
      <c r="Y132" s="6" t="s">
        <v>46</v>
      </c>
      <c r="Z132" s="6">
        <v>3.040309287E9</v>
      </c>
      <c r="AA132" s="6" t="s">
        <v>63</v>
      </c>
      <c r="AB132" s="6" t="s">
        <v>72</v>
      </c>
      <c r="AC132" s="6" t="s">
        <v>724</v>
      </c>
      <c r="AD132" s="9"/>
      <c r="AE132" s="9"/>
      <c r="AF132" s="9"/>
      <c r="AG132" s="9"/>
    </row>
    <row r="133" hidden="1">
      <c r="A133" s="21">
        <f>COUNTIF('Histórico'!$B:$B,B133)</f>
        <v>1</v>
      </c>
      <c r="B133" s="21" t="s">
        <v>725</v>
      </c>
      <c r="C133" s="9"/>
      <c r="D133" s="6" t="s">
        <v>39</v>
      </c>
      <c r="E133" s="6" t="s">
        <v>40</v>
      </c>
      <c r="F133" s="50">
        <v>46010.0</v>
      </c>
      <c r="G133" s="6" t="s">
        <v>41</v>
      </c>
      <c r="H133" s="50">
        <v>46010.0</v>
      </c>
      <c r="I133" s="6" t="s">
        <v>721</v>
      </c>
      <c r="J133" s="6" t="s">
        <v>156</v>
      </c>
      <c r="K133" s="6" t="s">
        <v>722</v>
      </c>
      <c r="L133" s="14" t="s">
        <v>727</v>
      </c>
      <c r="M133" s="9"/>
      <c r="N133" s="9"/>
      <c r="O133" s="9"/>
      <c r="P133" s="9"/>
      <c r="Q133" s="6">
        <v>1.0</v>
      </c>
      <c r="R133" s="50">
        <v>46010.0</v>
      </c>
      <c r="S133" s="23">
        <v>46029.0</v>
      </c>
      <c r="T133" s="50">
        <v>46010.0</v>
      </c>
      <c r="U133" s="9"/>
      <c r="V133" s="6" t="s">
        <v>44</v>
      </c>
      <c r="W133" s="9"/>
      <c r="X133" s="6" t="s">
        <v>45</v>
      </c>
      <c r="Y133" s="6" t="s">
        <v>46</v>
      </c>
      <c r="Z133" s="6">
        <v>3.040309457E9</v>
      </c>
      <c r="AA133" s="6" t="s">
        <v>63</v>
      </c>
      <c r="AB133" s="6" t="s">
        <v>72</v>
      </c>
      <c r="AC133" s="6" t="s">
        <v>355</v>
      </c>
      <c r="AD133" s="9"/>
      <c r="AE133" s="9"/>
      <c r="AF133" s="9"/>
      <c r="AG133" s="9"/>
    </row>
    <row r="134" hidden="1">
      <c r="A134" s="21">
        <f>COUNTIF('Histórico'!$B:$B,B134)</f>
        <v>1</v>
      </c>
      <c r="B134" s="21" t="s">
        <v>728</v>
      </c>
      <c r="C134" s="9"/>
      <c r="D134" s="6" t="s">
        <v>39</v>
      </c>
      <c r="E134" s="6" t="s">
        <v>40</v>
      </c>
      <c r="F134" s="23">
        <v>46028.0</v>
      </c>
      <c r="G134" s="6" t="s">
        <v>41</v>
      </c>
      <c r="H134" s="23">
        <v>46028.0</v>
      </c>
      <c r="I134" s="6" t="s">
        <v>231</v>
      </c>
      <c r="J134" s="6">
        <v>71513.0</v>
      </c>
      <c r="K134" s="6" t="s">
        <v>232</v>
      </c>
      <c r="L134" s="14">
        <v>795.0</v>
      </c>
      <c r="M134" s="9"/>
      <c r="N134" s="9"/>
      <c r="O134" s="9"/>
      <c r="P134" s="9"/>
      <c r="Q134" s="6">
        <v>1.0</v>
      </c>
      <c r="R134" s="50">
        <v>46014.0</v>
      </c>
      <c r="S134" s="23">
        <v>46030.0</v>
      </c>
      <c r="T134" s="23">
        <v>46028.0</v>
      </c>
      <c r="U134" s="9"/>
      <c r="V134" s="6" t="s">
        <v>44</v>
      </c>
      <c r="W134" s="6"/>
      <c r="X134" s="6" t="s">
        <v>45</v>
      </c>
      <c r="Y134" s="6" t="s">
        <v>46</v>
      </c>
      <c r="Z134" s="6">
        <v>3.040321817E9</v>
      </c>
      <c r="AA134" s="6" t="s">
        <v>62</v>
      </c>
      <c r="AB134" s="6" t="s">
        <v>328</v>
      </c>
      <c r="AC134" s="6" t="s">
        <v>731</v>
      </c>
      <c r="AD134" s="9"/>
      <c r="AE134" s="9"/>
      <c r="AF134" s="9"/>
      <c r="AG134" s="9"/>
    </row>
    <row r="135" hidden="1">
      <c r="A135" s="21">
        <f>COUNTIF('Histórico'!$B:$B,B135)</f>
        <v>1</v>
      </c>
      <c r="B135" s="21" t="s">
        <v>732</v>
      </c>
      <c r="C135" s="9"/>
      <c r="D135" s="6" t="s">
        <v>39</v>
      </c>
      <c r="E135" s="6" t="s">
        <v>40</v>
      </c>
      <c r="F135" s="23">
        <v>46028.0</v>
      </c>
      <c r="G135" s="6" t="s">
        <v>41</v>
      </c>
      <c r="H135" s="23">
        <v>46028.0</v>
      </c>
      <c r="I135" s="6" t="s">
        <v>231</v>
      </c>
      <c r="J135" s="6">
        <v>71513.0</v>
      </c>
      <c r="K135" s="6" t="s">
        <v>232</v>
      </c>
      <c r="L135" s="14">
        <v>784.0</v>
      </c>
      <c r="M135" s="9"/>
      <c r="N135" s="9"/>
      <c r="O135" s="9"/>
      <c r="P135" s="9"/>
      <c r="Q135" s="6">
        <v>1.0</v>
      </c>
      <c r="R135" s="50">
        <v>46014.0</v>
      </c>
      <c r="S135" s="23">
        <v>46030.0</v>
      </c>
      <c r="T135" s="23">
        <v>46028.0</v>
      </c>
      <c r="U135" s="9"/>
      <c r="V135" s="6" t="s">
        <v>44</v>
      </c>
      <c r="W135" s="21"/>
      <c r="X135" s="6" t="s">
        <v>45</v>
      </c>
      <c r="Y135" s="6" t="s">
        <v>46</v>
      </c>
      <c r="Z135" s="6">
        <v>3.040319446E9</v>
      </c>
      <c r="AA135" s="6" t="s">
        <v>64</v>
      </c>
      <c r="AB135" s="6" t="s">
        <v>588</v>
      </c>
      <c r="AC135" s="6" t="s">
        <v>589</v>
      </c>
      <c r="AD135" s="9"/>
      <c r="AE135" s="9"/>
      <c r="AF135" s="9"/>
      <c r="AG135" s="9"/>
    </row>
    <row r="136" hidden="1">
      <c r="A136" s="21">
        <f>COUNTIF('Histórico'!$B:$B,B136)</f>
        <v>1</v>
      </c>
      <c r="B136" s="21" t="s">
        <v>735</v>
      </c>
      <c r="C136" s="9"/>
      <c r="D136" s="6" t="s">
        <v>39</v>
      </c>
      <c r="E136" s="6" t="s">
        <v>40</v>
      </c>
      <c r="F136" s="23">
        <v>46028.0</v>
      </c>
      <c r="G136" s="6" t="s">
        <v>41</v>
      </c>
      <c r="H136" s="23">
        <v>46028.0</v>
      </c>
      <c r="I136" s="6" t="s">
        <v>231</v>
      </c>
      <c r="J136" s="6">
        <v>71513.0</v>
      </c>
      <c r="K136" s="6" t="s">
        <v>232</v>
      </c>
      <c r="L136" s="14" t="s">
        <v>736</v>
      </c>
      <c r="M136" s="9"/>
      <c r="N136" s="9"/>
      <c r="O136" s="9"/>
      <c r="P136" s="9"/>
      <c r="Q136" s="6">
        <v>1.0</v>
      </c>
      <c r="R136" s="50">
        <v>46014.0</v>
      </c>
      <c r="S136" s="23">
        <v>46030.0</v>
      </c>
      <c r="T136" s="23">
        <v>46028.0</v>
      </c>
      <c r="U136" s="9"/>
      <c r="V136" s="6" t="s">
        <v>44</v>
      </c>
      <c r="W136" s="9"/>
      <c r="X136" s="6" t="s">
        <v>45</v>
      </c>
      <c r="Y136" s="6" t="s">
        <v>46</v>
      </c>
      <c r="Z136" s="6">
        <v>3.040322672E9</v>
      </c>
      <c r="AA136" s="6" t="s">
        <v>70</v>
      </c>
      <c r="AB136" s="6" t="s">
        <v>152</v>
      </c>
      <c r="AC136" s="6" t="s">
        <v>737</v>
      </c>
      <c r="AD136" s="9"/>
      <c r="AE136" s="9"/>
      <c r="AF136" s="9"/>
      <c r="AG136" s="9"/>
    </row>
    <row r="137" hidden="1">
      <c r="A137" s="21">
        <f>COUNTIF('Histórico'!$B:$B,B137)</f>
        <v>1</v>
      </c>
      <c r="B137" s="21" t="s">
        <v>739</v>
      </c>
      <c r="C137" s="9"/>
      <c r="D137" s="6" t="s">
        <v>39</v>
      </c>
      <c r="E137" s="6" t="s">
        <v>40</v>
      </c>
      <c r="F137" s="23">
        <v>46028.0</v>
      </c>
      <c r="G137" s="6" t="s">
        <v>41</v>
      </c>
      <c r="H137" s="23">
        <v>46028.0</v>
      </c>
      <c r="I137" s="6" t="s">
        <v>226</v>
      </c>
      <c r="J137" s="6">
        <v>71513.0</v>
      </c>
      <c r="K137" s="6" t="s">
        <v>320</v>
      </c>
      <c r="L137" s="14">
        <v>482.0</v>
      </c>
      <c r="M137" s="9"/>
      <c r="N137" s="9"/>
      <c r="O137" s="9"/>
      <c r="P137" s="9"/>
      <c r="Q137" s="6">
        <v>1.0</v>
      </c>
      <c r="R137" s="50">
        <v>46014.0</v>
      </c>
      <c r="S137" s="23">
        <v>46030.0</v>
      </c>
      <c r="T137" s="23">
        <v>46028.0</v>
      </c>
      <c r="U137" s="9"/>
      <c r="V137" s="6" t="s">
        <v>44</v>
      </c>
      <c r="W137" s="9"/>
      <c r="X137" s="6" t="s">
        <v>45</v>
      </c>
      <c r="Y137" s="6" t="s">
        <v>46</v>
      </c>
      <c r="Z137" s="6">
        <v>3.040321965E9</v>
      </c>
      <c r="AA137" s="6" t="s">
        <v>45</v>
      </c>
      <c r="AB137" s="6" t="s">
        <v>46</v>
      </c>
      <c r="AC137" s="6" t="s">
        <v>177</v>
      </c>
      <c r="AD137" s="9"/>
      <c r="AE137" s="9"/>
      <c r="AF137" s="9"/>
      <c r="AG137" s="9"/>
    </row>
    <row r="138" hidden="1">
      <c r="A138" s="21">
        <f>COUNTIF('Histórico'!$B:$B,B138)</f>
        <v>1</v>
      </c>
      <c r="B138" s="21" t="s">
        <v>742</v>
      </c>
      <c r="C138" s="9"/>
      <c r="D138" s="6" t="s">
        <v>39</v>
      </c>
      <c r="E138" s="6" t="s">
        <v>40</v>
      </c>
      <c r="F138" s="23">
        <v>46028.0</v>
      </c>
      <c r="G138" s="6" t="s">
        <v>41</v>
      </c>
      <c r="H138" s="23">
        <v>46028.0</v>
      </c>
      <c r="I138" s="6" t="s">
        <v>218</v>
      </c>
      <c r="J138" s="6">
        <v>33269.0</v>
      </c>
      <c r="K138" s="6" t="s">
        <v>343</v>
      </c>
      <c r="L138" s="14" t="s">
        <v>743</v>
      </c>
      <c r="M138" s="9"/>
      <c r="N138" s="9"/>
      <c r="O138" s="9"/>
      <c r="P138" s="9"/>
      <c r="Q138" s="6">
        <v>1.0</v>
      </c>
      <c r="R138" s="50">
        <v>46014.0</v>
      </c>
      <c r="S138" s="23">
        <v>46030.0</v>
      </c>
      <c r="T138" s="23">
        <v>46028.0</v>
      </c>
      <c r="U138" s="9"/>
      <c r="V138" s="6" t="s">
        <v>103</v>
      </c>
      <c r="W138" s="6">
        <v>3.13250017139E11</v>
      </c>
      <c r="X138" s="6" t="s">
        <v>45</v>
      </c>
      <c r="Y138" s="6" t="s">
        <v>46</v>
      </c>
      <c r="Z138" s="6">
        <v>3.040319448E9</v>
      </c>
      <c r="AA138" s="6" t="s">
        <v>64</v>
      </c>
      <c r="AB138" s="6" t="s">
        <v>588</v>
      </c>
      <c r="AC138" s="6" t="s">
        <v>589</v>
      </c>
      <c r="AD138" s="9"/>
      <c r="AE138" s="9"/>
      <c r="AF138" s="9"/>
      <c r="AG138" s="9"/>
    </row>
    <row r="139" hidden="1">
      <c r="A139" s="21">
        <f>COUNTIF('Histórico'!$B:$B,B139)</f>
        <v>1</v>
      </c>
      <c r="B139" s="21" t="s">
        <v>745</v>
      </c>
      <c r="C139" s="9"/>
      <c r="D139" s="6" t="s">
        <v>39</v>
      </c>
      <c r="E139" s="6" t="s">
        <v>40</v>
      </c>
      <c r="F139" s="23">
        <v>46028.0</v>
      </c>
      <c r="G139" s="6" t="s">
        <v>41</v>
      </c>
      <c r="H139" s="23">
        <v>46028.0</v>
      </c>
      <c r="I139" s="6" t="s">
        <v>335</v>
      </c>
      <c r="J139" s="6">
        <v>71513.0</v>
      </c>
      <c r="K139" s="6" t="s">
        <v>336</v>
      </c>
      <c r="L139" s="14" t="s">
        <v>746</v>
      </c>
      <c r="M139" s="9"/>
      <c r="N139" s="9"/>
      <c r="O139" s="9"/>
      <c r="P139" s="9"/>
      <c r="Q139" s="6">
        <v>1.0</v>
      </c>
      <c r="R139" s="50">
        <v>46014.0</v>
      </c>
      <c r="S139" s="23">
        <v>46030.0</v>
      </c>
      <c r="T139" s="23">
        <v>46028.0</v>
      </c>
      <c r="U139" s="9"/>
      <c r="V139" s="6" t="s">
        <v>44</v>
      </c>
      <c r="W139" s="6"/>
      <c r="X139" s="6" t="s">
        <v>45</v>
      </c>
      <c r="Y139" s="6" t="s">
        <v>46</v>
      </c>
      <c r="Z139" s="6">
        <v>3.040322673E9</v>
      </c>
      <c r="AA139" s="6" t="s">
        <v>70</v>
      </c>
      <c r="AB139" s="6" t="s">
        <v>152</v>
      </c>
      <c r="AC139" s="6" t="s">
        <v>737</v>
      </c>
      <c r="AD139" s="9"/>
      <c r="AE139" s="9"/>
      <c r="AF139" s="9"/>
      <c r="AG139" s="9"/>
    </row>
    <row r="140" hidden="1">
      <c r="A140" s="21">
        <f>COUNTIF('Histórico'!$B:$B,B140)</f>
        <v>1</v>
      </c>
      <c r="B140" s="21" t="s">
        <v>747</v>
      </c>
      <c r="C140" s="9"/>
      <c r="D140" s="6" t="s">
        <v>39</v>
      </c>
      <c r="E140" s="6" t="s">
        <v>40</v>
      </c>
      <c r="F140" s="23">
        <v>46028.0</v>
      </c>
      <c r="G140" s="6" t="s">
        <v>41</v>
      </c>
      <c r="H140" s="23">
        <v>46028.0</v>
      </c>
      <c r="I140" s="6" t="s">
        <v>335</v>
      </c>
      <c r="J140" s="6">
        <v>71513.0</v>
      </c>
      <c r="K140" s="6" t="s">
        <v>336</v>
      </c>
      <c r="L140" s="14">
        <v>48.0</v>
      </c>
      <c r="M140" s="9"/>
      <c r="N140" s="9"/>
      <c r="O140" s="9"/>
      <c r="P140" s="9"/>
      <c r="Q140" s="6">
        <v>1.0</v>
      </c>
      <c r="R140" s="50">
        <v>46014.0</v>
      </c>
      <c r="S140" s="23">
        <v>46030.0</v>
      </c>
      <c r="T140" s="23">
        <v>46028.0</v>
      </c>
      <c r="U140" s="9"/>
      <c r="V140" s="6" t="s">
        <v>44</v>
      </c>
      <c r="W140" s="21"/>
      <c r="X140" s="6" t="s">
        <v>45</v>
      </c>
      <c r="Y140" s="6" t="s">
        <v>46</v>
      </c>
      <c r="Z140" s="6">
        <v>3.040321818E9</v>
      </c>
      <c r="AA140" s="6" t="s">
        <v>62</v>
      </c>
      <c r="AB140" s="6" t="s">
        <v>328</v>
      </c>
      <c r="AC140" s="6" t="s">
        <v>731</v>
      </c>
      <c r="AD140" s="9"/>
      <c r="AE140" s="9"/>
      <c r="AF140" s="9"/>
      <c r="AG140" s="9"/>
    </row>
    <row r="141" hidden="1">
      <c r="A141" s="21">
        <f>COUNTIF('Histórico'!$B:$B,B141)</f>
        <v>1</v>
      </c>
      <c r="B141" s="21" t="s">
        <v>750</v>
      </c>
      <c r="C141" s="9"/>
      <c r="D141" s="6" t="s">
        <v>39</v>
      </c>
      <c r="E141" s="6" t="s">
        <v>40</v>
      </c>
      <c r="F141" s="23">
        <v>46028.0</v>
      </c>
      <c r="G141" s="6" t="s">
        <v>41</v>
      </c>
      <c r="H141" s="23">
        <v>46028.0</v>
      </c>
      <c r="I141" s="6" t="s">
        <v>697</v>
      </c>
      <c r="J141" s="6">
        <v>32108.0</v>
      </c>
      <c r="K141" s="6" t="s">
        <v>698</v>
      </c>
      <c r="L141" s="14" t="s">
        <v>752</v>
      </c>
      <c r="M141" s="9"/>
      <c r="N141" s="9"/>
      <c r="O141" s="9"/>
      <c r="P141" s="9"/>
      <c r="Q141" s="6">
        <v>1.0</v>
      </c>
      <c r="R141" s="50">
        <v>46014.0</v>
      </c>
      <c r="S141" s="23">
        <v>46030.0</v>
      </c>
      <c r="T141" s="23">
        <v>46028.0</v>
      </c>
      <c r="U141" s="9"/>
      <c r="V141" s="6" t="s">
        <v>44</v>
      </c>
      <c r="W141" s="6"/>
      <c r="X141" s="6" t="s">
        <v>45</v>
      </c>
      <c r="Y141" s="6" t="s">
        <v>46</v>
      </c>
      <c r="Z141" s="6">
        <v>3.040317122E9</v>
      </c>
      <c r="AA141" s="6" t="s">
        <v>45</v>
      </c>
      <c r="AB141" s="6" t="s">
        <v>46</v>
      </c>
      <c r="AC141" s="6" t="s">
        <v>177</v>
      </c>
      <c r="AD141" s="9"/>
      <c r="AE141" s="9"/>
      <c r="AF141" s="9"/>
      <c r="AG141" s="9"/>
    </row>
    <row r="142" hidden="1">
      <c r="A142" s="21">
        <f>COUNTIF('Histórico'!$B:$B,B142)</f>
        <v>1</v>
      </c>
      <c r="B142" s="21" t="s">
        <v>755</v>
      </c>
      <c r="C142" s="9"/>
      <c r="D142" s="6" t="s">
        <v>39</v>
      </c>
      <c r="E142" s="6" t="s">
        <v>40</v>
      </c>
      <c r="F142" s="23">
        <v>46028.0</v>
      </c>
      <c r="G142" s="6" t="s">
        <v>41</v>
      </c>
      <c r="H142" s="23">
        <v>46028.0</v>
      </c>
      <c r="I142" s="6" t="s">
        <v>697</v>
      </c>
      <c r="J142" s="6">
        <v>32108.0</v>
      </c>
      <c r="K142" s="6" t="s">
        <v>698</v>
      </c>
      <c r="L142" s="14" t="s">
        <v>756</v>
      </c>
      <c r="M142" s="9"/>
      <c r="N142" s="9"/>
      <c r="O142" s="9"/>
      <c r="P142" s="9"/>
      <c r="Q142" s="6">
        <v>1.0</v>
      </c>
      <c r="R142" s="50">
        <v>46014.0</v>
      </c>
      <c r="S142" s="23">
        <v>46030.0</v>
      </c>
      <c r="T142" s="23">
        <v>46028.0</v>
      </c>
      <c r="U142" s="9"/>
      <c r="V142" s="6" t="s">
        <v>44</v>
      </c>
      <c r="W142" s="21"/>
      <c r="X142" s="6" t="s">
        <v>45</v>
      </c>
      <c r="Y142" s="6" t="s">
        <v>46</v>
      </c>
      <c r="Z142" s="6">
        <v>3.040317041E9</v>
      </c>
      <c r="AA142" s="6" t="s">
        <v>45</v>
      </c>
      <c r="AB142" s="6" t="s">
        <v>46</v>
      </c>
      <c r="AC142" s="6" t="s">
        <v>177</v>
      </c>
      <c r="AD142" s="9"/>
      <c r="AE142" s="9"/>
      <c r="AF142" s="9"/>
      <c r="AG142" s="9"/>
    </row>
    <row r="143" hidden="1">
      <c r="A143" s="21">
        <f>COUNTIF('Histórico'!$B:$B,B143)</f>
        <v>1</v>
      </c>
      <c r="B143" s="21" t="s">
        <v>759</v>
      </c>
      <c r="C143" s="9"/>
      <c r="D143" s="6" t="s">
        <v>39</v>
      </c>
      <c r="E143" s="6" t="s">
        <v>40</v>
      </c>
      <c r="F143" s="23">
        <v>46028.0</v>
      </c>
      <c r="G143" s="6" t="s">
        <v>41</v>
      </c>
      <c r="H143" s="23">
        <v>46028.0</v>
      </c>
      <c r="I143" s="6" t="s">
        <v>697</v>
      </c>
      <c r="J143" s="6">
        <v>32108.0</v>
      </c>
      <c r="K143" s="6" t="s">
        <v>698</v>
      </c>
      <c r="L143" s="14" t="s">
        <v>760</v>
      </c>
      <c r="M143" s="9"/>
      <c r="N143" s="9"/>
      <c r="O143" s="9"/>
      <c r="P143" s="9"/>
      <c r="Q143" s="6">
        <v>1.0</v>
      </c>
      <c r="R143" s="50">
        <v>46014.0</v>
      </c>
      <c r="S143" s="23">
        <v>46030.0</v>
      </c>
      <c r="T143" s="23">
        <v>46028.0</v>
      </c>
      <c r="U143" s="9"/>
      <c r="V143" s="6" t="s">
        <v>44</v>
      </c>
      <c r="W143" s="21"/>
      <c r="X143" s="6" t="s">
        <v>45</v>
      </c>
      <c r="Y143" s="6" t="s">
        <v>46</v>
      </c>
      <c r="Z143" s="6">
        <v>3.04031704E9</v>
      </c>
      <c r="AA143" s="6" t="s">
        <v>45</v>
      </c>
      <c r="AB143" s="6" t="s">
        <v>46</v>
      </c>
      <c r="AC143" s="6" t="s">
        <v>177</v>
      </c>
      <c r="AD143" s="9"/>
      <c r="AE143" s="9"/>
      <c r="AF143" s="9"/>
      <c r="AG143" s="9"/>
    </row>
    <row r="144" hidden="1">
      <c r="A144" s="21">
        <f>COUNTIF('Histórico'!$B:$B,B144)</f>
        <v>1</v>
      </c>
      <c r="B144" s="21" t="s">
        <v>763</v>
      </c>
      <c r="C144" s="9"/>
      <c r="D144" s="6" t="s">
        <v>39</v>
      </c>
      <c r="E144" s="6" t="s">
        <v>40</v>
      </c>
      <c r="F144" s="23">
        <v>46028.0</v>
      </c>
      <c r="G144" s="6" t="s">
        <v>41</v>
      </c>
      <c r="H144" s="23">
        <v>46028.0</v>
      </c>
      <c r="I144" s="6" t="s">
        <v>697</v>
      </c>
      <c r="J144" s="6">
        <v>32108.0</v>
      </c>
      <c r="K144" s="6" t="s">
        <v>698</v>
      </c>
      <c r="L144" s="14" t="s">
        <v>764</v>
      </c>
      <c r="M144" s="9"/>
      <c r="N144" s="9"/>
      <c r="O144" s="9"/>
      <c r="P144" s="9"/>
      <c r="Q144" s="6">
        <v>1.0</v>
      </c>
      <c r="R144" s="50">
        <v>46014.0</v>
      </c>
      <c r="S144" s="23">
        <v>46030.0</v>
      </c>
      <c r="T144" s="23">
        <v>46028.0</v>
      </c>
      <c r="U144" s="9"/>
      <c r="V144" s="6" t="s">
        <v>44</v>
      </c>
      <c r="W144" s="9"/>
      <c r="X144" s="6" t="s">
        <v>45</v>
      </c>
      <c r="Y144" s="6" t="s">
        <v>46</v>
      </c>
      <c r="Z144" s="6">
        <v>3.040317044E9</v>
      </c>
      <c r="AA144" s="6" t="s">
        <v>45</v>
      </c>
      <c r="AB144" s="6" t="s">
        <v>46</v>
      </c>
      <c r="AC144" s="6" t="s">
        <v>177</v>
      </c>
      <c r="AD144" s="9"/>
      <c r="AE144" s="9"/>
      <c r="AF144" s="9"/>
      <c r="AG144" s="9"/>
    </row>
    <row r="145" hidden="1">
      <c r="A145" s="21">
        <f>COUNTIF('Histórico'!$B:$B,B145)</f>
        <v>1</v>
      </c>
      <c r="B145" s="21" t="s">
        <v>765</v>
      </c>
      <c r="C145" s="9"/>
      <c r="D145" s="6" t="s">
        <v>39</v>
      </c>
      <c r="E145" s="6" t="s">
        <v>40</v>
      </c>
      <c r="F145" s="23">
        <v>46028.0</v>
      </c>
      <c r="G145" s="6" t="s">
        <v>41</v>
      </c>
      <c r="H145" s="23">
        <v>46028.0</v>
      </c>
      <c r="I145" s="6" t="s">
        <v>155</v>
      </c>
      <c r="J145" s="6" t="s">
        <v>156</v>
      </c>
      <c r="K145" s="6" t="s">
        <v>157</v>
      </c>
      <c r="L145" s="14">
        <v>1270.0</v>
      </c>
      <c r="M145" s="9"/>
      <c r="N145" s="9"/>
      <c r="O145" s="9"/>
      <c r="P145" s="9"/>
      <c r="Q145" s="6">
        <v>1.0</v>
      </c>
      <c r="R145" s="23">
        <v>46028.0</v>
      </c>
      <c r="S145" s="23">
        <v>46028.0</v>
      </c>
      <c r="T145" s="23">
        <v>46028.0</v>
      </c>
      <c r="U145" s="9"/>
      <c r="V145" s="6" t="s">
        <v>44</v>
      </c>
      <c r="W145" s="9"/>
      <c r="X145" s="6" t="s">
        <v>45</v>
      </c>
      <c r="Y145" s="6" t="s">
        <v>46</v>
      </c>
      <c r="Z145" s="6">
        <v>3.040292045E9</v>
      </c>
      <c r="AA145" s="6" t="s">
        <v>68</v>
      </c>
      <c r="AB145" s="6" t="s">
        <v>768</v>
      </c>
      <c r="AC145" s="6" t="s">
        <v>769</v>
      </c>
      <c r="AD145" s="9"/>
      <c r="AE145" s="9"/>
      <c r="AF145" s="9"/>
      <c r="AG145" s="9"/>
    </row>
    <row r="146" hidden="1">
      <c r="A146" s="21">
        <f>COUNTIF('Histórico'!$B:$B,B146)</f>
        <v>1</v>
      </c>
      <c r="B146" s="21" t="s">
        <v>770</v>
      </c>
      <c r="C146" s="9"/>
      <c r="D146" s="6" t="s">
        <v>39</v>
      </c>
      <c r="E146" s="6" t="s">
        <v>40</v>
      </c>
      <c r="F146" s="23">
        <v>46028.0</v>
      </c>
      <c r="G146" s="6" t="s">
        <v>41</v>
      </c>
      <c r="H146" s="23">
        <v>46028.0</v>
      </c>
      <c r="I146" s="6" t="s">
        <v>155</v>
      </c>
      <c r="J146" s="6" t="s">
        <v>156</v>
      </c>
      <c r="K146" s="6" t="s">
        <v>157</v>
      </c>
      <c r="L146" s="14">
        <v>2165.0</v>
      </c>
      <c r="M146" s="9"/>
      <c r="N146" s="9"/>
      <c r="O146" s="9"/>
      <c r="P146" s="9"/>
      <c r="Q146" s="6">
        <v>1.0</v>
      </c>
      <c r="R146" s="23">
        <v>46028.0</v>
      </c>
      <c r="S146" s="23">
        <v>46034.0</v>
      </c>
      <c r="T146" s="23">
        <v>46028.0</v>
      </c>
      <c r="U146" s="9"/>
      <c r="V146" s="6" t="s">
        <v>44</v>
      </c>
      <c r="W146" s="21"/>
      <c r="X146" s="6" t="s">
        <v>45</v>
      </c>
      <c r="Y146" s="6" t="s">
        <v>46</v>
      </c>
      <c r="Z146" s="6">
        <v>3.040098935E9</v>
      </c>
      <c r="AA146" s="6" t="s">
        <v>773</v>
      </c>
      <c r="AB146" s="6" t="s">
        <v>774</v>
      </c>
      <c r="AC146" s="6" t="s">
        <v>775</v>
      </c>
      <c r="AD146" s="9"/>
      <c r="AE146" s="9"/>
      <c r="AF146" s="9"/>
      <c r="AG146" s="9"/>
    </row>
    <row r="147" hidden="1">
      <c r="A147" s="21">
        <f>COUNTIF('Histórico'!$B:$B,B147)</f>
        <v>1</v>
      </c>
      <c r="B147" s="21" t="s">
        <v>776</v>
      </c>
      <c r="C147" s="9"/>
      <c r="D147" s="6" t="s">
        <v>39</v>
      </c>
      <c r="E147" s="6" t="s">
        <v>40</v>
      </c>
      <c r="F147" s="23">
        <v>46036.0</v>
      </c>
      <c r="G147" s="6" t="s">
        <v>41</v>
      </c>
      <c r="H147" s="23">
        <v>46036.0</v>
      </c>
      <c r="I147" s="6" t="s">
        <v>777</v>
      </c>
      <c r="J147" s="6">
        <v>7213.0</v>
      </c>
      <c r="K147" s="6" t="s">
        <v>778</v>
      </c>
      <c r="L147" s="14" t="s">
        <v>779</v>
      </c>
      <c r="M147" s="9"/>
      <c r="N147" s="9"/>
      <c r="O147" s="9"/>
      <c r="P147" s="9"/>
      <c r="Q147" s="6">
        <v>1.0</v>
      </c>
      <c r="R147" s="23">
        <v>46035.0</v>
      </c>
      <c r="S147" s="23">
        <v>46041.0</v>
      </c>
      <c r="T147" s="23">
        <v>46036.0</v>
      </c>
      <c r="U147" s="9"/>
      <c r="V147" s="6" t="s">
        <v>44</v>
      </c>
      <c r="W147" s="21"/>
      <c r="X147" s="6" t="s">
        <v>45</v>
      </c>
      <c r="Y147" s="6" t="s">
        <v>46</v>
      </c>
      <c r="Z147" s="6">
        <v>3.04032319E9</v>
      </c>
      <c r="AA147" s="6" t="s">
        <v>304</v>
      </c>
      <c r="AB147" s="6" t="s">
        <v>306</v>
      </c>
      <c r="AC147" s="6" t="s">
        <v>780</v>
      </c>
      <c r="AD147" s="9"/>
      <c r="AE147" s="9"/>
      <c r="AF147" s="9"/>
      <c r="AG147" s="9"/>
    </row>
    <row r="148" hidden="1">
      <c r="A148" s="21">
        <f>COUNTIF('Histórico'!$B:$B,B148)</f>
        <v>1</v>
      </c>
      <c r="B148" s="21" t="s">
        <v>783</v>
      </c>
      <c r="C148" s="9"/>
      <c r="D148" s="6" t="s">
        <v>39</v>
      </c>
      <c r="E148" s="6" t="s">
        <v>40</v>
      </c>
      <c r="F148" s="23">
        <v>46036.0</v>
      </c>
      <c r="G148" s="6" t="s">
        <v>41</v>
      </c>
      <c r="H148" s="23">
        <v>46036.0</v>
      </c>
      <c r="I148" s="6" t="s">
        <v>784</v>
      </c>
      <c r="J148" s="6">
        <v>7213.0</v>
      </c>
      <c r="K148" s="6" t="s">
        <v>577</v>
      </c>
      <c r="L148" s="14" t="s">
        <v>785</v>
      </c>
      <c r="M148" s="9"/>
      <c r="N148" s="9"/>
      <c r="O148" s="9"/>
      <c r="P148" s="9"/>
      <c r="Q148" s="6">
        <v>1.0</v>
      </c>
      <c r="R148" s="23">
        <v>46035.0</v>
      </c>
      <c r="S148" s="23">
        <v>46041.0</v>
      </c>
      <c r="T148" s="23">
        <v>46036.0</v>
      </c>
      <c r="U148" s="9"/>
      <c r="V148" s="6" t="s">
        <v>44</v>
      </c>
      <c r="W148" s="21"/>
      <c r="X148" s="6" t="s">
        <v>45</v>
      </c>
      <c r="Y148" s="6" t="s">
        <v>46</v>
      </c>
      <c r="Z148" s="6">
        <v>3.040323192E9</v>
      </c>
      <c r="AA148" s="6" t="s">
        <v>304</v>
      </c>
      <c r="AB148" s="6" t="s">
        <v>306</v>
      </c>
      <c r="AC148" s="6" t="s">
        <v>786</v>
      </c>
      <c r="AD148" s="9"/>
      <c r="AE148" s="9"/>
      <c r="AF148" s="9"/>
      <c r="AG148" s="9"/>
    </row>
    <row r="149" hidden="1">
      <c r="A149" s="21">
        <f>COUNTIF('Histórico'!$B:$B,B149)</f>
        <v>1</v>
      </c>
      <c r="B149" s="21" t="s">
        <v>787</v>
      </c>
      <c r="C149" s="9"/>
      <c r="D149" s="6" t="s">
        <v>39</v>
      </c>
      <c r="E149" s="6" t="s">
        <v>40</v>
      </c>
      <c r="F149" s="23">
        <v>46048.0</v>
      </c>
      <c r="G149" s="6" t="s">
        <v>41</v>
      </c>
      <c r="H149" s="23">
        <v>46048.0</v>
      </c>
      <c r="I149" s="6" t="s">
        <v>788</v>
      </c>
      <c r="J149" s="6">
        <v>22373.0</v>
      </c>
      <c r="K149" s="6" t="s">
        <v>789</v>
      </c>
      <c r="L149" s="14">
        <v>24277.0</v>
      </c>
      <c r="M149" s="9"/>
      <c r="N149" s="9"/>
      <c r="O149" s="9"/>
      <c r="P149" s="9"/>
      <c r="Q149" s="6">
        <v>1.0</v>
      </c>
      <c r="R149" s="23">
        <v>46048.0</v>
      </c>
      <c r="S149" s="23">
        <v>46052.0</v>
      </c>
      <c r="T149" s="23">
        <v>46048.0</v>
      </c>
      <c r="U149" s="9"/>
      <c r="V149" s="6" t="s">
        <v>44</v>
      </c>
      <c r="W149" s="21"/>
      <c r="X149" s="6" t="s">
        <v>45</v>
      </c>
      <c r="Y149" s="6" t="s">
        <v>46</v>
      </c>
      <c r="Z149" s="6">
        <v>3.040293522E9</v>
      </c>
      <c r="AA149" s="6" t="s">
        <v>76</v>
      </c>
      <c r="AB149" s="6" t="s">
        <v>152</v>
      </c>
      <c r="AC149" s="6" t="s">
        <v>790</v>
      </c>
      <c r="AD149" s="9"/>
      <c r="AE149" s="9"/>
      <c r="AF149" s="9"/>
      <c r="AG149" s="9"/>
    </row>
    <row r="150" hidden="1">
      <c r="A150" s="21">
        <f>COUNTIF('Histórico'!$B:$B,B150)</f>
        <v>1</v>
      </c>
      <c r="B150" s="21" t="s">
        <v>791</v>
      </c>
      <c r="C150" s="9"/>
      <c r="D150" s="6" t="s">
        <v>39</v>
      </c>
      <c r="E150" s="6" t="s">
        <v>40</v>
      </c>
      <c r="F150" s="23">
        <v>46048.0</v>
      </c>
      <c r="G150" s="6" t="s">
        <v>41</v>
      </c>
      <c r="H150" s="23">
        <v>46048.0</v>
      </c>
      <c r="I150" s="6" t="s">
        <v>788</v>
      </c>
      <c r="J150" s="6">
        <v>22373.0</v>
      </c>
      <c r="K150" s="6" t="s">
        <v>789</v>
      </c>
      <c r="L150" s="14">
        <v>22102.0</v>
      </c>
      <c r="M150" s="9"/>
      <c r="N150" s="9"/>
      <c r="O150" s="9"/>
      <c r="P150" s="9"/>
      <c r="Q150" s="6">
        <v>1.0</v>
      </c>
      <c r="R150" s="23">
        <v>46048.0</v>
      </c>
      <c r="S150" s="23">
        <v>46052.0</v>
      </c>
      <c r="T150" s="23">
        <v>46048.0</v>
      </c>
      <c r="U150" s="9"/>
      <c r="V150" s="6" t="s">
        <v>44</v>
      </c>
      <c r="W150" s="21"/>
      <c r="X150" s="6" t="s">
        <v>45</v>
      </c>
      <c r="Y150" s="6" t="s">
        <v>46</v>
      </c>
      <c r="Z150" s="6">
        <v>3.0403129E9</v>
      </c>
      <c r="AA150" s="6" t="s">
        <v>45</v>
      </c>
      <c r="AB150" s="6" t="s">
        <v>46</v>
      </c>
      <c r="AC150" s="6" t="s">
        <v>324</v>
      </c>
      <c r="AD150" s="9"/>
      <c r="AE150" s="9"/>
      <c r="AF150" s="9"/>
      <c r="AG150" s="9"/>
    </row>
    <row r="151" hidden="1">
      <c r="A151" s="21">
        <f>COUNTIF('Histórico'!$B:$B,B151)</f>
        <v>1</v>
      </c>
      <c r="B151" s="21" t="s">
        <v>793</v>
      </c>
      <c r="C151" s="9"/>
      <c r="D151" s="6" t="s">
        <v>39</v>
      </c>
      <c r="E151" s="6" t="s">
        <v>40</v>
      </c>
      <c r="F151" s="23">
        <v>46050.0</v>
      </c>
      <c r="G151" s="6" t="s">
        <v>41</v>
      </c>
      <c r="H151" s="23">
        <v>46050.0</v>
      </c>
      <c r="I151" s="6" t="s">
        <v>223</v>
      </c>
      <c r="J151" s="6">
        <v>33269.0</v>
      </c>
      <c r="K151" s="6" t="s">
        <v>224</v>
      </c>
      <c r="L151" s="14" t="s">
        <v>794</v>
      </c>
      <c r="M151" s="9"/>
      <c r="N151" s="9"/>
      <c r="O151" s="9"/>
      <c r="P151" s="9"/>
      <c r="Q151" s="6">
        <v>1.0</v>
      </c>
      <c r="R151" s="23">
        <v>45962.0</v>
      </c>
      <c r="S151" s="50">
        <v>45991.0</v>
      </c>
      <c r="T151" s="23">
        <v>46050.0</v>
      </c>
      <c r="U151" s="9"/>
      <c r="V151" s="6" t="s">
        <v>44</v>
      </c>
      <c r="W151" s="9"/>
      <c r="X151" s="6" t="s">
        <v>45</v>
      </c>
      <c r="Y151" s="6" t="s">
        <v>46</v>
      </c>
      <c r="Z151" s="6">
        <v>3.040322989E9</v>
      </c>
      <c r="AA151" s="6" t="s">
        <v>143</v>
      </c>
      <c r="AB151" s="6" t="s">
        <v>316</v>
      </c>
      <c r="AC151" s="6" t="s">
        <v>795</v>
      </c>
      <c r="AD151" s="9"/>
      <c r="AE151" s="9"/>
      <c r="AF151" s="9"/>
      <c r="AG151" s="9"/>
    </row>
    <row r="152" hidden="1">
      <c r="A152" s="21">
        <f>COUNTIF('Histórico'!$B:$B,B152)</f>
        <v>1</v>
      </c>
      <c r="B152" s="21" t="s">
        <v>797</v>
      </c>
      <c r="C152" s="9"/>
      <c r="D152" s="6" t="s">
        <v>39</v>
      </c>
      <c r="E152" s="6" t="s">
        <v>40</v>
      </c>
      <c r="F152" s="23">
        <v>46050.0</v>
      </c>
      <c r="G152" s="6" t="s">
        <v>41</v>
      </c>
      <c r="H152" s="23">
        <v>46050.0</v>
      </c>
      <c r="I152" s="6">
        <v>3034792.0</v>
      </c>
      <c r="J152" s="6">
        <v>198.0</v>
      </c>
      <c r="K152" s="6" t="s">
        <v>78</v>
      </c>
      <c r="L152" s="14">
        <v>2798.0</v>
      </c>
      <c r="M152" s="9"/>
      <c r="N152" s="9"/>
      <c r="O152" s="9"/>
      <c r="P152" s="9"/>
      <c r="Q152" s="6">
        <v>1.0</v>
      </c>
      <c r="R152" s="23">
        <v>46041.0</v>
      </c>
      <c r="S152" s="23">
        <v>46045.0</v>
      </c>
      <c r="T152" s="23">
        <v>46050.0</v>
      </c>
      <c r="U152" s="9"/>
      <c r="V152" s="6" t="s">
        <v>44</v>
      </c>
      <c r="W152" s="9"/>
      <c r="X152" s="6" t="s">
        <v>45</v>
      </c>
      <c r="Y152" s="6" t="s">
        <v>46</v>
      </c>
      <c r="Z152" s="6">
        <v>3.040288169E9</v>
      </c>
      <c r="AA152" s="6" t="s">
        <v>68</v>
      </c>
      <c r="AB152" s="6" t="s">
        <v>799</v>
      </c>
      <c r="AC152" s="6" t="s">
        <v>800</v>
      </c>
      <c r="AD152" s="9"/>
      <c r="AE152" s="9"/>
      <c r="AF152" s="9"/>
      <c r="AG152" s="9"/>
    </row>
    <row r="153" hidden="1">
      <c r="A153" s="21">
        <f>COUNTIF('Histórico'!$B:$B,B153)</f>
        <v>1</v>
      </c>
      <c r="B153" s="21" t="s">
        <v>801</v>
      </c>
      <c r="C153" s="9"/>
      <c r="D153" s="6" t="s">
        <v>39</v>
      </c>
      <c r="E153" s="6" t="s">
        <v>40</v>
      </c>
      <c r="F153" s="23">
        <v>46063.0</v>
      </c>
      <c r="G153" s="6" t="s">
        <v>41</v>
      </c>
      <c r="H153" s="23">
        <v>46063.0</v>
      </c>
      <c r="I153" s="6">
        <v>3034792.0</v>
      </c>
      <c r="J153" s="6">
        <v>198.0</v>
      </c>
      <c r="K153" s="6" t="s">
        <v>78</v>
      </c>
      <c r="L153" s="14">
        <v>3665.0</v>
      </c>
      <c r="M153" s="9"/>
      <c r="N153" s="9"/>
      <c r="O153" s="9"/>
      <c r="P153" s="9"/>
      <c r="Q153" s="6">
        <v>1.0</v>
      </c>
      <c r="R153" s="23">
        <v>46062.0</v>
      </c>
      <c r="S153" s="23">
        <v>46066.0</v>
      </c>
      <c r="T153" s="23">
        <v>46063.0</v>
      </c>
      <c r="U153" s="9"/>
      <c r="V153" s="6" t="s">
        <v>44</v>
      </c>
      <c r="W153" s="9"/>
      <c r="X153" s="6" t="s">
        <v>45</v>
      </c>
      <c r="Y153" s="6" t="s">
        <v>46</v>
      </c>
      <c r="Z153" s="6">
        <v>3.040317905E9</v>
      </c>
      <c r="AA153" s="6" t="s">
        <v>304</v>
      </c>
      <c r="AB153" s="6" t="s">
        <v>306</v>
      </c>
      <c r="AC153" s="6" t="s">
        <v>804</v>
      </c>
      <c r="AD153" s="9"/>
      <c r="AE153" s="9"/>
      <c r="AF153" s="9"/>
      <c r="AG153" s="9"/>
    </row>
    <row r="154" hidden="1">
      <c r="A154" s="21">
        <f>COUNTIF('Histórico'!$B:$B,B154)</f>
        <v>1</v>
      </c>
      <c r="B154" s="21" t="s">
        <v>805</v>
      </c>
      <c r="C154" s="9"/>
      <c r="D154" s="6" t="s">
        <v>39</v>
      </c>
      <c r="E154" s="6" t="s">
        <v>40</v>
      </c>
      <c r="F154" s="23">
        <v>46063.0</v>
      </c>
      <c r="G154" s="6" t="s">
        <v>41</v>
      </c>
      <c r="H154" s="23">
        <v>46063.0</v>
      </c>
      <c r="I154" s="6" t="s">
        <v>806</v>
      </c>
      <c r="J154" s="6" t="s">
        <v>156</v>
      </c>
      <c r="K154" s="6" t="s">
        <v>292</v>
      </c>
      <c r="L154" s="14" t="s">
        <v>807</v>
      </c>
      <c r="M154" s="9"/>
      <c r="N154" s="9"/>
      <c r="O154" s="9"/>
      <c r="P154" s="9"/>
      <c r="Q154" s="6">
        <v>1.0</v>
      </c>
      <c r="R154" s="23">
        <v>46059.0</v>
      </c>
      <c r="S154" s="23">
        <v>46065.0</v>
      </c>
      <c r="T154" s="23">
        <v>46063.0</v>
      </c>
      <c r="U154" s="9"/>
      <c r="V154" s="6" t="s">
        <v>44</v>
      </c>
      <c r="W154" s="9"/>
      <c r="X154" s="6" t="s">
        <v>45</v>
      </c>
      <c r="Y154" s="6" t="s">
        <v>46</v>
      </c>
      <c r="Z154" s="6">
        <v>3.040306479E9</v>
      </c>
      <c r="AA154" s="6" t="s">
        <v>60</v>
      </c>
      <c r="AB154" s="6" t="s">
        <v>189</v>
      </c>
      <c r="AC154" s="6" t="s">
        <v>810</v>
      </c>
      <c r="AD154" s="9"/>
      <c r="AE154" s="9"/>
      <c r="AF154" s="9"/>
      <c r="AG154" s="9"/>
    </row>
    <row r="155" hidden="1">
      <c r="A155" s="21">
        <f>COUNTIF('Histórico'!$B:$B,B155)</f>
        <v>1</v>
      </c>
      <c r="B155" s="21" t="s">
        <v>811</v>
      </c>
      <c r="C155" s="9"/>
      <c r="D155" s="6" t="s">
        <v>39</v>
      </c>
      <c r="E155" s="6" t="s">
        <v>40</v>
      </c>
      <c r="F155" s="23">
        <v>46063.0</v>
      </c>
      <c r="G155" s="6" t="s">
        <v>41</v>
      </c>
      <c r="H155" s="23">
        <v>46063.0</v>
      </c>
      <c r="I155" s="6" t="s">
        <v>812</v>
      </c>
      <c r="J155" s="6">
        <v>13068.0</v>
      </c>
      <c r="K155" s="6" t="s">
        <v>813</v>
      </c>
      <c r="L155" s="14">
        <v>1656.0</v>
      </c>
      <c r="M155" s="9"/>
      <c r="N155" s="9"/>
      <c r="O155" s="9"/>
      <c r="P155" s="9"/>
      <c r="Q155" s="6">
        <v>1.0</v>
      </c>
      <c r="R155" s="23">
        <v>46059.0</v>
      </c>
      <c r="S155" s="23">
        <v>46065.0</v>
      </c>
      <c r="T155" s="23">
        <v>46063.0</v>
      </c>
      <c r="U155" s="9"/>
      <c r="V155" s="6" t="s">
        <v>103</v>
      </c>
      <c r="W155" s="6">
        <v>3.96250015382E11</v>
      </c>
      <c r="X155" s="6" t="s">
        <v>45</v>
      </c>
      <c r="Y155" s="6" t="s">
        <v>46</v>
      </c>
      <c r="Z155" s="6">
        <v>3.040236465E9</v>
      </c>
      <c r="AA155" s="6" t="s">
        <v>389</v>
      </c>
      <c r="AB155" s="6" t="s">
        <v>390</v>
      </c>
      <c r="AC155" s="6" t="s">
        <v>814</v>
      </c>
      <c r="AD155" s="9"/>
      <c r="AE155" s="9"/>
      <c r="AF155" s="9"/>
      <c r="AG155" s="9"/>
    </row>
    <row r="156" hidden="1">
      <c r="A156" s="21">
        <f>COUNTIF('Histórico'!$B:$B,B156)</f>
        <v>1</v>
      </c>
      <c r="B156" s="21" t="s">
        <v>817</v>
      </c>
      <c r="C156" s="9"/>
      <c r="D156" s="6" t="s">
        <v>39</v>
      </c>
      <c r="E156" s="6" t="s">
        <v>40</v>
      </c>
      <c r="F156" s="23">
        <v>46063.0</v>
      </c>
      <c r="G156" s="6" t="s">
        <v>41</v>
      </c>
      <c r="H156" s="23">
        <v>46063.0</v>
      </c>
      <c r="I156" s="6" t="s">
        <v>818</v>
      </c>
      <c r="J156" s="6" t="s">
        <v>156</v>
      </c>
      <c r="K156" s="6" t="s">
        <v>819</v>
      </c>
      <c r="L156" s="14" t="s">
        <v>820</v>
      </c>
      <c r="M156" s="9"/>
      <c r="N156" s="9"/>
      <c r="O156" s="9"/>
      <c r="P156" s="9"/>
      <c r="Q156" s="6">
        <v>1.0</v>
      </c>
      <c r="R156" s="23">
        <v>46059.0</v>
      </c>
      <c r="S156" s="23">
        <v>46065.0</v>
      </c>
      <c r="T156" s="23">
        <v>46063.0</v>
      </c>
      <c r="U156" s="9"/>
      <c r="V156" s="6" t="s">
        <v>44</v>
      </c>
      <c r="W156" s="6"/>
      <c r="X156" s="6" t="s">
        <v>45</v>
      </c>
      <c r="Y156" s="6" t="s">
        <v>46</v>
      </c>
      <c r="Z156" s="6">
        <v>3.040319124E9</v>
      </c>
      <c r="AA156" s="6" t="s">
        <v>62</v>
      </c>
      <c r="AB156" s="6" t="s">
        <v>120</v>
      </c>
      <c r="AC156" s="6" t="s">
        <v>821</v>
      </c>
      <c r="AD156" s="9"/>
      <c r="AE156" s="9"/>
      <c r="AF156" s="9"/>
      <c r="AG156" s="9"/>
    </row>
    <row r="157" hidden="1">
      <c r="A157" s="21">
        <f>COUNTIF('Histórico'!$B:$B,B157)</f>
        <v>1</v>
      </c>
      <c r="B157" s="21" t="s">
        <v>822</v>
      </c>
      <c r="C157" s="9"/>
      <c r="D157" s="6" t="s">
        <v>39</v>
      </c>
      <c r="E157" s="6" t="s">
        <v>40</v>
      </c>
      <c r="F157" s="23">
        <v>46063.0</v>
      </c>
      <c r="G157" s="6" t="s">
        <v>41</v>
      </c>
      <c r="H157" s="23">
        <v>46063.0</v>
      </c>
      <c r="I157" s="6" t="s">
        <v>824</v>
      </c>
      <c r="J157" s="6" t="s">
        <v>275</v>
      </c>
      <c r="K157" s="6" t="s">
        <v>826</v>
      </c>
      <c r="L157" s="14">
        <v>4.6710866E7</v>
      </c>
      <c r="M157" s="9"/>
      <c r="N157" s="9"/>
      <c r="O157" s="9"/>
      <c r="P157" s="9"/>
      <c r="Q157" s="6">
        <v>1.0</v>
      </c>
      <c r="R157" s="23">
        <v>46059.0</v>
      </c>
      <c r="S157" s="23">
        <v>46065.0</v>
      </c>
      <c r="T157" s="23">
        <v>46063.0</v>
      </c>
      <c r="U157" s="9"/>
      <c r="V157" s="6" t="s">
        <v>44</v>
      </c>
      <c r="W157" s="21"/>
      <c r="X157" s="6" t="s">
        <v>45</v>
      </c>
      <c r="Y157" s="6" t="s">
        <v>46</v>
      </c>
      <c r="Z157" s="6">
        <v>3.0403033E9</v>
      </c>
      <c r="AA157" s="6" t="s">
        <v>68</v>
      </c>
      <c r="AB157" s="6" t="s">
        <v>827</v>
      </c>
      <c r="AC157" s="6" t="s">
        <v>828</v>
      </c>
      <c r="AD157" s="9"/>
      <c r="AE157" s="9"/>
      <c r="AF157" s="9"/>
      <c r="AG157" s="9"/>
    </row>
    <row r="158" hidden="1">
      <c r="A158" s="21">
        <f>COUNTIF('Histórico'!$B:$B,B158)</f>
        <v>1</v>
      </c>
      <c r="B158" s="21" t="s">
        <v>829</v>
      </c>
      <c r="C158" s="9"/>
      <c r="D158" s="6" t="s">
        <v>39</v>
      </c>
      <c r="E158" s="6" t="s">
        <v>40</v>
      </c>
      <c r="F158" s="23">
        <v>46063.0</v>
      </c>
      <c r="G158" s="6" t="s">
        <v>41</v>
      </c>
      <c r="H158" s="23">
        <v>46063.0</v>
      </c>
      <c r="I158" s="6" t="s">
        <v>788</v>
      </c>
      <c r="J158" s="6">
        <v>22373.0</v>
      </c>
      <c r="K158" s="6" t="s">
        <v>789</v>
      </c>
      <c r="L158" s="14">
        <v>2926.0</v>
      </c>
      <c r="M158" s="9"/>
      <c r="N158" s="9"/>
      <c r="O158" s="9"/>
      <c r="P158" s="9"/>
      <c r="Q158" s="6">
        <v>1.0</v>
      </c>
      <c r="R158" s="23">
        <v>46059.0</v>
      </c>
      <c r="S158" s="23">
        <v>46065.0</v>
      </c>
      <c r="T158" s="23">
        <v>46063.0</v>
      </c>
      <c r="U158" s="9"/>
      <c r="V158" s="6" t="s">
        <v>44</v>
      </c>
      <c r="W158" s="9"/>
      <c r="X158" s="6" t="s">
        <v>45</v>
      </c>
      <c r="Y158" s="6" t="s">
        <v>46</v>
      </c>
      <c r="Z158" s="6">
        <v>3.040317899E9</v>
      </c>
      <c r="AA158" s="6" t="s">
        <v>304</v>
      </c>
      <c r="AB158" s="6" t="s">
        <v>306</v>
      </c>
      <c r="AC158" s="6" t="s">
        <v>830</v>
      </c>
      <c r="AD158" s="9"/>
      <c r="AE158" s="9"/>
      <c r="AF158" s="9"/>
      <c r="AG158" s="9"/>
    </row>
    <row r="159" hidden="1">
      <c r="A159" s="21">
        <f>COUNTIF('Histórico'!$B:$B,B159)</f>
        <v>1</v>
      </c>
      <c r="B159" s="21" t="s">
        <v>831</v>
      </c>
      <c r="C159" s="9"/>
      <c r="D159" s="6" t="s">
        <v>39</v>
      </c>
      <c r="E159" s="6" t="s">
        <v>40</v>
      </c>
      <c r="F159" s="23">
        <v>46063.0</v>
      </c>
      <c r="G159" s="6" t="s">
        <v>41</v>
      </c>
      <c r="H159" s="23">
        <v>46063.0</v>
      </c>
      <c r="I159" s="6" t="s">
        <v>283</v>
      </c>
      <c r="J159" s="6">
        <v>22373.0</v>
      </c>
      <c r="K159" s="6" t="s">
        <v>284</v>
      </c>
      <c r="L159" s="14">
        <v>42966.0</v>
      </c>
      <c r="M159" s="9"/>
      <c r="N159" s="9"/>
      <c r="O159" s="9"/>
      <c r="P159" s="9"/>
      <c r="Q159" s="6">
        <v>1.0</v>
      </c>
      <c r="R159" s="23">
        <v>46059.0</v>
      </c>
      <c r="S159" s="23">
        <v>46065.0</v>
      </c>
      <c r="T159" s="23">
        <v>46063.0</v>
      </c>
      <c r="U159" s="9"/>
      <c r="V159" s="6" t="s">
        <v>44</v>
      </c>
      <c r="W159" s="21"/>
      <c r="X159" s="6" t="s">
        <v>45</v>
      </c>
      <c r="Y159" s="6" t="s">
        <v>46</v>
      </c>
      <c r="Z159" s="6">
        <v>3.040317878E9</v>
      </c>
      <c r="AA159" s="6" t="s">
        <v>304</v>
      </c>
      <c r="AB159" s="6" t="s">
        <v>306</v>
      </c>
      <c r="AC159" s="6" t="s">
        <v>832</v>
      </c>
      <c r="AD159" s="9"/>
      <c r="AE159" s="9"/>
      <c r="AF159" s="9"/>
      <c r="AG159" s="9"/>
    </row>
    <row r="160" hidden="1">
      <c r="A160" s="21">
        <f>COUNTIF('Histórico'!$B:$B,B160)</f>
        <v>1</v>
      </c>
      <c r="B160" s="21" t="s">
        <v>833</v>
      </c>
      <c r="C160" s="9"/>
      <c r="D160" s="6" t="s">
        <v>39</v>
      </c>
      <c r="E160" s="6" t="s">
        <v>40</v>
      </c>
      <c r="F160" s="23">
        <v>46063.0</v>
      </c>
      <c r="G160" s="6" t="s">
        <v>41</v>
      </c>
      <c r="H160" s="23">
        <v>46063.0</v>
      </c>
      <c r="I160" s="6" t="s">
        <v>362</v>
      </c>
      <c r="J160" s="6">
        <v>22373.0</v>
      </c>
      <c r="K160" s="6" t="s">
        <v>363</v>
      </c>
      <c r="L160" s="14" t="s">
        <v>834</v>
      </c>
      <c r="M160" s="9"/>
      <c r="N160" s="9"/>
      <c r="O160" s="9"/>
      <c r="P160" s="9"/>
      <c r="Q160" s="6">
        <v>1.0</v>
      </c>
      <c r="R160" s="23">
        <v>46059.0</v>
      </c>
      <c r="S160" s="23">
        <v>46065.0</v>
      </c>
      <c r="T160" s="23">
        <v>46063.0</v>
      </c>
      <c r="U160" s="9"/>
      <c r="V160" s="6" t="s">
        <v>44</v>
      </c>
      <c r="W160" s="9"/>
      <c r="X160" s="6" t="s">
        <v>45</v>
      </c>
      <c r="Y160" s="6" t="s">
        <v>46</v>
      </c>
      <c r="Z160" s="6">
        <v>3.040318046E9</v>
      </c>
      <c r="AA160" s="6" t="s">
        <v>64</v>
      </c>
      <c r="AB160" s="6" t="s">
        <v>399</v>
      </c>
      <c r="AC160" s="6" t="s">
        <v>710</v>
      </c>
      <c r="AD160" s="9"/>
      <c r="AE160" s="9"/>
      <c r="AF160" s="9"/>
      <c r="AG160" s="9"/>
    </row>
    <row r="161" hidden="1">
      <c r="A161" s="21">
        <f>COUNTIF('Histórico'!$B:$B,B161)</f>
        <v>1</v>
      </c>
      <c r="B161" s="21" t="s">
        <v>835</v>
      </c>
      <c r="C161" s="9"/>
      <c r="D161" s="6" t="s">
        <v>39</v>
      </c>
      <c r="E161" s="6" t="s">
        <v>40</v>
      </c>
      <c r="F161" s="23">
        <v>46063.0</v>
      </c>
      <c r="G161" s="6" t="s">
        <v>41</v>
      </c>
      <c r="H161" s="23">
        <v>46063.0</v>
      </c>
      <c r="I161" s="6" t="s">
        <v>362</v>
      </c>
      <c r="J161" s="6">
        <v>22373.0</v>
      </c>
      <c r="K161" s="6" t="s">
        <v>363</v>
      </c>
      <c r="L161" s="14">
        <v>21940.0</v>
      </c>
      <c r="M161" s="9"/>
      <c r="N161" s="9"/>
      <c r="O161" s="9"/>
      <c r="P161" s="9"/>
      <c r="Q161" s="6">
        <v>1.0</v>
      </c>
      <c r="R161" s="23">
        <v>46059.0</v>
      </c>
      <c r="S161" s="23">
        <v>46065.0</v>
      </c>
      <c r="T161" s="23">
        <v>46063.0</v>
      </c>
      <c r="U161" s="9"/>
      <c r="V161" s="6" t="s">
        <v>44</v>
      </c>
      <c r="W161" s="9"/>
      <c r="X161" s="6" t="s">
        <v>45</v>
      </c>
      <c r="Y161" s="6" t="s">
        <v>46</v>
      </c>
      <c r="Z161" s="6">
        <v>3.040318047E9</v>
      </c>
      <c r="AA161" s="6" t="s">
        <v>64</v>
      </c>
      <c r="AB161" s="6" t="s">
        <v>399</v>
      </c>
      <c r="AC161" s="6" t="s">
        <v>710</v>
      </c>
      <c r="AD161" s="9"/>
      <c r="AE161" s="9"/>
      <c r="AF161" s="9"/>
      <c r="AG161" s="9"/>
    </row>
    <row r="162" hidden="1">
      <c r="A162" s="21">
        <f>COUNTIF('Histórico'!$B:$B,B162)</f>
        <v>1</v>
      </c>
      <c r="B162" s="21" t="s">
        <v>836</v>
      </c>
      <c r="C162" s="9"/>
      <c r="D162" s="6" t="s">
        <v>39</v>
      </c>
      <c r="E162" s="6" t="s">
        <v>40</v>
      </c>
      <c r="F162" s="23">
        <v>46063.0</v>
      </c>
      <c r="G162" s="6" t="s">
        <v>41</v>
      </c>
      <c r="H162" s="23">
        <v>46063.0</v>
      </c>
      <c r="I162" s="6" t="s">
        <v>837</v>
      </c>
      <c r="J162" s="6">
        <v>22373.0</v>
      </c>
      <c r="K162" s="6" t="s">
        <v>303</v>
      </c>
      <c r="L162" s="14">
        <v>12023.0</v>
      </c>
      <c r="M162" s="9"/>
      <c r="N162" s="9"/>
      <c r="O162" s="9"/>
      <c r="P162" s="9"/>
      <c r="Q162" s="6">
        <v>1.0</v>
      </c>
      <c r="R162" s="23">
        <v>46059.0</v>
      </c>
      <c r="S162" s="23">
        <v>46065.0</v>
      </c>
      <c r="T162" s="23">
        <v>46063.0</v>
      </c>
      <c r="U162" s="9"/>
      <c r="V162" s="6" t="s">
        <v>44</v>
      </c>
      <c r="W162" s="9"/>
      <c r="X162" s="6" t="s">
        <v>45</v>
      </c>
      <c r="Y162" s="6" t="s">
        <v>46</v>
      </c>
      <c r="Z162" s="6">
        <v>3.0403117E9</v>
      </c>
      <c r="AA162" s="6" t="s">
        <v>64</v>
      </c>
      <c r="AB162" s="6" t="s">
        <v>94</v>
      </c>
      <c r="AC162" s="6" t="s">
        <v>492</v>
      </c>
      <c r="AD162" s="9"/>
      <c r="AE162" s="9"/>
      <c r="AF162" s="9"/>
      <c r="AG162" s="9"/>
    </row>
    <row r="163" hidden="1">
      <c r="A163" s="21">
        <f>COUNTIF('Histórico'!$B:$B,B163)</f>
        <v>1</v>
      </c>
      <c r="B163" s="21" t="s">
        <v>838</v>
      </c>
      <c r="C163" s="9"/>
      <c r="D163" s="6" t="s">
        <v>39</v>
      </c>
      <c r="E163" s="6" t="s">
        <v>40</v>
      </c>
      <c r="F163" s="23">
        <v>46063.0</v>
      </c>
      <c r="G163" s="6" t="s">
        <v>41</v>
      </c>
      <c r="H163" s="23">
        <v>46063.0</v>
      </c>
      <c r="I163" s="6" t="s">
        <v>839</v>
      </c>
      <c r="J163" s="6">
        <v>22373.0</v>
      </c>
      <c r="K163" s="6" t="s">
        <v>840</v>
      </c>
      <c r="L163" s="14">
        <v>22950.0</v>
      </c>
      <c r="M163" s="9"/>
      <c r="N163" s="9"/>
      <c r="O163" s="9"/>
      <c r="P163" s="9"/>
      <c r="Q163" s="6">
        <v>1.0</v>
      </c>
      <c r="R163" s="23">
        <v>46059.0</v>
      </c>
      <c r="S163" s="23">
        <v>46065.0</v>
      </c>
      <c r="T163" s="23">
        <v>46063.0</v>
      </c>
      <c r="U163" s="9"/>
      <c r="V163" s="6" t="s">
        <v>44</v>
      </c>
      <c r="W163" s="9"/>
      <c r="X163" s="6" t="s">
        <v>45</v>
      </c>
      <c r="Y163" s="6" t="s">
        <v>46</v>
      </c>
      <c r="Z163" s="6">
        <v>3.040290696E9</v>
      </c>
      <c r="AA163" s="6" t="s">
        <v>66</v>
      </c>
      <c r="AB163" s="6" t="s">
        <v>228</v>
      </c>
      <c r="AC163" s="6" t="s">
        <v>842</v>
      </c>
      <c r="AD163" s="9"/>
      <c r="AE163" s="9"/>
      <c r="AF163" s="9"/>
      <c r="AG163" s="9"/>
    </row>
    <row r="164" hidden="1">
      <c r="A164" s="21">
        <f>COUNTIF('Histórico'!$B:$B,B164)</f>
        <v>1</v>
      </c>
      <c r="B164" s="21" t="s">
        <v>843</v>
      </c>
      <c r="C164" s="9"/>
      <c r="D164" s="6" t="s">
        <v>39</v>
      </c>
      <c r="E164" s="6" t="s">
        <v>40</v>
      </c>
      <c r="F164" s="23">
        <v>46063.0</v>
      </c>
      <c r="G164" s="6" t="s">
        <v>41</v>
      </c>
      <c r="H164" s="23">
        <v>46063.0</v>
      </c>
      <c r="I164" s="6" t="s">
        <v>844</v>
      </c>
      <c r="J164" s="6">
        <v>22373.0</v>
      </c>
      <c r="K164" s="6" t="s">
        <v>303</v>
      </c>
      <c r="L164" s="14">
        <v>7310.0</v>
      </c>
      <c r="M164" s="9"/>
      <c r="N164" s="9"/>
      <c r="O164" s="9"/>
      <c r="P164" s="9"/>
      <c r="Q164" s="6">
        <v>1.0</v>
      </c>
      <c r="R164" s="23">
        <v>46059.0</v>
      </c>
      <c r="S164" s="23">
        <v>46065.0</v>
      </c>
      <c r="T164" s="23">
        <v>46063.0</v>
      </c>
      <c r="U164" s="9"/>
      <c r="V164" s="6" t="s">
        <v>44</v>
      </c>
      <c r="W164" s="21"/>
      <c r="X164" s="6" t="s">
        <v>45</v>
      </c>
      <c r="Y164" s="6" t="s">
        <v>46</v>
      </c>
      <c r="Z164" s="6">
        <v>3.040285468E9</v>
      </c>
      <c r="AA164" s="6" t="s">
        <v>71</v>
      </c>
      <c r="AB164" s="6" t="s">
        <v>501</v>
      </c>
      <c r="AC164" s="6" t="s">
        <v>845</v>
      </c>
      <c r="AD164" s="9"/>
      <c r="AE164" s="9"/>
      <c r="AF164" s="9"/>
      <c r="AG164" s="9"/>
    </row>
    <row r="165" hidden="1">
      <c r="A165" s="21">
        <f>COUNTIF('Histórico'!$B:$B,B165)</f>
        <v>1</v>
      </c>
      <c r="B165" s="21" t="s">
        <v>846</v>
      </c>
      <c r="C165" s="9"/>
      <c r="D165" s="6" t="s">
        <v>39</v>
      </c>
      <c r="E165" s="6" t="s">
        <v>40</v>
      </c>
      <c r="F165" s="23">
        <v>46063.0</v>
      </c>
      <c r="G165" s="6" t="s">
        <v>41</v>
      </c>
      <c r="H165" s="23">
        <v>46063.0</v>
      </c>
      <c r="I165" s="6" t="s">
        <v>591</v>
      </c>
      <c r="J165" s="6">
        <v>22373.0</v>
      </c>
      <c r="K165" s="6" t="s">
        <v>593</v>
      </c>
      <c r="L165" s="14">
        <v>11154.0</v>
      </c>
      <c r="M165" s="9"/>
      <c r="N165" s="9"/>
      <c r="O165" s="9"/>
      <c r="P165" s="9"/>
      <c r="Q165" s="6">
        <v>1.0</v>
      </c>
      <c r="R165" s="23">
        <v>46059.0</v>
      </c>
      <c r="S165" s="23">
        <v>46065.0</v>
      </c>
      <c r="T165" s="23">
        <v>46063.0</v>
      </c>
      <c r="U165" s="9"/>
      <c r="V165" s="6" t="s">
        <v>44</v>
      </c>
      <c r="W165" s="21"/>
      <c r="X165" s="6" t="s">
        <v>45</v>
      </c>
      <c r="Y165" s="6" t="s">
        <v>46</v>
      </c>
      <c r="Z165" s="6">
        <v>3.040313103E9</v>
      </c>
      <c r="AA165" s="6" t="s">
        <v>45</v>
      </c>
      <c r="AB165" s="6" t="s">
        <v>46</v>
      </c>
      <c r="AC165" s="6" t="s">
        <v>80</v>
      </c>
      <c r="AD165" s="9"/>
      <c r="AE165" s="9"/>
      <c r="AF165" s="9"/>
      <c r="AG165" s="9"/>
    </row>
    <row r="166" hidden="1">
      <c r="A166" s="21">
        <f>COUNTIF('Histórico'!$B:$B,B166)</f>
        <v>1</v>
      </c>
      <c r="B166" s="21" t="s">
        <v>847</v>
      </c>
      <c r="C166" s="9"/>
      <c r="D166" s="6" t="s">
        <v>39</v>
      </c>
      <c r="E166" s="6" t="s">
        <v>40</v>
      </c>
      <c r="F166" s="23">
        <v>46063.0</v>
      </c>
      <c r="G166" s="6" t="s">
        <v>41</v>
      </c>
      <c r="H166" s="23">
        <v>46063.0</v>
      </c>
      <c r="I166" s="6" t="s">
        <v>369</v>
      </c>
      <c r="J166" s="6">
        <v>22373.0</v>
      </c>
      <c r="K166" s="6" t="s">
        <v>370</v>
      </c>
      <c r="L166" s="14">
        <v>17714.0</v>
      </c>
      <c r="M166" s="9"/>
      <c r="N166" s="9"/>
      <c r="O166" s="9"/>
      <c r="P166" s="9"/>
      <c r="Q166" s="6">
        <v>1.0</v>
      </c>
      <c r="R166" s="23">
        <v>46059.0</v>
      </c>
      <c r="S166" s="23">
        <v>46065.0</v>
      </c>
      <c r="T166" s="23">
        <v>46063.0</v>
      </c>
      <c r="U166" s="9"/>
      <c r="V166" s="6" t="s">
        <v>44</v>
      </c>
      <c r="W166" s="9"/>
      <c r="X166" s="6" t="s">
        <v>45</v>
      </c>
      <c r="Y166" s="6" t="s">
        <v>46</v>
      </c>
      <c r="Z166" s="6">
        <v>3.040313099E9</v>
      </c>
      <c r="AA166" s="6" t="s">
        <v>45</v>
      </c>
      <c r="AB166" s="6" t="s">
        <v>46</v>
      </c>
      <c r="AC166" s="6" t="s">
        <v>324</v>
      </c>
      <c r="AD166" s="9"/>
      <c r="AE166" s="9"/>
      <c r="AF166" s="9"/>
      <c r="AG166" s="9"/>
    </row>
    <row r="167" hidden="1">
      <c r="A167" s="21">
        <f>COUNTIF('Histórico'!$B:$B,B167)</f>
        <v>1</v>
      </c>
      <c r="B167" s="21" t="s">
        <v>848</v>
      </c>
      <c r="C167" s="9"/>
      <c r="D167" s="6" t="s">
        <v>39</v>
      </c>
      <c r="E167" s="6" t="s">
        <v>40</v>
      </c>
      <c r="F167" s="23">
        <v>46063.0</v>
      </c>
      <c r="G167" s="6" t="s">
        <v>41</v>
      </c>
      <c r="H167" s="23">
        <v>46063.0</v>
      </c>
      <c r="I167" s="6" t="s">
        <v>849</v>
      </c>
      <c r="J167" s="6">
        <v>22373.0</v>
      </c>
      <c r="K167" s="6" t="s">
        <v>298</v>
      </c>
      <c r="L167" s="14" t="s">
        <v>850</v>
      </c>
      <c r="M167" s="9"/>
      <c r="N167" s="9"/>
      <c r="O167" s="9"/>
      <c r="P167" s="9"/>
      <c r="Q167" s="6">
        <v>1.0</v>
      </c>
      <c r="R167" s="23">
        <v>46059.0</v>
      </c>
      <c r="S167" s="23">
        <v>46059.0</v>
      </c>
      <c r="T167" s="23">
        <v>46063.0</v>
      </c>
      <c r="U167" s="9"/>
      <c r="V167" s="6" t="s">
        <v>44</v>
      </c>
      <c r="W167" s="21"/>
      <c r="X167" s="6" t="s">
        <v>45</v>
      </c>
      <c r="Y167" s="6" t="s">
        <v>46</v>
      </c>
      <c r="Z167" s="6">
        <v>3.040235957E9</v>
      </c>
      <c r="AA167" s="6" t="s">
        <v>851</v>
      </c>
      <c r="AB167" s="6" t="s">
        <v>58</v>
      </c>
      <c r="AC167" s="6" t="s">
        <v>852</v>
      </c>
      <c r="AD167" s="9"/>
      <c r="AE167" s="9"/>
      <c r="AF167" s="9"/>
      <c r="AG167" s="9"/>
    </row>
    <row r="168" hidden="1">
      <c r="A168" s="21">
        <f>COUNTIF('Histórico'!$B:$B,B168)</f>
        <v>1</v>
      </c>
      <c r="B168" s="21" t="s">
        <v>853</v>
      </c>
      <c r="C168" s="9"/>
      <c r="D168" s="6" t="s">
        <v>39</v>
      </c>
      <c r="E168" s="6" t="s">
        <v>40</v>
      </c>
      <c r="F168" s="23">
        <v>46063.0</v>
      </c>
      <c r="G168" s="6" t="s">
        <v>41</v>
      </c>
      <c r="H168" s="23">
        <v>46063.0</v>
      </c>
      <c r="I168" s="6" t="s">
        <v>854</v>
      </c>
      <c r="J168" s="6" t="s">
        <v>156</v>
      </c>
      <c r="K168" s="6" t="s">
        <v>855</v>
      </c>
      <c r="L168" s="14" t="s">
        <v>856</v>
      </c>
      <c r="M168" s="9"/>
      <c r="N168" s="9"/>
      <c r="O168" s="9"/>
      <c r="P168" s="9"/>
      <c r="Q168" s="6">
        <v>1.0</v>
      </c>
      <c r="R168" s="23">
        <v>46059.0</v>
      </c>
      <c r="S168" s="23">
        <v>46065.0</v>
      </c>
      <c r="T168" s="23">
        <v>46063.0</v>
      </c>
      <c r="U168" s="9"/>
      <c r="V168" s="6" t="s">
        <v>103</v>
      </c>
      <c r="W168" s="6">
        <v>3.13260017702E11</v>
      </c>
      <c r="X168" s="6" t="s">
        <v>45</v>
      </c>
      <c r="Y168" s="6" t="s">
        <v>46</v>
      </c>
      <c r="Z168" s="6">
        <v>3.040322969E9</v>
      </c>
      <c r="AA168" s="6" t="s">
        <v>63</v>
      </c>
      <c r="AB168" s="6" t="s">
        <v>857</v>
      </c>
      <c r="AC168" s="6" t="s">
        <v>858</v>
      </c>
      <c r="AD168" s="9"/>
      <c r="AE168" s="9"/>
      <c r="AF168" s="9"/>
      <c r="AG168" s="9"/>
    </row>
    <row r="169" hidden="1">
      <c r="A169" s="21">
        <f>COUNTIF('Histórico'!$B:$B,B169)</f>
        <v>1</v>
      </c>
      <c r="B169" s="21" t="s">
        <v>859</v>
      </c>
      <c r="C169" s="9"/>
      <c r="D169" s="6" t="s">
        <v>39</v>
      </c>
      <c r="E169" s="6" t="s">
        <v>40</v>
      </c>
      <c r="F169" s="23">
        <v>46063.0</v>
      </c>
      <c r="G169" s="6" t="s">
        <v>41</v>
      </c>
      <c r="H169" s="23">
        <v>46063.0</v>
      </c>
      <c r="I169" s="6" t="s">
        <v>860</v>
      </c>
      <c r="J169" s="6" t="s">
        <v>861</v>
      </c>
      <c r="K169" s="6" t="s">
        <v>862</v>
      </c>
      <c r="L169" s="14"/>
      <c r="M169" s="9"/>
      <c r="N169" s="9"/>
      <c r="O169" s="9"/>
      <c r="P169" s="9"/>
      <c r="Q169" s="6">
        <v>1.0</v>
      </c>
      <c r="R169" s="23">
        <v>46059.0</v>
      </c>
      <c r="S169" s="23">
        <v>46065.0</v>
      </c>
      <c r="T169" s="23">
        <v>46063.0</v>
      </c>
      <c r="U169" s="9"/>
      <c r="V169" s="6" t="s">
        <v>44</v>
      </c>
      <c r="W169" s="9"/>
      <c r="X169" s="6" t="s">
        <v>45</v>
      </c>
      <c r="Y169" s="6" t="s">
        <v>46</v>
      </c>
      <c r="Z169" s="6">
        <v>3.040290772E9</v>
      </c>
      <c r="AA169" s="6" t="s">
        <v>63</v>
      </c>
      <c r="AB169" s="6" t="s">
        <v>857</v>
      </c>
      <c r="AC169" s="6" t="s">
        <v>863</v>
      </c>
      <c r="AD169" s="9"/>
      <c r="AE169" s="9"/>
      <c r="AF169" s="9"/>
      <c r="AG169" s="9"/>
    </row>
    <row r="170" hidden="1">
      <c r="A170" s="21">
        <f>COUNTIF('Histórico'!$B:$B,B170)</f>
        <v>1</v>
      </c>
      <c r="B170" s="21" t="s">
        <v>864</v>
      </c>
      <c r="C170" s="9"/>
      <c r="D170" s="6" t="s">
        <v>39</v>
      </c>
      <c r="E170" s="6" t="s">
        <v>40</v>
      </c>
      <c r="F170" s="23">
        <v>46063.0</v>
      </c>
      <c r="G170" s="6" t="s">
        <v>41</v>
      </c>
      <c r="H170" s="23">
        <v>46063.0</v>
      </c>
      <c r="I170" s="6" t="s">
        <v>510</v>
      </c>
      <c r="J170" s="6">
        <v>22373.0</v>
      </c>
      <c r="K170" s="6" t="s">
        <v>512</v>
      </c>
      <c r="L170" s="14">
        <v>8306.0</v>
      </c>
      <c r="M170" s="9"/>
      <c r="N170" s="9"/>
      <c r="O170" s="9"/>
      <c r="P170" s="9"/>
      <c r="Q170" s="6">
        <v>1.0</v>
      </c>
      <c r="R170" s="23">
        <v>46059.0</v>
      </c>
      <c r="S170" s="23">
        <v>46065.0</v>
      </c>
      <c r="T170" s="23">
        <v>46063.0</v>
      </c>
      <c r="U170" s="9"/>
      <c r="V170" s="6" t="s">
        <v>44</v>
      </c>
      <c r="W170" s="9"/>
      <c r="X170" s="6" t="s">
        <v>45</v>
      </c>
      <c r="Y170" s="6" t="s">
        <v>46</v>
      </c>
      <c r="Z170" s="6">
        <v>3.040213471E9</v>
      </c>
      <c r="AA170" s="6" t="s">
        <v>262</v>
      </c>
      <c r="AB170" s="6" t="s">
        <v>865</v>
      </c>
      <c r="AC170" s="6" t="s">
        <v>866</v>
      </c>
      <c r="AD170" s="9"/>
      <c r="AE170" s="9"/>
      <c r="AF170" s="9"/>
      <c r="AG170" s="9"/>
    </row>
    <row r="171" hidden="1">
      <c r="A171" s="21">
        <f>COUNTIF('Histórico'!$B:$B,B171)</f>
        <v>1</v>
      </c>
      <c r="B171" s="21" t="s">
        <v>867</v>
      </c>
      <c r="C171" s="9"/>
      <c r="D171" s="6" t="s">
        <v>39</v>
      </c>
      <c r="E171" s="6" t="s">
        <v>40</v>
      </c>
      <c r="F171" s="23">
        <v>46063.0</v>
      </c>
      <c r="G171" s="6" t="s">
        <v>41</v>
      </c>
      <c r="H171" s="23">
        <v>46063.0</v>
      </c>
      <c r="I171" s="6" t="s">
        <v>868</v>
      </c>
      <c r="J171" s="6" t="s">
        <v>156</v>
      </c>
      <c r="K171" s="6" t="s">
        <v>869</v>
      </c>
      <c r="L171" s="14" t="s">
        <v>870</v>
      </c>
      <c r="M171" s="9"/>
      <c r="N171" s="9"/>
      <c r="O171" s="9"/>
      <c r="P171" s="9"/>
      <c r="Q171" s="6">
        <v>1.0</v>
      </c>
      <c r="R171" s="23">
        <v>46059.0</v>
      </c>
      <c r="S171" s="23">
        <v>46065.0</v>
      </c>
      <c r="T171" s="23">
        <v>46063.0</v>
      </c>
      <c r="U171" s="9"/>
      <c r="V171" s="6" t="s">
        <v>44</v>
      </c>
      <c r="W171" s="6"/>
      <c r="X171" s="6" t="s">
        <v>45</v>
      </c>
      <c r="Y171" s="6" t="s">
        <v>46</v>
      </c>
      <c r="Z171" s="6">
        <v>3.040319739E9</v>
      </c>
      <c r="AA171" s="6" t="s">
        <v>64</v>
      </c>
      <c r="AB171" s="6" t="s">
        <v>588</v>
      </c>
      <c r="AC171" s="6" t="s">
        <v>589</v>
      </c>
      <c r="AD171" s="9"/>
      <c r="AE171" s="9"/>
      <c r="AF171" s="9"/>
      <c r="AG171" s="9"/>
    </row>
    <row r="172" hidden="1">
      <c r="A172" s="21">
        <f>COUNTIF('Histórico'!$B:$B,B172)</f>
        <v>1</v>
      </c>
      <c r="B172" s="21" t="s">
        <v>871</v>
      </c>
      <c r="C172" s="9"/>
      <c r="D172" s="6" t="s">
        <v>39</v>
      </c>
      <c r="E172" s="6" t="s">
        <v>40</v>
      </c>
      <c r="F172" s="23">
        <v>46063.0</v>
      </c>
      <c r="G172" s="6" t="s">
        <v>41</v>
      </c>
      <c r="H172" s="23">
        <v>46063.0</v>
      </c>
      <c r="I172" s="6" t="s">
        <v>872</v>
      </c>
      <c r="J172" s="6" t="s">
        <v>156</v>
      </c>
      <c r="K172" s="6" t="s">
        <v>873</v>
      </c>
      <c r="L172" s="14">
        <v>919.0</v>
      </c>
      <c r="M172" s="9"/>
      <c r="N172" s="9"/>
      <c r="O172" s="9"/>
      <c r="P172" s="9"/>
      <c r="Q172" s="6">
        <v>1.0</v>
      </c>
      <c r="R172" s="23">
        <v>46059.0</v>
      </c>
      <c r="S172" s="23">
        <v>46065.0</v>
      </c>
      <c r="T172" s="23">
        <v>46063.0</v>
      </c>
      <c r="U172" s="9"/>
      <c r="V172" s="6" t="s">
        <v>44</v>
      </c>
      <c r="W172" s="21"/>
      <c r="X172" s="6" t="s">
        <v>45</v>
      </c>
      <c r="Y172" s="6" t="s">
        <v>46</v>
      </c>
      <c r="Z172" s="6">
        <v>3.04031672E9</v>
      </c>
      <c r="AA172" s="6" t="s">
        <v>45</v>
      </c>
      <c r="AB172" s="6" t="s">
        <v>46</v>
      </c>
      <c r="AC172" s="6" t="s">
        <v>177</v>
      </c>
      <c r="AD172" s="9"/>
      <c r="AE172" s="9"/>
      <c r="AF172" s="9"/>
      <c r="AG172" s="9"/>
    </row>
    <row r="173" hidden="1">
      <c r="A173" s="21">
        <f>COUNTIF('Histórico'!$B:$B,B173)</f>
        <v>1</v>
      </c>
      <c r="B173" s="21" t="s">
        <v>874</v>
      </c>
      <c r="C173" s="9"/>
      <c r="D173" s="6" t="s">
        <v>39</v>
      </c>
      <c r="E173" s="6" t="s">
        <v>40</v>
      </c>
      <c r="F173" s="23">
        <v>46063.0</v>
      </c>
      <c r="G173" s="6" t="s">
        <v>41</v>
      </c>
      <c r="H173" s="23">
        <v>46063.0</v>
      </c>
      <c r="I173" s="6" t="s">
        <v>875</v>
      </c>
      <c r="J173" s="6">
        <v>66503.0</v>
      </c>
      <c r="K173" s="6" t="s">
        <v>876</v>
      </c>
      <c r="L173" s="14">
        <v>2.0675473E7</v>
      </c>
      <c r="M173" s="9"/>
      <c r="N173" s="9"/>
      <c r="O173" s="9"/>
      <c r="P173" s="9"/>
      <c r="Q173" s="6">
        <v>1.0</v>
      </c>
      <c r="R173" s="23">
        <v>46059.0</v>
      </c>
      <c r="S173" s="23">
        <v>46089.0</v>
      </c>
      <c r="T173" s="23">
        <v>46063.0</v>
      </c>
      <c r="U173" s="9"/>
      <c r="V173" s="6" t="s">
        <v>44</v>
      </c>
      <c r="W173" s="9"/>
      <c r="X173" s="6" t="s">
        <v>45</v>
      </c>
      <c r="Y173" s="6" t="s">
        <v>46</v>
      </c>
      <c r="Z173" s="6">
        <v>3.040317907E9</v>
      </c>
      <c r="AA173" s="6" t="s">
        <v>304</v>
      </c>
      <c r="AB173" s="6" t="s">
        <v>306</v>
      </c>
      <c r="AC173" s="6" t="s">
        <v>481</v>
      </c>
      <c r="AD173" s="9"/>
      <c r="AE173" s="9"/>
      <c r="AF173" s="9"/>
      <c r="AG173" s="9"/>
    </row>
    <row r="174" hidden="1">
      <c r="A174" s="21">
        <f>COUNTIF('Histórico'!$B:$B,B174)</f>
        <v>1</v>
      </c>
      <c r="B174" s="21" t="s">
        <v>877</v>
      </c>
      <c r="C174" s="9"/>
      <c r="D174" s="6" t="s">
        <v>39</v>
      </c>
      <c r="E174" s="6" t="s">
        <v>40</v>
      </c>
      <c r="F174" s="23">
        <v>46077.0</v>
      </c>
      <c r="G174" s="6" t="s">
        <v>41</v>
      </c>
      <c r="H174" s="23">
        <v>46077.0</v>
      </c>
      <c r="I174" s="6" t="s">
        <v>878</v>
      </c>
      <c r="J174" s="6">
        <v>16455.0</v>
      </c>
      <c r="K174" s="6" t="s">
        <v>879</v>
      </c>
      <c r="L174" s="14">
        <v>471591.0</v>
      </c>
      <c r="M174" s="9"/>
      <c r="N174" s="9"/>
      <c r="O174" s="9"/>
      <c r="P174" s="9"/>
      <c r="Q174" s="6">
        <v>1.0</v>
      </c>
      <c r="R174" s="23">
        <v>46076.0</v>
      </c>
      <c r="S174" s="23">
        <v>46080.0</v>
      </c>
      <c r="T174" s="23">
        <v>46077.0</v>
      </c>
      <c r="U174" s="9"/>
      <c r="V174" s="6" t="s">
        <v>44</v>
      </c>
      <c r="W174" s="9"/>
      <c r="X174" s="6" t="s">
        <v>45</v>
      </c>
      <c r="Y174" s="6" t="s">
        <v>46</v>
      </c>
      <c r="Z174" s="6">
        <v>3.040298638E9</v>
      </c>
      <c r="AA174" s="6" t="s">
        <v>60</v>
      </c>
      <c r="AB174" s="6" t="s">
        <v>189</v>
      </c>
      <c r="AC174" s="6" t="s">
        <v>880</v>
      </c>
      <c r="AD174" s="9"/>
      <c r="AE174" s="9"/>
      <c r="AF174" s="9"/>
      <c r="AG174" s="9"/>
    </row>
    <row r="175" hidden="1">
      <c r="A175" s="21">
        <f>COUNTIF('Histórico'!$B:$B,B175)</f>
        <v>1</v>
      </c>
      <c r="B175" s="21" t="s">
        <v>881</v>
      </c>
      <c r="C175" s="9"/>
      <c r="D175" s="6" t="s">
        <v>39</v>
      </c>
      <c r="E175" s="6" t="s">
        <v>40</v>
      </c>
      <c r="F175" s="23">
        <v>46077.0</v>
      </c>
      <c r="G175" s="6" t="s">
        <v>41</v>
      </c>
      <c r="H175" s="23">
        <v>46077.0</v>
      </c>
      <c r="I175" s="6" t="s">
        <v>878</v>
      </c>
      <c r="J175" s="6">
        <v>16455.0</v>
      </c>
      <c r="K175" s="6" t="s">
        <v>879</v>
      </c>
      <c r="L175" s="14">
        <v>470055.0</v>
      </c>
      <c r="M175" s="9"/>
      <c r="N175" s="9"/>
      <c r="O175" s="9"/>
      <c r="P175" s="9"/>
      <c r="Q175" s="6">
        <v>1.0</v>
      </c>
      <c r="R175" s="23">
        <v>46076.0</v>
      </c>
      <c r="S175" s="23">
        <v>46080.0</v>
      </c>
      <c r="T175" s="23">
        <v>46077.0</v>
      </c>
      <c r="U175" s="9"/>
      <c r="V175" s="6" t="s">
        <v>44</v>
      </c>
      <c r="W175" s="9"/>
      <c r="X175" s="6" t="s">
        <v>45</v>
      </c>
      <c r="Y175" s="6" t="s">
        <v>46</v>
      </c>
      <c r="Z175" s="6">
        <v>3.040295557E9</v>
      </c>
      <c r="AA175" s="6" t="s">
        <v>63</v>
      </c>
      <c r="AB175" s="6" t="s">
        <v>72</v>
      </c>
      <c r="AC175" s="6" t="s">
        <v>882</v>
      </c>
      <c r="AD175" s="9"/>
      <c r="AE175" s="9"/>
      <c r="AF175" s="9"/>
      <c r="AG175" s="9"/>
    </row>
    <row r="176" hidden="1">
      <c r="A176" s="21">
        <f>COUNTIF('Histórico'!$B:$B,B176)</f>
        <v>1</v>
      </c>
      <c r="B176" s="21" t="s">
        <v>883</v>
      </c>
      <c r="C176" s="9"/>
      <c r="D176" s="6" t="s">
        <v>39</v>
      </c>
      <c r="E176" s="6" t="s">
        <v>40</v>
      </c>
      <c r="F176" s="23">
        <v>46085.0</v>
      </c>
      <c r="G176" s="6" t="s">
        <v>41</v>
      </c>
      <c r="H176" s="23">
        <v>46085.0</v>
      </c>
      <c r="I176" s="6" t="s">
        <v>884</v>
      </c>
      <c r="J176" s="6" t="s">
        <v>156</v>
      </c>
      <c r="K176" s="6" t="s">
        <v>101</v>
      </c>
      <c r="L176" s="14">
        <v>8868.0</v>
      </c>
      <c r="M176" s="9"/>
      <c r="N176" s="9"/>
      <c r="O176" s="9"/>
      <c r="P176" s="9"/>
      <c r="Q176" s="6">
        <v>1.0</v>
      </c>
      <c r="R176" s="23">
        <v>46084.0</v>
      </c>
      <c r="S176" s="23">
        <v>46090.0</v>
      </c>
      <c r="T176" s="23">
        <v>46085.0</v>
      </c>
      <c r="U176" s="9"/>
      <c r="V176" s="6" t="s">
        <v>44</v>
      </c>
      <c r="W176" s="9"/>
      <c r="X176" s="6" t="s">
        <v>45</v>
      </c>
      <c r="Y176" s="6" t="s">
        <v>46</v>
      </c>
      <c r="Z176" s="6">
        <v>3.040318072E9</v>
      </c>
      <c r="AA176" s="6" t="s">
        <v>60</v>
      </c>
      <c r="AB176" s="6" t="s">
        <v>189</v>
      </c>
      <c r="AC176" s="6" t="s">
        <v>885</v>
      </c>
      <c r="AD176" s="9"/>
      <c r="AE176" s="9"/>
      <c r="AF176" s="9"/>
      <c r="AG176" s="9"/>
    </row>
    <row r="177" hidden="1">
      <c r="A177" s="21">
        <f>COUNTIF('Histórico'!$B:$B,B177)</f>
        <v>1</v>
      </c>
      <c r="B177" s="21" t="s">
        <v>886</v>
      </c>
      <c r="C177" s="9"/>
      <c r="D177" s="6" t="s">
        <v>39</v>
      </c>
      <c r="E177" s="6" t="s">
        <v>40</v>
      </c>
      <c r="F177" s="23">
        <v>46085.0</v>
      </c>
      <c r="G177" s="6" t="s">
        <v>41</v>
      </c>
      <c r="H177" s="23">
        <v>46085.0</v>
      </c>
      <c r="I177" s="6" t="s">
        <v>884</v>
      </c>
      <c r="J177" s="6" t="s">
        <v>156</v>
      </c>
      <c r="K177" s="6" t="s">
        <v>101</v>
      </c>
      <c r="L177" s="14">
        <v>4965.0</v>
      </c>
      <c r="M177" s="9"/>
      <c r="N177" s="9"/>
      <c r="O177" s="9"/>
      <c r="P177" s="9"/>
      <c r="Q177" s="6">
        <v>1.0</v>
      </c>
      <c r="R177" s="23">
        <v>46084.0</v>
      </c>
      <c r="S177" s="23">
        <v>46090.0</v>
      </c>
      <c r="T177" s="23">
        <v>46085.0</v>
      </c>
      <c r="U177" s="9"/>
      <c r="V177" s="6" t="s">
        <v>44</v>
      </c>
      <c r="W177" s="9"/>
      <c r="X177" s="6" t="s">
        <v>45</v>
      </c>
      <c r="Y177" s="6" t="s">
        <v>46</v>
      </c>
      <c r="Z177" s="6">
        <v>3.040323058E9</v>
      </c>
      <c r="AA177" s="6" t="s">
        <v>60</v>
      </c>
      <c r="AB177" s="6" t="s">
        <v>189</v>
      </c>
      <c r="AC177" s="6" t="s">
        <v>887</v>
      </c>
      <c r="AD177" s="9"/>
      <c r="AE177" s="9"/>
      <c r="AF177" s="9"/>
      <c r="AG177" s="9"/>
    </row>
    <row r="178" hidden="1">
      <c r="A178" s="21">
        <f>COUNTIF('Histórico'!$B:$B,B178)</f>
        <v>1</v>
      </c>
      <c r="B178" s="21" t="s">
        <v>888</v>
      </c>
      <c r="C178" s="9"/>
      <c r="D178" s="6" t="s">
        <v>39</v>
      </c>
      <c r="E178" s="6" t="s">
        <v>40</v>
      </c>
      <c r="F178" s="23">
        <v>46090.0</v>
      </c>
      <c r="G178" s="6" t="s">
        <v>41</v>
      </c>
      <c r="H178" s="23">
        <v>46090.0</v>
      </c>
      <c r="I178" s="6">
        <v>3034792.0</v>
      </c>
      <c r="J178" s="6">
        <v>198.0</v>
      </c>
      <c r="K178" s="6" t="s">
        <v>78</v>
      </c>
      <c r="L178" s="14">
        <v>745.0</v>
      </c>
      <c r="M178" s="9"/>
      <c r="N178" s="9"/>
      <c r="O178" s="9"/>
      <c r="P178" s="9"/>
      <c r="Q178" s="6">
        <v>1.0</v>
      </c>
      <c r="R178" s="23">
        <v>46084.0</v>
      </c>
      <c r="S178" s="23">
        <v>46090.0</v>
      </c>
      <c r="T178" s="23">
        <v>46090.0</v>
      </c>
      <c r="U178" s="9"/>
      <c r="V178" s="6" t="s">
        <v>44</v>
      </c>
      <c r="W178" s="21"/>
      <c r="X178" s="6" t="s">
        <v>45</v>
      </c>
      <c r="Y178" s="6" t="s">
        <v>46</v>
      </c>
      <c r="Z178" s="6">
        <v>3.040323964E9</v>
      </c>
      <c r="AA178" s="6" t="s">
        <v>45</v>
      </c>
      <c r="AB178" s="6" t="s">
        <v>46</v>
      </c>
      <c r="AC178" s="6" t="s">
        <v>177</v>
      </c>
      <c r="AD178" s="9"/>
      <c r="AE178" s="9"/>
      <c r="AF178" s="9"/>
      <c r="AG178" s="9"/>
    </row>
    <row r="179" hidden="1">
      <c r="A179" s="21">
        <f>COUNTIF('Histórico'!$B:$B,B179)</f>
        <v>1</v>
      </c>
      <c r="B179" s="21" t="s">
        <v>889</v>
      </c>
      <c r="C179" s="9"/>
      <c r="D179" s="6" t="s">
        <v>39</v>
      </c>
      <c r="E179" s="6" t="s">
        <v>40</v>
      </c>
      <c r="F179" s="23">
        <v>46107.0</v>
      </c>
      <c r="G179" s="6" t="s">
        <v>41</v>
      </c>
      <c r="H179" s="23">
        <v>46107.0</v>
      </c>
      <c r="I179" s="6" t="s">
        <v>313</v>
      </c>
      <c r="J179" s="6">
        <v>22373.0</v>
      </c>
      <c r="K179" s="6" t="s">
        <v>890</v>
      </c>
      <c r="L179" s="14">
        <v>107178.0</v>
      </c>
      <c r="M179" s="9"/>
      <c r="N179" s="9"/>
      <c r="O179" s="9"/>
      <c r="P179" s="9"/>
      <c r="Q179" s="6">
        <v>1.0</v>
      </c>
      <c r="R179" s="23">
        <v>46105.0</v>
      </c>
      <c r="S179" s="23">
        <v>46111.0</v>
      </c>
      <c r="T179" s="23">
        <v>46107.0</v>
      </c>
      <c r="U179" s="9"/>
      <c r="V179" s="6" t="s">
        <v>44</v>
      </c>
      <c r="W179" s="9"/>
      <c r="X179" s="6" t="s">
        <v>45</v>
      </c>
      <c r="Y179" s="6" t="s">
        <v>46</v>
      </c>
      <c r="Z179" s="6">
        <v>3.040237213E9</v>
      </c>
      <c r="AA179" s="6" t="s">
        <v>188</v>
      </c>
      <c r="AB179" s="6" t="s">
        <v>194</v>
      </c>
      <c r="AC179" s="6" t="s">
        <v>404</v>
      </c>
      <c r="AD179" s="9"/>
      <c r="AE179" s="9"/>
      <c r="AF179" s="9"/>
      <c r="AG179" s="9"/>
    </row>
    <row r="180" hidden="1">
      <c r="A180" s="21">
        <f>COUNTIF('Histórico'!$B:$B,B180)</f>
        <v>1</v>
      </c>
      <c r="B180" s="21" t="s">
        <v>891</v>
      </c>
      <c r="C180" s="9"/>
      <c r="D180" s="6" t="s">
        <v>39</v>
      </c>
      <c r="E180" s="6" t="s">
        <v>40</v>
      </c>
      <c r="F180" s="23">
        <v>46107.0</v>
      </c>
      <c r="G180" s="6" t="s">
        <v>41</v>
      </c>
      <c r="H180" s="23">
        <v>46107.0</v>
      </c>
      <c r="I180" s="6" t="s">
        <v>717</v>
      </c>
      <c r="J180" s="6" t="s">
        <v>156</v>
      </c>
      <c r="K180" s="6" t="s">
        <v>101</v>
      </c>
      <c r="L180" s="14">
        <v>7086.0</v>
      </c>
      <c r="M180" s="9"/>
      <c r="N180" s="9"/>
      <c r="O180" s="9"/>
      <c r="P180" s="9"/>
      <c r="Q180" s="6">
        <v>1.0</v>
      </c>
      <c r="R180" s="23">
        <v>46105.0</v>
      </c>
      <c r="S180" s="23">
        <v>46111.0</v>
      </c>
      <c r="T180" s="23">
        <v>46107.0</v>
      </c>
      <c r="U180" s="9"/>
      <c r="V180" s="6" t="s">
        <v>44</v>
      </c>
      <c r="W180" s="9"/>
      <c r="X180" s="6" t="s">
        <v>45</v>
      </c>
      <c r="Y180" s="6" t="s">
        <v>46</v>
      </c>
      <c r="Z180" s="6">
        <v>3.040323916E9</v>
      </c>
      <c r="AA180" s="6" t="s">
        <v>64</v>
      </c>
      <c r="AB180" s="6" t="s">
        <v>399</v>
      </c>
      <c r="AC180" s="6" t="s">
        <v>892</v>
      </c>
      <c r="AD180" s="9"/>
      <c r="AE180" s="9"/>
      <c r="AF180" s="9"/>
      <c r="AG180" s="9"/>
    </row>
    <row r="181" hidden="1">
      <c r="A181" s="21">
        <f>COUNTIF('Histórico'!$B:$B,B181)</f>
        <v>1</v>
      </c>
      <c r="B181" s="21" t="s">
        <v>893</v>
      </c>
      <c r="C181" s="9"/>
      <c r="D181" s="6" t="s">
        <v>39</v>
      </c>
      <c r="E181" s="6" t="s">
        <v>40</v>
      </c>
      <c r="F181" s="23">
        <v>46107.0</v>
      </c>
      <c r="G181" s="6" t="s">
        <v>41</v>
      </c>
      <c r="H181" s="23">
        <v>46107.0</v>
      </c>
      <c r="I181" s="6" t="s">
        <v>100</v>
      </c>
      <c r="J181" s="6">
        <v>71379.0</v>
      </c>
      <c r="K181" s="6" t="s">
        <v>101</v>
      </c>
      <c r="L181" s="14">
        <v>99743.0</v>
      </c>
      <c r="M181" s="9"/>
      <c r="N181" s="9"/>
      <c r="O181" s="9"/>
      <c r="P181" s="9"/>
      <c r="Q181" s="6">
        <v>1.0</v>
      </c>
      <c r="R181" s="23">
        <v>46105.0</v>
      </c>
      <c r="S181" s="23">
        <v>46111.0</v>
      </c>
      <c r="T181" s="23">
        <v>46107.0</v>
      </c>
      <c r="U181" s="9"/>
      <c r="V181" s="6" t="s">
        <v>44</v>
      </c>
      <c r="W181" s="21"/>
      <c r="X181" s="6" t="s">
        <v>45</v>
      </c>
      <c r="Y181" s="6" t="s">
        <v>46</v>
      </c>
      <c r="Z181" s="6">
        <v>3.040323917E9</v>
      </c>
      <c r="AA181" s="6" t="s">
        <v>64</v>
      </c>
      <c r="AB181" s="6" t="s">
        <v>399</v>
      </c>
      <c r="AC181" s="6" t="s">
        <v>894</v>
      </c>
      <c r="AD181" s="9"/>
      <c r="AE181" s="9"/>
      <c r="AF181" s="9"/>
      <c r="AG181" s="9"/>
    </row>
    <row r="182" hidden="1">
      <c r="A182" s="21">
        <f>COUNTIF('Histórico'!$B:$B,B182)</f>
        <v>1</v>
      </c>
      <c r="B182" s="21" t="s">
        <v>895</v>
      </c>
      <c r="C182" s="9"/>
      <c r="D182" s="6" t="s">
        <v>39</v>
      </c>
      <c r="E182" s="6" t="s">
        <v>40</v>
      </c>
      <c r="F182" s="23">
        <v>46112.0</v>
      </c>
      <c r="G182" s="6" t="s">
        <v>41</v>
      </c>
      <c r="H182" s="23">
        <v>46112.0</v>
      </c>
      <c r="I182" s="6" t="s">
        <v>283</v>
      </c>
      <c r="J182" s="6">
        <v>22373.0</v>
      </c>
      <c r="K182" s="6" t="s">
        <v>284</v>
      </c>
      <c r="L182" s="14" t="s">
        <v>896</v>
      </c>
      <c r="M182" s="9"/>
      <c r="N182" s="9"/>
      <c r="O182" s="9"/>
      <c r="P182" s="9"/>
      <c r="Q182" s="6">
        <v>1.0</v>
      </c>
      <c r="R182" s="23">
        <v>46108.0</v>
      </c>
      <c r="S182" s="23">
        <v>46114.0</v>
      </c>
      <c r="T182" s="23">
        <v>46112.0</v>
      </c>
      <c r="U182" s="9"/>
      <c r="V182" s="6" t="s">
        <v>44</v>
      </c>
      <c r="W182" s="9"/>
      <c r="X182" s="6" t="s">
        <v>45</v>
      </c>
      <c r="Y182" s="6" t="s">
        <v>46</v>
      </c>
      <c r="Z182" s="6">
        <v>3.040238083E9</v>
      </c>
      <c r="AA182" s="6" t="s">
        <v>188</v>
      </c>
      <c r="AB182" s="6" t="s">
        <v>194</v>
      </c>
      <c r="AC182" s="6" t="s">
        <v>404</v>
      </c>
      <c r="AD182" s="9"/>
      <c r="AE182" s="9"/>
      <c r="AF182" s="9"/>
      <c r="AG182" s="9"/>
    </row>
    <row r="183" hidden="1">
      <c r="A183" s="21">
        <f>COUNTIF('Histórico'!$B:$B,B183)</f>
        <v>1</v>
      </c>
      <c r="B183" s="21" t="s">
        <v>897</v>
      </c>
      <c r="C183" s="9"/>
      <c r="D183" s="6" t="s">
        <v>39</v>
      </c>
      <c r="E183" s="6" t="s">
        <v>40</v>
      </c>
      <c r="F183" s="23">
        <v>46125.0</v>
      </c>
      <c r="G183" s="6" t="s">
        <v>41</v>
      </c>
      <c r="H183" s="23">
        <v>46125.0</v>
      </c>
      <c r="I183" s="6" t="s">
        <v>898</v>
      </c>
      <c r="J183" s="6">
        <v>81205.0</v>
      </c>
      <c r="K183" s="6" t="s">
        <v>899</v>
      </c>
      <c r="L183" s="14" t="s">
        <v>900</v>
      </c>
      <c r="M183" s="9"/>
      <c r="N183" s="9"/>
      <c r="O183" s="9"/>
      <c r="P183" s="9"/>
      <c r="Q183" s="6">
        <v>1.0</v>
      </c>
      <c r="R183" s="23">
        <v>46120.0</v>
      </c>
      <c r="S183" s="23">
        <v>46126.0</v>
      </c>
      <c r="T183" s="23">
        <v>46125.0</v>
      </c>
      <c r="U183" s="9"/>
      <c r="V183" s="6" t="s">
        <v>44</v>
      </c>
      <c r="W183" s="9"/>
      <c r="X183" s="6" t="s">
        <v>45</v>
      </c>
      <c r="Y183" s="6" t="s">
        <v>46</v>
      </c>
      <c r="Z183" s="6">
        <v>3.040269806E9</v>
      </c>
      <c r="AA183" s="6" t="s">
        <v>169</v>
      </c>
      <c r="AB183" s="6" t="s">
        <v>768</v>
      </c>
      <c r="AC183" s="6" t="s">
        <v>902</v>
      </c>
      <c r="AD183" s="9"/>
      <c r="AE183" s="9"/>
      <c r="AF183" s="9"/>
      <c r="AG183" s="9"/>
    </row>
    <row r="184" hidden="1">
      <c r="A184" s="21">
        <f>COUNTIF('Histórico'!$B:$B,B184)</f>
        <v>1</v>
      </c>
      <c r="B184" s="21" t="s">
        <v>904</v>
      </c>
      <c r="C184" s="9"/>
      <c r="D184" s="6" t="s">
        <v>39</v>
      </c>
      <c r="E184" s="6" t="s">
        <v>40</v>
      </c>
      <c r="F184" s="23">
        <v>46125.0</v>
      </c>
      <c r="G184" s="6" t="s">
        <v>41</v>
      </c>
      <c r="H184" s="23">
        <v>46125.0</v>
      </c>
      <c r="I184" s="6" t="s">
        <v>482</v>
      </c>
      <c r="J184" s="6" t="s">
        <v>275</v>
      </c>
      <c r="K184" s="6" t="s">
        <v>483</v>
      </c>
      <c r="L184" s="14">
        <v>4.7202512E7</v>
      </c>
      <c r="M184" s="9"/>
      <c r="N184" s="9"/>
      <c r="O184" s="9"/>
      <c r="P184" s="9"/>
      <c r="Q184" s="6">
        <v>1.0</v>
      </c>
      <c r="R184" s="23">
        <v>46121.0</v>
      </c>
      <c r="S184" s="23">
        <v>46127.0</v>
      </c>
      <c r="T184" s="23">
        <v>46125.0</v>
      </c>
      <c r="U184" s="9"/>
      <c r="V184" s="6" t="s">
        <v>44</v>
      </c>
      <c r="W184" s="9"/>
      <c r="X184" s="6" t="s">
        <v>45</v>
      </c>
      <c r="Y184" s="6" t="s">
        <v>46</v>
      </c>
      <c r="Z184" s="6">
        <v>3.04031986E9</v>
      </c>
      <c r="AA184" s="6" t="s">
        <v>63</v>
      </c>
      <c r="AB184" s="6" t="s">
        <v>72</v>
      </c>
      <c r="AC184" s="6" t="s">
        <v>451</v>
      </c>
      <c r="AD184" s="9"/>
      <c r="AE184" s="9"/>
      <c r="AF184" s="9"/>
      <c r="AG184" s="9"/>
    </row>
    <row r="185" hidden="1">
      <c r="A185" s="21">
        <f>COUNTIF('Histórico'!$B:$B,B185)</f>
        <v>1</v>
      </c>
      <c r="B185" s="21" t="s">
        <v>905</v>
      </c>
      <c r="C185" s="9"/>
      <c r="D185" s="6" t="s">
        <v>39</v>
      </c>
      <c r="E185" s="6" t="s">
        <v>40</v>
      </c>
      <c r="F185" s="23">
        <v>46125.0</v>
      </c>
      <c r="G185" s="6" t="s">
        <v>41</v>
      </c>
      <c r="H185" s="23">
        <v>46125.0</v>
      </c>
      <c r="I185" s="6" t="s">
        <v>413</v>
      </c>
      <c r="J185" s="6">
        <v>54905.0</v>
      </c>
      <c r="K185" s="6" t="s">
        <v>414</v>
      </c>
      <c r="L185" s="14" t="s">
        <v>906</v>
      </c>
      <c r="M185" s="9"/>
      <c r="N185" s="9"/>
      <c r="O185" s="9"/>
      <c r="P185" s="9"/>
      <c r="Q185" s="6">
        <v>1.0</v>
      </c>
      <c r="R185" s="23">
        <v>46120.0</v>
      </c>
      <c r="S185" s="23">
        <v>46126.0</v>
      </c>
      <c r="T185" s="23">
        <v>46125.0</v>
      </c>
      <c r="U185" s="9"/>
      <c r="V185" s="6" t="s">
        <v>44</v>
      </c>
      <c r="W185" s="9"/>
      <c r="X185" s="6" t="s">
        <v>45</v>
      </c>
      <c r="Y185" s="6" t="s">
        <v>46</v>
      </c>
      <c r="Z185" s="6">
        <v>3.04030408E9</v>
      </c>
      <c r="AA185" s="6" t="s">
        <v>64</v>
      </c>
      <c r="AB185" s="6" t="s">
        <v>907</v>
      </c>
      <c r="AC185" s="6" t="s">
        <v>908</v>
      </c>
      <c r="AD185" s="9"/>
      <c r="AE185" s="9"/>
      <c r="AF185" s="9"/>
      <c r="AG185" s="9"/>
    </row>
    <row r="186" hidden="1">
      <c r="A186" s="21">
        <f>COUNTIF('Histórico'!$B:$B,B186)</f>
        <v>1</v>
      </c>
      <c r="B186" s="21" t="s">
        <v>909</v>
      </c>
      <c r="C186" s="9"/>
      <c r="D186" s="6" t="s">
        <v>39</v>
      </c>
      <c r="E186" s="6" t="s">
        <v>40</v>
      </c>
      <c r="F186" s="23">
        <v>46125.0</v>
      </c>
      <c r="G186" s="6" t="s">
        <v>41</v>
      </c>
      <c r="H186" s="23">
        <v>46125.0</v>
      </c>
      <c r="I186" s="6" t="s">
        <v>413</v>
      </c>
      <c r="J186" s="6">
        <v>54905.0</v>
      </c>
      <c r="K186" s="6" t="s">
        <v>414</v>
      </c>
      <c r="L186" s="14" t="s">
        <v>910</v>
      </c>
      <c r="M186" s="9"/>
      <c r="N186" s="9"/>
      <c r="O186" s="9"/>
      <c r="P186" s="9"/>
      <c r="Q186" s="6">
        <v>1.0</v>
      </c>
      <c r="R186" s="23">
        <v>46120.0</v>
      </c>
      <c r="S186" s="23">
        <v>46126.0</v>
      </c>
      <c r="T186" s="23">
        <v>46125.0</v>
      </c>
      <c r="U186" s="9"/>
      <c r="V186" s="6" t="s">
        <v>44</v>
      </c>
      <c r="W186" s="9"/>
      <c r="X186" s="6" t="s">
        <v>45</v>
      </c>
      <c r="Y186" s="6" t="s">
        <v>46</v>
      </c>
      <c r="Z186" s="6">
        <v>3.040304081E9</v>
      </c>
      <c r="AA186" s="6" t="s">
        <v>64</v>
      </c>
      <c r="AB186" s="6" t="s">
        <v>907</v>
      </c>
      <c r="AC186" s="6" t="s">
        <v>908</v>
      </c>
      <c r="AD186" s="9"/>
      <c r="AE186" s="9"/>
      <c r="AF186" s="9"/>
      <c r="AG186" s="9"/>
    </row>
    <row r="187" hidden="1">
      <c r="A187" s="21">
        <f>COUNTIF('Histórico'!$B:$B,B187)</f>
        <v>1</v>
      </c>
      <c r="B187" s="21" t="s">
        <v>911</v>
      </c>
      <c r="C187" s="9"/>
      <c r="D187" s="6" t="s">
        <v>39</v>
      </c>
      <c r="E187" s="6" t="s">
        <v>40</v>
      </c>
      <c r="F187" s="23">
        <v>46125.0</v>
      </c>
      <c r="G187" s="6" t="s">
        <v>41</v>
      </c>
      <c r="H187" s="23">
        <v>46125.0</v>
      </c>
      <c r="I187" s="6" t="s">
        <v>413</v>
      </c>
      <c r="J187" s="6">
        <v>54905.0</v>
      </c>
      <c r="K187" s="6" t="s">
        <v>414</v>
      </c>
      <c r="L187" s="14" t="s">
        <v>912</v>
      </c>
      <c r="M187" s="9"/>
      <c r="N187" s="9"/>
      <c r="O187" s="9"/>
      <c r="P187" s="9"/>
      <c r="Q187" s="6">
        <v>1.0</v>
      </c>
      <c r="R187" s="23">
        <v>46120.0</v>
      </c>
      <c r="S187" s="23">
        <v>46126.0</v>
      </c>
      <c r="T187" s="23">
        <v>46125.0</v>
      </c>
      <c r="U187" s="9"/>
      <c r="V187" s="6" t="s">
        <v>44</v>
      </c>
      <c r="W187" s="9"/>
      <c r="X187" s="6" t="s">
        <v>45</v>
      </c>
      <c r="Y187" s="6" t="s">
        <v>46</v>
      </c>
      <c r="Z187" s="6">
        <v>3.040322049E9</v>
      </c>
      <c r="AA187" s="6" t="s">
        <v>45</v>
      </c>
      <c r="AB187" s="6" t="s">
        <v>203</v>
      </c>
      <c r="AC187" s="6" t="s">
        <v>913</v>
      </c>
      <c r="AD187" s="9"/>
      <c r="AE187" s="9"/>
      <c r="AF187" s="9"/>
      <c r="AG187" s="9"/>
    </row>
    <row r="188" hidden="1">
      <c r="A188" s="21">
        <f>COUNTIF('Histórico'!$B:$B,B188)</f>
        <v>1</v>
      </c>
      <c r="B188" s="21" t="s">
        <v>914</v>
      </c>
      <c r="C188" s="9"/>
      <c r="D188" s="6" t="s">
        <v>39</v>
      </c>
      <c r="E188" s="6" t="s">
        <v>40</v>
      </c>
      <c r="F188" s="23">
        <v>46125.0</v>
      </c>
      <c r="G188" s="6" t="s">
        <v>41</v>
      </c>
      <c r="H188" s="23">
        <v>46125.0</v>
      </c>
      <c r="I188" s="6" t="s">
        <v>796</v>
      </c>
      <c r="J188" s="6" t="s">
        <v>275</v>
      </c>
      <c r="K188" s="6" t="s">
        <v>798</v>
      </c>
      <c r="L188" s="14">
        <v>2.2005661E7</v>
      </c>
      <c r="M188" s="9"/>
      <c r="N188" s="9"/>
      <c r="O188" s="9"/>
      <c r="P188" s="9"/>
      <c r="Q188" s="6">
        <v>1.0</v>
      </c>
      <c r="R188" s="23">
        <v>46121.0</v>
      </c>
      <c r="S188" s="23">
        <v>46127.0</v>
      </c>
      <c r="T188" s="23">
        <v>46125.0</v>
      </c>
      <c r="U188" s="9"/>
      <c r="V188" s="6" t="s">
        <v>44</v>
      </c>
      <c r="W188" s="9"/>
      <c r="X188" s="6" t="s">
        <v>45</v>
      </c>
      <c r="Y188" s="6" t="s">
        <v>46</v>
      </c>
      <c r="Z188" s="6">
        <v>3.040322689E9</v>
      </c>
      <c r="AA188" s="6" t="s">
        <v>63</v>
      </c>
      <c r="AB188" s="6" t="s">
        <v>72</v>
      </c>
      <c r="AC188" s="6" t="s">
        <v>915</v>
      </c>
      <c r="AD188" s="9"/>
      <c r="AE188" s="9"/>
      <c r="AF188" s="9"/>
      <c r="AG188" s="9"/>
    </row>
    <row r="189" hidden="1">
      <c r="A189" s="21">
        <f>COUNTIF('Histórico'!$B:$B,B189)</f>
        <v>1</v>
      </c>
      <c r="B189" s="21" t="s">
        <v>916</v>
      </c>
      <c r="C189" s="9"/>
      <c r="D189" s="6" t="s">
        <v>39</v>
      </c>
      <c r="E189" s="6" t="s">
        <v>40</v>
      </c>
      <c r="F189" s="23">
        <v>46125.0</v>
      </c>
      <c r="G189" s="6" t="s">
        <v>41</v>
      </c>
      <c r="H189" s="23">
        <v>46125.0</v>
      </c>
      <c r="I189" s="6" t="s">
        <v>796</v>
      </c>
      <c r="J189" s="6" t="s">
        <v>275</v>
      </c>
      <c r="K189" s="6" t="s">
        <v>798</v>
      </c>
      <c r="L189" s="14">
        <v>2.200558E7</v>
      </c>
      <c r="M189" s="9"/>
      <c r="N189" s="9"/>
      <c r="O189" s="9"/>
      <c r="P189" s="9"/>
      <c r="Q189" s="6">
        <v>1.0</v>
      </c>
      <c r="R189" s="23">
        <v>46121.0</v>
      </c>
      <c r="S189" s="23">
        <v>46127.0</v>
      </c>
      <c r="T189" s="23">
        <v>46125.0</v>
      </c>
      <c r="U189" s="9"/>
      <c r="V189" s="6" t="s">
        <v>44</v>
      </c>
      <c r="W189" s="9"/>
      <c r="X189" s="6" t="s">
        <v>45</v>
      </c>
      <c r="Y189" s="6" t="s">
        <v>46</v>
      </c>
      <c r="Z189" s="6">
        <v>3.040319937E9</v>
      </c>
      <c r="AA189" s="6" t="s">
        <v>63</v>
      </c>
      <c r="AB189" s="6" t="s">
        <v>72</v>
      </c>
      <c r="AC189" s="6" t="s">
        <v>451</v>
      </c>
      <c r="AD189" s="9"/>
      <c r="AE189" s="9"/>
      <c r="AF189" s="9"/>
      <c r="AG189" s="9"/>
    </row>
    <row r="190" hidden="1">
      <c r="A190" s="21">
        <f>COUNTIF('Histórico'!$B:$B,B190)</f>
        <v>1</v>
      </c>
      <c r="B190" s="21" t="s">
        <v>917</v>
      </c>
      <c r="C190" s="9"/>
      <c r="D190" s="6" t="s">
        <v>39</v>
      </c>
      <c r="E190" s="6" t="s">
        <v>40</v>
      </c>
      <c r="F190" s="23">
        <v>46125.0</v>
      </c>
      <c r="G190" s="6" t="s">
        <v>41</v>
      </c>
      <c r="H190" s="23">
        <v>46125.0</v>
      </c>
      <c r="I190" s="6" t="s">
        <v>796</v>
      </c>
      <c r="J190" s="6" t="s">
        <v>275</v>
      </c>
      <c r="K190" s="6" t="s">
        <v>798</v>
      </c>
      <c r="L190" s="14">
        <v>2.2005955E7</v>
      </c>
      <c r="M190" s="9"/>
      <c r="N190" s="9"/>
      <c r="O190" s="9"/>
      <c r="P190" s="9"/>
      <c r="Q190" s="6">
        <v>1.0</v>
      </c>
      <c r="R190" s="23">
        <v>46121.0</v>
      </c>
      <c r="S190" s="23">
        <v>46127.0</v>
      </c>
      <c r="T190" s="23">
        <v>46125.0</v>
      </c>
      <c r="U190" s="9"/>
      <c r="V190" s="6" t="s">
        <v>44</v>
      </c>
      <c r="W190" s="9"/>
      <c r="X190" s="6" t="s">
        <v>45</v>
      </c>
      <c r="Y190" s="6" t="s">
        <v>46</v>
      </c>
      <c r="Z190" s="6">
        <v>3.040305018E9</v>
      </c>
      <c r="AA190" s="6" t="s">
        <v>63</v>
      </c>
      <c r="AB190" s="6" t="s">
        <v>72</v>
      </c>
      <c r="AC190" s="6" t="s">
        <v>74</v>
      </c>
      <c r="AD190" s="9"/>
      <c r="AE190" s="9"/>
      <c r="AF190" s="9"/>
      <c r="AG190" s="9"/>
    </row>
    <row r="191" hidden="1">
      <c r="A191" s="21">
        <f>COUNTIF('Histórico'!$B:$B,B191)</f>
        <v>1</v>
      </c>
      <c r="B191" s="21" t="s">
        <v>918</v>
      </c>
      <c r="C191" s="9"/>
      <c r="D191" s="6" t="s">
        <v>39</v>
      </c>
      <c r="E191" s="6" t="s">
        <v>40</v>
      </c>
      <c r="F191" s="23">
        <v>46125.0</v>
      </c>
      <c r="G191" s="6" t="s">
        <v>41</v>
      </c>
      <c r="H191" s="23">
        <v>46125.0</v>
      </c>
      <c r="I191" s="6" t="s">
        <v>337</v>
      </c>
      <c r="J191" s="6">
        <v>22373.0</v>
      </c>
      <c r="K191" s="6" t="s">
        <v>338</v>
      </c>
      <c r="L191" s="14">
        <v>18156.0</v>
      </c>
      <c r="M191" s="9"/>
      <c r="N191" s="9"/>
      <c r="O191" s="9"/>
      <c r="P191" s="9"/>
      <c r="Q191" s="6">
        <v>1.0</v>
      </c>
      <c r="R191" s="23">
        <v>46120.0</v>
      </c>
      <c r="S191" s="23">
        <v>46126.0</v>
      </c>
      <c r="T191" s="23">
        <v>46125.0</v>
      </c>
      <c r="U191" s="9"/>
      <c r="V191" s="6" t="s">
        <v>44</v>
      </c>
      <c r="W191" s="21"/>
      <c r="X191" s="6" t="s">
        <v>45</v>
      </c>
      <c r="Y191" s="6" t="s">
        <v>46</v>
      </c>
      <c r="Z191" s="6">
        <v>3.040321987E9</v>
      </c>
      <c r="AA191" s="6" t="s">
        <v>75</v>
      </c>
      <c r="AB191" s="6" t="s">
        <v>152</v>
      </c>
      <c r="AC191" s="6" t="s">
        <v>919</v>
      </c>
      <c r="AD191" s="9"/>
      <c r="AE191" s="9"/>
      <c r="AF191" s="9"/>
      <c r="AG191" s="9"/>
    </row>
    <row r="192" hidden="1">
      <c r="A192" s="21">
        <f>COUNTIF('Histórico'!$B:$B,B192)</f>
        <v>1</v>
      </c>
      <c r="B192" s="21" t="s">
        <v>920</v>
      </c>
      <c r="C192" s="9"/>
      <c r="D192" s="6" t="s">
        <v>39</v>
      </c>
      <c r="E192" s="6" t="s">
        <v>40</v>
      </c>
      <c r="F192" s="23">
        <v>46125.0</v>
      </c>
      <c r="G192" s="6" t="s">
        <v>41</v>
      </c>
      <c r="H192" s="23">
        <v>46125.0</v>
      </c>
      <c r="I192" s="6" t="s">
        <v>345</v>
      </c>
      <c r="J192" s="6">
        <v>22373.0</v>
      </c>
      <c r="K192" s="6" t="s">
        <v>346</v>
      </c>
      <c r="L192" s="14">
        <v>32207.0</v>
      </c>
      <c r="M192" s="9"/>
      <c r="N192" s="9"/>
      <c r="O192" s="9"/>
      <c r="P192" s="9"/>
      <c r="Q192" s="6">
        <v>1.0</v>
      </c>
      <c r="R192" s="23">
        <v>45962.0</v>
      </c>
      <c r="S192" s="23">
        <v>46023.0</v>
      </c>
      <c r="T192" s="23">
        <v>46125.0</v>
      </c>
      <c r="U192" s="9"/>
      <c r="V192" s="6" t="s">
        <v>44</v>
      </c>
      <c r="W192" s="9"/>
      <c r="X192" s="6" t="s">
        <v>45</v>
      </c>
      <c r="Y192" s="6" t="s">
        <v>46</v>
      </c>
      <c r="Z192" s="6">
        <v>3.040297382E9</v>
      </c>
      <c r="AA192" s="6" t="s">
        <v>60</v>
      </c>
      <c r="AB192" s="6" t="s">
        <v>194</v>
      </c>
      <c r="AC192" s="6" t="s">
        <v>561</v>
      </c>
      <c r="AD192" s="9"/>
      <c r="AE192" s="9"/>
      <c r="AF192" s="9"/>
      <c r="AG192" s="9"/>
    </row>
    <row r="193" hidden="1">
      <c r="A193" s="21">
        <f>COUNTIF('Histórico'!$B:$B,B193)</f>
        <v>1</v>
      </c>
      <c r="B193" s="21" t="s">
        <v>921</v>
      </c>
      <c r="C193" s="9"/>
      <c r="D193" s="6" t="s">
        <v>39</v>
      </c>
      <c r="E193" s="6" t="s">
        <v>40</v>
      </c>
      <c r="F193" s="23">
        <v>46125.0</v>
      </c>
      <c r="G193" s="6" t="s">
        <v>41</v>
      </c>
      <c r="H193" s="23">
        <v>46125.0</v>
      </c>
      <c r="I193" s="6" t="s">
        <v>923</v>
      </c>
      <c r="J193" s="6">
        <v>22373.0</v>
      </c>
      <c r="K193" s="6" t="s">
        <v>924</v>
      </c>
      <c r="L193" s="14">
        <v>37971.0</v>
      </c>
      <c r="M193" s="9"/>
      <c r="N193" s="9"/>
      <c r="O193" s="9"/>
      <c r="P193" s="9"/>
      <c r="Q193" s="6">
        <v>1.0</v>
      </c>
      <c r="R193" s="23">
        <v>46120.0</v>
      </c>
      <c r="S193" s="23">
        <v>46126.0</v>
      </c>
      <c r="T193" s="23">
        <v>46125.0</v>
      </c>
      <c r="U193" s="9"/>
      <c r="V193" s="6" t="s">
        <v>44</v>
      </c>
      <c r="W193" s="9"/>
      <c r="X193" s="6" t="s">
        <v>45</v>
      </c>
      <c r="Y193" s="6" t="s">
        <v>46</v>
      </c>
      <c r="Z193" s="6">
        <v>3.040210847E9</v>
      </c>
      <c r="AA193" s="6" t="s">
        <v>294</v>
      </c>
      <c r="AB193" s="6" t="s">
        <v>925</v>
      </c>
      <c r="AC193" s="6" t="s">
        <v>926</v>
      </c>
      <c r="AD193" s="9"/>
      <c r="AE193" s="9"/>
      <c r="AF193" s="9"/>
      <c r="AG193" s="9"/>
    </row>
    <row r="194" hidden="1">
      <c r="A194" s="21">
        <f>COUNTIF('Histórico'!$B:$B,B194)</f>
        <v>1</v>
      </c>
      <c r="B194" s="21" t="s">
        <v>927</v>
      </c>
      <c r="C194" s="9"/>
      <c r="D194" s="6" t="s">
        <v>39</v>
      </c>
      <c r="E194" s="6" t="s">
        <v>40</v>
      </c>
      <c r="F194" s="23">
        <v>46125.0</v>
      </c>
      <c r="G194" s="6" t="s">
        <v>41</v>
      </c>
      <c r="H194" s="23">
        <v>46125.0</v>
      </c>
      <c r="I194" s="6" t="s">
        <v>684</v>
      </c>
      <c r="J194" s="6">
        <v>22373.0</v>
      </c>
      <c r="K194" s="6" t="s">
        <v>685</v>
      </c>
      <c r="L194" s="14">
        <v>84326.0</v>
      </c>
      <c r="M194" s="9"/>
      <c r="N194" s="9"/>
      <c r="O194" s="9"/>
      <c r="P194" s="9"/>
      <c r="Q194" s="6">
        <v>1.0</v>
      </c>
      <c r="R194" s="23">
        <v>46121.0</v>
      </c>
      <c r="S194" s="23">
        <v>46127.0</v>
      </c>
      <c r="T194" s="23">
        <v>46125.0</v>
      </c>
      <c r="U194" s="9"/>
      <c r="V194" s="6" t="s">
        <v>44</v>
      </c>
      <c r="W194" s="21"/>
      <c r="X194" s="6" t="s">
        <v>45</v>
      </c>
      <c r="Y194" s="6" t="s">
        <v>46</v>
      </c>
      <c r="Z194" s="6">
        <v>3.040308559E9</v>
      </c>
      <c r="AA194" s="6" t="s">
        <v>75</v>
      </c>
      <c r="AB194" s="6" t="s">
        <v>152</v>
      </c>
      <c r="AC194" s="6" t="s">
        <v>153</v>
      </c>
      <c r="AD194" s="9"/>
      <c r="AE194" s="9"/>
      <c r="AF194" s="9"/>
      <c r="AG194" s="9"/>
    </row>
    <row r="195" hidden="1">
      <c r="A195" s="21">
        <f>COUNTIF('Histórico'!$B:$B,B195)</f>
        <v>1</v>
      </c>
      <c r="B195" s="21" t="s">
        <v>928</v>
      </c>
      <c r="C195" s="9"/>
      <c r="D195" s="6" t="s">
        <v>39</v>
      </c>
      <c r="E195" s="6" t="s">
        <v>40</v>
      </c>
      <c r="F195" s="23">
        <v>46125.0</v>
      </c>
      <c r="G195" s="6" t="s">
        <v>41</v>
      </c>
      <c r="H195" s="23">
        <v>46125.0</v>
      </c>
      <c r="I195" s="6" t="s">
        <v>684</v>
      </c>
      <c r="J195" s="6">
        <v>22373.0</v>
      </c>
      <c r="K195" s="6" t="s">
        <v>685</v>
      </c>
      <c r="L195" s="14">
        <v>83740.0</v>
      </c>
      <c r="M195" s="9"/>
      <c r="N195" s="9"/>
      <c r="O195" s="9"/>
      <c r="P195" s="9"/>
      <c r="Q195" s="6">
        <v>1.0</v>
      </c>
      <c r="R195" s="23">
        <v>46121.0</v>
      </c>
      <c r="S195" s="23">
        <v>46127.0</v>
      </c>
      <c r="T195" s="23">
        <v>46125.0</v>
      </c>
      <c r="U195" s="9"/>
      <c r="V195" s="6" t="s">
        <v>44</v>
      </c>
      <c r="W195" s="9"/>
      <c r="X195" s="6" t="s">
        <v>45</v>
      </c>
      <c r="Y195" s="6" t="s">
        <v>46</v>
      </c>
      <c r="Z195" s="6">
        <v>3.04030856E9</v>
      </c>
      <c r="AA195" s="6" t="s">
        <v>75</v>
      </c>
      <c r="AB195" s="6" t="s">
        <v>152</v>
      </c>
      <c r="AC195" s="6" t="s">
        <v>153</v>
      </c>
      <c r="AD195" s="9"/>
      <c r="AE195" s="9"/>
      <c r="AF195" s="9"/>
      <c r="AG195" s="9"/>
    </row>
    <row r="196" hidden="1">
      <c r="A196" s="21">
        <f>COUNTIF('Histórico'!$B:$B,B196)</f>
        <v>1</v>
      </c>
      <c r="B196" s="21" t="s">
        <v>929</v>
      </c>
      <c r="C196" s="9"/>
      <c r="D196" s="6" t="s">
        <v>39</v>
      </c>
      <c r="E196" s="6" t="s">
        <v>40</v>
      </c>
      <c r="F196" s="23">
        <v>46125.0</v>
      </c>
      <c r="G196" s="6" t="s">
        <v>41</v>
      </c>
      <c r="H196" s="23">
        <v>46125.0</v>
      </c>
      <c r="I196" s="6" t="s">
        <v>684</v>
      </c>
      <c r="J196" s="6">
        <v>22373.0</v>
      </c>
      <c r="K196" s="6" t="s">
        <v>685</v>
      </c>
      <c r="L196" s="14">
        <v>83773.0</v>
      </c>
      <c r="M196" s="9"/>
      <c r="N196" s="9"/>
      <c r="O196" s="9"/>
      <c r="P196" s="9"/>
      <c r="Q196" s="6">
        <v>1.0</v>
      </c>
      <c r="R196" s="23">
        <v>46121.0</v>
      </c>
      <c r="S196" s="23">
        <v>46127.0</v>
      </c>
      <c r="T196" s="23">
        <v>46125.0</v>
      </c>
      <c r="U196" s="9"/>
      <c r="V196" s="6" t="s">
        <v>44</v>
      </c>
      <c r="W196" s="21"/>
      <c r="X196" s="6" t="s">
        <v>45</v>
      </c>
      <c r="Y196" s="6" t="s">
        <v>46</v>
      </c>
      <c r="Z196" s="6">
        <v>3.04030977E9</v>
      </c>
      <c r="AA196" s="6" t="s">
        <v>57</v>
      </c>
      <c r="AB196" s="6" t="s">
        <v>58</v>
      </c>
      <c r="AC196" s="6" t="s">
        <v>930</v>
      </c>
      <c r="AD196" s="9"/>
      <c r="AE196" s="9"/>
      <c r="AF196" s="9"/>
      <c r="AG196" s="9"/>
    </row>
    <row r="197" hidden="1">
      <c r="A197" s="21">
        <f>COUNTIF('Histórico'!$B:$B,B197)</f>
        <v>1</v>
      </c>
      <c r="B197" s="21" t="s">
        <v>931</v>
      </c>
      <c r="C197" s="9"/>
      <c r="D197" s="6" t="s">
        <v>39</v>
      </c>
      <c r="E197" s="6" t="s">
        <v>40</v>
      </c>
      <c r="F197" s="23">
        <v>46125.0</v>
      </c>
      <c r="G197" s="6" t="s">
        <v>41</v>
      </c>
      <c r="H197" s="23">
        <v>46125.0</v>
      </c>
      <c r="I197" s="6" t="s">
        <v>684</v>
      </c>
      <c r="J197" s="6">
        <v>22373.0</v>
      </c>
      <c r="K197" s="6" t="s">
        <v>685</v>
      </c>
      <c r="L197" s="14">
        <v>84317.0</v>
      </c>
      <c r="M197" s="9"/>
      <c r="N197" s="9"/>
      <c r="O197" s="9"/>
      <c r="P197" s="9"/>
      <c r="Q197" s="6">
        <v>1.0</v>
      </c>
      <c r="R197" s="23">
        <v>46120.0</v>
      </c>
      <c r="S197" s="23">
        <v>46126.0</v>
      </c>
      <c r="T197" s="23">
        <v>46125.0</v>
      </c>
      <c r="U197" s="9"/>
      <c r="V197" s="6" t="s">
        <v>44</v>
      </c>
      <c r="W197" s="21"/>
      <c r="X197" s="6" t="s">
        <v>45</v>
      </c>
      <c r="Y197" s="6" t="s">
        <v>46</v>
      </c>
      <c r="Z197" s="6">
        <v>3.040308025E9</v>
      </c>
      <c r="AA197" s="6" t="s">
        <v>57</v>
      </c>
      <c r="AB197" s="6" t="s">
        <v>58</v>
      </c>
      <c r="AC197" s="6" t="s">
        <v>59</v>
      </c>
      <c r="AD197" s="9"/>
      <c r="AE197" s="9"/>
      <c r="AF197" s="9"/>
      <c r="AG197" s="9"/>
    </row>
    <row r="198" hidden="1">
      <c r="A198" s="21">
        <f>COUNTIF('Histórico'!$B:$B,B198)</f>
        <v>1</v>
      </c>
      <c r="B198" s="21" t="s">
        <v>932</v>
      </c>
      <c r="C198" s="9"/>
      <c r="D198" s="6" t="s">
        <v>39</v>
      </c>
      <c r="E198" s="6" t="s">
        <v>40</v>
      </c>
      <c r="F198" s="23">
        <v>46125.0</v>
      </c>
      <c r="G198" s="6" t="s">
        <v>41</v>
      </c>
      <c r="H198" s="23">
        <v>46125.0</v>
      </c>
      <c r="I198" s="6" t="s">
        <v>231</v>
      </c>
      <c r="J198" s="6">
        <v>71513.0</v>
      </c>
      <c r="K198" s="6" t="s">
        <v>232</v>
      </c>
      <c r="L198" s="14" t="s">
        <v>933</v>
      </c>
      <c r="M198" s="9"/>
      <c r="N198" s="9"/>
      <c r="O198" s="9"/>
      <c r="P198" s="9"/>
      <c r="Q198" s="6">
        <v>1.0</v>
      </c>
      <c r="R198" s="23">
        <v>46119.0</v>
      </c>
      <c r="S198" s="23">
        <v>46125.0</v>
      </c>
      <c r="T198" s="23">
        <v>46125.0</v>
      </c>
      <c r="U198" s="9"/>
      <c r="V198" s="6" t="s">
        <v>44</v>
      </c>
      <c r="W198" s="21"/>
      <c r="X198" s="6" t="s">
        <v>45</v>
      </c>
      <c r="Y198" s="6" t="s">
        <v>46</v>
      </c>
      <c r="Z198" s="6">
        <v>3.040324086E9</v>
      </c>
      <c r="AA198" s="6" t="s">
        <v>64</v>
      </c>
      <c r="AB198" s="6" t="s">
        <v>588</v>
      </c>
      <c r="AC198" s="6" t="s">
        <v>589</v>
      </c>
      <c r="AD198" s="9"/>
      <c r="AE198" s="9"/>
      <c r="AF198" s="9"/>
      <c r="AG198" s="9"/>
    </row>
    <row r="199" hidden="1">
      <c r="A199" s="21">
        <f>COUNTIF('Histórico'!$B:$B,B199)</f>
        <v>1</v>
      </c>
      <c r="B199" s="21" t="s">
        <v>934</v>
      </c>
      <c r="C199" s="9"/>
      <c r="D199" s="6" t="s">
        <v>39</v>
      </c>
      <c r="E199" s="6" t="s">
        <v>40</v>
      </c>
      <c r="F199" s="23">
        <v>46125.0</v>
      </c>
      <c r="G199" s="6" t="s">
        <v>41</v>
      </c>
      <c r="H199" s="23">
        <v>46125.0</v>
      </c>
      <c r="I199" s="6" t="s">
        <v>456</v>
      </c>
      <c r="J199" s="6">
        <v>22373.0</v>
      </c>
      <c r="K199" s="6" t="s">
        <v>457</v>
      </c>
      <c r="L199" s="14">
        <v>6708.0</v>
      </c>
      <c r="M199" s="9"/>
      <c r="N199" s="9"/>
      <c r="O199" s="9"/>
      <c r="P199" s="9"/>
      <c r="Q199" s="6">
        <v>1.0</v>
      </c>
      <c r="R199" s="23">
        <v>46121.0</v>
      </c>
      <c r="S199" s="23">
        <v>46127.0</v>
      </c>
      <c r="T199" s="23">
        <v>46125.0</v>
      </c>
      <c r="U199" s="9"/>
      <c r="V199" s="6" t="s">
        <v>44</v>
      </c>
      <c r="W199" s="9"/>
      <c r="X199" s="6" t="s">
        <v>45</v>
      </c>
      <c r="Y199" s="6" t="s">
        <v>46</v>
      </c>
      <c r="Z199" s="6">
        <v>3.040302424E9</v>
      </c>
      <c r="AA199" s="6" t="s">
        <v>64</v>
      </c>
      <c r="AB199" s="6" t="s">
        <v>94</v>
      </c>
      <c r="AC199" s="6" t="s">
        <v>95</v>
      </c>
      <c r="AD199" s="9"/>
      <c r="AE199" s="9"/>
      <c r="AF199" s="9"/>
      <c r="AG199" s="9"/>
    </row>
    <row r="200" hidden="1">
      <c r="A200" s="21">
        <f>COUNTIF('Histórico'!$B:$B,B200)</f>
        <v>1</v>
      </c>
      <c r="B200" s="21" t="s">
        <v>935</v>
      </c>
      <c r="C200" s="9"/>
      <c r="D200" s="6" t="s">
        <v>39</v>
      </c>
      <c r="E200" s="6" t="s">
        <v>40</v>
      </c>
      <c r="F200" s="23">
        <v>46125.0</v>
      </c>
      <c r="G200" s="6" t="s">
        <v>41</v>
      </c>
      <c r="H200" s="23">
        <v>46125.0</v>
      </c>
      <c r="I200" s="6" t="s">
        <v>456</v>
      </c>
      <c r="J200" s="6">
        <v>22373.0</v>
      </c>
      <c r="K200" s="6" t="s">
        <v>457</v>
      </c>
      <c r="L200" s="14">
        <v>9727.0</v>
      </c>
      <c r="M200" s="9"/>
      <c r="N200" s="9"/>
      <c r="O200" s="9"/>
      <c r="P200" s="9"/>
      <c r="Q200" s="6">
        <v>1.0</v>
      </c>
      <c r="R200" s="23">
        <v>46121.0</v>
      </c>
      <c r="S200" s="23">
        <v>46127.0</v>
      </c>
      <c r="T200" s="23">
        <v>46125.0</v>
      </c>
      <c r="U200" s="9"/>
      <c r="V200" s="6" t="s">
        <v>44</v>
      </c>
      <c r="W200" s="21"/>
      <c r="X200" s="6" t="s">
        <v>45</v>
      </c>
      <c r="Y200" s="6" t="s">
        <v>46</v>
      </c>
      <c r="Z200" s="6">
        <v>3.040324062E9</v>
      </c>
      <c r="AA200" s="6" t="s">
        <v>64</v>
      </c>
      <c r="AB200" s="6" t="s">
        <v>399</v>
      </c>
      <c r="AC200" s="6" t="s">
        <v>894</v>
      </c>
      <c r="AD200" s="9"/>
      <c r="AE200" s="9"/>
      <c r="AF200" s="9"/>
      <c r="AG200" s="9"/>
    </row>
    <row r="201" hidden="1">
      <c r="A201" s="21">
        <f>COUNTIF('Histórico'!$B:$B,B201)</f>
        <v>1</v>
      </c>
      <c r="B201" s="21" t="s">
        <v>936</v>
      </c>
      <c r="C201" s="9"/>
      <c r="D201" s="6" t="s">
        <v>39</v>
      </c>
      <c r="E201" s="6" t="s">
        <v>40</v>
      </c>
      <c r="F201" s="23">
        <v>46125.0</v>
      </c>
      <c r="G201" s="6" t="s">
        <v>41</v>
      </c>
      <c r="H201" s="23">
        <v>46125.0</v>
      </c>
      <c r="I201" s="6" t="s">
        <v>226</v>
      </c>
      <c r="J201" s="6">
        <v>71513.0</v>
      </c>
      <c r="K201" s="6" t="s">
        <v>320</v>
      </c>
      <c r="L201" s="14">
        <v>965.0</v>
      </c>
      <c r="M201" s="9"/>
      <c r="N201" s="9"/>
      <c r="O201" s="9"/>
      <c r="P201" s="9"/>
      <c r="Q201" s="6">
        <v>1.0</v>
      </c>
      <c r="R201" s="23">
        <v>46119.0</v>
      </c>
      <c r="S201" s="23">
        <v>46125.0</v>
      </c>
      <c r="T201" s="23">
        <v>46125.0</v>
      </c>
      <c r="U201" s="9"/>
      <c r="V201" s="6" t="s">
        <v>44</v>
      </c>
      <c r="W201" s="9"/>
      <c r="X201" s="6" t="s">
        <v>45</v>
      </c>
      <c r="Y201" s="6" t="s">
        <v>46</v>
      </c>
      <c r="Z201" s="6">
        <v>3.040324088E9</v>
      </c>
      <c r="AA201" s="6" t="s">
        <v>64</v>
      </c>
      <c r="AB201" s="6" t="s">
        <v>588</v>
      </c>
      <c r="AC201" s="6" t="s">
        <v>589</v>
      </c>
      <c r="AD201" s="9"/>
      <c r="AE201" s="9"/>
      <c r="AF201" s="9"/>
      <c r="AG201" s="9"/>
    </row>
    <row r="202" hidden="1">
      <c r="A202" s="21">
        <f>COUNTIF('Histórico'!$B:$B,B202)</f>
        <v>1</v>
      </c>
      <c r="B202" s="21" t="s">
        <v>937</v>
      </c>
      <c r="C202" s="9"/>
      <c r="D202" s="6" t="s">
        <v>39</v>
      </c>
      <c r="E202" s="6" t="s">
        <v>40</v>
      </c>
      <c r="F202" s="23">
        <v>46125.0</v>
      </c>
      <c r="G202" s="6" t="s">
        <v>41</v>
      </c>
      <c r="H202" s="23">
        <v>46125.0</v>
      </c>
      <c r="I202" s="6" t="s">
        <v>335</v>
      </c>
      <c r="J202" s="6">
        <v>71513.0</v>
      </c>
      <c r="K202" s="6" t="s">
        <v>336</v>
      </c>
      <c r="L202" s="14" t="s">
        <v>938</v>
      </c>
      <c r="M202" s="9"/>
      <c r="N202" s="9"/>
      <c r="O202" s="9"/>
      <c r="P202" s="9"/>
      <c r="Q202" s="6">
        <v>1.0</v>
      </c>
      <c r="R202" s="23">
        <v>46119.0</v>
      </c>
      <c r="S202" s="23">
        <v>46125.0</v>
      </c>
      <c r="T202" s="23">
        <v>46125.0</v>
      </c>
      <c r="U202" s="9"/>
      <c r="V202" s="6" t="s">
        <v>44</v>
      </c>
      <c r="W202" s="9"/>
      <c r="X202" s="6" t="s">
        <v>45</v>
      </c>
      <c r="Y202" s="6" t="s">
        <v>46</v>
      </c>
      <c r="Z202" s="6">
        <v>3.040324089E9</v>
      </c>
      <c r="AA202" s="6" t="s">
        <v>64</v>
      </c>
      <c r="AB202" s="6" t="s">
        <v>588</v>
      </c>
      <c r="AC202" s="6" t="s">
        <v>589</v>
      </c>
      <c r="AD202" s="9"/>
      <c r="AE202" s="9"/>
      <c r="AF202" s="9"/>
      <c r="AG202" s="9"/>
    </row>
    <row r="203" hidden="1">
      <c r="A203" s="21">
        <f>COUNTIF('Histórico'!$B:$B,B203)</f>
        <v>1</v>
      </c>
      <c r="B203" s="21" t="s">
        <v>939</v>
      </c>
      <c r="C203" s="9"/>
      <c r="D203" s="6" t="s">
        <v>39</v>
      </c>
      <c r="E203" s="6" t="s">
        <v>40</v>
      </c>
      <c r="F203" s="23">
        <v>46125.0</v>
      </c>
      <c r="G203" s="6" t="s">
        <v>41</v>
      </c>
      <c r="H203" s="23">
        <v>46125.0</v>
      </c>
      <c r="I203" s="6" t="s">
        <v>218</v>
      </c>
      <c r="J203" s="6">
        <v>33269.0</v>
      </c>
      <c r="K203" s="6" t="s">
        <v>343</v>
      </c>
      <c r="L203" s="14">
        <v>688.0</v>
      </c>
      <c r="M203" s="9"/>
      <c r="N203" s="9"/>
      <c r="O203" s="9"/>
      <c r="P203" s="9"/>
      <c r="Q203" s="6">
        <v>1.0</v>
      </c>
      <c r="R203" s="23">
        <v>46119.0</v>
      </c>
      <c r="S203" s="23">
        <v>46125.0</v>
      </c>
      <c r="T203" s="23">
        <v>46125.0</v>
      </c>
      <c r="U203" s="9"/>
      <c r="V203" s="6" t="s">
        <v>44</v>
      </c>
      <c r="W203" s="9"/>
      <c r="X203" s="6" t="s">
        <v>45</v>
      </c>
      <c r="Y203" s="6" t="s">
        <v>46</v>
      </c>
      <c r="Z203" s="6">
        <v>3.040324091E9</v>
      </c>
      <c r="AA203" s="6" t="s">
        <v>64</v>
      </c>
      <c r="AB203" s="6" t="s">
        <v>588</v>
      </c>
      <c r="AC203" s="6" t="s">
        <v>589</v>
      </c>
      <c r="AD203" s="9"/>
      <c r="AE203" s="9"/>
      <c r="AF203" s="9"/>
      <c r="AG203" s="9"/>
    </row>
    <row r="204" hidden="1">
      <c r="A204" s="21">
        <f>COUNTIF('Histórico'!$B:$B,B204)</f>
        <v>1</v>
      </c>
      <c r="B204" s="21" t="s">
        <v>940</v>
      </c>
      <c r="C204" s="9"/>
      <c r="D204" s="6" t="s">
        <v>39</v>
      </c>
      <c r="E204" s="6" t="s">
        <v>40</v>
      </c>
      <c r="F204" s="23">
        <v>46125.0</v>
      </c>
      <c r="G204" s="6" t="s">
        <v>41</v>
      </c>
      <c r="H204" s="23">
        <v>46125.0</v>
      </c>
      <c r="I204" s="6" t="s">
        <v>218</v>
      </c>
      <c r="J204" s="6">
        <v>33269.0</v>
      </c>
      <c r="K204" s="6" t="s">
        <v>343</v>
      </c>
      <c r="L204" s="14">
        <v>2007.0</v>
      </c>
      <c r="M204" s="9"/>
      <c r="N204" s="9"/>
      <c r="O204" s="9"/>
      <c r="P204" s="9"/>
      <c r="Q204" s="6">
        <v>1.0</v>
      </c>
      <c r="R204" s="23">
        <v>46143.0</v>
      </c>
      <c r="S204" s="23">
        <v>46173.0</v>
      </c>
      <c r="T204" s="23">
        <v>46125.0</v>
      </c>
      <c r="U204" s="9"/>
      <c r="V204" s="6" t="s">
        <v>44</v>
      </c>
      <c r="W204" s="9"/>
      <c r="X204" s="6" t="s">
        <v>45</v>
      </c>
      <c r="Y204" s="6" t="s">
        <v>46</v>
      </c>
      <c r="Z204" s="6">
        <v>3.040322749E9</v>
      </c>
      <c r="AA204" s="6" t="s">
        <v>76</v>
      </c>
      <c r="AB204" s="6" t="s">
        <v>152</v>
      </c>
      <c r="AC204" s="6" t="s">
        <v>790</v>
      </c>
      <c r="AD204" s="9"/>
      <c r="AE204" s="9"/>
      <c r="AF204" s="9"/>
      <c r="AG204" s="9"/>
    </row>
    <row r="205" hidden="1">
      <c r="A205" s="21">
        <f>COUNTIF('Histórico'!$B:$B,B205)</f>
        <v>1</v>
      </c>
      <c r="B205" s="21" t="s">
        <v>941</v>
      </c>
      <c r="C205" s="9"/>
      <c r="D205" s="6" t="s">
        <v>39</v>
      </c>
      <c r="E205" s="6" t="s">
        <v>40</v>
      </c>
      <c r="F205" s="23">
        <v>46125.0</v>
      </c>
      <c r="G205" s="6" t="s">
        <v>41</v>
      </c>
      <c r="H205" s="23">
        <v>46125.0</v>
      </c>
      <c r="I205" s="6" t="s">
        <v>218</v>
      </c>
      <c r="J205" s="6">
        <v>33269.0</v>
      </c>
      <c r="K205" s="6" t="s">
        <v>343</v>
      </c>
      <c r="L205" s="14" t="s">
        <v>942</v>
      </c>
      <c r="M205" s="9"/>
      <c r="N205" s="9"/>
      <c r="O205" s="9"/>
      <c r="P205" s="9"/>
      <c r="Q205" s="6">
        <v>1.0</v>
      </c>
      <c r="R205" s="23">
        <v>46204.0</v>
      </c>
      <c r="S205" s="23">
        <v>46234.0</v>
      </c>
      <c r="T205" s="23">
        <v>46125.0</v>
      </c>
      <c r="U205" s="9"/>
      <c r="V205" s="6" t="s">
        <v>44</v>
      </c>
      <c r="W205" s="9"/>
      <c r="X205" s="6" t="s">
        <v>45</v>
      </c>
      <c r="Y205" s="6" t="s">
        <v>46</v>
      </c>
      <c r="Z205" s="6">
        <v>3.04032409E9</v>
      </c>
      <c r="AA205" s="6" t="s">
        <v>64</v>
      </c>
      <c r="AB205" s="6" t="s">
        <v>588</v>
      </c>
      <c r="AC205" s="6" t="s">
        <v>589</v>
      </c>
      <c r="AD205" s="9"/>
      <c r="AE205" s="9"/>
      <c r="AF205" s="9"/>
      <c r="AG205" s="9"/>
    </row>
    <row r="206" hidden="1">
      <c r="A206" s="21">
        <f>COUNTIF('Histórico'!$B:$B,B206)</f>
        <v>1</v>
      </c>
      <c r="B206" s="21" t="s">
        <v>943</v>
      </c>
      <c r="C206" s="9"/>
      <c r="D206" s="6" t="s">
        <v>39</v>
      </c>
      <c r="E206" s="6" t="s">
        <v>40</v>
      </c>
      <c r="F206" s="23">
        <v>46125.0</v>
      </c>
      <c r="G206" s="6" t="s">
        <v>41</v>
      </c>
      <c r="H206" s="23">
        <v>46125.0</v>
      </c>
      <c r="I206" s="6" t="s">
        <v>277</v>
      </c>
      <c r="J206" s="6">
        <v>95270.0</v>
      </c>
      <c r="K206" s="6" t="s">
        <v>944</v>
      </c>
      <c r="L206" s="14">
        <v>1391.0</v>
      </c>
      <c r="M206" s="9"/>
      <c r="N206" s="9"/>
      <c r="O206" s="9"/>
      <c r="P206" s="9"/>
      <c r="Q206" s="6">
        <v>1.0</v>
      </c>
      <c r="R206" s="23">
        <v>46119.0</v>
      </c>
      <c r="S206" s="23">
        <v>46125.0</v>
      </c>
      <c r="T206" s="23">
        <v>46125.0</v>
      </c>
      <c r="U206" s="9"/>
      <c r="V206" s="6" t="s">
        <v>44</v>
      </c>
      <c r="W206" s="9"/>
      <c r="X206" s="6" t="s">
        <v>45</v>
      </c>
      <c r="Y206" s="6" t="s">
        <v>46</v>
      </c>
      <c r="Z206" s="6">
        <v>3.040316987E9</v>
      </c>
      <c r="AA206" s="6" t="s">
        <v>45</v>
      </c>
      <c r="AB206" s="6" t="s">
        <v>46</v>
      </c>
      <c r="AC206" s="6" t="s">
        <v>177</v>
      </c>
      <c r="AD206" s="9"/>
      <c r="AE206" s="9"/>
      <c r="AF206" s="9"/>
      <c r="AG206" s="9"/>
    </row>
    <row r="207" hidden="1">
      <c r="A207" s="21">
        <f>COUNTIF('Histórico'!$B:$B,B207)</f>
        <v>1</v>
      </c>
      <c r="B207" s="21" t="s">
        <v>945</v>
      </c>
      <c r="C207" s="9"/>
      <c r="D207" s="6" t="s">
        <v>39</v>
      </c>
      <c r="E207" s="6" t="s">
        <v>40</v>
      </c>
      <c r="F207" s="23">
        <v>46125.0</v>
      </c>
      <c r="G207" s="6" t="s">
        <v>41</v>
      </c>
      <c r="H207" s="23">
        <v>46125.0</v>
      </c>
      <c r="I207" s="6" t="s">
        <v>556</v>
      </c>
      <c r="J207" s="6" t="s">
        <v>650</v>
      </c>
      <c r="K207" s="6" t="s">
        <v>946</v>
      </c>
      <c r="L207" s="14">
        <v>120315.0</v>
      </c>
      <c r="M207" s="9"/>
      <c r="N207" s="9"/>
      <c r="O207" s="9"/>
      <c r="P207" s="9"/>
      <c r="Q207" s="6">
        <v>1.0</v>
      </c>
      <c r="R207" s="23">
        <v>46121.0</v>
      </c>
      <c r="S207" s="23">
        <v>46127.0</v>
      </c>
      <c r="T207" s="23">
        <v>46125.0</v>
      </c>
      <c r="U207" s="9"/>
      <c r="V207" s="6" t="s">
        <v>44</v>
      </c>
      <c r="W207" s="9"/>
      <c r="X207" s="6" t="s">
        <v>45</v>
      </c>
      <c r="Y207" s="6" t="s">
        <v>46</v>
      </c>
      <c r="Z207" s="6">
        <v>3.040321931E9</v>
      </c>
      <c r="AA207" s="6" t="s">
        <v>45</v>
      </c>
      <c r="AB207" s="6" t="s">
        <v>203</v>
      </c>
      <c r="AC207" s="6" t="s">
        <v>947</v>
      </c>
      <c r="AD207" s="9"/>
      <c r="AE207" s="9"/>
      <c r="AF207" s="9"/>
      <c r="AG207" s="9"/>
    </row>
    <row r="208" hidden="1">
      <c r="A208" s="21">
        <f>COUNTIF('Histórico'!$B:$B,B208)</f>
        <v>1</v>
      </c>
      <c r="B208" s="21" t="s">
        <v>948</v>
      </c>
      <c r="C208" s="9"/>
      <c r="D208" s="6" t="s">
        <v>39</v>
      </c>
      <c r="E208" s="6" t="s">
        <v>40</v>
      </c>
      <c r="F208" s="23">
        <v>46125.0</v>
      </c>
      <c r="G208" s="6" t="s">
        <v>41</v>
      </c>
      <c r="H208" s="23">
        <v>46125.0</v>
      </c>
      <c r="I208" s="6" t="s">
        <v>949</v>
      </c>
      <c r="J208" s="6" t="s">
        <v>156</v>
      </c>
      <c r="K208" s="6" t="s">
        <v>950</v>
      </c>
      <c r="L208" s="61" t="s">
        <v>951</v>
      </c>
      <c r="M208" s="9"/>
      <c r="N208" s="9"/>
      <c r="O208" s="9"/>
      <c r="P208" s="9"/>
      <c r="Q208" s="6">
        <v>1.0</v>
      </c>
      <c r="R208" s="23">
        <v>46120.0</v>
      </c>
      <c r="S208" s="23">
        <v>46126.0</v>
      </c>
      <c r="T208" s="23">
        <v>46125.0</v>
      </c>
      <c r="U208" s="9"/>
      <c r="V208" s="6" t="s">
        <v>103</v>
      </c>
      <c r="W208" s="6">
        <v>3.04250073749E11</v>
      </c>
      <c r="X208" s="6" t="s">
        <v>45</v>
      </c>
      <c r="Y208" s="6" t="s">
        <v>46</v>
      </c>
      <c r="Z208" s="6">
        <v>3.040311759E9</v>
      </c>
      <c r="AA208" s="6" t="s">
        <v>63</v>
      </c>
      <c r="AB208" s="6" t="s">
        <v>241</v>
      </c>
      <c r="AC208" s="6" t="s">
        <v>583</v>
      </c>
      <c r="AD208" s="9"/>
      <c r="AE208" s="9"/>
      <c r="AF208" s="9"/>
      <c r="AG208" s="9"/>
    </row>
    <row r="209" hidden="1">
      <c r="A209" s="21">
        <f>COUNTIF('Histórico'!$B:$B,B209)</f>
        <v>1</v>
      </c>
      <c r="B209" s="21" t="s">
        <v>952</v>
      </c>
      <c r="C209" s="9"/>
      <c r="D209" s="6" t="s">
        <v>39</v>
      </c>
      <c r="E209" s="6" t="s">
        <v>40</v>
      </c>
      <c r="F209" s="23">
        <v>46125.0</v>
      </c>
      <c r="G209" s="6" t="s">
        <v>41</v>
      </c>
      <c r="H209" s="23">
        <v>46125.0</v>
      </c>
      <c r="I209" s="6" t="s">
        <v>949</v>
      </c>
      <c r="J209" s="6" t="s">
        <v>156</v>
      </c>
      <c r="K209" s="6" t="s">
        <v>950</v>
      </c>
      <c r="L209" s="61">
        <v>535933.0</v>
      </c>
      <c r="M209" s="9"/>
      <c r="N209" s="9"/>
      <c r="O209" s="9"/>
      <c r="P209" s="9"/>
      <c r="Q209" s="6">
        <v>1.0</v>
      </c>
      <c r="R209" s="23">
        <v>46120.0</v>
      </c>
      <c r="S209" s="23">
        <v>46126.0</v>
      </c>
      <c r="T209" s="23">
        <v>46125.0</v>
      </c>
      <c r="U209" s="9"/>
      <c r="V209" s="6" t="s">
        <v>44</v>
      </c>
      <c r="W209" s="9"/>
      <c r="X209" s="6" t="s">
        <v>45</v>
      </c>
      <c r="Y209" s="6" t="s">
        <v>46</v>
      </c>
      <c r="Z209" s="6">
        <v>3.040313029E9</v>
      </c>
      <c r="AA209" s="6" t="s">
        <v>66</v>
      </c>
      <c r="AB209" s="6" t="s">
        <v>339</v>
      </c>
      <c r="AC209" s="6" t="s">
        <v>229</v>
      </c>
      <c r="AD209" s="9"/>
      <c r="AE209" s="9"/>
      <c r="AF209" s="9"/>
      <c r="AG209" s="9"/>
    </row>
    <row r="210" hidden="1">
      <c r="A210" s="21">
        <f>COUNTIF('Histórico'!$B:$B,B210)</f>
        <v>1</v>
      </c>
      <c r="B210" s="21" t="s">
        <v>953</v>
      </c>
      <c r="C210" s="9"/>
      <c r="D210" s="6" t="s">
        <v>39</v>
      </c>
      <c r="E210" s="6" t="s">
        <v>40</v>
      </c>
      <c r="F210" s="23">
        <v>46125.0</v>
      </c>
      <c r="G210" s="6" t="s">
        <v>41</v>
      </c>
      <c r="H210" s="23">
        <v>46125.0</v>
      </c>
      <c r="I210" s="6" t="s">
        <v>949</v>
      </c>
      <c r="J210" s="6" t="s">
        <v>156</v>
      </c>
      <c r="K210" s="6" t="s">
        <v>950</v>
      </c>
      <c r="L210" s="61">
        <v>614095.0</v>
      </c>
      <c r="M210" s="9"/>
      <c r="N210" s="9"/>
      <c r="O210" s="9"/>
      <c r="P210" s="9"/>
      <c r="Q210" s="6">
        <v>1.0</v>
      </c>
      <c r="R210" s="23">
        <v>46120.0</v>
      </c>
      <c r="S210" s="23">
        <v>46126.0</v>
      </c>
      <c r="T210" s="23">
        <v>46125.0</v>
      </c>
      <c r="U210" s="9"/>
      <c r="V210" s="6" t="s">
        <v>44</v>
      </c>
      <c r="W210" s="9"/>
      <c r="X210" s="6" t="s">
        <v>45</v>
      </c>
      <c r="Y210" s="6" t="s">
        <v>46</v>
      </c>
      <c r="Z210" s="6">
        <v>3.040313458E9</v>
      </c>
      <c r="AA210" s="6" t="s">
        <v>45</v>
      </c>
      <c r="AB210" s="6" t="s">
        <v>46</v>
      </c>
      <c r="AC210" s="6" t="s">
        <v>177</v>
      </c>
      <c r="AD210" s="9"/>
      <c r="AE210" s="9"/>
      <c r="AF210" s="9"/>
      <c r="AG210" s="9"/>
    </row>
    <row r="211" hidden="1">
      <c r="A211" s="21">
        <f>COUNTIF('Histórico'!$B:$B,B211)</f>
        <v>1</v>
      </c>
      <c r="B211" s="21" t="s">
        <v>954</v>
      </c>
      <c r="C211" s="9"/>
      <c r="D211" s="6" t="s">
        <v>39</v>
      </c>
      <c r="E211" s="6" t="s">
        <v>40</v>
      </c>
      <c r="F211" s="23">
        <v>46125.0</v>
      </c>
      <c r="G211" s="6" t="s">
        <v>41</v>
      </c>
      <c r="H211" s="23">
        <v>46125.0</v>
      </c>
      <c r="I211" s="6" t="s">
        <v>949</v>
      </c>
      <c r="J211" s="6" t="s">
        <v>156</v>
      </c>
      <c r="K211" s="6" t="s">
        <v>950</v>
      </c>
      <c r="L211" s="61">
        <v>625052.0</v>
      </c>
      <c r="M211" s="9"/>
      <c r="N211" s="9"/>
      <c r="O211" s="9"/>
      <c r="P211" s="9"/>
      <c r="Q211" s="6">
        <v>1.0</v>
      </c>
      <c r="R211" s="23">
        <v>46120.0</v>
      </c>
      <c r="S211" s="23">
        <v>46126.0</v>
      </c>
      <c r="T211" s="23">
        <v>46125.0</v>
      </c>
      <c r="U211" s="9"/>
      <c r="V211" s="6" t="s">
        <v>44</v>
      </c>
      <c r="W211" s="9"/>
      <c r="X211" s="6" t="s">
        <v>45</v>
      </c>
      <c r="Y211" s="6" t="s">
        <v>46</v>
      </c>
      <c r="Z211" s="6">
        <v>3.040313459E9</v>
      </c>
      <c r="AA211" s="6" t="s">
        <v>45</v>
      </c>
      <c r="AB211" s="6" t="s">
        <v>46</v>
      </c>
      <c r="AC211" s="6" t="s">
        <v>177</v>
      </c>
      <c r="AD211" s="9"/>
      <c r="AE211" s="9"/>
      <c r="AF211" s="9"/>
      <c r="AG211" s="9"/>
    </row>
    <row r="212" hidden="1">
      <c r="A212" s="21">
        <f>COUNTIF('Histórico'!$B:$B,B212)</f>
        <v>1</v>
      </c>
      <c r="B212" s="21" t="s">
        <v>955</v>
      </c>
      <c r="C212" s="9"/>
      <c r="D212" s="6" t="s">
        <v>39</v>
      </c>
      <c r="E212" s="6" t="s">
        <v>40</v>
      </c>
      <c r="F212" s="23">
        <v>46125.0</v>
      </c>
      <c r="G212" s="6" t="s">
        <v>41</v>
      </c>
      <c r="H212" s="23">
        <v>46125.0</v>
      </c>
      <c r="I212" s="6" t="s">
        <v>949</v>
      </c>
      <c r="J212" s="6" t="s">
        <v>156</v>
      </c>
      <c r="K212" s="6" t="s">
        <v>950</v>
      </c>
      <c r="L212" s="14">
        <v>3235.0</v>
      </c>
      <c r="M212" s="9"/>
      <c r="N212" s="9"/>
      <c r="O212" s="9"/>
      <c r="P212" s="9"/>
      <c r="Q212" s="6">
        <v>1.0</v>
      </c>
      <c r="R212" s="23">
        <v>46120.0</v>
      </c>
      <c r="S212" s="23">
        <v>46163.0</v>
      </c>
      <c r="T212" s="23">
        <v>46125.0</v>
      </c>
      <c r="U212" s="9"/>
      <c r="V212" s="6" t="s">
        <v>44</v>
      </c>
      <c r="W212" s="9"/>
      <c r="X212" s="6" t="s">
        <v>45</v>
      </c>
      <c r="Y212" s="6" t="s">
        <v>46</v>
      </c>
      <c r="Z212" s="6">
        <v>3.040324258E9</v>
      </c>
      <c r="AA212" s="6" t="s">
        <v>57</v>
      </c>
      <c r="AB212" s="6" t="s">
        <v>367</v>
      </c>
      <c r="AC212" s="6" t="s">
        <v>957</v>
      </c>
      <c r="AD212" s="9"/>
      <c r="AE212" s="9"/>
      <c r="AF212" s="9"/>
      <c r="AG212" s="9"/>
    </row>
    <row r="213" hidden="1">
      <c r="A213" s="21">
        <f>COUNTIF('Histórico'!$B:$B,B213)</f>
        <v>1</v>
      </c>
      <c r="B213" s="21" t="s">
        <v>958</v>
      </c>
      <c r="C213" s="9"/>
      <c r="D213" s="6" t="s">
        <v>39</v>
      </c>
      <c r="E213" s="6" t="s">
        <v>40</v>
      </c>
      <c r="F213" s="23">
        <v>46125.0</v>
      </c>
      <c r="G213" s="6" t="s">
        <v>41</v>
      </c>
      <c r="H213" s="23">
        <v>46125.0</v>
      </c>
      <c r="I213" s="6" t="s">
        <v>949</v>
      </c>
      <c r="J213" s="6" t="s">
        <v>156</v>
      </c>
      <c r="K213" s="6" t="s">
        <v>950</v>
      </c>
      <c r="L213" s="61" t="s">
        <v>959</v>
      </c>
      <c r="M213" s="9"/>
      <c r="N213" s="9"/>
      <c r="O213" s="9"/>
      <c r="P213" s="9"/>
      <c r="Q213" s="6">
        <v>1.0</v>
      </c>
      <c r="R213" s="23">
        <v>46120.0</v>
      </c>
      <c r="S213" s="23">
        <v>46163.0</v>
      </c>
      <c r="T213" s="23">
        <v>46125.0</v>
      </c>
      <c r="U213" s="9"/>
      <c r="V213" s="6" t="s">
        <v>44</v>
      </c>
      <c r="W213" s="9"/>
      <c r="X213" s="6" t="s">
        <v>45</v>
      </c>
      <c r="Y213" s="6" t="s">
        <v>46</v>
      </c>
      <c r="Z213" s="6">
        <v>3.040324257E9</v>
      </c>
      <c r="AA213" s="6" t="s">
        <v>57</v>
      </c>
      <c r="AB213" s="6" t="s">
        <v>367</v>
      </c>
      <c r="AC213" s="6" t="s">
        <v>957</v>
      </c>
      <c r="AD213" s="9"/>
      <c r="AE213" s="9"/>
      <c r="AF213" s="9"/>
      <c r="AG213" s="9"/>
    </row>
    <row r="214" hidden="1">
      <c r="A214" s="21">
        <f>COUNTIF('Histórico'!$B:$B,B214)</f>
        <v>1</v>
      </c>
      <c r="B214" s="21" t="s">
        <v>960</v>
      </c>
      <c r="C214" s="9"/>
      <c r="D214" s="6" t="s">
        <v>39</v>
      </c>
      <c r="E214" s="6" t="s">
        <v>40</v>
      </c>
      <c r="F214" s="23">
        <v>46125.0</v>
      </c>
      <c r="G214" s="6" t="s">
        <v>41</v>
      </c>
      <c r="H214" s="23">
        <v>46125.0</v>
      </c>
      <c r="I214" s="6" t="s">
        <v>949</v>
      </c>
      <c r="J214" s="6" t="s">
        <v>156</v>
      </c>
      <c r="K214" s="6" t="s">
        <v>950</v>
      </c>
      <c r="L214" s="14">
        <v>3493.0</v>
      </c>
      <c r="M214" s="9"/>
      <c r="N214" s="9"/>
      <c r="O214" s="9"/>
      <c r="P214" s="9"/>
      <c r="Q214" s="6">
        <v>1.0</v>
      </c>
      <c r="R214" s="23">
        <v>46120.0</v>
      </c>
      <c r="S214" s="23">
        <v>46126.0</v>
      </c>
      <c r="T214" s="23">
        <v>46125.0</v>
      </c>
      <c r="U214" s="9"/>
      <c r="V214" s="6" t="s">
        <v>44</v>
      </c>
      <c r="W214" s="9"/>
      <c r="X214" s="6" t="s">
        <v>45</v>
      </c>
      <c r="Y214" s="6" t="s">
        <v>46</v>
      </c>
      <c r="Z214" s="6">
        <v>3.040318926E9</v>
      </c>
      <c r="AA214" s="6" t="s">
        <v>68</v>
      </c>
      <c r="AB214" s="6" t="s">
        <v>328</v>
      </c>
      <c r="AC214" s="6" t="s">
        <v>961</v>
      </c>
      <c r="AD214" s="9"/>
      <c r="AE214" s="9"/>
      <c r="AF214" s="9"/>
      <c r="AG214" s="9"/>
    </row>
    <row r="215" hidden="1">
      <c r="A215" s="21">
        <f>COUNTIF('Histórico'!$B:$B,B215)</f>
        <v>1</v>
      </c>
      <c r="B215" s="21" t="s">
        <v>962</v>
      </c>
      <c r="C215" s="9"/>
      <c r="D215" s="6" t="s">
        <v>39</v>
      </c>
      <c r="E215" s="6" t="s">
        <v>40</v>
      </c>
      <c r="F215" s="23">
        <v>46125.0</v>
      </c>
      <c r="G215" s="6" t="s">
        <v>41</v>
      </c>
      <c r="H215" s="23">
        <v>46125.0</v>
      </c>
      <c r="I215" s="6" t="s">
        <v>949</v>
      </c>
      <c r="J215" s="6" t="s">
        <v>156</v>
      </c>
      <c r="K215" s="6" t="s">
        <v>950</v>
      </c>
      <c r="L215" s="14">
        <v>3454.0</v>
      </c>
      <c r="M215" s="9"/>
      <c r="N215" s="9"/>
      <c r="O215" s="9"/>
      <c r="P215" s="9"/>
      <c r="Q215" s="6">
        <v>1.0</v>
      </c>
      <c r="R215" s="23">
        <v>46120.0</v>
      </c>
      <c r="S215" s="23">
        <v>46126.0</v>
      </c>
      <c r="T215" s="23">
        <v>46125.0</v>
      </c>
      <c r="U215" s="9"/>
      <c r="V215" s="6" t="s">
        <v>44</v>
      </c>
      <c r="W215" s="9"/>
      <c r="X215" s="6" t="s">
        <v>45</v>
      </c>
      <c r="Y215" s="6" t="s">
        <v>46</v>
      </c>
      <c r="Z215" s="6">
        <v>3.040318925E9</v>
      </c>
      <c r="AA215" s="6" t="s">
        <v>68</v>
      </c>
      <c r="AB215" s="6" t="s">
        <v>328</v>
      </c>
      <c r="AC215" s="6" t="s">
        <v>961</v>
      </c>
      <c r="AD215" s="9"/>
      <c r="AE215" s="9"/>
      <c r="AF215" s="9"/>
      <c r="AG215" s="9"/>
    </row>
    <row r="216" hidden="1">
      <c r="A216" s="21">
        <f>COUNTIF('Histórico'!$B:$B,B216)</f>
        <v>1</v>
      </c>
      <c r="B216" s="21" t="s">
        <v>963</v>
      </c>
      <c r="C216" s="9"/>
      <c r="D216" s="6" t="s">
        <v>39</v>
      </c>
      <c r="E216" s="6" t="s">
        <v>40</v>
      </c>
      <c r="F216" s="23">
        <v>46125.0</v>
      </c>
      <c r="G216" s="6" t="s">
        <v>41</v>
      </c>
      <c r="H216" s="23">
        <v>46125.0</v>
      </c>
      <c r="I216" s="6" t="s">
        <v>949</v>
      </c>
      <c r="J216" s="6" t="s">
        <v>156</v>
      </c>
      <c r="K216" s="6" t="s">
        <v>950</v>
      </c>
      <c r="L216" s="61">
        <v>289029.0</v>
      </c>
      <c r="M216" s="9"/>
      <c r="N216" s="9"/>
      <c r="O216" s="9"/>
      <c r="P216" s="9"/>
      <c r="Q216" s="6">
        <v>1.0</v>
      </c>
      <c r="R216" s="23">
        <v>46120.0</v>
      </c>
      <c r="S216" s="23">
        <v>46126.0</v>
      </c>
      <c r="T216" s="23">
        <v>46125.0</v>
      </c>
      <c r="U216" s="9"/>
      <c r="V216" s="6" t="s">
        <v>44</v>
      </c>
      <c r="W216" s="21"/>
      <c r="X216" s="6" t="s">
        <v>45</v>
      </c>
      <c r="Y216" s="6" t="s">
        <v>46</v>
      </c>
      <c r="Z216" s="6">
        <v>3.04031362E9</v>
      </c>
      <c r="AA216" s="6" t="s">
        <v>64</v>
      </c>
      <c r="AB216" s="6" t="s">
        <v>588</v>
      </c>
      <c r="AC216" s="6" t="s">
        <v>589</v>
      </c>
      <c r="AD216" s="9"/>
      <c r="AE216" s="9"/>
      <c r="AF216" s="9"/>
      <c r="AG216" s="9"/>
    </row>
    <row r="217" hidden="1">
      <c r="A217" s="21">
        <f>COUNTIF('Histórico'!$B:$B,B217)</f>
        <v>1</v>
      </c>
      <c r="B217" s="21" t="s">
        <v>964</v>
      </c>
      <c r="C217" s="9"/>
      <c r="D217" s="6" t="s">
        <v>39</v>
      </c>
      <c r="E217" s="6" t="s">
        <v>40</v>
      </c>
      <c r="F217" s="23">
        <v>46125.0</v>
      </c>
      <c r="G217" s="6" t="s">
        <v>41</v>
      </c>
      <c r="H217" s="23">
        <v>46125.0</v>
      </c>
      <c r="I217" s="6" t="s">
        <v>965</v>
      </c>
      <c r="J217" s="6">
        <v>7213.0</v>
      </c>
      <c r="K217" s="6" t="s">
        <v>966</v>
      </c>
      <c r="L217" s="14" t="s">
        <v>967</v>
      </c>
      <c r="M217" s="9"/>
      <c r="N217" s="9"/>
      <c r="O217" s="9"/>
      <c r="P217" s="9"/>
      <c r="Q217" s="6">
        <v>1.0</v>
      </c>
      <c r="R217" s="23">
        <v>46120.0</v>
      </c>
      <c r="S217" s="23">
        <v>46126.0</v>
      </c>
      <c r="T217" s="23">
        <v>46125.0</v>
      </c>
      <c r="U217" s="9"/>
      <c r="V217" s="6" t="s">
        <v>44</v>
      </c>
      <c r="W217" s="9"/>
      <c r="X217" s="6" t="s">
        <v>45</v>
      </c>
      <c r="Y217" s="6" t="s">
        <v>46</v>
      </c>
      <c r="Z217" s="6">
        <v>3.040323388E9</v>
      </c>
      <c r="AA217" s="6" t="s">
        <v>45</v>
      </c>
      <c r="AB217" s="6" t="s">
        <v>46</v>
      </c>
      <c r="AC217" s="6" t="s">
        <v>177</v>
      </c>
      <c r="AD217" s="9"/>
      <c r="AE217" s="9"/>
      <c r="AF217" s="9"/>
      <c r="AG217" s="9"/>
    </row>
    <row r="218" hidden="1">
      <c r="A218" s="21">
        <f>COUNTIF('Histórico'!$B:$B,B218)</f>
        <v>1</v>
      </c>
      <c r="B218" s="21" t="s">
        <v>968</v>
      </c>
      <c r="C218" s="9"/>
      <c r="D218" s="6" t="s">
        <v>39</v>
      </c>
      <c r="E218" s="6" t="s">
        <v>40</v>
      </c>
      <c r="F218" s="23">
        <v>46125.0</v>
      </c>
      <c r="G218" s="6" t="s">
        <v>41</v>
      </c>
      <c r="H218" s="23">
        <v>46125.0</v>
      </c>
      <c r="I218" s="6" t="s">
        <v>147</v>
      </c>
      <c r="J218" s="6">
        <v>13068.0</v>
      </c>
      <c r="K218" s="6" t="s">
        <v>148</v>
      </c>
      <c r="L218" s="14" t="s">
        <v>969</v>
      </c>
      <c r="M218" s="9"/>
      <c r="N218" s="9"/>
      <c r="O218" s="9"/>
      <c r="P218" s="9"/>
      <c r="Q218" s="6">
        <v>1.0</v>
      </c>
      <c r="R218" s="23">
        <v>46121.0</v>
      </c>
      <c r="S218" s="23">
        <v>46127.0</v>
      </c>
      <c r="T218" s="23">
        <v>46125.0</v>
      </c>
      <c r="U218" s="9"/>
      <c r="V218" s="6" t="s">
        <v>44</v>
      </c>
      <c r="W218" s="9"/>
      <c r="X218" s="6" t="s">
        <v>45</v>
      </c>
      <c r="Y218" s="6" t="s">
        <v>46</v>
      </c>
      <c r="Z218" s="6">
        <v>3.040315567E9</v>
      </c>
      <c r="AA218" s="6" t="s">
        <v>45</v>
      </c>
      <c r="AB218" s="6" t="s">
        <v>46</v>
      </c>
      <c r="AC218" s="6" t="s">
        <v>324</v>
      </c>
      <c r="AD218" s="9"/>
      <c r="AE218" s="9"/>
      <c r="AF218" s="9"/>
      <c r="AG218" s="9"/>
    </row>
    <row r="219" hidden="1">
      <c r="A219" s="21">
        <f>COUNTIF('Histórico'!$B:$B,B219)</f>
        <v>1</v>
      </c>
      <c r="B219" s="21" t="s">
        <v>970</v>
      </c>
      <c r="C219" s="9"/>
      <c r="D219" s="6" t="s">
        <v>39</v>
      </c>
      <c r="E219" s="6" t="s">
        <v>40</v>
      </c>
      <c r="F219" s="23">
        <v>46125.0</v>
      </c>
      <c r="G219" s="6" t="s">
        <v>41</v>
      </c>
      <c r="H219" s="23">
        <v>46125.0</v>
      </c>
      <c r="I219" s="6" t="s">
        <v>658</v>
      </c>
      <c r="J219" s="6">
        <v>71379.0</v>
      </c>
      <c r="K219" s="6" t="s">
        <v>971</v>
      </c>
      <c r="L219" s="14">
        <v>197.0</v>
      </c>
      <c r="M219" s="9"/>
      <c r="N219" s="9"/>
      <c r="O219" s="9"/>
      <c r="P219" s="9"/>
      <c r="Q219" s="6">
        <v>1.0</v>
      </c>
      <c r="R219" s="23">
        <v>46121.0</v>
      </c>
      <c r="S219" s="23">
        <v>46127.0</v>
      </c>
      <c r="T219" s="23">
        <v>46125.0</v>
      </c>
      <c r="U219" s="9"/>
      <c r="V219" s="6" t="s">
        <v>44</v>
      </c>
      <c r="W219" s="9"/>
      <c r="X219" s="6" t="s">
        <v>45</v>
      </c>
      <c r="Y219" s="6" t="s">
        <v>46</v>
      </c>
      <c r="Z219" s="6">
        <v>3.040310038E9</v>
      </c>
      <c r="AA219" s="6" t="s">
        <v>63</v>
      </c>
      <c r="AB219" s="6" t="s">
        <v>72</v>
      </c>
      <c r="AC219" s="6" t="s">
        <v>355</v>
      </c>
      <c r="AD219" s="9"/>
      <c r="AE219" s="9"/>
      <c r="AF219" s="9"/>
      <c r="AG219" s="9"/>
    </row>
    <row r="220" hidden="1">
      <c r="A220" s="21">
        <f>COUNTIF('Histórico'!$B:$B,B220)</f>
        <v>1</v>
      </c>
      <c r="B220" s="21" t="s">
        <v>972</v>
      </c>
      <c r="C220" s="9"/>
      <c r="D220" s="6" t="s">
        <v>39</v>
      </c>
      <c r="E220" s="6" t="s">
        <v>40</v>
      </c>
      <c r="F220" s="23">
        <v>46125.0</v>
      </c>
      <c r="G220" s="6" t="s">
        <v>41</v>
      </c>
      <c r="H220" s="23">
        <v>46125.0</v>
      </c>
      <c r="I220" s="6" t="s">
        <v>658</v>
      </c>
      <c r="J220" s="6">
        <v>71379.0</v>
      </c>
      <c r="K220" s="6" t="s">
        <v>971</v>
      </c>
      <c r="L220" s="14">
        <v>1378.0</v>
      </c>
      <c r="M220" s="9"/>
      <c r="N220" s="9"/>
      <c r="O220" s="9"/>
      <c r="P220" s="9"/>
      <c r="Q220" s="6">
        <v>1.0</v>
      </c>
      <c r="R220" s="23">
        <v>46121.0</v>
      </c>
      <c r="S220" s="23">
        <v>46127.0</v>
      </c>
      <c r="T220" s="23">
        <v>46125.0</v>
      </c>
      <c r="U220" s="9"/>
      <c r="V220" s="6" t="s">
        <v>44</v>
      </c>
      <c r="W220" s="9"/>
      <c r="X220" s="6" t="s">
        <v>45</v>
      </c>
      <c r="Y220" s="6" t="s">
        <v>46</v>
      </c>
      <c r="Z220" s="6">
        <v>3.040311325E9</v>
      </c>
      <c r="AA220" s="6" t="s">
        <v>64</v>
      </c>
      <c r="AB220" s="6" t="s">
        <v>399</v>
      </c>
      <c r="AC220" s="6" t="s">
        <v>400</v>
      </c>
      <c r="AD220" s="9"/>
      <c r="AE220" s="9"/>
      <c r="AF220" s="9"/>
      <c r="AG220" s="9"/>
    </row>
    <row r="221" hidden="1">
      <c r="A221" s="21">
        <f>COUNTIF('Histórico'!$B:$B,B221)</f>
        <v>1</v>
      </c>
      <c r="B221" s="21" t="s">
        <v>973</v>
      </c>
      <c r="C221" s="9"/>
      <c r="D221" s="6" t="s">
        <v>39</v>
      </c>
      <c r="E221" s="6" t="s">
        <v>40</v>
      </c>
      <c r="F221" s="23">
        <v>46127.0</v>
      </c>
      <c r="G221" s="6" t="s">
        <v>41</v>
      </c>
      <c r="H221" s="23">
        <v>46127.0</v>
      </c>
      <c r="I221" s="6" t="s">
        <v>326</v>
      </c>
      <c r="J221" s="6" t="s">
        <v>156</v>
      </c>
      <c r="K221" s="6" t="s">
        <v>327</v>
      </c>
      <c r="L221" s="14" t="s">
        <v>974</v>
      </c>
      <c r="M221" s="9"/>
      <c r="N221" s="9"/>
      <c r="O221" s="9"/>
      <c r="P221" s="9"/>
      <c r="Q221" s="6">
        <v>1.0</v>
      </c>
      <c r="R221" s="23">
        <v>45962.0</v>
      </c>
      <c r="S221" s="23">
        <v>46023.0</v>
      </c>
      <c r="T221" s="23">
        <v>46127.0</v>
      </c>
      <c r="U221" s="9"/>
      <c r="V221" s="6" t="s">
        <v>44</v>
      </c>
      <c r="W221" s="21"/>
      <c r="X221" s="6" t="s">
        <v>45</v>
      </c>
      <c r="Y221" s="6" t="s">
        <v>46</v>
      </c>
      <c r="Z221" s="6">
        <v>3.04031346E9</v>
      </c>
      <c r="AA221" s="6" t="s">
        <v>45</v>
      </c>
      <c r="AB221" s="6" t="s">
        <v>46</v>
      </c>
      <c r="AC221" s="6" t="s">
        <v>177</v>
      </c>
      <c r="AD221" s="9"/>
      <c r="AE221" s="9"/>
      <c r="AF221" s="9"/>
      <c r="AG221" s="9"/>
    </row>
    <row r="222" hidden="1">
      <c r="A222" s="21">
        <f>COUNTIF('Histórico'!$B:$B,B222)</f>
        <v>1</v>
      </c>
      <c r="B222" s="21" t="s">
        <v>975</v>
      </c>
      <c r="C222" s="9"/>
      <c r="D222" s="6" t="s">
        <v>39</v>
      </c>
      <c r="E222" s="6" t="s">
        <v>40</v>
      </c>
      <c r="F222" s="23">
        <v>46127.0</v>
      </c>
      <c r="G222" s="6" t="s">
        <v>41</v>
      </c>
      <c r="H222" s="23">
        <v>46127.0</v>
      </c>
      <c r="I222" s="6" t="s">
        <v>326</v>
      </c>
      <c r="J222" s="6" t="s">
        <v>156</v>
      </c>
      <c r="K222" s="6" t="s">
        <v>327</v>
      </c>
      <c r="L222" s="14" t="s">
        <v>976</v>
      </c>
      <c r="M222" s="9"/>
      <c r="N222" s="9"/>
      <c r="O222" s="9"/>
      <c r="P222" s="9"/>
      <c r="Q222" s="6">
        <v>1.0</v>
      </c>
      <c r="R222" s="23">
        <v>46023.0</v>
      </c>
      <c r="S222" s="23">
        <v>46082.0</v>
      </c>
      <c r="T222" s="23">
        <v>46127.0</v>
      </c>
      <c r="U222" s="9"/>
      <c r="V222" s="6" t="s">
        <v>44</v>
      </c>
      <c r="W222" s="9"/>
      <c r="X222" s="6" t="s">
        <v>45</v>
      </c>
      <c r="Y222" s="6" t="s">
        <v>46</v>
      </c>
      <c r="Z222" s="6">
        <v>3.040324264E9</v>
      </c>
      <c r="AA222" s="6" t="s">
        <v>60</v>
      </c>
      <c r="AB222" s="6" t="s">
        <v>367</v>
      </c>
      <c r="AC222" s="6" t="s">
        <v>977</v>
      </c>
      <c r="AD222" s="9"/>
      <c r="AE222" s="9"/>
      <c r="AF222" s="9"/>
      <c r="AG222" s="9"/>
    </row>
    <row r="223" hidden="1">
      <c r="A223" s="21">
        <f>COUNTIF('Histórico'!$B:$B,B223)</f>
        <v>1</v>
      </c>
      <c r="B223" s="21" t="s">
        <v>978</v>
      </c>
      <c r="C223" s="9"/>
      <c r="D223" s="6" t="s">
        <v>39</v>
      </c>
      <c r="E223" s="6" t="s">
        <v>40</v>
      </c>
      <c r="F223" s="23">
        <v>46142.0</v>
      </c>
      <c r="G223" s="6" t="s">
        <v>41</v>
      </c>
      <c r="H223" s="23">
        <v>46142.0</v>
      </c>
      <c r="I223" s="6" t="s">
        <v>440</v>
      </c>
      <c r="J223" s="6" t="s">
        <v>156</v>
      </c>
      <c r="K223" s="6" t="s">
        <v>441</v>
      </c>
      <c r="L223" s="14">
        <v>1062.0</v>
      </c>
      <c r="M223" s="9"/>
      <c r="N223" s="9"/>
      <c r="O223" s="9"/>
      <c r="P223" s="9"/>
      <c r="Q223" s="6">
        <v>1.0</v>
      </c>
      <c r="R223" s="23">
        <v>46140.0</v>
      </c>
      <c r="S223" s="23">
        <v>46147.0</v>
      </c>
      <c r="T223" s="23">
        <v>46142.0</v>
      </c>
      <c r="U223" s="9"/>
      <c r="V223" s="6" t="s">
        <v>44</v>
      </c>
      <c r="W223" s="9"/>
      <c r="X223" s="6" t="s">
        <v>45</v>
      </c>
      <c r="Y223" s="6" t="s">
        <v>46</v>
      </c>
      <c r="Z223" s="6">
        <v>3.040111096E9</v>
      </c>
      <c r="AA223" s="6" t="s">
        <v>45</v>
      </c>
      <c r="AB223" s="6" t="s">
        <v>306</v>
      </c>
      <c r="AC223" s="6" t="s">
        <v>979</v>
      </c>
      <c r="AD223" s="9"/>
      <c r="AE223" s="9"/>
      <c r="AF223" s="9"/>
      <c r="AG223" s="9"/>
    </row>
    <row r="224" hidden="1">
      <c r="A224" s="21">
        <f>COUNTIF('Histórico'!$B:$B,B224)</f>
        <v>1</v>
      </c>
      <c r="B224" s="21" t="s">
        <v>980</v>
      </c>
      <c r="C224" s="9"/>
      <c r="D224" s="6" t="s">
        <v>39</v>
      </c>
      <c r="E224" s="6" t="s">
        <v>40</v>
      </c>
      <c r="F224" s="23">
        <v>46142.0</v>
      </c>
      <c r="G224" s="6" t="s">
        <v>41</v>
      </c>
      <c r="H224" s="23">
        <v>46142.0</v>
      </c>
      <c r="I224" s="6" t="s">
        <v>440</v>
      </c>
      <c r="J224" s="6" t="s">
        <v>156</v>
      </c>
      <c r="K224" s="6" t="s">
        <v>441</v>
      </c>
      <c r="L224" s="14">
        <v>8619.0</v>
      </c>
      <c r="M224" s="9"/>
      <c r="N224" s="9"/>
      <c r="O224" s="9"/>
      <c r="P224" s="9"/>
      <c r="Q224" s="6">
        <v>1.0</v>
      </c>
      <c r="R224" s="23">
        <v>46140.0</v>
      </c>
      <c r="S224" s="23">
        <v>46147.0</v>
      </c>
      <c r="T224" s="23">
        <v>46142.0</v>
      </c>
      <c r="U224" s="9"/>
      <c r="V224" s="6" t="s">
        <v>44</v>
      </c>
      <c r="W224" s="9"/>
      <c r="X224" s="6" t="s">
        <v>45</v>
      </c>
      <c r="Y224" s="6" t="s">
        <v>46</v>
      </c>
      <c r="Z224" s="6">
        <v>3.040144137E9</v>
      </c>
      <c r="AA224" s="6" t="s">
        <v>981</v>
      </c>
      <c r="AB224" s="6" t="s">
        <v>982</v>
      </c>
      <c r="AC224" s="6" t="s">
        <v>162</v>
      </c>
      <c r="AD224" s="9"/>
      <c r="AE224" s="9"/>
      <c r="AF224" s="9"/>
      <c r="AG224" s="9"/>
    </row>
    <row r="225" hidden="1">
      <c r="A225" s="21">
        <f>COUNTIF('Histórico'!$B:$B,B225)</f>
        <v>1</v>
      </c>
      <c r="B225" s="21" t="s">
        <v>983</v>
      </c>
      <c r="C225" s="9"/>
      <c r="D225" s="6" t="s">
        <v>39</v>
      </c>
      <c r="E225" s="6" t="s">
        <v>40</v>
      </c>
      <c r="F225" s="23">
        <v>46142.0</v>
      </c>
      <c r="G225" s="6" t="s">
        <v>41</v>
      </c>
      <c r="H225" s="23">
        <v>46142.0</v>
      </c>
      <c r="I225" s="6" t="s">
        <v>313</v>
      </c>
      <c r="J225" s="6">
        <v>22373.0</v>
      </c>
      <c r="K225" s="6" t="s">
        <v>890</v>
      </c>
      <c r="L225" s="14">
        <v>102549.0</v>
      </c>
      <c r="M225" s="9"/>
      <c r="N225" s="9"/>
      <c r="O225" s="9"/>
      <c r="P225" s="9"/>
      <c r="Q225" s="6">
        <v>1.0</v>
      </c>
      <c r="R225" s="23">
        <v>45962.0</v>
      </c>
      <c r="S225" s="23">
        <v>46023.0</v>
      </c>
      <c r="T225" s="23">
        <v>46142.0</v>
      </c>
      <c r="U225" s="9"/>
      <c r="V225" s="6" t="s">
        <v>44</v>
      </c>
      <c r="W225" s="9"/>
      <c r="X225" s="6" t="s">
        <v>45</v>
      </c>
      <c r="Y225" s="6" t="s">
        <v>46</v>
      </c>
      <c r="Z225" s="6">
        <v>3.04029544E9</v>
      </c>
      <c r="AA225" s="6" t="s">
        <v>60</v>
      </c>
      <c r="AB225" s="6" t="s">
        <v>194</v>
      </c>
      <c r="AC225" s="6" t="s">
        <v>558</v>
      </c>
      <c r="AD225" s="9"/>
      <c r="AE225" s="9"/>
      <c r="AF225" s="9"/>
      <c r="AG225" s="9"/>
    </row>
    <row r="226" hidden="1">
      <c r="A226" s="21">
        <f>COUNTIF('Histórico'!$B:$B,B226)</f>
        <v>1</v>
      </c>
      <c r="B226" s="21" t="s">
        <v>985</v>
      </c>
      <c r="C226" s="9"/>
      <c r="D226" s="6" t="s">
        <v>39</v>
      </c>
      <c r="E226" s="6" t="s">
        <v>40</v>
      </c>
      <c r="F226" s="23">
        <v>46142.0</v>
      </c>
      <c r="G226" s="6" t="s">
        <v>41</v>
      </c>
      <c r="H226" s="23">
        <v>46142.0</v>
      </c>
      <c r="I226" s="6" t="s">
        <v>986</v>
      </c>
      <c r="J226" s="6">
        <v>22373.0</v>
      </c>
      <c r="K226" s="6" t="s">
        <v>987</v>
      </c>
      <c r="L226" s="14">
        <v>4136.0</v>
      </c>
      <c r="M226" s="9"/>
      <c r="N226" s="9"/>
      <c r="O226" s="9"/>
      <c r="P226" s="9"/>
      <c r="Q226" s="6">
        <v>1.0</v>
      </c>
      <c r="R226" s="23">
        <v>46140.0</v>
      </c>
      <c r="S226" s="23">
        <v>46147.0</v>
      </c>
      <c r="T226" s="23">
        <v>46142.0</v>
      </c>
      <c r="U226" s="9"/>
      <c r="V226" s="6" t="s">
        <v>44</v>
      </c>
      <c r="W226" s="9"/>
      <c r="X226" s="6" t="s">
        <v>45</v>
      </c>
      <c r="Y226" s="6" t="s">
        <v>46</v>
      </c>
      <c r="Z226" s="6">
        <v>3.040309923E9</v>
      </c>
      <c r="AA226" s="6" t="s">
        <v>45</v>
      </c>
      <c r="AB226" s="6" t="s">
        <v>46</v>
      </c>
      <c r="AC226" s="6" t="s">
        <v>177</v>
      </c>
      <c r="AD226" s="9"/>
      <c r="AE226" s="9"/>
      <c r="AF226" s="9"/>
      <c r="AG226" s="9"/>
    </row>
    <row r="227" hidden="1">
      <c r="A227" s="21">
        <f>COUNTIF('Histórico'!$B:$B,B227)</f>
        <v>1</v>
      </c>
      <c r="B227" s="21" t="s">
        <v>988</v>
      </c>
      <c r="C227" s="9"/>
      <c r="D227" s="6" t="s">
        <v>39</v>
      </c>
      <c r="E227" s="6" t="s">
        <v>40</v>
      </c>
      <c r="F227" s="23">
        <v>46142.0</v>
      </c>
      <c r="G227" s="6" t="s">
        <v>41</v>
      </c>
      <c r="H227" s="23">
        <v>46142.0</v>
      </c>
      <c r="I227" s="6" t="s">
        <v>199</v>
      </c>
      <c r="J227" s="6">
        <v>22373.0</v>
      </c>
      <c r="K227" s="6" t="s">
        <v>200</v>
      </c>
      <c r="L227" s="14">
        <v>20238.0</v>
      </c>
      <c r="M227" s="9"/>
      <c r="N227" s="9"/>
      <c r="O227" s="9"/>
      <c r="P227" s="9"/>
      <c r="Q227" s="6">
        <v>1.0</v>
      </c>
      <c r="R227" s="23">
        <v>46140.0</v>
      </c>
      <c r="S227" s="23">
        <v>46147.0</v>
      </c>
      <c r="T227" s="23">
        <v>46142.0</v>
      </c>
      <c r="U227" s="9"/>
      <c r="V227" s="6" t="s">
        <v>103</v>
      </c>
      <c r="W227" s="6">
        <v>3.04250073782E11</v>
      </c>
      <c r="X227" s="6" t="s">
        <v>45</v>
      </c>
      <c r="Y227" s="6" t="s">
        <v>46</v>
      </c>
      <c r="Z227" s="6">
        <v>3.040308554E9</v>
      </c>
      <c r="AA227" s="6" t="s">
        <v>75</v>
      </c>
      <c r="AB227" s="6" t="s">
        <v>152</v>
      </c>
      <c r="AC227" s="6" t="s">
        <v>153</v>
      </c>
      <c r="AD227" s="9"/>
      <c r="AE227" s="9"/>
      <c r="AF227" s="9"/>
      <c r="AG227" s="9"/>
    </row>
    <row r="228" hidden="1">
      <c r="A228" s="21">
        <f>COUNTIF('Histórico'!$B:$B,B228)</f>
        <v>1</v>
      </c>
      <c r="B228" s="21" t="s">
        <v>989</v>
      </c>
      <c r="C228" s="9"/>
      <c r="D228" s="6" t="s">
        <v>39</v>
      </c>
      <c r="E228" s="6" t="s">
        <v>40</v>
      </c>
      <c r="F228" s="23">
        <v>46142.0</v>
      </c>
      <c r="G228" s="6" t="s">
        <v>41</v>
      </c>
      <c r="H228" s="23">
        <v>46142.0</v>
      </c>
      <c r="I228" s="6" t="s">
        <v>291</v>
      </c>
      <c r="J228" s="6" t="s">
        <v>156</v>
      </c>
      <c r="K228" s="6" t="s">
        <v>292</v>
      </c>
      <c r="L228" s="14" t="s">
        <v>990</v>
      </c>
      <c r="M228" s="9"/>
      <c r="N228" s="9"/>
      <c r="O228" s="9"/>
      <c r="P228" s="9"/>
      <c r="Q228" s="6">
        <v>1.0</v>
      </c>
      <c r="R228" s="23">
        <v>46140.0</v>
      </c>
      <c r="S228" s="23">
        <v>46168.0</v>
      </c>
      <c r="T228" s="23">
        <v>46142.0</v>
      </c>
      <c r="U228" s="9"/>
      <c r="V228" s="6" t="s">
        <v>44</v>
      </c>
      <c r="W228" s="9"/>
      <c r="X228" s="6" t="s">
        <v>45</v>
      </c>
      <c r="Y228" s="6" t="s">
        <v>46</v>
      </c>
      <c r="Z228" s="6">
        <v>3.040317874E9</v>
      </c>
      <c r="AA228" s="6" t="s">
        <v>304</v>
      </c>
      <c r="AB228" s="6" t="s">
        <v>306</v>
      </c>
      <c r="AC228" s="6" t="s">
        <v>991</v>
      </c>
      <c r="AD228" s="9"/>
      <c r="AE228" s="9"/>
      <c r="AF228" s="9"/>
      <c r="AG228" s="9"/>
    </row>
    <row r="229" hidden="1">
      <c r="A229" s="21">
        <f>COUNTIF('Histórico'!$B:$B,B229)</f>
        <v>1</v>
      </c>
      <c r="B229" s="21" t="s">
        <v>992</v>
      </c>
      <c r="C229" s="9"/>
      <c r="D229" s="6" t="s">
        <v>39</v>
      </c>
      <c r="E229" s="6" t="s">
        <v>40</v>
      </c>
      <c r="F229" s="23">
        <v>46142.0</v>
      </c>
      <c r="G229" s="6" t="s">
        <v>41</v>
      </c>
      <c r="H229" s="23">
        <v>46142.0</v>
      </c>
      <c r="I229" s="6" t="s">
        <v>291</v>
      </c>
      <c r="J229" s="6" t="s">
        <v>156</v>
      </c>
      <c r="K229" s="6" t="s">
        <v>292</v>
      </c>
      <c r="L229" s="14" t="s">
        <v>993</v>
      </c>
      <c r="M229" s="9"/>
      <c r="N229" s="9"/>
      <c r="O229" s="9"/>
      <c r="P229" s="9"/>
      <c r="Q229" s="6">
        <v>1.0</v>
      </c>
      <c r="R229" s="23">
        <v>46140.0</v>
      </c>
      <c r="S229" s="23">
        <v>46147.0</v>
      </c>
      <c r="T229" s="23">
        <v>46142.0</v>
      </c>
      <c r="U229" s="9"/>
      <c r="V229" s="6" t="s">
        <v>44</v>
      </c>
      <c r="W229" s="6"/>
      <c r="X229" s="6" t="s">
        <v>45</v>
      </c>
      <c r="Y229" s="6" t="s">
        <v>46</v>
      </c>
      <c r="Z229" s="6">
        <v>3.040312644E9</v>
      </c>
      <c r="AA229" s="6" t="s">
        <v>57</v>
      </c>
      <c r="AB229" s="6" t="s">
        <v>410</v>
      </c>
      <c r="AC229" s="6" t="s">
        <v>994</v>
      </c>
      <c r="AD229" s="9"/>
      <c r="AE229" s="9"/>
      <c r="AF229" s="9"/>
      <c r="AG229" s="9"/>
    </row>
    <row r="230" hidden="1">
      <c r="A230" s="21">
        <f>COUNTIF('Histórico'!$B:$B,B230)</f>
        <v>1</v>
      </c>
      <c r="B230" s="21" t="s">
        <v>995</v>
      </c>
      <c r="C230" s="9"/>
      <c r="D230" s="6" t="s">
        <v>39</v>
      </c>
      <c r="E230" s="6" t="s">
        <v>40</v>
      </c>
      <c r="F230" s="23">
        <v>46142.0</v>
      </c>
      <c r="G230" s="6" t="s">
        <v>41</v>
      </c>
      <c r="H230" s="23">
        <v>46142.0</v>
      </c>
      <c r="I230" s="6" t="s">
        <v>986</v>
      </c>
      <c r="J230" s="6">
        <v>22373.0</v>
      </c>
      <c r="K230" s="6" t="s">
        <v>987</v>
      </c>
      <c r="L230" s="14">
        <v>4152.0</v>
      </c>
      <c r="M230" s="9"/>
      <c r="N230" s="9"/>
      <c r="O230" s="9"/>
      <c r="P230" s="9"/>
      <c r="Q230" s="6">
        <v>1.0</v>
      </c>
      <c r="R230" s="23">
        <v>46140.0</v>
      </c>
      <c r="S230" s="23">
        <v>46147.0</v>
      </c>
      <c r="T230" s="23">
        <v>46142.0</v>
      </c>
      <c r="U230" s="9"/>
      <c r="V230" s="6" t="s">
        <v>44</v>
      </c>
      <c r="W230" s="21"/>
      <c r="X230" s="6" t="s">
        <v>45</v>
      </c>
      <c r="Y230" s="6" t="s">
        <v>46</v>
      </c>
      <c r="Z230" s="6">
        <v>3.040309924E9</v>
      </c>
      <c r="AA230" s="6" t="s">
        <v>45</v>
      </c>
      <c r="AB230" s="6" t="s">
        <v>46</v>
      </c>
      <c r="AC230" s="6" t="s">
        <v>177</v>
      </c>
      <c r="AD230" s="9"/>
      <c r="AE230" s="9"/>
      <c r="AF230" s="9"/>
      <c r="AG230" s="9"/>
    </row>
    <row r="231" hidden="1">
      <c r="A231" s="21">
        <f>COUNTIF('Histórico'!$B:$B,B231)</f>
        <v>1</v>
      </c>
      <c r="B231" s="21" t="s">
        <v>996</v>
      </c>
      <c r="C231" s="9"/>
      <c r="D231" s="6" t="s">
        <v>39</v>
      </c>
      <c r="E231" s="6" t="s">
        <v>40</v>
      </c>
      <c r="F231" s="23">
        <v>46142.0</v>
      </c>
      <c r="G231" s="6" t="s">
        <v>41</v>
      </c>
      <c r="H231" s="23">
        <v>46142.0</v>
      </c>
      <c r="I231" s="6" t="s">
        <v>313</v>
      </c>
      <c r="J231" s="6">
        <v>22373.0</v>
      </c>
      <c r="K231" s="6" t="s">
        <v>890</v>
      </c>
      <c r="L231" s="14">
        <v>108207.0</v>
      </c>
      <c r="M231" s="9"/>
      <c r="N231" s="9"/>
      <c r="O231" s="9"/>
      <c r="P231" s="9"/>
      <c r="Q231" s="6">
        <v>1.0</v>
      </c>
      <c r="R231" s="23">
        <v>45962.0</v>
      </c>
      <c r="S231" s="23">
        <v>46023.0</v>
      </c>
      <c r="T231" s="23">
        <v>46142.0</v>
      </c>
      <c r="U231" s="9"/>
      <c r="V231" s="6" t="s">
        <v>44</v>
      </c>
      <c r="W231" s="9"/>
      <c r="X231" s="6" t="s">
        <v>45</v>
      </c>
      <c r="Y231" s="6" t="s">
        <v>46</v>
      </c>
      <c r="Z231" s="6">
        <v>3.040199902E9</v>
      </c>
      <c r="AA231" s="6" t="s">
        <v>45</v>
      </c>
      <c r="AB231" s="6" t="s">
        <v>46</v>
      </c>
      <c r="AC231" s="6" t="s">
        <v>177</v>
      </c>
      <c r="AD231" s="9"/>
      <c r="AE231" s="9"/>
      <c r="AF231" s="9"/>
      <c r="AG231" s="9"/>
    </row>
    <row r="232" hidden="1">
      <c r="A232" s="21">
        <f>COUNTIF('Histórico'!$B:$B,B232)</f>
        <v>1</v>
      </c>
      <c r="B232" s="21" t="s">
        <v>997</v>
      </c>
      <c r="C232" s="9"/>
      <c r="D232" s="6" t="s">
        <v>39</v>
      </c>
      <c r="E232" s="6" t="s">
        <v>40</v>
      </c>
      <c r="F232" s="23">
        <v>46142.0</v>
      </c>
      <c r="G232" s="6" t="s">
        <v>41</v>
      </c>
      <c r="H232" s="23">
        <v>46142.0</v>
      </c>
      <c r="I232" s="6" t="s">
        <v>199</v>
      </c>
      <c r="J232" s="6">
        <v>22373.0</v>
      </c>
      <c r="K232" s="6" t="s">
        <v>200</v>
      </c>
      <c r="L232" s="14">
        <v>16784.0</v>
      </c>
      <c r="M232" s="9"/>
      <c r="N232" s="9"/>
      <c r="O232" s="9"/>
      <c r="P232" s="9"/>
      <c r="Q232" s="6">
        <v>1.0</v>
      </c>
      <c r="R232" s="23">
        <v>46140.0</v>
      </c>
      <c r="S232" s="23">
        <v>46147.0</v>
      </c>
      <c r="T232" s="23">
        <v>46142.0</v>
      </c>
      <c r="U232" s="9"/>
      <c r="V232" s="6" t="s">
        <v>44</v>
      </c>
      <c r="W232" s="9"/>
      <c r="X232" s="6" t="s">
        <v>45</v>
      </c>
      <c r="Y232" s="6" t="s">
        <v>46</v>
      </c>
      <c r="Z232" s="6">
        <v>3.040317876E9</v>
      </c>
      <c r="AA232" s="6" t="s">
        <v>304</v>
      </c>
      <c r="AB232" s="6" t="s">
        <v>306</v>
      </c>
      <c r="AC232" s="6" t="s">
        <v>296</v>
      </c>
      <c r="AD232" s="9"/>
      <c r="AE232" s="9"/>
      <c r="AF232" s="9"/>
      <c r="AG232" s="9"/>
    </row>
    <row r="233" hidden="1">
      <c r="A233" s="21">
        <f>COUNTIF('Histórico'!$B:$B,B233)</f>
        <v>1</v>
      </c>
      <c r="B233" s="21" t="s">
        <v>998</v>
      </c>
      <c r="C233" s="9"/>
      <c r="D233" s="6" t="s">
        <v>39</v>
      </c>
      <c r="E233" s="6" t="s">
        <v>40</v>
      </c>
      <c r="F233" s="23">
        <v>46142.0</v>
      </c>
      <c r="G233" s="6" t="s">
        <v>41</v>
      </c>
      <c r="H233" s="23">
        <v>46142.0</v>
      </c>
      <c r="I233" s="6" t="s">
        <v>199</v>
      </c>
      <c r="J233" s="6">
        <v>22373.0</v>
      </c>
      <c r="K233" s="6" t="s">
        <v>200</v>
      </c>
      <c r="L233" s="14">
        <v>16810.0</v>
      </c>
      <c r="M233" s="9"/>
      <c r="N233" s="9"/>
      <c r="O233" s="9"/>
      <c r="P233" s="9"/>
      <c r="Q233" s="6">
        <v>1.0</v>
      </c>
      <c r="R233" s="23">
        <v>46140.0</v>
      </c>
      <c r="S233" s="23">
        <v>46147.0</v>
      </c>
      <c r="T233" s="23">
        <v>46142.0</v>
      </c>
      <c r="U233" s="9"/>
      <c r="V233" s="6" t="s">
        <v>44</v>
      </c>
      <c r="W233" s="9"/>
      <c r="X233" s="6" t="s">
        <v>45</v>
      </c>
      <c r="Y233" s="6" t="s">
        <v>46</v>
      </c>
      <c r="Z233" s="6">
        <v>3.040316939E9</v>
      </c>
      <c r="AA233" s="6" t="s">
        <v>64</v>
      </c>
      <c r="AB233" s="6" t="s">
        <v>399</v>
      </c>
      <c r="AC233" s="6" t="s">
        <v>400</v>
      </c>
      <c r="AD233" s="9"/>
      <c r="AE233" s="9"/>
      <c r="AF233" s="9"/>
      <c r="AG233" s="9"/>
    </row>
    <row r="234" hidden="1">
      <c r="A234" s="21">
        <f>COUNTIF('Histórico'!$B:$B,B234)</f>
        <v>1</v>
      </c>
      <c r="B234" s="21" t="s">
        <v>999</v>
      </c>
      <c r="C234" s="9"/>
      <c r="D234" s="6" t="s">
        <v>39</v>
      </c>
      <c r="E234" s="6" t="s">
        <v>40</v>
      </c>
      <c r="F234" s="23">
        <v>46142.0</v>
      </c>
      <c r="G234" s="6" t="s">
        <v>41</v>
      </c>
      <c r="H234" s="23">
        <v>46142.0</v>
      </c>
      <c r="I234" s="6" t="s">
        <v>251</v>
      </c>
      <c r="J234" s="6" t="s">
        <v>156</v>
      </c>
      <c r="K234" s="6" t="s">
        <v>252</v>
      </c>
      <c r="L234" s="14">
        <v>4100932.0</v>
      </c>
      <c r="M234" s="9"/>
      <c r="N234" s="9"/>
      <c r="O234" s="9"/>
      <c r="P234" s="9"/>
      <c r="Q234" s="6">
        <v>1.0</v>
      </c>
      <c r="R234" s="23">
        <v>46140.0</v>
      </c>
      <c r="S234" s="23">
        <v>46147.0</v>
      </c>
      <c r="T234" s="23">
        <v>46142.0</v>
      </c>
      <c r="U234" s="9"/>
      <c r="V234" s="6" t="s">
        <v>44</v>
      </c>
      <c r="W234" s="21"/>
      <c r="X234" s="6" t="s">
        <v>45</v>
      </c>
      <c r="Y234" s="6" t="s">
        <v>46</v>
      </c>
      <c r="Z234" s="6">
        <v>3.040312963E9</v>
      </c>
      <c r="AA234" s="6" t="s">
        <v>45</v>
      </c>
      <c r="AB234" s="6" t="s">
        <v>46</v>
      </c>
      <c r="AC234" s="6" t="s">
        <v>80</v>
      </c>
      <c r="AD234" s="9"/>
      <c r="AE234" s="9"/>
      <c r="AF234" s="9"/>
      <c r="AG234" s="9"/>
    </row>
    <row r="235" hidden="1">
      <c r="A235" s="21">
        <f>COUNTIF('Histórico'!$B:$B,B235)</f>
        <v>1</v>
      </c>
      <c r="B235" s="21" t="s">
        <v>1000</v>
      </c>
      <c r="C235" s="9"/>
      <c r="D235" s="6" t="s">
        <v>39</v>
      </c>
      <c r="E235" s="6" t="s">
        <v>40</v>
      </c>
      <c r="F235" s="23">
        <v>46142.0</v>
      </c>
      <c r="G235" s="6" t="s">
        <v>41</v>
      </c>
      <c r="H235" s="23">
        <v>46142.0</v>
      </c>
      <c r="I235" s="6" t="s">
        <v>251</v>
      </c>
      <c r="J235" s="6" t="s">
        <v>156</v>
      </c>
      <c r="K235" s="6" t="s">
        <v>252</v>
      </c>
      <c r="L235" s="14">
        <v>96123.0</v>
      </c>
      <c r="M235" s="9"/>
      <c r="N235" s="9"/>
      <c r="O235" s="9"/>
      <c r="P235" s="9"/>
      <c r="Q235" s="6">
        <v>1.0</v>
      </c>
      <c r="R235" s="23">
        <v>46140.0</v>
      </c>
      <c r="S235" s="23">
        <v>46147.0</v>
      </c>
      <c r="T235" s="23">
        <v>46142.0</v>
      </c>
      <c r="U235" s="9"/>
      <c r="V235" s="6" t="s">
        <v>44</v>
      </c>
      <c r="W235" s="9"/>
      <c r="X235" s="6" t="s">
        <v>45</v>
      </c>
      <c r="Y235" s="6" t="s">
        <v>46</v>
      </c>
      <c r="Z235" s="6">
        <v>3.040312962E9</v>
      </c>
      <c r="AA235" s="6" t="s">
        <v>45</v>
      </c>
      <c r="AB235" s="6" t="s">
        <v>46</v>
      </c>
      <c r="AC235" s="6" t="s">
        <v>80</v>
      </c>
      <c r="AD235" s="9"/>
      <c r="AE235" s="9"/>
      <c r="AF235" s="9"/>
      <c r="AG235" s="9"/>
    </row>
    <row r="236" hidden="1">
      <c r="A236" s="21">
        <f>COUNTIF('Histórico'!$B:$B,B236)</f>
        <v>1</v>
      </c>
      <c r="B236" s="21" t="s">
        <v>1001</v>
      </c>
      <c r="C236" s="9"/>
      <c r="D236" s="6" t="s">
        <v>39</v>
      </c>
      <c r="E236" s="6" t="s">
        <v>40</v>
      </c>
      <c r="F236" s="23">
        <v>46142.0</v>
      </c>
      <c r="G236" s="6" t="s">
        <v>41</v>
      </c>
      <c r="H236" s="23">
        <v>46142.0</v>
      </c>
      <c r="I236" s="6" t="s">
        <v>291</v>
      </c>
      <c r="J236" s="6" t="s">
        <v>156</v>
      </c>
      <c r="K236" s="6" t="s">
        <v>292</v>
      </c>
      <c r="L236" s="14" t="s">
        <v>1002</v>
      </c>
      <c r="M236" s="9"/>
      <c r="N236" s="9"/>
      <c r="O236" s="9"/>
      <c r="P236" s="9"/>
      <c r="Q236" s="6">
        <v>1.0</v>
      </c>
      <c r="R236" s="23">
        <v>46140.0</v>
      </c>
      <c r="S236" s="23">
        <v>46147.0</v>
      </c>
      <c r="T236" s="23">
        <v>46142.0</v>
      </c>
      <c r="U236" s="9"/>
      <c r="V236" s="6" t="s">
        <v>44</v>
      </c>
      <c r="W236" s="9"/>
      <c r="X236" s="6" t="s">
        <v>45</v>
      </c>
      <c r="Y236" s="6" t="s">
        <v>46</v>
      </c>
      <c r="Z236" s="6">
        <v>3.040312431E9</v>
      </c>
      <c r="AA236" s="6" t="s">
        <v>64</v>
      </c>
      <c r="AB236" s="6" t="s">
        <v>94</v>
      </c>
      <c r="AC236" s="6" t="s">
        <v>95</v>
      </c>
      <c r="AD236" s="9"/>
      <c r="AE236" s="9"/>
      <c r="AF236" s="9"/>
      <c r="AG236" s="9"/>
    </row>
    <row r="237" hidden="1">
      <c r="A237" s="21">
        <f>COUNTIF('Histórico'!$B:$B,B237)</f>
        <v>1</v>
      </c>
      <c r="B237" s="21" t="s">
        <v>1003</v>
      </c>
      <c r="C237" s="9"/>
      <c r="D237" s="6" t="s">
        <v>39</v>
      </c>
      <c r="E237" s="6" t="s">
        <v>40</v>
      </c>
      <c r="F237" s="23">
        <v>46142.0</v>
      </c>
      <c r="G237" s="6" t="s">
        <v>41</v>
      </c>
      <c r="H237" s="23">
        <v>46142.0</v>
      </c>
      <c r="I237" s="6" t="s">
        <v>986</v>
      </c>
      <c r="J237" s="6">
        <v>22373.0</v>
      </c>
      <c r="K237" s="6" t="s">
        <v>987</v>
      </c>
      <c r="L237" s="14">
        <v>4155.0</v>
      </c>
      <c r="M237" s="9"/>
      <c r="N237" s="9"/>
      <c r="O237" s="9"/>
      <c r="P237" s="9"/>
      <c r="Q237" s="6">
        <v>1.0</v>
      </c>
      <c r="R237" s="23">
        <v>46140.0</v>
      </c>
      <c r="S237" s="23">
        <v>46147.0</v>
      </c>
      <c r="T237" s="23">
        <v>46142.0</v>
      </c>
      <c r="U237" s="9"/>
      <c r="V237" s="6" t="s">
        <v>44</v>
      </c>
      <c r="W237" s="9"/>
      <c r="X237" s="6" t="s">
        <v>45</v>
      </c>
      <c r="Y237" s="6" t="s">
        <v>46</v>
      </c>
      <c r="Z237" s="6">
        <v>3.040311258E9</v>
      </c>
      <c r="AA237" s="6" t="s">
        <v>45</v>
      </c>
      <c r="AB237" s="6" t="s">
        <v>203</v>
      </c>
      <c r="AC237" s="6" t="s">
        <v>1004</v>
      </c>
      <c r="AD237" s="9"/>
      <c r="AE237" s="9"/>
      <c r="AF237" s="9"/>
      <c r="AG237" s="9"/>
    </row>
    <row r="238" hidden="1">
      <c r="A238" s="21">
        <f>COUNTIF('Histórico'!$B:$B,B238)</f>
        <v>1</v>
      </c>
      <c r="B238" s="21" t="s">
        <v>1005</v>
      </c>
      <c r="C238" s="9"/>
      <c r="D238" s="6" t="s">
        <v>39</v>
      </c>
      <c r="E238" s="6" t="s">
        <v>40</v>
      </c>
      <c r="F238" s="23">
        <v>46142.0</v>
      </c>
      <c r="G238" s="6" t="s">
        <v>41</v>
      </c>
      <c r="H238" s="23">
        <v>46142.0</v>
      </c>
      <c r="I238" s="6" t="s">
        <v>313</v>
      </c>
      <c r="J238" s="6">
        <v>22373.0</v>
      </c>
      <c r="K238" s="6" t="s">
        <v>890</v>
      </c>
      <c r="L238" s="14">
        <v>30316.0</v>
      </c>
      <c r="M238" s="9"/>
      <c r="N238" s="9"/>
      <c r="O238" s="9"/>
      <c r="P238" s="9"/>
      <c r="Q238" s="6">
        <v>1.0</v>
      </c>
      <c r="R238" s="23">
        <v>46023.0</v>
      </c>
      <c r="S238" s="23">
        <v>46082.0</v>
      </c>
      <c r="T238" s="23">
        <v>46142.0</v>
      </c>
      <c r="U238" s="9"/>
      <c r="V238" s="6" t="s">
        <v>44</v>
      </c>
      <c r="W238" s="9"/>
      <c r="X238" s="6" t="s">
        <v>45</v>
      </c>
      <c r="Y238" s="6" t="s">
        <v>46</v>
      </c>
      <c r="Z238" s="6">
        <v>3.04024698E9</v>
      </c>
      <c r="AA238" s="6" t="s">
        <v>188</v>
      </c>
      <c r="AB238" s="6" t="s">
        <v>194</v>
      </c>
      <c r="AC238" s="6" t="s">
        <v>404</v>
      </c>
      <c r="AD238" s="9"/>
      <c r="AE238" s="9"/>
      <c r="AF238" s="9"/>
      <c r="AG238" s="9"/>
    </row>
    <row r="239" hidden="1">
      <c r="A239" s="21">
        <f>COUNTIF('Histórico'!$B:$B,B239)</f>
        <v>1</v>
      </c>
      <c r="B239" s="21" t="s">
        <v>1007</v>
      </c>
      <c r="C239" s="9"/>
      <c r="D239" s="6" t="s">
        <v>39</v>
      </c>
      <c r="E239" s="6" t="s">
        <v>40</v>
      </c>
      <c r="F239" s="23">
        <v>46142.0</v>
      </c>
      <c r="G239" s="6" t="s">
        <v>41</v>
      </c>
      <c r="H239" s="23">
        <v>46142.0</v>
      </c>
      <c r="I239" s="6" t="s">
        <v>1008</v>
      </c>
      <c r="J239" s="6" t="s">
        <v>156</v>
      </c>
      <c r="K239" s="6" t="s">
        <v>292</v>
      </c>
      <c r="L239" s="14" t="s">
        <v>1009</v>
      </c>
      <c r="M239" s="9"/>
      <c r="N239" s="9"/>
      <c r="O239" s="9"/>
      <c r="P239" s="9"/>
      <c r="Q239" s="6">
        <v>1.0</v>
      </c>
      <c r="R239" s="23">
        <v>46140.0</v>
      </c>
      <c r="S239" s="23">
        <v>46147.0</v>
      </c>
      <c r="T239" s="23">
        <v>46142.0</v>
      </c>
      <c r="U239" s="9"/>
      <c r="V239" s="6" t="s">
        <v>44</v>
      </c>
      <c r="W239" s="9"/>
      <c r="X239" s="6" t="s">
        <v>45</v>
      </c>
      <c r="Y239" s="6" t="s">
        <v>46</v>
      </c>
      <c r="Z239" s="6">
        <v>3.040326012E9</v>
      </c>
      <c r="AA239" s="6" t="s">
        <v>45</v>
      </c>
      <c r="AB239" s="6" t="s">
        <v>46</v>
      </c>
      <c r="AC239" s="6" t="s">
        <v>80</v>
      </c>
      <c r="AD239" s="9"/>
      <c r="AE239" s="9"/>
      <c r="AF239" s="9"/>
      <c r="AG239" s="9"/>
    </row>
    <row r="240" hidden="1">
      <c r="A240" s="21">
        <f>COUNTIF('Histórico'!$B:$B,B240)</f>
        <v>1</v>
      </c>
      <c r="B240" s="21" t="s">
        <v>1010</v>
      </c>
      <c r="C240" s="9"/>
      <c r="D240" s="6" t="s">
        <v>39</v>
      </c>
      <c r="E240" s="6" t="s">
        <v>40</v>
      </c>
      <c r="F240" s="23">
        <v>46142.0</v>
      </c>
      <c r="G240" s="6" t="s">
        <v>41</v>
      </c>
      <c r="H240" s="23">
        <v>46142.0</v>
      </c>
      <c r="I240" s="6" t="s">
        <v>1011</v>
      </c>
      <c r="J240" s="6" t="s">
        <v>275</v>
      </c>
      <c r="K240" s="6" t="s">
        <v>1012</v>
      </c>
      <c r="L240" s="14">
        <v>8.6816588E7</v>
      </c>
      <c r="M240" s="9"/>
      <c r="N240" s="9"/>
      <c r="O240" s="9"/>
      <c r="P240" s="9"/>
      <c r="Q240" s="6">
        <v>1.0</v>
      </c>
      <c r="R240" s="23">
        <v>46140.0</v>
      </c>
      <c r="S240" s="23">
        <v>46147.0</v>
      </c>
      <c r="T240" s="23">
        <v>46142.0</v>
      </c>
      <c r="U240" s="9"/>
      <c r="V240" s="6" t="s">
        <v>44</v>
      </c>
      <c r="W240" s="9"/>
      <c r="X240" s="6" t="s">
        <v>45</v>
      </c>
      <c r="Y240" s="6" t="s">
        <v>46</v>
      </c>
      <c r="Z240" s="6">
        <v>3.040297852E9</v>
      </c>
      <c r="AA240" s="6" t="s">
        <v>143</v>
      </c>
      <c r="AB240" s="6" t="s">
        <v>144</v>
      </c>
      <c r="AC240" s="6" t="s">
        <v>621</v>
      </c>
      <c r="AD240" s="9"/>
      <c r="AE240" s="9"/>
      <c r="AF240" s="9"/>
      <c r="AG240" s="9"/>
    </row>
    <row r="241" hidden="1">
      <c r="A241" s="21">
        <f>COUNTIF('Histórico'!$B:$B,B241)</f>
        <v>1</v>
      </c>
      <c r="B241" s="21" t="s">
        <v>1013</v>
      </c>
      <c r="C241" s="9"/>
      <c r="D241" s="6" t="s">
        <v>39</v>
      </c>
      <c r="E241" s="6" t="s">
        <v>40</v>
      </c>
      <c r="F241" s="23">
        <v>46142.0</v>
      </c>
      <c r="G241" s="6" t="s">
        <v>41</v>
      </c>
      <c r="H241" s="23">
        <v>46142.0</v>
      </c>
      <c r="I241" s="6" t="s">
        <v>1011</v>
      </c>
      <c r="J241" s="6" t="s">
        <v>275</v>
      </c>
      <c r="K241" s="6" t="s">
        <v>1012</v>
      </c>
      <c r="L241" s="14">
        <v>8.6815595E7</v>
      </c>
      <c r="M241" s="9"/>
      <c r="N241" s="9"/>
      <c r="O241" s="9"/>
      <c r="P241" s="9"/>
      <c r="Q241" s="6">
        <v>1.0</v>
      </c>
      <c r="R241" s="23">
        <v>46140.0</v>
      </c>
      <c r="S241" s="23">
        <v>46147.0</v>
      </c>
      <c r="T241" s="23">
        <v>46142.0</v>
      </c>
      <c r="U241" s="9"/>
      <c r="V241" s="6" t="s">
        <v>44</v>
      </c>
      <c r="W241" s="21"/>
      <c r="X241" s="6" t="s">
        <v>45</v>
      </c>
      <c r="Y241" s="6" t="s">
        <v>46</v>
      </c>
      <c r="Z241" s="6">
        <v>3.040300102E9</v>
      </c>
      <c r="AA241" s="6" t="s">
        <v>143</v>
      </c>
      <c r="AB241" s="6" t="s">
        <v>144</v>
      </c>
      <c r="AC241" s="6" t="s">
        <v>621</v>
      </c>
      <c r="AD241" s="9"/>
      <c r="AE241" s="9"/>
      <c r="AF241" s="9"/>
      <c r="AG241" s="9"/>
    </row>
    <row r="242" hidden="1">
      <c r="A242" s="21">
        <f>COUNTIF('Histórico'!$B:$B,B242)</f>
        <v>1</v>
      </c>
      <c r="B242" s="21" t="s">
        <v>1014</v>
      </c>
      <c r="C242" s="9"/>
      <c r="D242" s="6" t="s">
        <v>39</v>
      </c>
      <c r="E242" s="6" t="s">
        <v>40</v>
      </c>
      <c r="F242" s="23">
        <v>46142.0</v>
      </c>
      <c r="G242" s="6" t="s">
        <v>41</v>
      </c>
      <c r="H242" s="23">
        <v>46142.0</v>
      </c>
      <c r="I242" s="6" t="s">
        <v>1008</v>
      </c>
      <c r="J242" s="6" t="s">
        <v>156</v>
      </c>
      <c r="K242" s="6" t="s">
        <v>292</v>
      </c>
      <c r="L242" s="14" t="s">
        <v>1015</v>
      </c>
      <c r="M242" s="9"/>
      <c r="N242" s="9"/>
      <c r="O242" s="9"/>
      <c r="P242" s="9"/>
      <c r="Q242" s="6">
        <v>1.0</v>
      </c>
      <c r="R242" s="23">
        <v>46140.0</v>
      </c>
      <c r="S242" s="23">
        <v>46147.0</v>
      </c>
      <c r="T242" s="23">
        <v>46142.0</v>
      </c>
      <c r="U242" s="9"/>
      <c r="V242" s="6" t="s">
        <v>44</v>
      </c>
      <c r="W242" s="9"/>
      <c r="X242" s="6" t="s">
        <v>45</v>
      </c>
      <c r="Y242" s="6" t="s">
        <v>46</v>
      </c>
      <c r="Z242" s="6">
        <v>3.040326011E9</v>
      </c>
      <c r="AA242" s="6" t="s">
        <v>45</v>
      </c>
      <c r="AB242" s="6" t="s">
        <v>46</v>
      </c>
      <c r="AC242" s="6" t="s">
        <v>80</v>
      </c>
      <c r="AD242" s="9"/>
      <c r="AE242" s="9"/>
      <c r="AF242" s="9"/>
      <c r="AG242" s="9"/>
    </row>
    <row r="243" hidden="1">
      <c r="A243" s="21">
        <f>COUNTIF('Histórico'!$B:$B,B243)</f>
        <v>1</v>
      </c>
      <c r="B243" s="21" t="s">
        <v>1016</v>
      </c>
      <c r="C243" s="9"/>
      <c r="D243" s="6" t="s">
        <v>39</v>
      </c>
      <c r="E243" s="6" t="s">
        <v>40</v>
      </c>
      <c r="F243" s="23">
        <v>46142.0</v>
      </c>
      <c r="G243" s="6" t="s">
        <v>41</v>
      </c>
      <c r="H243" s="23">
        <v>46142.0</v>
      </c>
      <c r="I243" s="6" t="s">
        <v>1008</v>
      </c>
      <c r="J243" s="6" t="s">
        <v>156</v>
      </c>
      <c r="K243" s="6" t="s">
        <v>292</v>
      </c>
      <c r="L243" s="14" t="s">
        <v>1017</v>
      </c>
      <c r="M243" s="9"/>
      <c r="N243" s="9"/>
      <c r="O243" s="9"/>
      <c r="P243" s="9"/>
      <c r="Q243" s="6">
        <v>1.0</v>
      </c>
      <c r="R243" s="23">
        <v>46140.0</v>
      </c>
      <c r="S243" s="23">
        <v>46147.0</v>
      </c>
      <c r="T243" s="23">
        <v>46142.0</v>
      </c>
      <c r="U243" s="9"/>
      <c r="V243" s="6" t="s">
        <v>44</v>
      </c>
      <c r="W243" s="9"/>
      <c r="X243" s="6" t="s">
        <v>45</v>
      </c>
      <c r="Y243" s="6" t="s">
        <v>46</v>
      </c>
      <c r="Z243" s="6">
        <v>3.04032601E9</v>
      </c>
      <c r="AA243" s="6" t="s">
        <v>45</v>
      </c>
      <c r="AB243" s="6" t="s">
        <v>46</v>
      </c>
      <c r="AC243" s="6" t="s">
        <v>80</v>
      </c>
      <c r="AD243" s="9"/>
      <c r="AE243" s="9"/>
      <c r="AF243" s="9"/>
      <c r="AG243" s="9"/>
    </row>
    <row r="244" hidden="1">
      <c r="A244" s="21">
        <f>COUNTIF('Histórico'!$B:$B,B244)</f>
        <v>1</v>
      </c>
      <c r="B244" s="21" t="s">
        <v>1018</v>
      </c>
      <c r="C244" s="9"/>
      <c r="D244" s="6" t="s">
        <v>39</v>
      </c>
      <c r="E244" s="6" t="s">
        <v>40</v>
      </c>
      <c r="F244" s="23">
        <v>46142.0</v>
      </c>
      <c r="G244" s="6" t="s">
        <v>41</v>
      </c>
      <c r="H244" s="23">
        <v>46142.0</v>
      </c>
      <c r="I244" s="6" t="s">
        <v>1008</v>
      </c>
      <c r="J244" s="6" t="s">
        <v>156</v>
      </c>
      <c r="K244" s="6" t="s">
        <v>292</v>
      </c>
      <c r="L244" s="14" t="s">
        <v>1019</v>
      </c>
      <c r="M244" s="9"/>
      <c r="N244" s="9"/>
      <c r="O244" s="9"/>
      <c r="P244" s="9"/>
      <c r="Q244" s="6">
        <v>1.0</v>
      </c>
      <c r="R244" s="23">
        <v>46140.0</v>
      </c>
      <c r="S244" s="23">
        <v>46147.0</v>
      </c>
      <c r="T244" s="23">
        <v>46142.0</v>
      </c>
      <c r="U244" s="9"/>
      <c r="V244" s="6" t="s">
        <v>44</v>
      </c>
      <c r="W244" s="9"/>
      <c r="X244" s="6" t="s">
        <v>45</v>
      </c>
      <c r="Y244" s="6" t="s">
        <v>46</v>
      </c>
      <c r="Z244" s="6">
        <v>3.04032449E9</v>
      </c>
      <c r="AA244" s="6" t="s">
        <v>57</v>
      </c>
      <c r="AB244" s="6" t="s">
        <v>410</v>
      </c>
      <c r="AC244" s="6" t="s">
        <v>411</v>
      </c>
      <c r="AD244" s="9"/>
      <c r="AE244" s="9"/>
      <c r="AF244" s="9"/>
      <c r="AG244" s="9"/>
    </row>
    <row r="245" hidden="1">
      <c r="A245" s="21">
        <f>COUNTIF('Histórico'!$B:$B,B245)</f>
        <v>1</v>
      </c>
      <c r="B245" s="21" t="s">
        <v>1020</v>
      </c>
      <c r="C245" s="9"/>
      <c r="D245" s="6" t="s">
        <v>39</v>
      </c>
      <c r="E245" s="6" t="s">
        <v>40</v>
      </c>
      <c r="F245" s="23">
        <v>46142.0</v>
      </c>
      <c r="G245" s="6" t="s">
        <v>41</v>
      </c>
      <c r="H245" s="23">
        <v>46142.0</v>
      </c>
      <c r="I245" s="6" t="s">
        <v>1008</v>
      </c>
      <c r="J245" s="6" t="s">
        <v>156</v>
      </c>
      <c r="K245" s="6" t="s">
        <v>292</v>
      </c>
      <c r="L245" s="14" t="s">
        <v>1021</v>
      </c>
      <c r="M245" s="9"/>
      <c r="N245" s="9"/>
      <c r="O245" s="9"/>
      <c r="P245" s="9"/>
      <c r="Q245" s="6">
        <v>1.0</v>
      </c>
      <c r="R245" s="23">
        <v>46140.0</v>
      </c>
      <c r="S245" s="23">
        <v>46147.0</v>
      </c>
      <c r="T245" s="23">
        <v>46142.0</v>
      </c>
      <c r="U245" s="9"/>
      <c r="V245" s="6" t="s">
        <v>44</v>
      </c>
      <c r="W245" s="9"/>
      <c r="X245" s="6" t="s">
        <v>45</v>
      </c>
      <c r="Y245" s="6" t="s">
        <v>46</v>
      </c>
      <c r="Z245" s="6">
        <v>3.040324489E9</v>
      </c>
      <c r="AA245" s="6" t="s">
        <v>57</v>
      </c>
      <c r="AB245" s="6" t="s">
        <v>410</v>
      </c>
      <c r="AC245" s="6" t="s">
        <v>411</v>
      </c>
      <c r="AD245" s="9"/>
      <c r="AE245" s="9"/>
      <c r="AF245" s="9"/>
      <c r="AG245" s="9"/>
    </row>
    <row r="246" hidden="1">
      <c r="A246" s="21">
        <f>COUNTIF('Histórico'!$B:$B,B246)</f>
        <v>1</v>
      </c>
      <c r="B246" s="21" t="s">
        <v>1022</v>
      </c>
      <c r="C246" s="9"/>
      <c r="D246" s="6" t="s">
        <v>39</v>
      </c>
      <c r="E246" s="6" t="s">
        <v>40</v>
      </c>
      <c r="F246" s="23">
        <v>46142.0</v>
      </c>
      <c r="G246" s="6" t="s">
        <v>41</v>
      </c>
      <c r="H246" s="23">
        <v>46142.0</v>
      </c>
      <c r="I246" s="6" t="s">
        <v>251</v>
      </c>
      <c r="J246" s="6" t="s">
        <v>156</v>
      </c>
      <c r="K246" s="6" t="s">
        <v>252</v>
      </c>
      <c r="L246" s="14">
        <v>4112112.0</v>
      </c>
      <c r="M246" s="9"/>
      <c r="N246" s="9"/>
      <c r="O246" s="9"/>
      <c r="P246" s="9"/>
      <c r="Q246" s="6">
        <v>1.0</v>
      </c>
      <c r="R246" s="23">
        <v>46140.0</v>
      </c>
      <c r="S246" s="23">
        <v>46147.0</v>
      </c>
      <c r="T246" s="23">
        <v>46142.0</v>
      </c>
      <c r="U246" s="9"/>
      <c r="V246" s="6" t="s">
        <v>44</v>
      </c>
      <c r="W246" s="9"/>
      <c r="X246" s="6" t="s">
        <v>45</v>
      </c>
      <c r="Y246" s="6" t="s">
        <v>46</v>
      </c>
      <c r="Z246" s="6">
        <v>3.040312965E9</v>
      </c>
      <c r="AA246" s="6" t="s">
        <v>45</v>
      </c>
      <c r="AB246" s="6" t="s">
        <v>46</v>
      </c>
      <c r="AC246" s="6" t="s">
        <v>80</v>
      </c>
      <c r="AD246" s="9"/>
      <c r="AE246" s="9"/>
      <c r="AF246" s="9"/>
      <c r="AG246" s="9"/>
    </row>
    <row r="247" hidden="1">
      <c r="A247" s="21">
        <f>COUNTIF('Histórico'!$B:$B,B247)</f>
        <v>1</v>
      </c>
      <c r="B247" s="21" t="s">
        <v>1023</v>
      </c>
      <c r="C247" s="9"/>
      <c r="D247" s="6" t="s">
        <v>39</v>
      </c>
      <c r="E247" s="6" t="s">
        <v>40</v>
      </c>
      <c r="F247" s="23">
        <v>46148.0</v>
      </c>
      <c r="G247" s="6" t="s">
        <v>41</v>
      </c>
      <c r="H247" s="23">
        <v>46148.0</v>
      </c>
      <c r="I247" s="6" t="s">
        <v>286</v>
      </c>
      <c r="J247" s="6">
        <v>22373.0</v>
      </c>
      <c r="K247" s="6" t="s">
        <v>287</v>
      </c>
      <c r="L247" s="14">
        <v>3958.0</v>
      </c>
      <c r="M247" s="9"/>
      <c r="N247" s="9"/>
      <c r="O247" s="9"/>
      <c r="P247" s="9"/>
      <c r="Q247" s="6">
        <v>1.0</v>
      </c>
      <c r="R247" s="23">
        <v>46147.0</v>
      </c>
      <c r="S247" s="23">
        <v>46174.0</v>
      </c>
      <c r="T247" s="23">
        <v>46148.0</v>
      </c>
      <c r="U247" s="9"/>
      <c r="V247" s="6" t="s">
        <v>44</v>
      </c>
      <c r="W247" s="21"/>
      <c r="X247" s="6" t="s">
        <v>45</v>
      </c>
      <c r="Y247" s="6" t="s">
        <v>46</v>
      </c>
      <c r="Z247" s="6">
        <v>3.040317879E9</v>
      </c>
      <c r="AA247" s="6" t="s">
        <v>304</v>
      </c>
      <c r="AB247" s="6" t="s">
        <v>306</v>
      </c>
      <c r="AC247" s="6" t="s">
        <v>991</v>
      </c>
      <c r="AD247" s="9"/>
      <c r="AE247" s="9"/>
      <c r="AF247" s="9"/>
      <c r="AG247" s="9"/>
    </row>
    <row r="248" hidden="1">
      <c r="A248" s="21">
        <f>COUNTIF('Histórico'!$B:$B,B248)</f>
        <v>1</v>
      </c>
      <c r="B248" s="21" t="s">
        <v>1024</v>
      </c>
      <c r="C248" s="9"/>
      <c r="D248" s="6" t="s">
        <v>39</v>
      </c>
      <c r="E248" s="6" t="s">
        <v>40</v>
      </c>
      <c r="F248" s="23">
        <v>46148.0</v>
      </c>
      <c r="G248" s="6" t="s">
        <v>41</v>
      </c>
      <c r="H248" s="23">
        <v>46148.0</v>
      </c>
      <c r="I248" s="6" t="s">
        <v>286</v>
      </c>
      <c r="J248" s="6">
        <v>22373.0</v>
      </c>
      <c r="K248" s="6" t="s">
        <v>287</v>
      </c>
      <c r="L248" s="14">
        <v>34851.0</v>
      </c>
      <c r="M248" s="9"/>
      <c r="N248" s="9"/>
      <c r="O248" s="9"/>
      <c r="P248" s="9"/>
      <c r="Q248" s="6">
        <v>1.0</v>
      </c>
      <c r="R248" s="23">
        <v>46147.0</v>
      </c>
      <c r="S248" s="23">
        <v>46153.0</v>
      </c>
      <c r="T248" s="23">
        <v>46148.0</v>
      </c>
      <c r="U248" s="9"/>
      <c r="V248" s="6" t="s">
        <v>44</v>
      </c>
      <c r="W248" s="9"/>
      <c r="X248" s="6" t="s">
        <v>45</v>
      </c>
      <c r="Y248" s="6" t="s">
        <v>46</v>
      </c>
      <c r="Z248" s="6">
        <v>3.040319929E9</v>
      </c>
      <c r="AA248" s="6" t="s">
        <v>64</v>
      </c>
      <c r="AB248" s="6" t="s">
        <v>399</v>
      </c>
      <c r="AC248" s="6" t="s">
        <v>400</v>
      </c>
      <c r="AD248" s="9"/>
      <c r="AE248" s="9"/>
      <c r="AF248" s="9"/>
      <c r="AG248" s="9"/>
    </row>
    <row r="249" hidden="1">
      <c r="A249" s="21">
        <f>COUNTIF('Histórico'!$B:$B,B249)</f>
        <v>1</v>
      </c>
      <c r="B249" s="21" t="s">
        <v>1025</v>
      </c>
      <c r="C249" s="9"/>
      <c r="D249" s="6" t="s">
        <v>39</v>
      </c>
      <c r="E249" s="6" t="s">
        <v>40</v>
      </c>
      <c r="F249" s="23">
        <v>46148.0</v>
      </c>
      <c r="G249" s="6" t="s">
        <v>41</v>
      </c>
      <c r="H249" s="23">
        <v>46148.0</v>
      </c>
      <c r="I249" s="6" t="s">
        <v>286</v>
      </c>
      <c r="J249" s="6">
        <v>22373.0</v>
      </c>
      <c r="K249" s="6" t="s">
        <v>287</v>
      </c>
      <c r="L249" s="14">
        <v>30559.0</v>
      </c>
      <c r="M249" s="9"/>
      <c r="N249" s="9"/>
      <c r="O249" s="9"/>
      <c r="P249" s="9"/>
      <c r="Q249" s="6">
        <v>1.0</v>
      </c>
      <c r="R249" s="23">
        <v>46147.0</v>
      </c>
      <c r="S249" s="23">
        <v>46153.0</v>
      </c>
      <c r="T249" s="23">
        <v>46148.0</v>
      </c>
      <c r="U249" s="9"/>
      <c r="V249" s="6" t="s">
        <v>44</v>
      </c>
      <c r="W249" s="9"/>
      <c r="X249" s="6" t="s">
        <v>45</v>
      </c>
      <c r="Y249" s="6" t="s">
        <v>46</v>
      </c>
      <c r="Z249" s="6">
        <v>3.040316902E9</v>
      </c>
      <c r="AA249" s="6" t="s">
        <v>62</v>
      </c>
      <c r="AB249" s="6" t="s">
        <v>120</v>
      </c>
      <c r="AC249" s="6" t="s">
        <v>121</v>
      </c>
      <c r="AD249" s="9"/>
      <c r="AE249" s="9"/>
      <c r="AF249" s="9"/>
      <c r="AG249" s="9"/>
    </row>
    <row r="250" hidden="1">
      <c r="A250" s="21">
        <f>COUNTIF('Histórico'!$B:$B,B250)</f>
        <v>1</v>
      </c>
      <c r="B250" s="21" t="s">
        <v>1026</v>
      </c>
      <c r="C250" s="9"/>
      <c r="D250" s="6" t="s">
        <v>39</v>
      </c>
      <c r="E250" s="6" t="s">
        <v>40</v>
      </c>
      <c r="F250" s="23">
        <v>46148.0</v>
      </c>
      <c r="G250" s="6" t="s">
        <v>41</v>
      </c>
      <c r="H250" s="23">
        <v>46148.0</v>
      </c>
      <c r="I250" s="6" t="s">
        <v>986</v>
      </c>
      <c r="J250" s="6">
        <v>22373.0</v>
      </c>
      <c r="K250" s="6" t="s">
        <v>987</v>
      </c>
      <c r="L250" s="14">
        <v>4157.0</v>
      </c>
      <c r="M250" s="9"/>
      <c r="N250" s="9"/>
      <c r="O250" s="9"/>
      <c r="P250" s="9"/>
      <c r="Q250" s="6">
        <v>1.0</v>
      </c>
      <c r="R250" s="23">
        <v>46147.0</v>
      </c>
      <c r="S250" s="23">
        <v>46153.0</v>
      </c>
      <c r="T250" s="23">
        <v>46148.0</v>
      </c>
      <c r="U250" s="9"/>
      <c r="V250" s="6" t="s">
        <v>44</v>
      </c>
      <c r="W250" s="9"/>
      <c r="X250" s="6" t="s">
        <v>45</v>
      </c>
      <c r="Y250" s="6" t="s">
        <v>46</v>
      </c>
      <c r="Z250" s="6">
        <v>3.040315566E9</v>
      </c>
      <c r="AA250" s="6" t="s">
        <v>45</v>
      </c>
      <c r="AB250" s="6" t="s">
        <v>46</v>
      </c>
      <c r="AC250" s="6" t="s">
        <v>324</v>
      </c>
      <c r="AD250" s="9"/>
      <c r="AE250" s="9"/>
      <c r="AF250" s="9"/>
      <c r="AG250" s="9"/>
    </row>
    <row r="251" hidden="1">
      <c r="A251" s="21">
        <f>COUNTIF('Histórico'!$B:$B,B251)</f>
        <v>1</v>
      </c>
      <c r="B251" s="21" t="s">
        <v>1027</v>
      </c>
      <c r="C251" s="9"/>
      <c r="D251" s="6" t="s">
        <v>39</v>
      </c>
      <c r="E251" s="6" t="s">
        <v>40</v>
      </c>
      <c r="F251" s="23">
        <v>46148.0</v>
      </c>
      <c r="G251" s="6" t="s">
        <v>41</v>
      </c>
      <c r="H251" s="23">
        <v>46148.0</v>
      </c>
      <c r="I251" s="6" t="s">
        <v>986</v>
      </c>
      <c r="J251" s="6">
        <v>22373.0</v>
      </c>
      <c r="K251" s="6" t="s">
        <v>987</v>
      </c>
      <c r="L251" s="14">
        <v>2913.0</v>
      </c>
      <c r="M251" s="9"/>
      <c r="N251" s="9"/>
      <c r="O251" s="9"/>
      <c r="P251" s="9"/>
      <c r="Q251" s="6">
        <v>1.0</v>
      </c>
      <c r="R251" s="23">
        <v>46147.0</v>
      </c>
      <c r="S251" s="23">
        <v>46153.0</v>
      </c>
      <c r="T251" s="23">
        <v>46148.0</v>
      </c>
      <c r="U251" s="9"/>
      <c r="V251" s="6" t="s">
        <v>44</v>
      </c>
      <c r="W251" s="9"/>
      <c r="X251" s="6" t="s">
        <v>45</v>
      </c>
      <c r="Y251" s="6" t="s">
        <v>46</v>
      </c>
      <c r="Z251" s="6">
        <v>3.040314519E9</v>
      </c>
      <c r="AA251" s="6" t="s">
        <v>71</v>
      </c>
      <c r="AB251" s="6" t="s">
        <v>501</v>
      </c>
      <c r="AC251" s="6" t="s">
        <v>1028</v>
      </c>
      <c r="AD251" s="9"/>
      <c r="AE251" s="9"/>
      <c r="AF251" s="9"/>
      <c r="AG251" s="9"/>
    </row>
    <row r="252" hidden="1">
      <c r="A252" s="21">
        <f>COUNTIF('Histórico'!$B:$B,B252)</f>
        <v>1</v>
      </c>
      <c r="B252" s="21" t="s">
        <v>1030</v>
      </c>
      <c r="C252" s="9"/>
      <c r="D252" s="6" t="s">
        <v>39</v>
      </c>
      <c r="E252" s="6" t="s">
        <v>40</v>
      </c>
      <c r="F252" s="23">
        <v>46148.0</v>
      </c>
      <c r="G252" s="6" t="s">
        <v>41</v>
      </c>
      <c r="H252" s="23">
        <v>46148.0</v>
      </c>
      <c r="I252" s="6" t="s">
        <v>986</v>
      </c>
      <c r="J252" s="6">
        <v>22373.0</v>
      </c>
      <c r="K252" s="6" t="s">
        <v>987</v>
      </c>
      <c r="L252" s="14">
        <v>4129.0</v>
      </c>
      <c r="M252" s="9"/>
      <c r="N252" s="9"/>
      <c r="O252" s="9"/>
      <c r="P252" s="9"/>
      <c r="Q252" s="6">
        <v>1.0</v>
      </c>
      <c r="R252" s="23">
        <v>46147.0</v>
      </c>
      <c r="S252" s="23">
        <v>46153.0</v>
      </c>
      <c r="T252" s="23">
        <v>46148.0</v>
      </c>
      <c r="U252" s="9"/>
      <c r="V252" s="6" t="s">
        <v>44</v>
      </c>
      <c r="W252" s="9"/>
      <c r="X252" s="6" t="s">
        <v>45</v>
      </c>
      <c r="Y252" s="6" t="s">
        <v>46</v>
      </c>
      <c r="Z252" s="6">
        <v>3.040323016E9</v>
      </c>
      <c r="AA252" s="6" t="s">
        <v>57</v>
      </c>
      <c r="AB252" s="6" t="s">
        <v>58</v>
      </c>
      <c r="AC252" s="6" t="s">
        <v>1031</v>
      </c>
      <c r="AD252" s="9"/>
      <c r="AE252" s="9"/>
      <c r="AF252" s="9"/>
      <c r="AG252" s="9"/>
    </row>
    <row r="253" hidden="1">
      <c r="A253" s="21">
        <f>COUNTIF('Histórico'!$B:$B,B253)</f>
        <v>1</v>
      </c>
      <c r="B253" s="21" t="s">
        <v>1032</v>
      </c>
      <c r="C253" s="9"/>
      <c r="D253" s="6" t="s">
        <v>39</v>
      </c>
      <c r="E253" s="6" t="s">
        <v>40</v>
      </c>
      <c r="F253" s="23">
        <v>46148.0</v>
      </c>
      <c r="G253" s="6" t="s">
        <v>41</v>
      </c>
      <c r="H253" s="23">
        <v>46148.0</v>
      </c>
      <c r="I253" s="6" t="s">
        <v>684</v>
      </c>
      <c r="J253" s="6">
        <v>22373.0</v>
      </c>
      <c r="K253" s="6" t="s">
        <v>685</v>
      </c>
      <c r="L253" s="14" t="s">
        <v>1033</v>
      </c>
      <c r="M253" s="9"/>
      <c r="N253" s="9"/>
      <c r="O253" s="9"/>
      <c r="P253" s="9"/>
      <c r="Q253" s="6">
        <v>1.0</v>
      </c>
      <c r="R253" s="23">
        <v>46148.0</v>
      </c>
      <c r="S253" s="23">
        <v>46154.0</v>
      </c>
      <c r="T253" s="23">
        <v>46148.0</v>
      </c>
      <c r="U253" s="9"/>
      <c r="V253" s="6" t="s">
        <v>44</v>
      </c>
      <c r="W253" s="21"/>
      <c r="X253" s="6" t="s">
        <v>45</v>
      </c>
      <c r="Y253" s="6" t="s">
        <v>46</v>
      </c>
      <c r="Z253" s="6">
        <v>3.040326281E9</v>
      </c>
      <c r="AA253" s="6" t="s">
        <v>70</v>
      </c>
      <c r="AB253" s="6" t="s">
        <v>152</v>
      </c>
      <c r="AC253" s="6" t="s">
        <v>737</v>
      </c>
      <c r="AD253" s="9"/>
      <c r="AE253" s="9"/>
      <c r="AF253" s="9"/>
      <c r="AG253" s="9"/>
    </row>
    <row r="254" hidden="1">
      <c r="A254" s="21">
        <f>COUNTIF('Histórico'!$B:$B,B254)</f>
        <v>1</v>
      </c>
      <c r="B254" s="21" t="s">
        <v>1034</v>
      </c>
      <c r="C254" s="9"/>
      <c r="D254" s="6" t="s">
        <v>39</v>
      </c>
      <c r="E254" s="6" t="s">
        <v>40</v>
      </c>
      <c r="F254" s="23">
        <v>46149.0</v>
      </c>
      <c r="G254" s="6" t="s">
        <v>41</v>
      </c>
      <c r="H254" s="23">
        <v>46149.0</v>
      </c>
      <c r="I254" s="6" t="s">
        <v>436</v>
      </c>
      <c r="J254" s="6">
        <v>7213.0</v>
      </c>
      <c r="K254" s="6" t="s">
        <v>778</v>
      </c>
      <c r="L254" s="14" t="s">
        <v>1035</v>
      </c>
      <c r="M254" s="9"/>
      <c r="N254" s="9"/>
      <c r="O254" s="9"/>
      <c r="P254" s="9"/>
      <c r="Q254" s="6">
        <v>1.0</v>
      </c>
      <c r="R254" s="23">
        <v>46148.0</v>
      </c>
      <c r="S254" s="23">
        <v>46154.0</v>
      </c>
      <c r="T254" s="23">
        <v>46149.0</v>
      </c>
      <c r="U254" s="9"/>
      <c r="V254" s="6" t="s">
        <v>44</v>
      </c>
      <c r="W254" s="9"/>
      <c r="X254" s="6" t="s">
        <v>45</v>
      </c>
      <c r="Y254" s="6" t="s">
        <v>46</v>
      </c>
      <c r="Z254" s="6">
        <v>3.040326319E9</v>
      </c>
      <c r="AA254" s="6" t="s">
        <v>45</v>
      </c>
      <c r="AB254" s="6" t="s">
        <v>46</v>
      </c>
      <c r="AC254" s="6" t="s">
        <v>80</v>
      </c>
      <c r="AD254" s="9"/>
      <c r="AE254" s="9"/>
      <c r="AF254" s="9"/>
      <c r="AG254" s="9"/>
    </row>
    <row r="255" hidden="1">
      <c r="A255" s="21">
        <f>COUNTIF('Histórico'!$B:$B,B255)</f>
        <v>1</v>
      </c>
      <c r="B255" s="21" t="s">
        <v>1036</v>
      </c>
      <c r="C255" s="9"/>
      <c r="D255" s="6" t="s">
        <v>39</v>
      </c>
      <c r="E255" s="6" t="s">
        <v>40</v>
      </c>
      <c r="F255" s="23">
        <v>46149.0</v>
      </c>
      <c r="G255" s="6" t="s">
        <v>41</v>
      </c>
      <c r="H255" s="23">
        <v>46149.0</v>
      </c>
      <c r="I255" s="6" t="s">
        <v>436</v>
      </c>
      <c r="J255" s="6">
        <v>7213.0</v>
      </c>
      <c r="K255" s="6" t="s">
        <v>778</v>
      </c>
      <c r="L255" s="14" t="s">
        <v>1037</v>
      </c>
      <c r="M255" s="9"/>
      <c r="N255" s="9"/>
      <c r="O255" s="9"/>
      <c r="P255" s="9"/>
      <c r="Q255" s="6">
        <v>1.0</v>
      </c>
      <c r="R255" s="23">
        <v>46148.0</v>
      </c>
      <c r="S255" s="23">
        <v>46154.0</v>
      </c>
      <c r="T255" s="23">
        <v>46149.0</v>
      </c>
      <c r="U255" s="9"/>
      <c r="V255" s="6" t="s">
        <v>44</v>
      </c>
      <c r="W255" s="9"/>
      <c r="X255" s="6" t="s">
        <v>45</v>
      </c>
      <c r="Y255" s="6" t="s">
        <v>46</v>
      </c>
      <c r="Z255" s="6">
        <v>3.040326318E9</v>
      </c>
      <c r="AA255" s="6" t="s">
        <v>45</v>
      </c>
      <c r="AB255" s="6" t="s">
        <v>46</v>
      </c>
      <c r="AC255" s="6" t="s">
        <v>80</v>
      </c>
      <c r="AD255" s="9"/>
      <c r="AE255" s="9"/>
      <c r="AF255" s="9"/>
      <c r="AG255" s="9"/>
    </row>
    <row r="256" hidden="1">
      <c r="A256" s="21">
        <f>COUNTIF('Histórico'!$B:$B,B256)</f>
        <v>1</v>
      </c>
      <c r="B256" s="21" t="s">
        <v>1038</v>
      </c>
      <c r="C256" s="9"/>
      <c r="D256" s="6" t="s">
        <v>39</v>
      </c>
      <c r="E256" s="6" t="s">
        <v>40</v>
      </c>
      <c r="F256" s="23">
        <v>46154.0</v>
      </c>
      <c r="G256" s="6" t="s">
        <v>41</v>
      </c>
      <c r="H256" s="23">
        <v>46154.0</v>
      </c>
      <c r="I256" s="6" t="s">
        <v>418</v>
      </c>
      <c r="J256" s="6">
        <v>22373.0</v>
      </c>
      <c r="K256" s="6" t="s">
        <v>1039</v>
      </c>
      <c r="L256" s="14">
        <v>35511.0</v>
      </c>
      <c r="M256" s="9"/>
      <c r="N256" s="9"/>
      <c r="O256" s="9"/>
      <c r="P256" s="9"/>
      <c r="Q256" s="6">
        <v>1.0</v>
      </c>
      <c r="R256" s="23">
        <v>45962.0</v>
      </c>
      <c r="S256" s="23">
        <v>46054.0</v>
      </c>
      <c r="T256" s="23">
        <v>46154.0</v>
      </c>
      <c r="U256" s="9"/>
      <c r="V256" s="6" t="s">
        <v>44</v>
      </c>
      <c r="W256" s="9"/>
      <c r="X256" s="6" t="s">
        <v>45</v>
      </c>
      <c r="Y256" s="6" t="s">
        <v>46</v>
      </c>
      <c r="Z256" s="6">
        <v>3.040258407E9</v>
      </c>
      <c r="AA256" s="6" t="s">
        <v>169</v>
      </c>
      <c r="AB256" s="6" t="s">
        <v>120</v>
      </c>
      <c r="AC256" s="6" t="s">
        <v>1040</v>
      </c>
      <c r="AD256" s="9"/>
      <c r="AE256" s="9"/>
      <c r="AF256" s="9"/>
      <c r="AG256" s="9"/>
    </row>
    <row r="257" hidden="1">
      <c r="A257" s="21">
        <f>COUNTIF('Histórico'!$B:$B,B257)</f>
        <v>1</v>
      </c>
      <c r="B257" s="21" t="s">
        <v>1041</v>
      </c>
      <c r="C257" s="9"/>
      <c r="D257" s="6" t="s">
        <v>39</v>
      </c>
      <c r="E257" s="6" t="s">
        <v>40</v>
      </c>
      <c r="F257" s="23">
        <v>46154.0</v>
      </c>
      <c r="G257" s="6" t="s">
        <v>41</v>
      </c>
      <c r="H257" s="23">
        <v>46154.0</v>
      </c>
      <c r="I257" s="6" t="s">
        <v>302</v>
      </c>
      <c r="J257" s="6">
        <v>22373.0</v>
      </c>
      <c r="K257" s="6" t="s">
        <v>303</v>
      </c>
      <c r="L257" s="14">
        <v>85023.0</v>
      </c>
      <c r="M257" s="9"/>
      <c r="N257" s="9"/>
      <c r="O257" s="9"/>
      <c r="P257" s="9"/>
      <c r="Q257" s="6">
        <v>1.0</v>
      </c>
      <c r="R257" s="23">
        <v>46153.0</v>
      </c>
      <c r="S257" s="23">
        <v>46157.0</v>
      </c>
      <c r="T257" s="23">
        <v>46154.0</v>
      </c>
      <c r="U257" s="9"/>
      <c r="V257" s="6" t="s">
        <v>44</v>
      </c>
      <c r="W257" s="9"/>
      <c r="X257" s="6" t="s">
        <v>45</v>
      </c>
      <c r="Y257" s="6" t="s">
        <v>46</v>
      </c>
      <c r="Z257" s="6">
        <v>3.040284801E9</v>
      </c>
      <c r="AA257" s="6" t="s">
        <v>60</v>
      </c>
      <c r="AB257" s="6" t="s">
        <v>194</v>
      </c>
      <c r="AC257" s="6" t="s">
        <v>558</v>
      </c>
      <c r="AD257" s="9"/>
      <c r="AE257" s="9"/>
      <c r="AF257" s="9"/>
      <c r="AG257" s="9"/>
    </row>
    <row r="258" hidden="1">
      <c r="A258" s="21">
        <f>COUNTIF('Histórico'!$B:$B,B258)</f>
        <v>1</v>
      </c>
      <c r="B258" s="21" t="s">
        <v>1042</v>
      </c>
      <c r="C258" s="9"/>
      <c r="D258" s="6" t="s">
        <v>39</v>
      </c>
      <c r="E258" s="6" t="s">
        <v>40</v>
      </c>
      <c r="F258" s="23">
        <v>46154.0</v>
      </c>
      <c r="G258" s="6" t="s">
        <v>41</v>
      </c>
      <c r="H258" s="23">
        <v>46154.0</v>
      </c>
      <c r="I258" s="6" t="s">
        <v>302</v>
      </c>
      <c r="J258" s="6">
        <v>22373.0</v>
      </c>
      <c r="K258" s="6" t="s">
        <v>303</v>
      </c>
      <c r="L258" s="14">
        <v>83287.0</v>
      </c>
      <c r="M258" s="9"/>
      <c r="N258" s="9"/>
      <c r="O258" s="9"/>
      <c r="P258" s="9"/>
      <c r="Q258" s="6">
        <v>1.0</v>
      </c>
      <c r="R258" s="23">
        <v>46153.0</v>
      </c>
      <c r="S258" s="23">
        <v>46157.0</v>
      </c>
      <c r="T258" s="23">
        <v>46154.0</v>
      </c>
      <c r="U258" s="9"/>
      <c r="V258" s="6" t="s">
        <v>44</v>
      </c>
      <c r="W258" s="9"/>
      <c r="X258" s="6" t="s">
        <v>45</v>
      </c>
      <c r="Y258" s="6" t="s">
        <v>46</v>
      </c>
      <c r="Z258" s="6">
        <v>3.040297976E9</v>
      </c>
      <c r="AA258" s="6" t="s">
        <v>60</v>
      </c>
      <c r="AB258" s="6" t="s">
        <v>194</v>
      </c>
      <c r="AC258" s="6" t="s">
        <v>558</v>
      </c>
      <c r="AD258" s="9"/>
      <c r="AE258" s="9"/>
      <c r="AF258" s="9"/>
      <c r="AG258" s="9"/>
    </row>
    <row r="259" hidden="1">
      <c r="A259" s="21">
        <f>COUNTIF('Histórico'!$B:$B,B259)</f>
        <v>1</v>
      </c>
      <c r="B259" s="21" t="s">
        <v>1043</v>
      </c>
      <c r="C259" s="9"/>
      <c r="D259" s="6" t="s">
        <v>39</v>
      </c>
      <c r="E259" s="6" t="s">
        <v>40</v>
      </c>
      <c r="F259" s="23">
        <v>46154.0</v>
      </c>
      <c r="G259" s="6" t="s">
        <v>41</v>
      </c>
      <c r="H259" s="23">
        <v>46154.0</v>
      </c>
      <c r="I259" s="6" t="s">
        <v>452</v>
      </c>
      <c r="J259" s="6">
        <v>22373.0</v>
      </c>
      <c r="K259" s="6" t="s">
        <v>1044</v>
      </c>
      <c r="L259" s="14">
        <v>25424.0</v>
      </c>
      <c r="M259" s="9"/>
      <c r="N259" s="9"/>
      <c r="O259" s="9"/>
      <c r="P259" s="9"/>
      <c r="Q259" s="6">
        <v>1.0</v>
      </c>
      <c r="R259" s="23">
        <v>46153.0</v>
      </c>
      <c r="S259" s="23">
        <v>46157.0</v>
      </c>
      <c r="T259" s="23">
        <v>46154.0</v>
      </c>
      <c r="U259" s="9"/>
      <c r="V259" s="6" t="s">
        <v>44</v>
      </c>
      <c r="W259" s="9"/>
      <c r="X259" s="6" t="s">
        <v>45</v>
      </c>
      <c r="Y259" s="6" t="s">
        <v>46</v>
      </c>
      <c r="Z259" s="6">
        <v>3.04031366E9</v>
      </c>
      <c r="AA259" s="6" t="s">
        <v>45</v>
      </c>
      <c r="AB259" s="6" t="s">
        <v>46</v>
      </c>
      <c r="AC259" s="6" t="s">
        <v>324</v>
      </c>
      <c r="AD259" s="9"/>
      <c r="AE259" s="9"/>
      <c r="AF259" s="9"/>
      <c r="AG259" s="9"/>
    </row>
    <row r="260" hidden="1">
      <c r="A260" s="21">
        <f>COUNTIF('Histórico'!$B:$B,B260)</f>
        <v>1</v>
      </c>
      <c r="B260" s="21" t="s">
        <v>1045</v>
      </c>
      <c r="C260" s="9"/>
      <c r="D260" s="6" t="s">
        <v>39</v>
      </c>
      <c r="E260" s="6" t="s">
        <v>40</v>
      </c>
      <c r="F260" s="23">
        <v>46154.0</v>
      </c>
      <c r="G260" s="6" t="s">
        <v>41</v>
      </c>
      <c r="H260" s="23">
        <v>46154.0</v>
      </c>
      <c r="I260" s="6" t="s">
        <v>452</v>
      </c>
      <c r="J260" s="6">
        <v>22373.0</v>
      </c>
      <c r="K260" s="6" t="s">
        <v>1044</v>
      </c>
      <c r="L260" s="14">
        <v>21156.0</v>
      </c>
      <c r="M260" s="9"/>
      <c r="N260" s="9"/>
      <c r="O260" s="9"/>
      <c r="P260" s="9"/>
      <c r="Q260" s="6">
        <v>1.0</v>
      </c>
      <c r="R260" s="23">
        <v>46153.0</v>
      </c>
      <c r="S260" s="23">
        <v>46157.0</v>
      </c>
      <c r="T260" s="23">
        <v>46154.0</v>
      </c>
      <c r="U260" s="9"/>
      <c r="V260" s="6" t="s">
        <v>44</v>
      </c>
      <c r="W260" s="9"/>
      <c r="X260" s="6" t="s">
        <v>45</v>
      </c>
      <c r="Y260" s="6" t="s">
        <v>46</v>
      </c>
      <c r="Z260" s="6">
        <v>3.04031297E9</v>
      </c>
      <c r="AA260" s="6" t="s">
        <v>45</v>
      </c>
      <c r="AB260" s="6" t="s">
        <v>46</v>
      </c>
      <c r="AC260" s="6" t="s">
        <v>80</v>
      </c>
      <c r="AD260" s="9"/>
      <c r="AE260" s="9"/>
      <c r="AF260" s="9"/>
      <c r="AG260" s="9"/>
    </row>
    <row r="261" hidden="1">
      <c r="A261" s="21">
        <f>COUNTIF('Histórico'!$B:$B,B261)</f>
        <v>1</v>
      </c>
      <c r="B261" s="21" t="s">
        <v>1046</v>
      </c>
      <c r="C261" s="9"/>
      <c r="D261" s="6" t="s">
        <v>39</v>
      </c>
      <c r="E261" s="6" t="s">
        <v>40</v>
      </c>
      <c r="F261" s="23">
        <v>46154.0</v>
      </c>
      <c r="G261" s="6" t="s">
        <v>41</v>
      </c>
      <c r="H261" s="23">
        <v>46154.0</v>
      </c>
      <c r="I261" s="6" t="s">
        <v>452</v>
      </c>
      <c r="J261" s="6">
        <v>22373.0</v>
      </c>
      <c r="K261" s="6" t="s">
        <v>1044</v>
      </c>
      <c r="L261" s="14">
        <v>24970.0</v>
      </c>
      <c r="M261" s="9"/>
      <c r="N261" s="9"/>
      <c r="O261" s="9"/>
      <c r="P261" s="9"/>
      <c r="Q261" s="6">
        <v>1.0</v>
      </c>
      <c r="R261" s="23">
        <v>46153.0</v>
      </c>
      <c r="S261" s="23">
        <v>46157.0</v>
      </c>
      <c r="T261" s="23">
        <v>46154.0</v>
      </c>
      <c r="U261" s="9"/>
      <c r="V261" s="6" t="s">
        <v>44</v>
      </c>
      <c r="W261" s="9"/>
      <c r="X261" s="6" t="s">
        <v>45</v>
      </c>
      <c r="Y261" s="6" t="s">
        <v>46</v>
      </c>
      <c r="Z261" s="6">
        <v>3.040310539E9</v>
      </c>
      <c r="AA261" s="6" t="s">
        <v>45</v>
      </c>
      <c r="AB261" s="6" t="s">
        <v>46</v>
      </c>
      <c r="AC261" s="6" t="s">
        <v>80</v>
      </c>
      <c r="AD261" s="9"/>
      <c r="AE261" s="9"/>
      <c r="AF261" s="9"/>
      <c r="AG261" s="9"/>
    </row>
    <row r="262" hidden="1">
      <c r="A262" s="21">
        <f>COUNTIF('Histórico'!$B:$B,B262)</f>
        <v>1</v>
      </c>
      <c r="B262" s="21" t="s">
        <v>1047</v>
      </c>
      <c r="C262" s="9"/>
      <c r="D262" s="6" t="s">
        <v>39</v>
      </c>
      <c r="E262" s="6" t="s">
        <v>40</v>
      </c>
      <c r="F262" s="23">
        <v>46154.0</v>
      </c>
      <c r="G262" s="6" t="s">
        <v>41</v>
      </c>
      <c r="H262" s="23">
        <v>46154.0</v>
      </c>
      <c r="I262" s="6" t="s">
        <v>1048</v>
      </c>
      <c r="J262" s="6" t="s">
        <v>156</v>
      </c>
      <c r="K262" s="6" t="s">
        <v>1049</v>
      </c>
      <c r="L262" s="14">
        <v>1713.0</v>
      </c>
      <c r="M262" s="9"/>
      <c r="N262" s="9"/>
      <c r="O262" s="9"/>
      <c r="P262" s="9"/>
      <c r="Q262" s="6">
        <v>1.0</v>
      </c>
      <c r="R262" s="23">
        <v>46148.0</v>
      </c>
      <c r="S262" s="23">
        <v>46154.0</v>
      </c>
      <c r="T262" s="23">
        <v>46154.0</v>
      </c>
      <c r="U262" s="9"/>
      <c r="V262" s="6" t="s">
        <v>44</v>
      </c>
      <c r="W262" s="9"/>
      <c r="X262" s="6" t="s">
        <v>45</v>
      </c>
      <c r="Y262" s="6" t="s">
        <v>46</v>
      </c>
      <c r="Z262" s="6">
        <v>3.040312972E9</v>
      </c>
      <c r="AA262" s="6" t="s">
        <v>45</v>
      </c>
      <c r="AB262" s="6" t="s">
        <v>46</v>
      </c>
      <c r="AC262" s="6" t="s">
        <v>80</v>
      </c>
      <c r="AD262" s="9"/>
      <c r="AE262" s="9"/>
      <c r="AF262" s="9"/>
      <c r="AG262" s="9"/>
    </row>
    <row r="263" hidden="1">
      <c r="A263" s="21">
        <f>COUNTIF('Histórico'!$B:$B,B263)</f>
        <v>1</v>
      </c>
      <c r="B263" s="21" t="s">
        <v>1050</v>
      </c>
      <c r="C263" s="9"/>
      <c r="D263" s="6" t="s">
        <v>39</v>
      </c>
      <c r="E263" s="6" t="s">
        <v>40</v>
      </c>
      <c r="F263" s="23">
        <v>46154.0</v>
      </c>
      <c r="G263" s="6" t="s">
        <v>41</v>
      </c>
      <c r="H263" s="23">
        <v>46154.0</v>
      </c>
      <c r="I263" s="6" t="s">
        <v>1048</v>
      </c>
      <c r="J263" s="6" t="s">
        <v>156</v>
      </c>
      <c r="K263" s="6" t="s">
        <v>1049</v>
      </c>
      <c r="L263" s="14">
        <v>1652.0</v>
      </c>
      <c r="M263" s="9"/>
      <c r="N263" s="9"/>
      <c r="O263" s="9"/>
      <c r="P263" s="9"/>
      <c r="Q263" s="6">
        <v>1.0</v>
      </c>
      <c r="R263" s="23">
        <v>46148.0</v>
      </c>
      <c r="S263" s="23">
        <v>46154.0</v>
      </c>
      <c r="T263" s="23">
        <v>46154.0</v>
      </c>
      <c r="U263" s="9"/>
      <c r="V263" s="6" t="s">
        <v>44</v>
      </c>
      <c r="W263" s="9"/>
      <c r="X263" s="6" t="s">
        <v>45</v>
      </c>
      <c r="Y263" s="6" t="s">
        <v>46</v>
      </c>
      <c r="Z263" s="6">
        <v>3.04030648E9</v>
      </c>
      <c r="AA263" s="6" t="s">
        <v>60</v>
      </c>
      <c r="AB263" s="6" t="s">
        <v>189</v>
      </c>
      <c r="AC263" s="6" t="s">
        <v>810</v>
      </c>
      <c r="AD263" s="9"/>
      <c r="AE263" s="9"/>
      <c r="AF263" s="9"/>
      <c r="AG263" s="9"/>
    </row>
    <row r="264" hidden="1">
      <c r="A264" s="21">
        <f>COUNTIF('Histórico'!$B:$B,B264)</f>
        <v>1</v>
      </c>
      <c r="B264" s="21" t="s">
        <v>1051</v>
      </c>
      <c r="C264" s="9"/>
      <c r="D264" s="6" t="s">
        <v>39</v>
      </c>
      <c r="E264" s="6" t="s">
        <v>40</v>
      </c>
      <c r="F264" s="23">
        <v>46164.0</v>
      </c>
      <c r="G264" s="6" t="s">
        <v>41</v>
      </c>
      <c r="H264" s="23">
        <v>46164.0</v>
      </c>
      <c r="I264" s="6" t="s">
        <v>949</v>
      </c>
      <c r="J264" s="6" t="s">
        <v>156</v>
      </c>
      <c r="K264" s="6" t="s">
        <v>950</v>
      </c>
      <c r="L264" s="61">
        <v>149506.0</v>
      </c>
      <c r="M264" s="9"/>
      <c r="N264" s="9"/>
      <c r="O264" s="9"/>
      <c r="P264" s="9"/>
      <c r="Q264" s="6">
        <v>1.0</v>
      </c>
      <c r="R264" s="23">
        <v>46160.0</v>
      </c>
      <c r="S264" s="23">
        <v>46164.0</v>
      </c>
      <c r="T264" s="23">
        <v>46164.0</v>
      </c>
      <c r="U264" s="9"/>
      <c r="V264" s="6" t="s">
        <v>44</v>
      </c>
      <c r="W264" s="9"/>
      <c r="X264" s="6" t="s">
        <v>45</v>
      </c>
      <c r="Y264" s="6" t="s">
        <v>46</v>
      </c>
      <c r="Z264" s="6">
        <v>3.040325495E9</v>
      </c>
      <c r="AA264" s="6" t="s">
        <v>70</v>
      </c>
      <c r="AB264" s="6" t="s">
        <v>152</v>
      </c>
      <c r="AC264" s="6" t="s">
        <v>737</v>
      </c>
      <c r="AD264" s="9"/>
      <c r="AE264" s="9"/>
      <c r="AF264" s="9"/>
      <c r="AG264" s="9"/>
    </row>
    <row r="265" hidden="1">
      <c r="A265" s="21">
        <f>COUNTIF('Histórico'!$B:$B,B265)</f>
        <v>1</v>
      </c>
      <c r="B265" s="21" t="s">
        <v>1052</v>
      </c>
      <c r="C265" s="9"/>
      <c r="D265" s="6" t="s">
        <v>39</v>
      </c>
      <c r="E265" s="6" t="s">
        <v>40</v>
      </c>
      <c r="F265" s="23">
        <v>46164.0</v>
      </c>
      <c r="G265" s="6" t="s">
        <v>41</v>
      </c>
      <c r="H265" s="23">
        <v>46164.0</v>
      </c>
      <c r="I265" s="6" t="s">
        <v>949</v>
      </c>
      <c r="J265" s="6" t="s">
        <v>156</v>
      </c>
      <c r="K265" s="6" t="s">
        <v>950</v>
      </c>
      <c r="L265" s="61" t="s">
        <v>1055</v>
      </c>
      <c r="M265" s="9"/>
      <c r="N265" s="9"/>
      <c r="O265" s="9"/>
      <c r="P265" s="9"/>
      <c r="Q265" s="6">
        <v>1.0</v>
      </c>
      <c r="R265" s="23">
        <v>46160.0</v>
      </c>
      <c r="S265" s="23">
        <v>46164.0</v>
      </c>
      <c r="T265" s="23">
        <v>46164.0</v>
      </c>
      <c r="U265" s="9"/>
      <c r="V265" s="6" t="s">
        <v>44</v>
      </c>
      <c r="W265" s="9"/>
      <c r="X265" s="6" t="s">
        <v>45</v>
      </c>
      <c r="Y265" s="6" t="s">
        <v>46</v>
      </c>
      <c r="Z265" s="6">
        <v>3.040325494E9</v>
      </c>
      <c r="AA265" s="6" t="s">
        <v>70</v>
      </c>
      <c r="AB265" s="6" t="s">
        <v>152</v>
      </c>
      <c r="AC265" s="6" t="s">
        <v>737</v>
      </c>
      <c r="AD265" s="9"/>
      <c r="AE265" s="9"/>
      <c r="AF265" s="9"/>
      <c r="AG265" s="9"/>
    </row>
    <row r="266" hidden="1">
      <c r="A266" s="21">
        <f>COUNTIF('Histórico'!$B:$B,B266)</f>
        <v>1</v>
      </c>
      <c r="B266" s="21" t="s">
        <v>1056</v>
      </c>
      <c r="C266" s="9"/>
      <c r="D266" s="6" t="s">
        <v>39</v>
      </c>
      <c r="E266" s="6" t="s">
        <v>40</v>
      </c>
      <c r="F266" s="23">
        <v>46171.0</v>
      </c>
      <c r="G266" s="6" t="s">
        <v>41</v>
      </c>
      <c r="H266" s="23">
        <v>46171.0</v>
      </c>
      <c r="I266" s="6" t="s">
        <v>684</v>
      </c>
      <c r="J266" s="6">
        <v>22373.0</v>
      </c>
      <c r="K266" s="6" t="s">
        <v>685</v>
      </c>
      <c r="L266" s="14">
        <v>25304.0</v>
      </c>
      <c r="M266" s="9"/>
      <c r="N266" s="9"/>
      <c r="O266" s="9"/>
      <c r="P266" s="9"/>
      <c r="Q266" s="6">
        <v>1.0</v>
      </c>
      <c r="R266" s="23">
        <v>46156.0</v>
      </c>
      <c r="S266" s="23">
        <v>46162.0</v>
      </c>
      <c r="T266" s="23">
        <v>46171.0</v>
      </c>
      <c r="U266" s="9"/>
      <c r="V266" s="6" t="s">
        <v>44</v>
      </c>
      <c r="W266" s="9"/>
      <c r="X266" s="6" t="s">
        <v>45</v>
      </c>
      <c r="Y266" s="6" t="s">
        <v>46</v>
      </c>
      <c r="Z266" s="6">
        <v>3.040317881E9</v>
      </c>
      <c r="AA266" s="6" t="s">
        <v>304</v>
      </c>
      <c r="AB266" s="6" t="s">
        <v>306</v>
      </c>
      <c r="AC266" s="6" t="s">
        <v>1057</v>
      </c>
      <c r="AD266" s="9"/>
      <c r="AE266" s="9"/>
      <c r="AF266" s="9"/>
      <c r="AG266" s="9"/>
    </row>
    <row r="267" hidden="1">
      <c r="A267" s="21">
        <f>COUNTIF('Histórico'!$B:$B,B267)</f>
        <v>1</v>
      </c>
      <c r="B267" s="21" t="s">
        <v>1058</v>
      </c>
      <c r="C267" s="9"/>
      <c r="D267" s="6" t="s">
        <v>39</v>
      </c>
      <c r="E267" s="6" t="s">
        <v>40</v>
      </c>
      <c r="F267" s="23">
        <v>46171.0</v>
      </c>
      <c r="G267" s="6" t="s">
        <v>41</v>
      </c>
      <c r="H267" s="23">
        <v>46171.0</v>
      </c>
      <c r="I267" s="6" t="s">
        <v>684</v>
      </c>
      <c r="J267" s="6">
        <v>22373.0</v>
      </c>
      <c r="K267" s="6" t="s">
        <v>685</v>
      </c>
      <c r="L267" s="14">
        <v>89177.0</v>
      </c>
      <c r="M267" s="9"/>
      <c r="N267" s="9"/>
      <c r="O267" s="9"/>
      <c r="P267" s="9"/>
      <c r="Q267" s="6">
        <v>1.0</v>
      </c>
      <c r="R267" s="23">
        <v>46156.0</v>
      </c>
      <c r="S267" s="23">
        <v>46162.0</v>
      </c>
      <c r="T267" s="23">
        <v>46171.0</v>
      </c>
      <c r="U267" s="9"/>
      <c r="V267" s="6" t="s">
        <v>44</v>
      </c>
      <c r="W267" s="9"/>
      <c r="X267" s="6" t="s">
        <v>45</v>
      </c>
      <c r="Y267" s="6" t="s">
        <v>46</v>
      </c>
      <c r="Z267" s="6">
        <v>3.040313698E9</v>
      </c>
      <c r="AA267" s="6" t="s">
        <v>60</v>
      </c>
      <c r="AB267" s="6" t="s">
        <v>189</v>
      </c>
      <c r="AC267" s="6" t="s">
        <v>1059</v>
      </c>
      <c r="AD267" s="9"/>
      <c r="AE267" s="9"/>
      <c r="AF267" s="9"/>
      <c r="AG267" s="9"/>
    </row>
    <row r="268" hidden="1">
      <c r="A268" s="21">
        <f>COUNTIF('Histórico'!$B:$B,B268)</f>
        <v>1</v>
      </c>
      <c r="B268" s="21" t="s">
        <v>1060</v>
      </c>
      <c r="C268" s="9"/>
      <c r="D268" s="6" t="s">
        <v>39</v>
      </c>
      <c r="E268" s="6" t="s">
        <v>40</v>
      </c>
      <c r="F268" s="23">
        <v>46171.0</v>
      </c>
      <c r="G268" s="6" t="s">
        <v>41</v>
      </c>
      <c r="H268" s="23">
        <v>46171.0</v>
      </c>
      <c r="I268" s="6" t="s">
        <v>986</v>
      </c>
      <c r="J268" s="6">
        <v>22373.0</v>
      </c>
      <c r="K268" s="6" t="s">
        <v>987</v>
      </c>
      <c r="L268" s="14">
        <v>4164.0</v>
      </c>
      <c r="M268" s="9"/>
      <c r="N268" s="9"/>
      <c r="O268" s="9"/>
      <c r="P268" s="9"/>
      <c r="Q268" s="6">
        <v>1.0</v>
      </c>
      <c r="R268" s="23">
        <v>46169.0</v>
      </c>
      <c r="S268" s="23">
        <v>46175.0</v>
      </c>
      <c r="T268" s="23">
        <v>46171.0</v>
      </c>
      <c r="U268" s="9"/>
      <c r="V268" s="6" t="s">
        <v>44</v>
      </c>
      <c r="W268" s="9"/>
      <c r="X268" s="6" t="s">
        <v>45</v>
      </c>
      <c r="Y268" s="6" t="s">
        <v>46</v>
      </c>
      <c r="Z268" s="6">
        <v>3.040317884E9</v>
      </c>
      <c r="AA268" s="6" t="s">
        <v>304</v>
      </c>
      <c r="AB268" s="6" t="s">
        <v>306</v>
      </c>
      <c r="AC268" s="6" t="s">
        <v>404</v>
      </c>
      <c r="AD268" s="9"/>
      <c r="AE268" s="9"/>
      <c r="AF268" s="9"/>
      <c r="AG268" s="9"/>
    </row>
    <row r="269" hidden="1">
      <c r="A269" s="21">
        <f>COUNTIF('Histórico'!$B:$B,B269)</f>
        <v>1</v>
      </c>
      <c r="B269" s="21" t="s">
        <v>1061</v>
      </c>
      <c r="C269" s="9"/>
      <c r="D269" s="6" t="s">
        <v>39</v>
      </c>
      <c r="E269" s="6" t="s">
        <v>40</v>
      </c>
      <c r="F269" s="23">
        <v>46171.0</v>
      </c>
      <c r="G269" s="6" t="s">
        <v>41</v>
      </c>
      <c r="H269" s="23">
        <v>46171.0</v>
      </c>
      <c r="I269" s="6" t="s">
        <v>684</v>
      </c>
      <c r="J269" s="6">
        <v>22373.0</v>
      </c>
      <c r="K269" s="6" t="s">
        <v>685</v>
      </c>
      <c r="L269" s="14">
        <v>94934.0</v>
      </c>
      <c r="M269" s="9"/>
      <c r="N269" s="9"/>
      <c r="O269" s="9"/>
      <c r="P269" s="9"/>
      <c r="Q269" s="6">
        <v>1.0</v>
      </c>
      <c r="R269" s="23">
        <v>46156.0</v>
      </c>
      <c r="S269" s="23">
        <v>46162.0</v>
      </c>
      <c r="T269" s="23">
        <v>46171.0</v>
      </c>
      <c r="U269" s="9"/>
      <c r="V269" s="6" t="s">
        <v>44</v>
      </c>
      <c r="W269" s="9"/>
      <c r="X269" s="6" t="s">
        <v>45</v>
      </c>
      <c r="Y269" s="6" t="s">
        <v>46</v>
      </c>
      <c r="Z269" s="6">
        <v>3.040317882E9</v>
      </c>
      <c r="AA269" s="6" t="s">
        <v>304</v>
      </c>
      <c r="AB269" s="6" t="s">
        <v>306</v>
      </c>
      <c r="AC269" s="6" t="s">
        <v>1062</v>
      </c>
      <c r="AD269" s="9"/>
      <c r="AE269" s="9"/>
      <c r="AF269" s="9"/>
      <c r="AG269" s="9"/>
    </row>
    <row r="270" hidden="1">
      <c r="A270" s="21">
        <f>COUNTIF('Histórico'!$B:$B,B270)</f>
        <v>1</v>
      </c>
      <c r="B270" s="21" t="s">
        <v>1063</v>
      </c>
      <c r="C270" s="9"/>
      <c r="D270" s="6" t="s">
        <v>39</v>
      </c>
      <c r="E270" s="6" t="s">
        <v>40</v>
      </c>
      <c r="F270" s="23">
        <v>46171.0</v>
      </c>
      <c r="G270" s="6" t="s">
        <v>41</v>
      </c>
      <c r="H270" s="23">
        <v>46171.0</v>
      </c>
      <c r="I270" s="6" t="s">
        <v>986</v>
      </c>
      <c r="J270" s="6">
        <v>22373.0</v>
      </c>
      <c r="K270" s="6" t="s">
        <v>987</v>
      </c>
      <c r="L270" s="14">
        <v>4154.0</v>
      </c>
      <c r="M270" s="9"/>
      <c r="N270" s="9"/>
      <c r="O270" s="9"/>
      <c r="P270" s="9"/>
      <c r="Q270" s="6">
        <v>1.0</v>
      </c>
      <c r="R270" s="23">
        <v>46169.0</v>
      </c>
      <c r="S270" s="23">
        <v>46175.0</v>
      </c>
      <c r="T270" s="23">
        <v>46171.0</v>
      </c>
      <c r="U270" s="9"/>
      <c r="V270" s="6" t="s">
        <v>44</v>
      </c>
      <c r="W270" s="9"/>
      <c r="X270" s="6" t="s">
        <v>45</v>
      </c>
      <c r="Y270" s="6" t="s">
        <v>46</v>
      </c>
      <c r="Z270" s="6">
        <v>3.040315568E9</v>
      </c>
      <c r="AA270" s="6" t="s">
        <v>45</v>
      </c>
      <c r="AB270" s="6" t="s">
        <v>46</v>
      </c>
      <c r="AC270" s="6" t="s">
        <v>324</v>
      </c>
      <c r="AD270" s="9"/>
      <c r="AE270" s="9"/>
      <c r="AF270" s="9"/>
      <c r="AG270" s="9"/>
    </row>
    <row r="271" hidden="1">
      <c r="A271" s="21">
        <f>COUNTIF('Histórico'!$B:$B,B271)</f>
        <v>1</v>
      </c>
      <c r="B271" s="21" t="s">
        <v>1065</v>
      </c>
      <c r="C271" s="9"/>
      <c r="D271" s="6" t="s">
        <v>39</v>
      </c>
      <c r="E271" s="6" t="s">
        <v>40</v>
      </c>
      <c r="F271" s="23">
        <v>46171.0</v>
      </c>
      <c r="G271" s="6" t="s">
        <v>41</v>
      </c>
      <c r="H271" s="23">
        <v>46171.0</v>
      </c>
      <c r="I271" s="6" t="s">
        <v>199</v>
      </c>
      <c r="J271" s="6">
        <v>22373.0</v>
      </c>
      <c r="K271" s="6" t="s">
        <v>200</v>
      </c>
      <c r="L271" s="14">
        <v>17143.0</v>
      </c>
      <c r="M271" s="9"/>
      <c r="N271" s="9"/>
      <c r="O271" s="9"/>
      <c r="P271" s="9"/>
      <c r="Q271" s="6">
        <v>1.0</v>
      </c>
      <c r="R271" s="23">
        <v>46169.0</v>
      </c>
      <c r="S271" s="23">
        <v>46175.0</v>
      </c>
      <c r="T271" s="23">
        <v>46171.0</v>
      </c>
      <c r="U271" s="9"/>
      <c r="V271" s="6" t="s">
        <v>44</v>
      </c>
      <c r="W271" s="9"/>
      <c r="X271" s="6" t="s">
        <v>45</v>
      </c>
      <c r="Y271" s="6" t="s">
        <v>46</v>
      </c>
      <c r="Z271" s="6">
        <v>3.040327373E9</v>
      </c>
      <c r="AA271" s="6" t="s">
        <v>45</v>
      </c>
      <c r="AB271" s="6" t="s">
        <v>46</v>
      </c>
      <c r="AC271" s="6" t="s">
        <v>177</v>
      </c>
      <c r="AD271" s="6" t="s">
        <v>1066</v>
      </c>
      <c r="AE271" s="9"/>
      <c r="AF271" s="9"/>
      <c r="AG271" s="9"/>
    </row>
    <row r="272" hidden="1">
      <c r="A272" s="21">
        <f>COUNTIF('Histórico'!$B:$B,B272)</f>
        <v>1</v>
      </c>
      <c r="B272" s="21" t="s">
        <v>1067</v>
      </c>
      <c r="C272" s="9"/>
      <c r="D272" s="6" t="s">
        <v>39</v>
      </c>
      <c r="E272" s="6" t="s">
        <v>40</v>
      </c>
      <c r="F272" s="23">
        <v>46171.0</v>
      </c>
      <c r="G272" s="6" t="s">
        <v>41</v>
      </c>
      <c r="H272" s="23">
        <v>46171.0</v>
      </c>
      <c r="I272" s="6" t="s">
        <v>1068</v>
      </c>
      <c r="J272" s="6">
        <v>95270.0</v>
      </c>
      <c r="K272" s="6" t="s">
        <v>944</v>
      </c>
      <c r="L272" s="14" t="s">
        <v>1069</v>
      </c>
      <c r="M272" s="9"/>
      <c r="N272" s="9"/>
      <c r="O272" s="9"/>
      <c r="P272" s="9"/>
      <c r="Q272" s="6">
        <v>1.0</v>
      </c>
      <c r="R272" s="23">
        <v>46169.0</v>
      </c>
      <c r="S272" s="23">
        <v>46175.0</v>
      </c>
      <c r="T272" s="23">
        <v>46171.0</v>
      </c>
      <c r="U272" s="9"/>
      <c r="V272" s="6" t="s">
        <v>44</v>
      </c>
      <c r="W272" s="9"/>
      <c r="X272" s="6" t="s">
        <v>45</v>
      </c>
      <c r="Y272" s="6" t="s">
        <v>46</v>
      </c>
      <c r="Z272" s="6">
        <v>3.040313703E9</v>
      </c>
      <c r="AA272" s="6" t="s">
        <v>60</v>
      </c>
      <c r="AB272" s="6" t="s">
        <v>189</v>
      </c>
      <c r="AC272" s="6" t="s">
        <v>887</v>
      </c>
      <c r="AD272" s="6"/>
      <c r="AE272" s="9"/>
      <c r="AF272" s="9"/>
      <c r="AG272" s="9"/>
    </row>
    <row r="273" hidden="1">
      <c r="A273" s="21">
        <f>COUNTIF('Histórico'!$B:$B,B273)</f>
        <v>1</v>
      </c>
      <c r="B273" s="21" t="s">
        <v>1070</v>
      </c>
      <c r="C273" s="9"/>
      <c r="D273" s="6" t="s">
        <v>39</v>
      </c>
      <c r="E273" s="6" t="s">
        <v>40</v>
      </c>
      <c r="F273" s="23">
        <v>46171.0</v>
      </c>
      <c r="G273" s="6" t="s">
        <v>41</v>
      </c>
      <c r="H273" s="23">
        <v>46171.0</v>
      </c>
      <c r="I273" s="6" t="s">
        <v>1068</v>
      </c>
      <c r="J273" s="6" t="s">
        <v>1071</v>
      </c>
      <c r="K273" s="6" t="s">
        <v>944</v>
      </c>
      <c r="L273" s="14" t="s">
        <v>1072</v>
      </c>
      <c r="M273" s="9"/>
      <c r="N273" s="9"/>
      <c r="O273" s="9"/>
      <c r="P273" s="9"/>
      <c r="Q273" s="6">
        <v>1.0</v>
      </c>
      <c r="R273" s="23">
        <v>46169.0</v>
      </c>
      <c r="S273" s="23">
        <v>46175.0</v>
      </c>
      <c r="T273" s="23">
        <v>46171.0</v>
      </c>
      <c r="U273" s="9"/>
      <c r="V273" s="6" t="s">
        <v>44</v>
      </c>
      <c r="W273" s="9"/>
      <c r="X273" s="6" t="s">
        <v>45</v>
      </c>
      <c r="Y273" s="6" t="s">
        <v>46</v>
      </c>
      <c r="Z273" s="6">
        <v>3.040314544E9</v>
      </c>
      <c r="AA273" s="6" t="s">
        <v>63</v>
      </c>
      <c r="AB273" s="6" t="s">
        <v>72</v>
      </c>
      <c r="AC273" s="6" t="s">
        <v>724</v>
      </c>
      <c r="AD273" s="9"/>
      <c r="AE273" s="9"/>
      <c r="AF273" s="9"/>
      <c r="AG273" s="9"/>
    </row>
    <row r="274" hidden="1">
      <c r="A274" s="21">
        <f>COUNTIF('Histórico'!$B:$B,B274)</f>
        <v>1</v>
      </c>
      <c r="B274" s="21" t="s">
        <v>1073</v>
      </c>
      <c r="C274" s="9"/>
      <c r="D274" s="6" t="s">
        <v>39</v>
      </c>
      <c r="E274" s="6" t="s">
        <v>40</v>
      </c>
      <c r="F274" s="23">
        <v>46171.0</v>
      </c>
      <c r="G274" s="6" t="s">
        <v>41</v>
      </c>
      <c r="H274" s="23">
        <v>46171.0</v>
      </c>
      <c r="I274" s="6" t="s">
        <v>375</v>
      </c>
      <c r="J274" s="6">
        <v>22373.0</v>
      </c>
      <c r="K274" s="6" t="s">
        <v>491</v>
      </c>
      <c r="L274" s="14">
        <v>5155.0</v>
      </c>
      <c r="M274" s="9"/>
      <c r="N274" s="9"/>
      <c r="O274" s="9"/>
      <c r="P274" s="9"/>
      <c r="Q274" s="6">
        <v>1.0</v>
      </c>
      <c r="R274" s="23">
        <v>46156.0</v>
      </c>
      <c r="S274" s="23">
        <v>46162.0</v>
      </c>
      <c r="T274" s="23">
        <v>46171.0</v>
      </c>
      <c r="U274" s="9"/>
      <c r="V274" s="6" t="s">
        <v>44</v>
      </c>
      <c r="W274" s="9"/>
      <c r="X274" s="6" t="s">
        <v>45</v>
      </c>
      <c r="Y274" s="6" t="s">
        <v>46</v>
      </c>
      <c r="Z274" s="6">
        <v>3.040313689E9</v>
      </c>
      <c r="AA274" s="6" t="s">
        <v>45</v>
      </c>
      <c r="AB274" s="6" t="s">
        <v>46</v>
      </c>
      <c r="AC274" s="6" t="s">
        <v>324</v>
      </c>
      <c r="AD274" s="9"/>
      <c r="AE274" s="9"/>
      <c r="AF274" s="9"/>
      <c r="AG274" s="9"/>
    </row>
    <row r="275" hidden="1">
      <c r="A275" s="21">
        <f>COUNTIF('Histórico'!$B:$B,B275)</f>
        <v>1</v>
      </c>
      <c r="B275" s="21" t="s">
        <v>1074</v>
      </c>
      <c r="C275" s="9"/>
      <c r="D275" s="6" t="s">
        <v>39</v>
      </c>
      <c r="E275" s="6" t="s">
        <v>40</v>
      </c>
      <c r="F275" s="23">
        <v>46171.0</v>
      </c>
      <c r="G275" s="6" t="s">
        <v>41</v>
      </c>
      <c r="H275" s="23">
        <v>46171.0</v>
      </c>
      <c r="I275" s="6" t="s">
        <v>375</v>
      </c>
      <c r="J275" s="6">
        <v>22373.0</v>
      </c>
      <c r="K275" s="6" t="s">
        <v>491</v>
      </c>
      <c r="L275" s="14">
        <v>2333.0</v>
      </c>
      <c r="M275" s="9"/>
      <c r="N275" s="9"/>
      <c r="O275" s="9"/>
      <c r="P275" s="9"/>
      <c r="Q275" s="6">
        <v>1.0</v>
      </c>
      <c r="R275" s="23">
        <v>46156.0</v>
      </c>
      <c r="S275" s="23">
        <v>46162.0</v>
      </c>
      <c r="T275" s="23">
        <v>46171.0</v>
      </c>
      <c r="U275" s="9"/>
      <c r="V275" s="6" t="s">
        <v>44</v>
      </c>
      <c r="W275" s="9"/>
      <c r="X275" s="6" t="s">
        <v>45</v>
      </c>
      <c r="Y275" s="6" t="s">
        <v>46</v>
      </c>
      <c r="Z275" s="6">
        <v>3.040316665E9</v>
      </c>
      <c r="AA275" s="6" t="s">
        <v>45</v>
      </c>
      <c r="AB275" s="6" t="s">
        <v>46</v>
      </c>
      <c r="AC275" s="6" t="s">
        <v>324</v>
      </c>
      <c r="AD275" s="6"/>
      <c r="AE275" s="9"/>
      <c r="AF275" s="9"/>
      <c r="AG275" s="9"/>
    </row>
    <row r="276" hidden="1">
      <c r="A276" s="21">
        <f>COUNTIF('Histórico'!$B:$B,B276)</f>
        <v>1</v>
      </c>
      <c r="B276" s="21" t="s">
        <v>1075</v>
      </c>
      <c r="C276" s="9"/>
      <c r="D276" s="6" t="s">
        <v>39</v>
      </c>
      <c r="E276" s="6" t="s">
        <v>40</v>
      </c>
      <c r="F276" s="23">
        <v>46171.0</v>
      </c>
      <c r="G276" s="6" t="s">
        <v>41</v>
      </c>
      <c r="H276" s="23">
        <v>46171.0</v>
      </c>
      <c r="I276" s="6" t="s">
        <v>579</v>
      </c>
      <c r="J276" s="6" t="s">
        <v>156</v>
      </c>
      <c r="K276" s="6" t="s">
        <v>1076</v>
      </c>
      <c r="L276" s="14">
        <v>612.0</v>
      </c>
      <c r="M276" s="9"/>
      <c r="N276" s="9"/>
      <c r="O276" s="9"/>
      <c r="P276" s="9"/>
      <c r="Q276" s="6">
        <v>1.0</v>
      </c>
      <c r="R276" s="23">
        <v>46170.0</v>
      </c>
      <c r="S276" s="23">
        <v>46176.0</v>
      </c>
      <c r="T276" s="23">
        <v>46171.0</v>
      </c>
      <c r="U276" s="9"/>
      <c r="V276" s="6" t="s">
        <v>44</v>
      </c>
      <c r="W276" s="9"/>
      <c r="X276" s="6" t="s">
        <v>45</v>
      </c>
      <c r="Y276" s="6" t="s">
        <v>46</v>
      </c>
      <c r="Z276" s="6">
        <v>3.04028742E9</v>
      </c>
      <c r="AA276" s="6" t="s">
        <v>66</v>
      </c>
      <c r="AB276" s="6" t="s">
        <v>228</v>
      </c>
      <c r="AC276" s="6" t="s">
        <v>296</v>
      </c>
      <c r="AD276" s="21"/>
      <c r="AE276" s="9"/>
      <c r="AF276" s="9"/>
      <c r="AG276" s="9"/>
    </row>
    <row r="277" hidden="1">
      <c r="A277" s="21">
        <f>COUNTIF('Histórico'!$B:$B,B277)</f>
        <v>1</v>
      </c>
      <c r="B277" s="21" t="s">
        <v>1077</v>
      </c>
      <c r="C277" s="9"/>
      <c r="D277" s="6" t="s">
        <v>39</v>
      </c>
      <c r="E277" s="6" t="s">
        <v>40</v>
      </c>
      <c r="F277" s="23">
        <v>46171.0</v>
      </c>
      <c r="G277" s="6" t="s">
        <v>41</v>
      </c>
      <c r="H277" s="23">
        <v>46171.0</v>
      </c>
      <c r="I277" s="6" t="s">
        <v>551</v>
      </c>
      <c r="J277" s="6">
        <v>32108.0</v>
      </c>
      <c r="K277" s="6" t="s">
        <v>698</v>
      </c>
      <c r="L277" s="14" t="s">
        <v>1078</v>
      </c>
      <c r="M277" s="9"/>
      <c r="N277" s="9"/>
      <c r="O277" s="9"/>
      <c r="P277" s="9"/>
      <c r="Q277" s="6">
        <v>1.0</v>
      </c>
      <c r="R277" s="23">
        <v>46169.0</v>
      </c>
      <c r="S277" s="23">
        <v>46175.0</v>
      </c>
      <c r="T277" s="23">
        <v>46171.0</v>
      </c>
      <c r="U277" s="9"/>
      <c r="V277" s="6" t="s">
        <v>44</v>
      </c>
      <c r="W277" s="9"/>
      <c r="X277" s="6" t="s">
        <v>45</v>
      </c>
      <c r="Y277" s="6" t="s">
        <v>46</v>
      </c>
      <c r="Z277" s="6">
        <v>3.040287127E9</v>
      </c>
      <c r="AA277" s="6" t="s">
        <v>465</v>
      </c>
      <c r="AB277" s="6" t="s">
        <v>466</v>
      </c>
      <c r="AC277" s="6" t="s">
        <v>308</v>
      </c>
      <c r="AD277" s="9"/>
      <c r="AE277" s="9"/>
      <c r="AF277" s="9"/>
      <c r="AG277" s="9"/>
    </row>
    <row r="278" hidden="1">
      <c r="A278" s="21">
        <f>COUNTIF('Histórico'!$B:$B,B278)</f>
        <v>1</v>
      </c>
      <c r="B278" s="21" t="s">
        <v>1079</v>
      </c>
      <c r="C278" s="9"/>
      <c r="D278" s="6" t="s">
        <v>39</v>
      </c>
      <c r="E278" s="6" t="s">
        <v>40</v>
      </c>
      <c r="F278" s="23">
        <v>46171.0</v>
      </c>
      <c r="G278" s="6" t="s">
        <v>41</v>
      </c>
      <c r="H278" s="23">
        <v>46171.0</v>
      </c>
      <c r="I278" s="6" t="s">
        <v>551</v>
      </c>
      <c r="J278" s="6">
        <v>32108.0</v>
      </c>
      <c r="K278" s="6" t="s">
        <v>698</v>
      </c>
      <c r="L278" s="14" t="s">
        <v>1080</v>
      </c>
      <c r="M278" s="9"/>
      <c r="N278" s="9"/>
      <c r="O278" s="9"/>
      <c r="P278" s="9"/>
      <c r="Q278" s="6">
        <v>1.0</v>
      </c>
      <c r="R278" s="23">
        <v>46169.0</v>
      </c>
      <c r="S278" s="23">
        <v>46175.0</v>
      </c>
      <c r="T278" s="23">
        <v>46171.0</v>
      </c>
      <c r="U278" s="9"/>
      <c r="V278" s="6" t="s">
        <v>44</v>
      </c>
      <c r="W278" s="9"/>
      <c r="X278" s="6" t="s">
        <v>45</v>
      </c>
      <c r="Y278" s="6" t="s">
        <v>46</v>
      </c>
      <c r="Z278" s="6">
        <v>3.040292323E9</v>
      </c>
      <c r="AA278" s="6" t="s">
        <v>465</v>
      </c>
      <c r="AB278" s="6" t="s">
        <v>466</v>
      </c>
      <c r="AC278" s="6" t="s">
        <v>308</v>
      </c>
      <c r="AD278" s="9"/>
      <c r="AE278" s="9"/>
      <c r="AF278" s="9"/>
      <c r="AG278" s="9"/>
    </row>
    <row r="279" hidden="1">
      <c r="A279" s="21">
        <f>COUNTIF('Histórico'!$B:$B,B279)</f>
        <v>1</v>
      </c>
      <c r="B279" s="21" t="s">
        <v>1083</v>
      </c>
      <c r="C279" s="9"/>
      <c r="D279" s="6" t="s">
        <v>39</v>
      </c>
      <c r="E279" s="6" t="s">
        <v>40</v>
      </c>
      <c r="F279" s="23">
        <v>46171.0</v>
      </c>
      <c r="G279" s="6" t="s">
        <v>41</v>
      </c>
      <c r="H279" s="23">
        <v>46171.0</v>
      </c>
      <c r="I279" s="6" t="s">
        <v>551</v>
      </c>
      <c r="J279" s="6">
        <v>32108.0</v>
      </c>
      <c r="K279" s="6" t="s">
        <v>698</v>
      </c>
      <c r="L279" s="14" t="s">
        <v>1084</v>
      </c>
      <c r="M279" s="9"/>
      <c r="N279" s="9"/>
      <c r="O279" s="9"/>
      <c r="P279" s="9"/>
      <c r="Q279" s="6">
        <v>1.0</v>
      </c>
      <c r="R279" s="23">
        <v>46169.0</v>
      </c>
      <c r="S279" s="23">
        <v>46175.0</v>
      </c>
      <c r="T279" s="23">
        <v>46171.0</v>
      </c>
      <c r="U279" s="9"/>
      <c r="V279" s="6" t="s">
        <v>44</v>
      </c>
      <c r="W279" s="9"/>
      <c r="X279" s="6" t="s">
        <v>45</v>
      </c>
      <c r="Y279" s="6" t="s">
        <v>46</v>
      </c>
      <c r="Z279" s="6">
        <v>3.040292324E9</v>
      </c>
      <c r="AA279" s="6" t="s">
        <v>465</v>
      </c>
      <c r="AB279" s="6" t="s">
        <v>466</v>
      </c>
      <c r="AC279" s="6" t="s">
        <v>308</v>
      </c>
      <c r="AD279" s="9"/>
      <c r="AE279" s="9"/>
      <c r="AF279" s="9"/>
      <c r="AG279" s="9"/>
    </row>
    <row r="280" hidden="1">
      <c r="A280" s="21">
        <f>COUNTIF('Histórico'!$B:$B,B280)</f>
        <v>1</v>
      </c>
      <c r="B280" s="21" t="s">
        <v>1085</v>
      </c>
      <c r="C280" s="9"/>
      <c r="D280" s="6" t="s">
        <v>39</v>
      </c>
      <c r="E280" s="6" t="s">
        <v>40</v>
      </c>
      <c r="F280" s="23">
        <v>46171.0</v>
      </c>
      <c r="G280" s="6" t="s">
        <v>41</v>
      </c>
      <c r="H280" s="23">
        <v>46171.0</v>
      </c>
      <c r="I280" s="6" t="s">
        <v>551</v>
      </c>
      <c r="J280" s="6">
        <v>32108.0</v>
      </c>
      <c r="K280" s="6" t="s">
        <v>698</v>
      </c>
      <c r="L280" s="14" t="s">
        <v>1086</v>
      </c>
      <c r="M280" s="9"/>
      <c r="N280" s="9"/>
      <c r="O280" s="9"/>
      <c r="P280" s="9"/>
      <c r="Q280" s="6">
        <v>1.0</v>
      </c>
      <c r="R280" s="23">
        <v>46169.0</v>
      </c>
      <c r="S280" s="23">
        <v>46175.0</v>
      </c>
      <c r="T280" s="23">
        <v>46171.0</v>
      </c>
      <c r="U280" s="9"/>
      <c r="V280" s="6" t="s">
        <v>44</v>
      </c>
      <c r="W280" s="9"/>
      <c r="X280" s="6" t="s">
        <v>45</v>
      </c>
      <c r="Y280" s="6" t="s">
        <v>46</v>
      </c>
      <c r="Z280" s="6">
        <v>3.040302343E9</v>
      </c>
      <c r="AA280" s="6" t="s">
        <v>60</v>
      </c>
      <c r="AB280" s="6" t="s">
        <v>194</v>
      </c>
      <c r="AC280" s="6" t="s">
        <v>558</v>
      </c>
      <c r="AD280" s="9"/>
      <c r="AE280" s="9"/>
      <c r="AF280" s="9"/>
      <c r="AG280" s="9"/>
    </row>
    <row r="281" hidden="1">
      <c r="A281" s="21">
        <f>COUNTIF('Histórico'!$B:$B,B281)</f>
        <v>1</v>
      </c>
      <c r="B281" s="21" t="s">
        <v>1087</v>
      </c>
      <c r="C281" s="9"/>
      <c r="D281" s="6" t="s">
        <v>39</v>
      </c>
      <c r="E281" s="6" t="s">
        <v>40</v>
      </c>
      <c r="F281" s="23">
        <v>46171.0</v>
      </c>
      <c r="G281" s="6" t="s">
        <v>41</v>
      </c>
      <c r="H281" s="23">
        <v>46171.0</v>
      </c>
      <c r="I281" s="6" t="s">
        <v>551</v>
      </c>
      <c r="J281" s="6">
        <v>32108.0</v>
      </c>
      <c r="K281" s="6" t="s">
        <v>698</v>
      </c>
      <c r="L281" s="14" t="s">
        <v>1088</v>
      </c>
      <c r="M281" s="9"/>
      <c r="N281" s="9"/>
      <c r="O281" s="9"/>
      <c r="P281" s="9"/>
      <c r="Q281" s="6">
        <v>1.0</v>
      </c>
      <c r="R281" s="23">
        <v>46170.0</v>
      </c>
      <c r="S281" s="23">
        <v>46176.0</v>
      </c>
      <c r="T281" s="23">
        <v>46171.0</v>
      </c>
      <c r="U281" s="9"/>
      <c r="V281" s="6" t="s">
        <v>44</v>
      </c>
      <c r="W281" s="9"/>
      <c r="X281" s="6" t="s">
        <v>45</v>
      </c>
      <c r="Y281" s="6" t="s">
        <v>46</v>
      </c>
      <c r="Z281" s="6">
        <v>3.040287128E9</v>
      </c>
      <c r="AA281" s="6" t="s">
        <v>465</v>
      </c>
      <c r="AB281" s="6" t="s">
        <v>466</v>
      </c>
      <c r="AC281" s="6" t="s">
        <v>308</v>
      </c>
      <c r="AD281" s="9"/>
      <c r="AE281" s="9"/>
      <c r="AF281" s="9"/>
      <c r="AG281" s="9"/>
    </row>
    <row r="282" hidden="1">
      <c r="A282" s="21">
        <f>COUNTIF('Histórico'!$B:$B,B282)</f>
        <v>1</v>
      </c>
      <c r="B282" s="21" t="s">
        <v>1089</v>
      </c>
      <c r="C282" s="9"/>
      <c r="D282" s="6" t="s">
        <v>39</v>
      </c>
      <c r="E282" s="6" t="s">
        <v>40</v>
      </c>
      <c r="F282" s="23">
        <v>46183.0</v>
      </c>
      <c r="G282" s="6" t="s">
        <v>41</v>
      </c>
      <c r="H282" s="23">
        <v>46183.0</v>
      </c>
      <c r="I282" s="6" t="s">
        <v>199</v>
      </c>
      <c r="J282" s="6">
        <v>22373.0</v>
      </c>
      <c r="K282" s="6" t="s">
        <v>200</v>
      </c>
      <c r="L282" s="14">
        <v>14251.0</v>
      </c>
      <c r="M282" s="9"/>
      <c r="N282" s="9"/>
      <c r="O282" s="9"/>
      <c r="P282" s="9"/>
      <c r="Q282" s="6">
        <v>1.0</v>
      </c>
      <c r="R282" s="23">
        <v>46183.0</v>
      </c>
      <c r="S282" s="23">
        <v>46189.0</v>
      </c>
      <c r="T282" s="23">
        <v>46183.0</v>
      </c>
      <c r="U282" s="9"/>
      <c r="V282" s="6" t="s">
        <v>44</v>
      </c>
      <c r="W282" s="9"/>
      <c r="X282" s="6" t="s">
        <v>45</v>
      </c>
      <c r="Y282" s="6" t="s">
        <v>46</v>
      </c>
      <c r="Z282" s="6">
        <v>3.040325717E9</v>
      </c>
      <c r="AA282" s="6" t="s">
        <v>45</v>
      </c>
      <c r="AB282" s="6" t="s">
        <v>1091</v>
      </c>
      <c r="AC282" s="6" t="s">
        <v>1092</v>
      </c>
      <c r="AD282" s="9"/>
      <c r="AE282" s="9"/>
      <c r="AF282" s="9"/>
      <c r="AG282" s="9"/>
    </row>
    <row r="283" hidden="1">
      <c r="A283" s="21">
        <f>COUNTIF('Histórico'!$B:$B,B283)</f>
        <v>1</v>
      </c>
      <c r="B283" s="21" t="s">
        <v>1093</v>
      </c>
      <c r="C283" s="9"/>
      <c r="D283" s="6" t="s">
        <v>39</v>
      </c>
      <c r="E283" s="6" t="s">
        <v>40</v>
      </c>
      <c r="F283" s="23">
        <v>46183.0</v>
      </c>
      <c r="G283" s="6" t="s">
        <v>41</v>
      </c>
      <c r="H283" s="23">
        <v>46183.0</v>
      </c>
      <c r="I283" s="6" t="s">
        <v>199</v>
      </c>
      <c r="J283" s="6">
        <v>22373.0</v>
      </c>
      <c r="K283" s="6" t="s">
        <v>200</v>
      </c>
      <c r="L283" s="14">
        <v>9920.0</v>
      </c>
      <c r="M283" s="9"/>
      <c r="N283" s="9"/>
      <c r="O283" s="9"/>
      <c r="P283" s="9"/>
      <c r="Q283" s="6">
        <v>1.0</v>
      </c>
      <c r="R283" s="23">
        <v>46183.0</v>
      </c>
      <c r="S283" s="23">
        <v>46189.0</v>
      </c>
      <c r="T283" s="23">
        <v>46183.0</v>
      </c>
      <c r="U283" s="9"/>
      <c r="V283" s="6" t="s">
        <v>44</v>
      </c>
      <c r="W283" s="9"/>
      <c r="X283" s="6" t="s">
        <v>45</v>
      </c>
      <c r="Y283" s="6" t="s">
        <v>46</v>
      </c>
      <c r="Z283" s="6">
        <v>3.040325007E9</v>
      </c>
      <c r="AA283" s="6" t="s">
        <v>45</v>
      </c>
      <c r="AB283" s="6" t="s">
        <v>1091</v>
      </c>
      <c r="AC283" s="6" t="s">
        <v>913</v>
      </c>
      <c r="AD283" s="9"/>
      <c r="AE283" s="9"/>
      <c r="AF283" s="9"/>
      <c r="AG283" s="9"/>
    </row>
    <row r="284" hidden="1">
      <c r="A284" s="21">
        <f>COUNTIF('Histórico'!$B:$B,B284)</f>
        <v>1</v>
      </c>
      <c r="B284" s="21" t="s">
        <v>1095</v>
      </c>
      <c r="C284" s="9"/>
      <c r="D284" s="6" t="s">
        <v>39</v>
      </c>
      <c r="E284" s="6" t="s">
        <v>40</v>
      </c>
      <c r="F284" s="23">
        <v>46183.0</v>
      </c>
      <c r="G284" s="6" t="s">
        <v>41</v>
      </c>
      <c r="H284" s="23">
        <v>46183.0</v>
      </c>
      <c r="I284" s="6" t="s">
        <v>199</v>
      </c>
      <c r="J284" s="6">
        <v>22373.0</v>
      </c>
      <c r="K284" s="6" t="s">
        <v>200</v>
      </c>
      <c r="L284" s="14">
        <v>14396.0</v>
      </c>
      <c r="M284" s="9"/>
      <c r="N284" s="9"/>
      <c r="O284" s="9"/>
      <c r="P284" s="9"/>
      <c r="Q284" s="6">
        <v>1.0</v>
      </c>
      <c r="R284" s="23">
        <v>46183.0</v>
      </c>
      <c r="S284" s="23">
        <v>46189.0</v>
      </c>
      <c r="T284" s="23">
        <v>46183.0</v>
      </c>
      <c r="U284" s="9"/>
      <c r="V284" s="6" t="s">
        <v>44</v>
      </c>
      <c r="W284" s="9"/>
      <c r="X284" s="6" t="s">
        <v>45</v>
      </c>
      <c r="Y284" s="6" t="s">
        <v>46</v>
      </c>
      <c r="Z284" s="6">
        <v>3.04032406E9</v>
      </c>
      <c r="AA284" s="6" t="s">
        <v>64</v>
      </c>
      <c r="AB284" s="6" t="s">
        <v>399</v>
      </c>
      <c r="AC284" s="6" t="s">
        <v>894</v>
      </c>
      <c r="AD284" s="21"/>
      <c r="AE284" s="9"/>
      <c r="AF284" s="9"/>
      <c r="AG284" s="9"/>
    </row>
    <row r="285" hidden="1">
      <c r="A285" s="21">
        <f>COUNTIF('Histórico'!$B:$B,B285)</f>
        <v>1</v>
      </c>
      <c r="B285" s="21" t="s">
        <v>1096</v>
      </c>
      <c r="C285" s="9"/>
      <c r="D285" s="6" t="s">
        <v>39</v>
      </c>
      <c r="E285" s="6" t="s">
        <v>40</v>
      </c>
      <c r="F285" s="23">
        <v>46183.0</v>
      </c>
      <c r="G285" s="6" t="s">
        <v>41</v>
      </c>
      <c r="H285" s="23">
        <v>46183.0</v>
      </c>
      <c r="I285" s="6" t="s">
        <v>199</v>
      </c>
      <c r="J285" s="6">
        <v>22373.0</v>
      </c>
      <c r="K285" s="6" t="s">
        <v>200</v>
      </c>
      <c r="L285" s="14">
        <v>19945.0</v>
      </c>
      <c r="M285" s="9"/>
      <c r="N285" s="9"/>
      <c r="O285" s="9"/>
      <c r="P285" s="9"/>
      <c r="Q285" s="6">
        <v>1.0</v>
      </c>
      <c r="R285" s="23">
        <v>46183.0</v>
      </c>
      <c r="S285" s="23">
        <v>46189.0</v>
      </c>
      <c r="T285" s="23">
        <v>46183.0</v>
      </c>
      <c r="U285" s="9"/>
      <c r="V285" s="6" t="s">
        <v>44</v>
      </c>
      <c r="W285" s="9"/>
      <c r="X285" s="6" t="s">
        <v>45</v>
      </c>
      <c r="Y285" s="6" t="s">
        <v>46</v>
      </c>
      <c r="Z285" s="6">
        <v>3.040324059E9</v>
      </c>
      <c r="AA285" s="6" t="s">
        <v>64</v>
      </c>
      <c r="AB285" s="6" t="s">
        <v>399</v>
      </c>
      <c r="AC285" s="6" t="s">
        <v>892</v>
      </c>
      <c r="AD285" s="9"/>
      <c r="AE285" s="9"/>
      <c r="AF285" s="9"/>
      <c r="AG285" s="9"/>
    </row>
    <row r="286" hidden="1">
      <c r="A286" s="21">
        <f>COUNTIF('Histórico'!$B:$B,B286)</f>
        <v>1</v>
      </c>
      <c r="B286" s="21" t="s">
        <v>1097</v>
      </c>
      <c r="C286" s="9"/>
      <c r="D286" s="6" t="s">
        <v>39</v>
      </c>
      <c r="E286" s="6" t="s">
        <v>40</v>
      </c>
      <c r="F286" s="23">
        <v>46183.0</v>
      </c>
      <c r="G286" s="6" t="s">
        <v>41</v>
      </c>
      <c r="H286" s="23">
        <v>46183.0</v>
      </c>
      <c r="I286" s="6" t="s">
        <v>199</v>
      </c>
      <c r="J286" s="6">
        <v>22373.0</v>
      </c>
      <c r="K286" s="6" t="s">
        <v>200</v>
      </c>
      <c r="L286" s="14">
        <v>20528.0</v>
      </c>
      <c r="M286" s="9"/>
      <c r="N286" s="9"/>
      <c r="O286" s="9"/>
      <c r="P286" s="9"/>
      <c r="Q286" s="6">
        <v>1.0</v>
      </c>
      <c r="R286" s="23">
        <v>46183.0</v>
      </c>
      <c r="S286" s="23">
        <v>46189.0</v>
      </c>
      <c r="T286" s="23">
        <v>46183.0</v>
      </c>
      <c r="U286" s="9"/>
      <c r="V286" s="6" t="s">
        <v>44</v>
      </c>
      <c r="W286" s="9"/>
      <c r="X286" s="6" t="s">
        <v>45</v>
      </c>
      <c r="Y286" s="6" t="s">
        <v>46</v>
      </c>
      <c r="Z286" s="6">
        <v>3.040317877E9</v>
      </c>
      <c r="AA286" s="6" t="s">
        <v>304</v>
      </c>
      <c r="AB286" s="6" t="s">
        <v>306</v>
      </c>
      <c r="AC286" s="6" t="s">
        <v>296</v>
      </c>
      <c r="AD286" s="9"/>
      <c r="AE286" s="9"/>
      <c r="AF286" s="9"/>
      <c r="AG286" s="9"/>
    </row>
    <row r="287" hidden="1">
      <c r="A287" s="21">
        <f>COUNTIF('Histórico'!$B:$B,B287)</f>
        <v>1</v>
      </c>
      <c r="B287" s="21" t="s">
        <v>1098</v>
      </c>
      <c r="C287" s="9"/>
      <c r="D287" s="6" t="s">
        <v>39</v>
      </c>
      <c r="E287" s="6" t="s">
        <v>40</v>
      </c>
      <c r="F287" s="23">
        <v>46188.0</v>
      </c>
      <c r="G287" s="6" t="s">
        <v>41</v>
      </c>
      <c r="H287" s="23">
        <v>46188.0</v>
      </c>
      <c r="I287" s="6" t="s">
        <v>854</v>
      </c>
      <c r="J287" s="6" t="s">
        <v>156</v>
      </c>
      <c r="K287" s="6" t="s">
        <v>855</v>
      </c>
      <c r="L287" s="14" t="s">
        <v>1099</v>
      </c>
      <c r="M287" s="9"/>
      <c r="N287" s="9"/>
      <c r="O287" s="9"/>
      <c r="P287" s="9"/>
      <c r="Q287" s="6">
        <v>1.0</v>
      </c>
      <c r="R287" s="23">
        <v>46184.0</v>
      </c>
      <c r="S287" s="23">
        <v>46190.0</v>
      </c>
      <c r="T287" s="23">
        <v>46188.0</v>
      </c>
      <c r="U287" s="9"/>
      <c r="V287" s="6" t="s">
        <v>44</v>
      </c>
      <c r="W287" s="9"/>
      <c r="X287" s="6" t="s">
        <v>45</v>
      </c>
      <c r="Y287" s="6" t="s">
        <v>46</v>
      </c>
      <c r="Z287" s="6">
        <v>3.040318245E9</v>
      </c>
      <c r="AA287" s="6" t="s">
        <v>304</v>
      </c>
      <c r="AB287" s="6" t="s">
        <v>306</v>
      </c>
      <c r="AC287" s="6" t="s">
        <v>1100</v>
      </c>
      <c r="AD287" s="9"/>
      <c r="AE287" s="9"/>
      <c r="AF287" s="9"/>
      <c r="AG287" s="9"/>
    </row>
    <row r="288" hidden="1">
      <c r="A288" s="21">
        <f>COUNTIF('Histórico'!$B:$B,B288)</f>
        <v>1</v>
      </c>
      <c r="B288" s="21" t="s">
        <v>1101</v>
      </c>
      <c r="C288" s="9"/>
      <c r="D288" s="6" t="s">
        <v>39</v>
      </c>
      <c r="E288" s="6" t="s">
        <v>40</v>
      </c>
      <c r="F288" s="23">
        <v>46188.0</v>
      </c>
      <c r="G288" s="6" t="s">
        <v>41</v>
      </c>
      <c r="H288" s="23">
        <v>46188.0</v>
      </c>
      <c r="I288" s="6" t="s">
        <v>854</v>
      </c>
      <c r="J288" s="6" t="s">
        <v>156</v>
      </c>
      <c r="K288" s="6" t="s">
        <v>855</v>
      </c>
      <c r="L288" s="14" t="s">
        <v>1102</v>
      </c>
      <c r="M288" s="9"/>
      <c r="N288" s="9"/>
      <c r="O288" s="9"/>
      <c r="P288" s="9"/>
      <c r="Q288" s="6">
        <v>1.0</v>
      </c>
      <c r="R288" s="23">
        <v>46184.0</v>
      </c>
      <c r="S288" s="23">
        <v>46190.0</v>
      </c>
      <c r="T288" s="23">
        <v>46188.0</v>
      </c>
      <c r="U288" s="9"/>
      <c r="V288" s="6" t="s">
        <v>44</v>
      </c>
      <c r="W288" s="9"/>
      <c r="X288" s="6" t="s">
        <v>45</v>
      </c>
      <c r="Y288" s="6" t="s">
        <v>46</v>
      </c>
      <c r="Z288" s="6">
        <v>3.040318244E9</v>
      </c>
      <c r="AA288" s="6" t="s">
        <v>304</v>
      </c>
      <c r="AB288" s="6" t="s">
        <v>306</v>
      </c>
      <c r="AC288" s="6" t="s">
        <v>1103</v>
      </c>
      <c r="AD288" s="9"/>
      <c r="AE288" s="9"/>
      <c r="AF288" s="9"/>
      <c r="AG288" s="9"/>
    </row>
    <row r="289" hidden="1">
      <c r="A289" s="21">
        <f>COUNTIF('Histórico'!$B:$B,B289)</f>
        <v>1</v>
      </c>
      <c r="B289" s="21" t="s">
        <v>1104</v>
      </c>
      <c r="C289" s="9"/>
      <c r="D289" s="6" t="s">
        <v>39</v>
      </c>
      <c r="E289" s="6" t="s">
        <v>40</v>
      </c>
      <c r="F289" s="23">
        <v>46188.0</v>
      </c>
      <c r="G289" s="6" t="s">
        <v>41</v>
      </c>
      <c r="H289" s="23">
        <v>46188.0</v>
      </c>
      <c r="I289" s="6" t="s">
        <v>854</v>
      </c>
      <c r="J289" s="6" t="s">
        <v>156</v>
      </c>
      <c r="K289" s="6" t="s">
        <v>855</v>
      </c>
      <c r="L289" s="14" t="s">
        <v>1105</v>
      </c>
      <c r="M289" s="9"/>
      <c r="N289" s="9"/>
      <c r="O289" s="9"/>
      <c r="P289" s="9"/>
      <c r="Q289" s="6">
        <v>1.0</v>
      </c>
      <c r="R289" s="23">
        <v>46184.0</v>
      </c>
      <c r="S289" s="23">
        <v>46190.0</v>
      </c>
      <c r="T289" s="23">
        <v>46188.0</v>
      </c>
      <c r="U289" s="9"/>
      <c r="V289" s="6" t="s">
        <v>44</v>
      </c>
      <c r="W289" s="9"/>
      <c r="X289" s="6" t="s">
        <v>45</v>
      </c>
      <c r="Y289" s="6" t="s">
        <v>46</v>
      </c>
      <c r="Z289" s="6">
        <v>3.04032297E9</v>
      </c>
      <c r="AA289" s="6" t="s">
        <v>63</v>
      </c>
      <c r="AB289" s="6" t="s">
        <v>857</v>
      </c>
      <c r="AC289" s="6" t="s">
        <v>858</v>
      </c>
      <c r="AD289" s="9"/>
      <c r="AE289" s="9"/>
      <c r="AF289" s="9"/>
      <c r="AG289" s="9"/>
    </row>
    <row r="290" hidden="1">
      <c r="A290" s="21">
        <f>COUNTIF('Histórico'!$B:$B,B290)</f>
        <v>1</v>
      </c>
      <c r="B290" s="21" t="s">
        <v>1106</v>
      </c>
      <c r="C290" s="9"/>
      <c r="D290" s="6" t="s">
        <v>39</v>
      </c>
      <c r="E290" s="6" t="s">
        <v>40</v>
      </c>
      <c r="F290" s="23">
        <v>46188.0</v>
      </c>
      <c r="G290" s="6" t="s">
        <v>41</v>
      </c>
      <c r="H290" s="23">
        <v>46188.0</v>
      </c>
      <c r="I290" s="6" t="s">
        <v>854</v>
      </c>
      <c r="J290" s="6" t="s">
        <v>156</v>
      </c>
      <c r="K290" s="6" t="s">
        <v>855</v>
      </c>
      <c r="L290" s="14" t="s">
        <v>1107</v>
      </c>
      <c r="M290" s="9"/>
      <c r="N290" s="9"/>
      <c r="O290" s="9"/>
      <c r="P290" s="9"/>
      <c r="Q290" s="6">
        <v>1.0</v>
      </c>
      <c r="R290" s="23">
        <v>46184.0</v>
      </c>
      <c r="S290" s="23">
        <v>46190.0</v>
      </c>
      <c r="T290" s="23">
        <v>46188.0</v>
      </c>
      <c r="U290" s="9"/>
      <c r="V290" s="6" t="s">
        <v>44</v>
      </c>
      <c r="W290" s="9"/>
      <c r="X290" s="6" t="s">
        <v>45</v>
      </c>
      <c r="Y290" s="6" t="s">
        <v>46</v>
      </c>
      <c r="Z290" s="6">
        <v>3.040318246E9</v>
      </c>
      <c r="AA290" s="6" t="s">
        <v>304</v>
      </c>
      <c r="AB290" s="6" t="s">
        <v>306</v>
      </c>
      <c r="AC290" s="6" t="s">
        <v>1108</v>
      </c>
      <c r="AD290" s="9"/>
      <c r="AE290" s="9"/>
      <c r="AF290" s="9"/>
      <c r="AG290" s="9"/>
    </row>
    <row r="291" hidden="1">
      <c r="A291" s="21">
        <f>COUNTIF('Histórico'!$B:$B,B291)</f>
        <v>1</v>
      </c>
      <c r="B291" s="21" t="s">
        <v>1109</v>
      </c>
      <c r="C291" s="9"/>
      <c r="D291" s="6" t="s">
        <v>39</v>
      </c>
      <c r="E291" s="6" t="s">
        <v>40</v>
      </c>
      <c r="F291" s="23">
        <v>46188.0</v>
      </c>
      <c r="G291" s="6" t="s">
        <v>41</v>
      </c>
      <c r="H291" s="23">
        <v>46188.0</v>
      </c>
      <c r="I291" s="6" t="s">
        <v>576</v>
      </c>
      <c r="J291" s="6">
        <v>7213.0</v>
      </c>
      <c r="K291" s="6" t="s">
        <v>577</v>
      </c>
      <c r="L291" s="14" t="s">
        <v>1110</v>
      </c>
      <c r="M291" s="9"/>
      <c r="N291" s="9"/>
      <c r="O291" s="9"/>
      <c r="P291" s="9"/>
      <c r="Q291" s="6">
        <v>1.0</v>
      </c>
      <c r="R291" s="23">
        <v>46188.0</v>
      </c>
      <c r="S291" s="23">
        <v>46192.0</v>
      </c>
      <c r="T291" s="23">
        <v>46188.0</v>
      </c>
      <c r="U291" s="9"/>
      <c r="V291" s="6" t="s">
        <v>44</v>
      </c>
      <c r="W291" s="9"/>
      <c r="X291" s="6" t="s">
        <v>45</v>
      </c>
      <c r="Y291" s="6" t="s">
        <v>46</v>
      </c>
      <c r="Z291" s="6">
        <v>3.040327877E9</v>
      </c>
      <c r="AA291" s="6" t="s">
        <v>60</v>
      </c>
      <c r="AB291" s="6" t="s">
        <v>1111</v>
      </c>
      <c r="AC291" s="6" t="s">
        <v>1112</v>
      </c>
      <c r="AD291" s="21"/>
      <c r="AE291" s="9"/>
      <c r="AF291" s="9"/>
      <c r="AG291" s="9"/>
    </row>
    <row r="292" hidden="1">
      <c r="A292" s="21">
        <f>COUNTIF('Histórico'!$B:$B,B292)</f>
        <v>1</v>
      </c>
      <c r="B292" s="21" t="s">
        <v>1113</v>
      </c>
      <c r="C292" s="9"/>
      <c r="D292" s="6" t="s">
        <v>39</v>
      </c>
      <c r="E292" s="6" t="s">
        <v>40</v>
      </c>
      <c r="F292" s="23">
        <v>46190.0</v>
      </c>
      <c r="G292" s="6" t="s">
        <v>41</v>
      </c>
      <c r="H292" s="23">
        <v>46190.0</v>
      </c>
      <c r="I292" s="6" t="s">
        <v>1114</v>
      </c>
      <c r="J292" s="6">
        <v>95270.0</v>
      </c>
      <c r="K292" s="6" t="s">
        <v>1115</v>
      </c>
      <c r="L292" s="14" t="s">
        <v>1116</v>
      </c>
      <c r="M292" s="9"/>
      <c r="N292" s="9"/>
      <c r="O292" s="9"/>
      <c r="P292" s="9"/>
      <c r="Q292" s="6">
        <v>1.0</v>
      </c>
      <c r="R292" s="23">
        <v>46188.0</v>
      </c>
      <c r="S292" s="23">
        <v>46192.0</v>
      </c>
      <c r="T292" s="23">
        <v>46190.0</v>
      </c>
      <c r="U292" s="9"/>
      <c r="V292" s="6" t="s">
        <v>44</v>
      </c>
      <c r="W292" s="9"/>
      <c r="X292" s="6" t="s">
        <v>45</v>
      </c>
      <c r="Y292" s="6" t="s">
        <v>46</v>
      </c>
      <c r="Z292" s="6">
        <v>3.040322114E9</v>
      </c>
      <c r="AA292" s="6" t="s">
        <v>304</v>
      </c>
      <c r="AB292" s="6" t="s">
        <v>306</v>
      </c>
      <c r="AC292" s="6" t="s">
        <v>1117</v>
      </c>
      <c r="AD292" s="9"/>
      <c r="AE292" s="9"/>
      <c r="AF292" s="9"/>
      <c r="AG292" s="9"/>
    </row>
    <row r="293" hidden="1">
      <c r="A293" s="21">
        <f>COUNTIF('Histórico'!$B:$B,B293)</f>
        <v>1</v>
      </c>
      <c r="B293" s="21" t="s">
        <v>1119</v>
      </c>
      <c r="C293" s="9"/>
      <c r="D293" s="6" t="s">
        <v>39</v>
      </c>
      <c r="E293" s="6" t="s">
        <v>40</v>
      </c>
      <c r="F293" s="23">
        <v>46190.0</v>
      </c>
      <c r="G293" s="6" t="s">
        <v>41</v>
      </c>
      <c r="H293" s="23">
        <v>46190.0</v>
      </c>
      <c r="I293" s="6" t="s">
        <v>1114</v>
      </c>
      <c r="J293" s="6">
        <v>95270.0</v>
      </c>
      <c r="K293" s="6" t="s">
        <v>1115</v>
      </c>
      <c r="L293" s="14" t="s">
        <v>1120</v>
      </c>
      <c r="M293" s="9"/>
      <c r="N293" s="9"/>
      <c r="O293" s="9"/>
      <c r="P293" s="9"/>
      <c r="Q293" s="6">
        <v>1.0</v>
      </c>
      <c r="R293" s="23">
        <v>46188.0</v>
      </c>
      <c r="S293" s="23">
        <v>46192.0</v>
      </c>
      <c r="T293" s="23">
        <v>46190.0</v>
      </c>
      <c r="U293" s="9"/>
      <c r="V293" s="6" t="s">
        <v>44</v>
      </c>
      <c r="W293" s="9"/>
      <c r="X293" s="6" t="s">
        <v>45</v>
      </c>
      <c r="Y293" s="6" t="s">
        <v>46</v>
      </c>
      <c r="Z293" s="6">
        <v>3.040320864E9</v>
      </c>
      <c r="AA293" s="6" t="s">
        <v>70</v>
      </c>
      <c r="AB293" s="6" t="s">
        <v>152</v>
      </c>
      <c r="AC293" s="6" t="s">
        <v>1121</v>
      </c>
      <c r="AD293" s="9"/>
      <c r="AE293" s="9"/>
      <c r="AF293" s="9"/>
      <c r="AG293" s="9"/>
    </row>
    <row r="294" hidden="1">
      <c r="A294" s="21">
        <f>COUNTIF('Histórico'!$B:$B,B294)</f>
        <v>1</v>
      </c>
      <c r="B294" s="21" t="s">
        <v>1122</v>
      </c>
      <c r="C294" s="9"/>
      <c r="D294" s="6" t="s">
        <v>39</v>
      </c>
      <c r="E294" s="6" t="s">
        <v>40</v>
      </c>
      <c r="F294" s="23">
        <v>46190.0</v>
      </c>
      <c r="G294" s="6" t="s">
        <v>41</v>
      </c>
      <c r="H294" s="23">
        <v>46190.0</v>
      </c>
      <c r="I294" s="6" t="s">
        <v>461</v>
      </c>
      <c r="J294" s="6">
        <v>26055.0</v>
      </c>
      <c r="K294" s="6" t="s">
        <v>462</v>
      </c>
      <c r="L294" s="14" t="s">
        <v>1123</v>
      </c>
      <c r="M294" s="9"/>
      <c r="N294" s="9"/>
      <c r="O294" s="9"/>
      <c r="P294" s="9"/>
      <c r="Q294" s="6">
        <v>1.0</v>
      </c>
      <c r="R294" s="23">
        <v>46188.0</v>
      </c>
      <c r="S294" s="23">
        <v>46192.0</v>
      </c>
      <c r="T294" s="23">
        <v>46190.0</v>
      </c>
      <c r="U294" s="9"/>
      <c r="V294" s="6" t="s">
        <v>44</v>
      </c>
      <c r="W294" s="9"/>
      <c r="X294" s="6" t="s">
        <v>45</v>
      </c>
      <c r="Y294" s="6" t="s">
        <v>46</v>
      </c>
      <c r="Z294" s="6">
        <v>3.040304977E9</v>
      </c>
      <c r="AA294" s="6" t="s">
        <v>66</v>
      </c>
      <c r="AB294" s="6" t="s">
        <v>394</v>
      </c>
      <c r="AC294" s="6" t="s">
        <v>296</v>
      </c>
      <c r="AD294" s="9"/>
      <c r="AE294" s="9"/>
      <c r="AF294" s="9"/>
      <c r="AG294" s="9"/>
    </row>
    <row r="295" hidden="1">
      <c r="A295" s="21">
        <f>COUNTIF('Histórico'!$B:$B,B295)</f>
        <v>1</v>
      </c>
      <c r="B295" s="21" t="s">
        <v>1124</v>
      </c>
      <c r="C295" s="9"/>
      <c r="D295" s="6" t="s">
        <v>39</v>
      </c>
      <c r="E295" s="6" t="s">
        <v>40</v>
      </c>
      <c r="F295" s="23">
        <v>46190.0</v>
      </c>
      <c r="G295" s="6" t="s">
        <v>41</v>
      </c>
      <c r="H295" s="23">
        <v>46190.0</v>
      </c>
      <c r="I295" s="6" t="s">
        <v>1125</v>
      </c>
      <c r="J295" s="6" t="s">
        <v>156</v>
      </c>
      <c r="K295" s="6" t="s">
        <v>1126</v>
      </c>
      <c r="L295" s="14">
        <v>5.04011190625185E14</v>
      </c>
      <c r="M295" s="9"/>
      <c r="N295" s="9"/>
      <c r="O295" s="9"/>
      <c r="P295" s="9"/>
      <c r="Q295" s="6">
        <v>1.0</v>
      </c>
      <c r="R295" s="23">
        <v>46188.0</v>
      </c>
      <c r="S295" s="23">
        <v>46192.0</v>
      </c>
      <c r="T295" s="23">
        <v>46190.0</v>
      </c>
      <c r="U295" s="9"/>
      <c r="V295" s="6" t="s">
        <v>44</v>
      </c>
      <c r="W295" s="9"/>
      <c r="X295" s="6" t="s">
        <v>45</v>
      </c>
      <c r="Y295" s="6" t="s">
        <v>46</v>
      </c>
      <c r="Z295" s="6">
        <v>3.040311509E9</v>
      </c>
      <c r="AA295" s="6" t="s">
        <v>62</v>
      </c>
      <c r="AB295" s="6" t="s">
        <v>120</v>
      </c>
      <c r="AC295" s="6" t="s">
        <v>662</v>
      </c>
      <c r="AD295" s="9"/>
      <c r="AE295" s="9"/>
      <c r="AF295" s="9"/>
      <c r="AG295" s="9"/>
    </row>
    <row r="296" hidden="1">
      <c r="A296" s="21">
        <f>COUNTIF('Histórico'!$B:$B,B296)</f>
        <v>1</v>
      </c>
      <c r="B296" s="21" t="s">
        <v>1127</v>
      </c>
      <c r="C296" s="9"/>
      <c r="D296" s="6" t="s">
        <v>39</v>
      </c>
      <c r="E296" s="6" t="s">
        <v>40</v>
      </c>
      <c r="F296" s="23">
        <v>46190.0</v>
      </c>
      <c r="G296" s="6" t="s">
        <v>41</v>
      </c>
      <c r="H296" s="23">
        <v>46190.0</v>
      </c>
      <c r="I296" s="6" t="s">
        <v>1125</v>
      </c>
      <c r="J296" s="6" t="s">
        <v>156</v>
      </c>
      <c r="K296" s="6" t="s">
        <v>1126</v>
      </c>
      <c r="L296" s="14">
        <v>5.04011190625165E14</v>
      </c>
      <c r="M296" s="9"/>
      <c r="N296" s="9"/>
      <c r="O296" s="9"/>
      <c r="P296" s="9"/>
      <c r="Q296" s="6">
        <v>1.0</v>
      </c>
      <c r="R296" s="23">
        <v>46188.0</v>
      </c>
      <c r="S296" s="23">
        <v>46192.0</v>
      </c>
      <c r="T296" s="23">
        <v>46190.0</v>
      </c>
      <c r="U296" s="9"/>
      <c r="V296" s="6" t="s">
        <v>44</v>
      </c>
      <c r="W296" s="9"/>
      <c r="X296" s="6" t="s">
        <v>45</v>
      </c>
      <c r="Y296" s="6" t="s">
        <v>46</v>
      </c>
      <c r="Z296" s="6">
        <v>3.040265829E9</v>
      </c>
      <c r="AA296" s="6" t="s">
        <v>45</v>
      </c>
      <c r="AB296" s="6" t="s">
        <v>203</v>
      </c>
      <c r="AC296" s="6" t="s">
        <v>204</v>
      </c>
      <c r="AD296" s="9"/>
      <c r="AE296" s="9"/>
      <c r="AF296" s="9"/>
      <c r="AG296" s="9"/>
    </row>
    <row r="297" hidden="1">
      <c r="A297" s="21">
        <f>COUNTIF('Histórico'!$B:$B,B297)</f>
        <v>1</v>
      </c>
      <c r="B297" s="21" t="s">
        <v>1128</v>
      </c>
      <c r="C297" s="9"/>
      <c r="D297" s="6" t="s">
        <v>39</v>
      </c>
      <c r="E297" s="6" t="s">
        <v>40</v>
      </c>
      <c r="F297" s="23">
        <v>46190.0</v>
      </c>
      <c r="G297" s="6" t="s">
        <v>41</v>
      </c>
      <c r="H297" s="23">
        <v>46190.0</v>
      </c>
      <c r="I297" s="6" t="s">
        <v>1129</v>
      </c>
      <c r="J297" s="6" t="s">
        <v>156</v>
      </c>
      <c r="K297" s="6" t="s">
        <v>1126</v>
      </c>
      <c r="L297" s="14">
        <v>6309.0</v>
      </c>
      <c r="M297" s="9"/>
      <c r="N297" s="9"/>
      <c r="O297" s="9"/>
      <c r="P297" s="9"/>
      <c r="Q297" s="6">
        <v>1.0</v>
      </c>
      <c r="R297" s="23">
        <v>46188.0</v>
      </c>
      <c r="S297" s="23">
        <v>46192.0</v>
      </c>
      <c r="T297" s="23">
        <v>46190.0</v>
      </c>
      <c r="U297" s="9"/>
      <c r="V297" s="6" t="s">
        <v>44</v>
      </c>
      <c r="W297" s="9"/>
      <c r="X297" s="6" t="s">
        <v>45</v>
      </c>
      <c r="Y297" s="6" t="s">
        <v>46</v>
      </c>
      <c r="Z297" s="6">
        <v>3.040228584E9</v>
      </c>
      <c r="AA297" s="6" t="s">
        <v>262</v>
      </c>
      <c r="AB297" s="6" t="s">
        <v>1130</v>
      </c>
      <c r="AC297" s="6" t="s">
        <v>1131</v>
      </c>
      <c r="AD297" s="9"/>
      <c r="AE297" s="9"/>
      <c r="AF297" s="9"/>
      <c r="AG297" s="9"/>
    </row>
    <row r="298" hidden="1">
      <c r="A298" s="21">
        <f>COUNTIF('Histórico'!$B:$B,B298)</f>
        <v>1</v>
      </c>
      <c r="B298" s="21" t="s">
        <v>1132</v>
      </c>
      <c r="C298" s="9"/>
      <c r="D298" s="6" t="s">
        <v>39</v>
      </c>
      <c r="E298" s="6" t="s">
        <v>40</v>
      </c>
      <c r="F298" s="23">
        <v>46190.0</v>
      </c>
      <c r="G298" s="6" t="s">
        <v>41</v>
      </c>
      <c r="H298" s="23">
        <v>46190.0</v>
      </c>
      <c r="I298" s="6" t="s">
        <v>579</v>
      </c>
      <c r="J298" s="6" t="s">
        <v>156</v>
      </c>
      <c r="K298" s="6" t="s">
        <v>1076</v>
      </c>
      <c r="L298" s="14">
        <v>580.0</v>
      </c>
      <c r="M298" s="9"/>
      <c r="N298" s="9"/>
      <c r="O298" s="9"/>
      <c r="P298" s="9"/>
      <c r="Q298" s="6">
        <v>1.0</v>
      </c>
      <c r="R298" s="23">
        <v>46188.0</v>
      </c>
      <c r="S298" s="23">
        <v>46192.0</v>
      </c>
      <c r="T298" s="23">
        <v>46190.0</v>
      </c>
      <c r="U298" s="9"/>
      <c r="V298" s="6" t="s">
        <v>44</v>
      </c>
      <c r="W298" s="9"/>
      <c r="X298" s="6" t="s">
        <v>45</v>
      </c>
      <c r="Y298" s="6" t="s">
        <v>46</v>
      </c>
      <c r="Z298" s="6">
        <v>3.040248874E9</v>
      </c>
      <c r="AA298" s="6" t="s">
        <v>45</v>
      </c>
      <c r="AB298" s="6" t="s">
        <v>220</v>
      </c>
      <c r="AC298" s="6" t="s">
        <v>386</v>
      </c>
      <c r="AD298" s="9"/>
      <c r="AE298" s="9"/>
      <c r="AF298" s="9"/>
      <c r="AG298" s="9"/>
    </row>
    <row r="299" hidden="1">
      <c r="A299" s="21">
        <f>COUNTIF('Histórico'!$B:$B,B299)</f>
        <v>1</v>
      </c>
      <c r="B299" s="21" t="s">
        <v>1133</v>
      </c>
      <c r="C299" s="9"/>
      <c r="D299" s="6" t="s">
        <v>39</v>
      </c>
      <c r="E299" s="6" t="s">
        <v>40</v>
      </c>
      <c r="F299" s="23">
        <v>46190.0</v>
      </c>
      <c r="G299" s="6" t="s">
        <v>41</v>
      </c>
      <c r="H299" s="23">
        <v>46190.0</v>
      </c>
      <c r="I299" s="6" t="s">
        <v>585</v>
      </c>
      <c r="J299" s="6">
        <v>86887.0</v>
      </c>
      <c r="K299" s="6" t="s">
        <v>1134</v>
      </c>
      <c r="L299" s="14" t="s">
        <v>1135</v>
      </c>
      <c r="M299" s="9"/>
      <c r="N299" s="9"/>
      <c r="O299" s="9"/>
      <c r="P299" s="9"/>
      <c r="Q299" s="6">
        <v>1.0</v>
      </c>
      <c r="R299" s="23">
        <v>46188.0</v>
      </c>
      <c r="S299" s="23">
        <v>46192.0</v>
      </c>
      <c r="T299" s="23">
        <v>46190.0</v>
      </c>
      <c r="U299" s="9"/>
      <c r="V299" s="6" t="s">
        <v>44</v>
      </c>
      <c r="W299" s="9"/>
      <c r="X299" s="6" t="s">
        <v>45</v>
      </c>
      <c r="Y299" s="6" t="s">
        <v>46</v>
      </c>
      <c r="Z299" s="6">
        <v>3.040277243E9</v>
      </c>
      <c r="AA299" s="6" t="s">
        <v>389</v>
      </c>
      <c r="AB299" s="6" t="s">
        <v>390</v>
      </c>
      <c r="AC299" s="6" t="s">
        <v>355</v>
      </c>
      <c r="AD299" s="9"/>
      <c r="AE299" s="9"/>
      <c r="AF299" s="9"/>
      <c r="AG299" s="9"/>
    </row>
    <row r="300" hidden="1">
      <c r="A300" s="21">
        <f>COUNTIF('Histórico'!$B:$B,B300)</f>
        <v>1</v>
      </c>
      <c r="B300" s="21" t="s">
        <v>1136</v>
      </c>
      <c r="C300" s="9"/>
      <c r="D300" s="6" t="s">
        <v>39</v>
      </c>
      <c r="E300" s="6" t="s">
        <v>40</v>
      </c>
      <c r="F300" s="23">
        <v>46190.0</v>
      </c>
      <c r="G300" s="6" t="s">
        <v>41</v>
      </c>
      <c r="H300" s="23">
        <v>46190.0</v>
      </c>
      <c r="I300" s="6" t="s">
        <v>223</v>
      </c>
      <c r="J300" s="6">
        <v>33269.0</v>
      </c>
      <c r="K300" s="6" t="s">
        <v>224</v>
      </c>
      <c r="L300" s="14" t="s">
        <v>1137</v>
      </c>
      <c r="M300" s="9"/>
      <c r="N300" s="9"/>
      <c r="O300" s="9"/>
      <c r="P300" s="9"/>
      <c r="Q300" s="6">
        <v>1.0</v>
      </c>
      <c r="R300" s="23">
        <v>46188.0</v>
      </c>
      <c r="S300" s="23">
        <v>46192.0</v>
      </c>
      <c r="T300" s="23">
        <v>46190.0</v>
      </c>
      <c r="U300" s="9"/>
      <c r="V300" s="6" t="s">
        <v>44</v>
      </c>
      <c r="W300" s="9"/>
      <c r="X300" s="6" t="s">
        <v>45</v>
      </c>
      <c r="Y300" s="6" t="s">
        <v>46</v>
      </c>
      <c r="Z300" s="6">
        <v>3.040325528E9</v>
      </c>
      <c r="AA300" s="6" t="s">
        <v>63</v>
      </c>
      <c r="AB300" s="6" t="s">
        <v>241</v>
      </c>
      <c r="AC300" s="6" t="s">
        <v>583</v>
      </c>
      <c r="AD300" s="9"/>
      <c r="AE300" s="9"/>
      <c r="AF300" s="9"/>
      <c r="AG300" s="9"/>
    </row>
    <row r="301" hidden="1">
      <c r="A301" s="21">
        <f>COUNTIF('Histórico'!$B:$B,B301)</f>
        <v>1</v>
      </c>
      <c r="B301" s="21" t="s">
        <v>1138</v>
      </c>
      <c r="C301" s="9"/>
      <c r="D301" s="6" t="s">
        <v>39</v>
      </c>
      <c r="E301" s="6" t="s">
        <v>40</v>
      </c>
      <c r="F301" s="23">
        <v>46190.0</v>
      </c>
      <c r="G301" s="6" t="s">
        <v>41</v>
      </c>
      <c r="H301" s="23">
        <v>46190.0</v>
      </c>
      <c r="I301" s="6" t="s">
        <v>585</v>
      </c>
      <c r="J301" s="6">
        <v>86887.0</v>
      </c>
      <c r="K301" s="6" t="s">
        <v>1134</v>
      </c>
      <c r="L301" s="14" t="s">
        <v>1139</v>
      </c>
      <c r="M301" s="9"/>
      <c r="N301" s="9"/>
      <c r="O301" s="9"/>
      <c r="P301" s="9"/>
      <c r="Q301" s="6">
        <v>1.0</v>
      </c>
      <c r="R301" s="23">
        <v>46188.0</v>
      </c>
      <c r="S301" s="23">
        <v>46192.0</v>
      </c>
      <c r="T301" s="23">
        <v>46190.0</v>
      </c>
      <c r="U301" s="9"/>
      <c r="V301" s="6" t="s">
        <v>44</v>
      </c>
      <c r="W301" s="9"/>
      <c r="X301" s="6" t="s">
        <v>45</v>
      </c>
      <c r="Y301" s="6" t="s">
        <v>46</v>
      </c>
      <c r="Z301" s="6">
        <v>3.040317875E9</v>
      </c>
      <c r="AA301" s="6" t="s">
        <v>304</v>
      </c>
      <c r="AB301" s="6" t="s">
        <v>306</v>
      </c>
      <c r="AC301" s="6" t="s">
        <v>882</v>
      </c>
      <c r="AD301" s="9"/>
      <c r="AE301" s="9"/>
      <c r="AF301" s="9"/>
      <c r="AG301" s="9"/>
    </row>
    <row r="302" hidden="1">
      <c r="A302" s="21">
        <f>COUNTIF('Histórico'!$B:$B,B302)</f>
        <v>1</v>
      </c>
      <c r="B302" s="21" t="s">
        <v>1140</v>
      </c>
      <c r="C302" s="9"/>
      <c r="D302" s="6" t="s">
        <v>39</v>
      </c>
      <c r="E302" s="6" t="s">
        <v>40</v>
      </c>
      <c r="F302" s="23">
        <v>46190.0</v>
      </c>
      <c r="G302" s="6" t="s">
        <v>41</v>
      </c>
      <c r="H302" s="23">
        <v>46190.0</v>
      </c>
      <c r="I302" s="6" t="s">
        <v>585</v>
      </c>
      <c r="J302" s="6">
        <v>86887.0</v>
      </c>
      <c r="K302" s="6" t="s">
        <v>1134</v>
      </c>
      <c r="L302" s="14" t="s">
        <v>1141</v>
      </c>
      <c r="M302" s="9"/>
      <c r="N302" s="9"/>
      <c r="O302" s="9"/>
      <c r="P302" s="9"/>
      <c r="Q302" s="6">
        <v>1.0</v>
      </c>
      <c r="R302" s="23">
        <v>46188.0</v>
      </c>
      <c r="S302" s="23">
        <v>46192.0</v>
      </c>
      <c r="T302" s="23">
        <v>46190.0</v>
      </c>
      <c r="U302" s="9"/>
      <c r="V302" s="6" t="s">
        <v>44</v>
      </c>
      <c r="W302" s="9"/>
      <c r="X302" s="6" t="s">
        <v>45</v>
      </c>
      <c r="Y302" s="6" t="s">
        <v>46</v>
      </c>
      <c r="Z302" s="6">
        <v>3.040313107E9</v>
      </c>
      <c r="AA302" s="6" t="s">
        <v>45</v>
      </c>
      <c r="AB302" s="6" t="s">
        <v>46</v>
      </c>
      <c r="AC302" s="6" t="s">
        <v>80</v>
      </c>
      <c r="AD302" s="9"/>
      <c r="AE302" s="9"/>
      <c r="AF302" s="9"/>
      <c r="AG302" s="9"/>
    </row>
    <row r="303" hidden="1">
      <c r="A303" s="21">
        <f>COUNTIF('Histórico'!$B:$B,B303)</f>
        <v>1</v>
      </c>
      <c r="B303" s="21" t="s">
        <v>1144</v>
      </c>
      <c r="C303" s="9"/>
      <c r="D303" s="6" t="s">
        <v>39</v>
      </c>
      <c r="E303" s="6" t="s">
        <v>40</v>
      </c>
      <c r="F303" s="23">
        <v>46190.0</v>
      </c>
      <c r="G303" s="6" t="s">
        <v>41</v>
      </c>
      <c r="H303" s="23">
        <v>46190.0</v>
      </c>
      <c r="I303" s="6" t="s">
        <v>223</v>
      </c>
      <c r="J303" s="6">
        <v>33269.0</v>
      </c>
      <c r="K303" s="6" t="s">
        <v>224</v>
      </c>
      <c r="L303" s="14">
        <v>328.0</v>
      </c>
      <c r="M303" s="9"/>
      <c r="N303" s="9"/>
      <c r="O303" s="9"/>
      <c r="P303" s="9"/>
      <c r="Q303" s="6">
        <v>1.0</v>
      </c>
      <c r="R303" s="23">
        <v>46188.0</v>
      </c>
      <c r="S303" s="23">
        <v>46192.0</v>
      </c>
      <c r="T303" s="23">
        <v>46190.0</v>
      </c>
      <c r="U303" s="9"/>
      <c r="V303" s="6" t="s">
        <v>44</v>
      </c>
      <c r="W303" s="9"/>
      <c r="X303" s="6" t="s">
        <v>45</v>
      </c>
      <c r="Y303" s="6" t="s">
        <v>46</v>
      </c>
      <c r="Z303" s="6">
        <v>3.040325529E9</v>
      </c>
      <c r="AA303" s="6" t="s">
        <v>63</v>
      </c>
      <c r="AB303" s="6" t="s">
        <v>241</v>
      </c>
      <c r="AC303" s="6" t="s">
        <v>583</v>
      </c>
      <c r="AD303" s="9"/>
      <c r="AE303" s="9"/>
      <c r="AF303" s="9"/>
      <c r="AG303" s="9"/>
    </row>
    <row r="304" hidden="1">
      <c r="A304" s="21">
        <f>COUNTIF('Histórico'!$B:$B,B304)</f>
        <v>1</v>
      </c>
      <c r="B304" s="21" t="s">
        <v>1145</v>
      </c>
      <c r="C304" s="9"/>
      <c r="D304" s="6" t="s">
        <v>39</v>
      </c>
      <c r="E304" s="6" t="s">
        <v>40</v>
      </c>
      <c r="F304" s="23">
        <v>46190.0</v>
      </c>
      <c r="G304" s="6" t="s">
        <v>41</v>
      </c>
      <c r="H304" s="23">
        <v>46190.0</v>
      </c>
      <c r="I304" s="6" t="s">
        <v>226</v>
      </c>
      <c r="J304" s="6">
        <v>71513.0</v>
      </c>
      <c r="K304" s="6" t="s">
        <v>320</v>
      </c>
      <c r="L304" s="14">
        <v>477.0</v>
      </c>
      <c r="M304" s="9"/>
      <c r="N304" s="9"/>
      <c r="O304" s="9"/>
      <c r="P304" s="9"/>
      <c r="Q304" s="6">
        <v>1.0</v>
      </c>
      <c r="R304" s="23">
        <v>46188.0</v>
      </c>
      <c r="S304" s="23">
        <v>46192.0</v>
      </c>
      <c r="T304" s="23">
        <v>46190.0</v>
      </c>
      <c r="U304" s="9"/>
      <c r="V304" s="6" t="s">
        <v>44</v>
      </c>
      <c r="W304" s="9"/>
      <c r="X304" s="6" t="s">
        <v>45</v>
      </c>
      <c r="Y304" s="6" t="s">
        <v>46</v>
      </c>
      <c r="Z304" s="6">
        <v>3.040326033E9</v>
      </c>
      <c r="AA304" s="6" t="s">
        <v>57</v>
      </c>
      <c r="AB304" s="6" t="s">
        <v>367</v>
      </c>
      <c r="AC304" s="6" t="s">
        <v>1146</v>
      </c>
      <c r="AD304" s="9"/>
      <c r="AE304" s="9"/>
      <c r="AF304" s="9"/>
      <c r="AG304" s="9"/>
    </row>
    <row r="305" hidden="1">
      <c r="A305" s="21">
        <f>COUNTIF('Histórico'!$B:$B,B305)</f>
        <v>1</v>
      </c>
      <c r="B305" s="21" t="s">
        <v>1147</v>
      </c>
      <c r="C305" s="9"/>
      <c r="D305" s="6" t="s">
        <v>39</v>
      </c>
      <c r="E305" s="6" t="s">
        <v>40</v>
      </c>
      <c r="F305" s="23">
        <v>46190.0</v>
      </c>
      <c r="G305" s="6" t="s">
        <v>41</v>
      </c>
      <c r="H305" s="23">
        <v>46190.0</v>
      </c>
      <c r="I305" s="6" t="s">
        <v>231</v>
      </c>
      <c r="J305" s="6">
        <v>71513.0</v>
      </c>
      <c r="K305" s="6" t="s">
        <v>232</v>
      </c>
      <c r="L305" s="14">
        <v>277.0</v>
      </c>
      <c r="M305" s="9"/>
      <c r="N305" s="9"/>
      <c r="O305" s="9"/>
      <c r="P305" s="9"/>
      <c r="Q305" s="6">
        <v>1.0</v>
      </c>
      <c r="R305" s="23">
        <v>46188.0</v>
      </c>
      <c r="S305" s="23">
        <v>46192.0</v>
      </c>
      <c r="T305" s="23">
        <v>46190.0</v>
      </c>
      <c r="U305" s="9"/>
      <c r="V305" s="6" t="s">
        <v>44</v>
      </c>
      <c r="W305" s="9"/>
      <c r="X305" s="6" t="s">
        <v>45</v>
      </c>
      <c r="Y305" s="6" t="s">
        <v>46</v>
      </c>
      <c r="Z305" s="6">
        <v>3.040326277E9</v>
      </c>
      <c r="AA305" s="6" t="s">
        <v>45</v>
      </c>
      <c r="AB305" s="6" t="s">
        <v>46</v>
      </c>
      <c r="AC305" s="6" t="s">
        <v>80</v>
      </c>
      <c r="AD305" s="9"/>
      <c r="AE305" s="9"/>
      <c r="AF305" s="9"/>
      <c r="AG305" s="9"/>
    </row>
    <row r="306" hidden="1">
      <c r="A306" s="21">
        <f>COUNTIF('Histórico'!$B:$B,B306)</f>
        <v>1</v>
      </c>
      <c r="B306" s="21" t="s">
        <v>1150</v>
      </c>
      <c r="C306" s="9"/>
      <c r="D306" s="6" t="s">
        <v>39</v>
      </c>
      <c r="E306" s="6" t="s">
        <v>40</v>
      </c>
      <c r="F306" s="23">
        <v>46190.0</v>
      </c>
      <c r="G306" s="6" t="s">
        <v>41</v>
      </c>
      <c r="H306" s="23">
        <v>46190.0</v>
      </c>
      <c r="I306" s="6" t="s">
        <v>649</v>
      </c>
      <c r="J306" s="6" t="s">
        <v>650</v>
      </c>
      <c r="K306" s="6" t="s">
        <v>651</v>
      </c>
      <c r="L306" s="14" t="s">
        <v>1151</v>
      </c>
      <c r="M306" s="9"/>
      <c r="N306" s="9"/>
      <c r="O306" s="9"/>
      <c r="P306" s="9"/>
      <c r="Q306" s="6">
        <v>1.0</v>
      </c>
      <c r="R306" s="23">
        <v>46188.0</v>
      </c>
      <c r="S306" s="23">
        <v>46192.0</v>
      </c>
      <c r="T306" s="23">
        <v>46190.0</v>
      </c>
      <c r="U306" s="9"/>
      <c r="V306" s="6" t="s">
        <v>44</v>
      </c>
      <c r="W306" s="9"/>
      <c r="X306" s="6" t="s">
        <v>45</v>
      </c>
      <c r="Y306" s="6" t="s">
        <v>46</v>
      </c>
      <c r="Z306" s="6">
        <v>3.040324064E9</v>
      </c>
      <c r="AA306" s="6" t="s">
        <v>64</v>
      </c>
      <c r="AB306" s="6" t="s">
        <v>399</v>
      </c>
      <c r="AC306" s="6" t="s">
        <v>894</v>
      </c>
      <c r="AD306" s="9"/>
      <c r="AE306" s="9"/>
      <c r="AF306" s="9"/>
      <c r="AG306" s="9"/>
    </row>
    <row r="307" hidden="1">
      <c r="A307" s="21">
        <f>COUNTIF('Histórico'!$B:$B,B307)</f>
        <v>1</v>
      </c>
      <c r="B307" s="21" t="s">
        <v>1152</v>
      </c>
      <c r="C307" s="9"/>
      <c r="D307" s="6" t="s">
        <v>39</v>
      </c>
      <c r="E307" s="6" t="s">
        <v>40</v>
      </c>
      <c r="F307" s="23">
        <v>46190.0</v>
      </c>
      <c r="G307" s="6" t="s">
        <v>41</v>
      </c>
      <c r="H307" s="23">
        <v>46190.0</v>
      </c>
      <c r="I307" s="6" t="s">
        <v>461</v>
      </c>
      <c r="J307" s="6">
        <v>26055.0</v>
      </c>
      <c r="K307" s="6" t="s">
        <v>462</v>
      </c>
      <c r="L307" s="14" t="s">
        <v>1153</v>
      </c>
      <c r="M307" s="9"/>
      <c r="N307" s="9"/>
      <c r="O307" s="9"/>
      <c r="P307" s="9"/>
      <c r="Q307" s="6">
        <v>1.0</v>
      </c>
      <c r="R307" s="23">
        <v>46188.0</v>
      </c>
      <c r="S307" s="23">
        <v>46192.0</v>
      </c>
      <c r="T307" s="23">
        <v>46190.0</v>
      </c>
      <c r="U307" s="9"/>
      <c r="V307" s="6" t="s">
        <v>44</v>
      </c>
      <c r="W307" s="9"/>
      <c r="X307" s="6" t="s">
        <v>45</v>
      </c>
      <c r="Y307" s="6" t="s">
        <v>46</v>
      </c>
      <c r="Z307" s="6">
        <v>3.040310003E9</v>
      </c>
      <c r="AA307" s="6" t="s">
        <v>57</v>
      </c>
      <c r="AB307" s="6" t="s">
        <v>410</v>
      </c>
      <c r="AC307" s="6" t="s">
        <v>411</v>
      </c>
      <c r="AD307" s="9"/>
      <c r="AE307" s="9"/>
      <c r="AF307" s="9"/>
      <c r="AG307" s="9"/>
    </row>
    <row r="308" hidden="1">
      <c r="A308" s="21">
        <f>COUNTIF('Histórico'!$B:$B,B308)</f>
        <v>1</v>
      </c>
      <c r="B308" s="21" t="s">
        <v>1154</v>
      </c>
      <c r="C308" s="9"/>
      <c r="D308" s="6" t="s">
        <v>39</v>
      </c>
      <c r="E308" s="6" t="s">
        <v>40</v>
      </c>
      <c r="F308" s="23">
        <v>46190.0</v>
      </c>
      <c r="G308" s="6" t="s">
        <v>41</v>
      </c>
      <c r="H308" s="23">
        <v>46190.0</v>
      </c>
      <c r="I308" s="6" t="s">
        <v>1114</v>
      </c>
      <c r="J308" s="6">
        <v>95270.0</v>
      </c>
      <c r="K308" s="6" t="s">
        <v>1115</v>
      </c>
      <c r="L308" s="14" t="s">
        <v>1155</v>
      </c>
      <c r="M308" s="9"/>
      <c r="N308" s="9"/>
      <c r="O308" s="9"/>
      <c r="P308" s="9"/>
      <c r="Q308" s="6">
        <v>1.0</v>
      </c>
      <c r="R308" s="23">
        <v>46188.0</v>
      </c>
      <c r="S308" s="23">
        <v>46192.0</v>
      </c>
      <c r="T308" s="23">
        <v>46190.0</v>
      </c>
      <c r="U308" s="9"/>
      <c r="V308" s="6" t="s">
        <v>44</v>
      </c>
      <c r="W308" s="9"/>
      <c r="X308" s="6" t="s">
        <v>45</v>
      </c>
      <c r="Y308" s="6" t="s">
        <v>46</v>
      </c>
      <c r="Z308" s="6">
        <v>3.040326086E9</v>
      </c>
      <c r="AA308" s="6" t="s">
        <v>62</v>
      </c>
      <c r="AB308" s="6" t="s">
        <v>120</v>
      </c>
      <c r="AC308" s="6" t="s">
        <v>121</v>
      </c>
      <c r="AD308" s="9"/>
      <c r="AE308" s="9"/>
      <c r="AF308" s="9"/>
      <c r="AG308" s="9"/>
    </row>
    <row r="309" hidden="1">
      <c r="A309" s="21">
        <f>COUNTIF('Histórico'!$B:$B,B309)</f>
        <v>1</v>
      </c>
      <c r="B309" s="21" t="s">
        <v>1157</v>
      </c>
      <c r="C309" s="9"/>
      <c r="D309" s="6" t="s">
        <v>39</v>
      </c>
      <c r="E309" s="6" t="s">
        <v>40</v>
      </c>
      <c r="F309" s="23">
        <v>46190.0</v>
      </c>
      <c r="G309" s="6" t="s">
        <v>41</v>
      </c>
      <c r="H309" s="23">
        <v>46190.0</v>
      </c>
      <c r="I309" s="6" t="s">
        <v>372</v>
      </c>
      <c r="J309" s="6" t="s">
        <v>373</v>
      </c>
      <c r="K309" s="6" t="s">
        <v>374</v>
      </c>
      <c r="L309" s="14">
        <v>5844.0</v>
      </c>
      <c r="M309" s="9"/>
      <c r="N309" s="9"/>
      <c r="O309" s="9"/>
      <c r="P309" s="9"/>
      <c r="Q309" s="6">
        <v>1.0</v>
      </c>
      <c r="R309" s="23">
        <v>46143.0</v>
      </c>
      <c r="S309" s="23">
        <v>46173.0</v>
      </c>
      <c r="T309" s="23">
        <v>46190.0</v>
      </c>
      <c r="U309" s="9"/>
      <c r="V309" s="6" t="s">
        <v>44</v>
      </c>
      <c r="W309" s="9"/>
      <c r="X309" s="6" t="s">
        <v>45</v>
      </c>
      <c r="Y309" s="6" t="s">
        <v>46</v>
      </c>
      <c r="Z309" s="6">
        <v>3.04032664E9</v>
      </c>
      <c r="AA309" s="6" t="s">
        <v>304</v>
      </c>
      <c r="AB309" s="6" t="s">
        <v>306</v>
      </c>
      <c r="AC309" s="6" t="s">
        <v>1158</v>
      </c>
      <c r="AD309" s="9"/>
      <c r="AE309" s="9"/>
      <c r="AF309" s="9"/>
      <c r="AG309" s="9"/>
    </row>
    <row r="310" hidden="1">
      <c r="A310" s="21">
        <f>COUNTIF('Histórico'!$B:$B,B310)</f>
        <v>1</v>
      </c>
      <c r="B310" s="21" t="s">
        <v>1159</v>
      </c>
      <c r="C310" s="9"/>
      <c r="D310" s="6" t="s">
        <v>39</v>
      </c>
      <c r="E310" s="6" t="s">
        <v>40</v>
      </c>
      <c r="F310" s="23">
        <v>46190.0</v>
      </c>
      <c r="G310" s="6" t="s">
        <v>41</v>
      </c>
      <c r="H310" s="23">
        <v>46190.0</v>
      </c>
      <c r="I310" s="6" t="s">
        <v>533</v>
      </c>
      <c r="J310" s="6">
        <v>66503.0</v>
      </c>
      <c r="K310" s="6" t="s">
        <v>1160</v>
      </c>
      <c r="L310" s="14" t="s">
        <v>1161</v>
      </c>
      <c r="M310" s="9"/>
      <c r="N310" s="9"/>
      <c r="O310" s="9"/>
      <c r="P310" s="9"/>
      <c r="Q310" s="6">
        <v>1.0</v>
      </c>
      <c r="R310" s="23">
        <v>46188.0</v>
      </c>
      <c r="S310" s="23">
        <v>46192.0</v>
      </c>
      <c r="T310" s="23">
        <v>46190.0</v>
      </c>
      <c r="U310" s="9"/>
      <c r="V310" s="6" t="s">
        <v>44</v>
      </c>
      <c r="W310" s="9"/>
      <c r="X310" s="6" t="s">
        <v>45</v>
      </c>
      <c r="Y310" s="6" t="s">
        <v>46</v>
      </c>
      <c r="Z310" s="6">
        <v>3.040324072E9</v>
      </c>
      <c r="AA310" s="6" t="s">
        <v>63</v>
      </c>
      <c r="AB310" s="6" t="s">
        <v>1162</v>
      </c>
      <c r="AC310" s="6" t="s">
        <v>1163</v>
      </c>
      <c r="AD310" s="9"/>
      <c r="AE310" s="9"/>
      <c r="AF310" s="9"/>
      <c r="AG310" s="9"/>
    </row>
    <row r="311" hidden="1">
      <c r="A311" s="21">
        <f>COUNTIF('Histórico'!$B:$B,B311)</f>
        <v>1</v>
      </c>
      <c r="B311" s="21" t="s">
        <v>1164</v>
      </c>
      <c r="C311" s="9"/>
      <c r="D311" s="6" t="s">
        <v>39</v>
      </c>
      <c r="E311" s="6" t="s">
        <v>40</v>
      </c>
      <c r="F311" s="23">
        <v>46190.0</v>
      </c>
      <c r="G311" s="6" t="s">
        <v>41</v>
      </c>
      <c r="H311" s="23">
        <v>46190.0</v>
      </c>
      <c r="I311" s="6" t="s">
        <v>1165</v>
      </c>
      <c r="J311" s="6">
        <v>66503.0</v>
      </c>
      <c r="K311" s="6" t="s">
        <v>1166</v>
      </c>
      <c r="L311" s="14" t="s">
        <v>1167</v>
      </c>
      <c r="M311" s="9"/>
      <c r="N311" s="9"/>
      <c r="O311" s="9"/>
      <c r="P311" s="9"/>
      <c r="Q311" s="6">
        <v>1.0</v>
      </c>
      <c r="R311" s="23">
        <v>46188.0</v>
      </c>
      <c r="S311" s="23">
        <v>46248.0</v>
      </c>
      <c r="T311" s="23">
        <v>46190.0</v>
      </c>
      <c r="U311" s="9"/>
      <c r="V311" s="6" t="s">
        <v>44</v>
      </c>
      <c r="W311" s="9"/>
      <c r="X311" s="6" t="s">
        <v>45</v>
      </c>
      <c r="Y311" s="6" t="s">
        <v>46</v>
      </c>
      <c r="Z311" s="6">
        <v>3.040317908E9</v>
      </c>
      <c r="AA311" s="6" t="s">
        <v>304</v>
      </c>
      <c r="AB311" s="6" t="s">
        <v>306</v>
      </c>
      <c r="AC311" s="6" t="s">
        <v>1168</v>
      </c>
      <c r="AD311" s="9"/>
      <c r="AE311" s="9"/>
      <c r="AF311" s="9"/>
      <c r="AG311" s="9"/>
    </row>
    <row r="312" hidden="1">
      <c r="A312" s="21">
        <f>COUNTIF('Histórico'!$B:$B,B312)</f>
        <v>1</v>
      </c>
      <c r="B312" s="21" t="s">
        <v>1169</v>
      </c>
      <c r="C312" s="9"/>
      <c r="D312" s="6" t="s">
        <v>39</v>
      </c>
      <c r="E312" s="6" t="s">
        <v>40</v>
      </c>
      <c r="F312" s="23">
        <v>46190.0</v>
      </c>
      <c r="G312" s="6" t="s">
        <v>41</v>
      </c>
      <c r="H312" s="23">
        <v>46190.0</v>
      </c>
      <c r="I312" s="6" t="s">
        <v>533</v>
      </c>
      <c r="J312" s="6">
        <v>66503.0</v>
      </c>
      <c r="K312" s="6" t="s">
        <v>1160</v>
      </c>
      <c r="L312" s="14" t="s">
        <v>1170</v>
      </c>
      <c r="M312" s="9"/>
      <c r="N312" s="9"/>
      <c r="O312" s="9"/>
      <c r="P312" s="9"/>
      <c r="Q312" s="6">
        <v>1.0</v>
      </c>
      <c r="R312" s="23">
        <v>46188.0</v>
      </c>
      <c r="S312" s="23">
        <v>46192.0</v>
      </c>
      <c r="T312" s="23">
        <v>46190.0</v>
      </c>
      <c r="U312" s="9"/>
      <c r="V312" s="6" t="s">
        <v>44</v>
      </c>
      <c r="W312" s="9"/>
      <c r="X312" s="6" t="s">
        <v>45</v>
      </c>
      <c r="Y312" s="6" t="s">
        <v>46</v>
      </c>
      <c r="Z312" s="6">
        <v>3.040317906E9</v>
      </c>
      <c r="AA312" s="6" t="s">
        <v>304</v>
      </c>
      <c r="AB312" s="6" t="s">
        <v>306</v>
      </c>
      <c r="AC312" s="6" t="s">
        <v>1112</v>
      </c>
      <c r="AD312" s="9"/>
      <c r="AE312" s="9"/>
      <c r="AF312" s="9"/>
      <c r="AG312" s="9"/>
    </row>
    <row r="313" hidden="1">
      <c r="A313" s="21">
        <f>COUNTIF('Histórico'!$B:$B,B313)</f>
        <v>1</v>
      </c>
      <c r="B313" s="21" t="s">
        <v>1171</v>
      </c>
      <c r="C313" s="9"/>
      <c r="D313" s="6" t="s">
        <v>39</v>
      </c>
      <c r="E313" s="6" t="s">
        <v>40</v>
      </c>
      <c r="F313" s="23">
        <v>46196.0</v>
      </c>
      <c r="G313" s="6" t="s">
        <v>41</v>
      </c>
      <c r="H313" s="23">
        <v>46196.0</v>
      </c>
      <c r="I313" s="6" t="s">
        <v>469</v>
      </c>
      <c r="J313" s="6" t="s">
        <v>275</v>
      </c>
      <c r="K313" s="6" t="s">
        <v>470</v>
      </c>
      <c r="L313" s="14" t="s">
        <v>1172</v>
      </c>
      <c r="M313" s="9"/>
      <c r="N313" s="9"/>
      <c r="O313" s="9"/>
      <c r="P313" s="9"/>
      <c r="Q313" s="6">
        <v>1.0</v>
      </c>
      <c r="R313" s="23">
        <v>46191.0</v>
      </c>
      <c r="S313" s="23">
        <v>46197.0</v>
      </c>
      <c r="T313" s="23">
        <v>46196.0</v>
      </c>
      <c r="U313" s="9"/>
      <c r="V313" s="6" t="s">
        <v>44</v>
      </c>
      <c r="W313" s="9"/>
      <c r="X313" s="6" t="s">
        <v>45</v>
      </c>
      <c r="Y313" s="6" t="s">
        <v>46</v>
      </c>
      <c r="Z313" s="6">
        <v>3.040232651E9</v>
      </c>
      <c r="AA313" s="6" t="s">
        <v>389</v>
      </c>
      <c r="AB313" s="6" t="s">
        <v>390</v>
      </c>
      <c r="AC313" s="6" t="s">
        <v>1173</v>
      </c>
      <c r="AD313" s="9"/>
      <c r="AE313" s="9"/>
      <c r="AF313" s="9"/>
      <c r="AG313" s="9"/>
    </row>
    <row r="314" hidden="1">
      <c r="A314" s="21">
        <f>COUNTIF('Histórico'!$B:$B,B314)</f>
        <v>1</v>
      </c>
      <c r="B314" s="21" t="s">
        <v>1174</v>
      </c>
      <c r="C314" s="9"/>
      <c r="D314" s="6" t="s">
        <v>39</v>
      </c>
      <c r="E314" s="6" t="s">
        <v>40</v>
      </c>
      <c r="F314" s="23">
        <v>46196.0</v>
      </c>
      <c r="G314" s="6" t="s">
        <v>41</v>
      </c>
      <c r="H314" s="23">
        <v>46196.0</v>
      </c>
      <c r="I314" s="6" t="s">
        <v>469</v>
      </c>
      <c r="J314" s="6" t="s">
        <v>275</v>
      </c>
      <c r="K314" s="6" t="s">
        <v>470</v>
      </c>
      <c r="L314" s="14" t="s">
        <v>1175</v>
      </c>
      <c r="M314" s="9"/>
      <c r="N314" s="9"/>
      <c r="O314" s="9"/>
      <c r="P314" s="9"/>
      <c r="Q314" s="6">
        <v>1.0</v>
      </c>
      <c r="R314" s="23">
        <v>46191.0</v>
      </c>
      <c r="S314" s="23">
        <v>46197.0</v>
      </c>
      <c r="T314" s="23">
        <v>46196.0</v>
      </c>
      <c r="U314" s="9"/>
      <c r="V314" s="6" t="s">
        <v>44</v>
      </c>
      <c r="W314" s="9"/>
      <c r="X314" s="6" t="s">
        <v>45</v>
      </c>
      <c r="Y314" s="6" t="s">
        <v>46</v>
      </c>
      <c r="Z314" s="6">
        <v>3.040307754E9</v>
      </c>
      <c r="AA314" s="6" t="s">
        <v>63</v>
      </c>
      <c r="AB314" s="6" t="s">
        <v>72</v>
      </c>
      <c r="AC314" s="6" t="s">
        <v>74</v>
      </c>
      <c r="AD314" s="9"/>
      <c r="AE314" s="9"/>
      <c r="AF314" s="9"/>
      <c r="AG314" s="9"/>
    </row>
    <row r="315" hidden="1">
      <c r="A315" s="21">
        <f>COUNTIF('Histórico'!$B:$B,B315)</f>
        <v>1</v>
      </c>
      <c r="B315" s="21" t="s">
        <v>1176</v>
      </c>
      <c r="C315" s="9"/>
      <c r="D315" s="6" t="s">
        <v>39</v>
      </c>
      <c r="E315" s="6" t="s">
        <v>40</v>
      </c>
      <c r="F315" s="23">
        <v>46203.0</v>
      </c>
      <c r="G315" s="6" t="s">
        <v>41</v>
      </c>
      <c r="H315" s="23">
        <v>46203.0</v>
      </c>
      <c r="I315" s="6" t="s">
        <v>1011</v>
      </c>
      <c r="J315" s="6" t="s">
        <v>275</v>
      </c>
      <c r="K315" s="6" t="s">
        <v>1012</v>
      </c>
      <c r="L315" s="14">
        <v>8.6817554E7</v>
      </c>
      <c r="M315" s="9"/>
      <c r="N315" s="9"/>
      <c r="O315" s="9"/>
      <c r="P315" s="9"/>
      <c r="Q315" s="6">
        <v>1.0</v>
      </c>
      <c r="R315" s="23">
        <v>46199.0</v>
      </c>
      <c r="S315" s="23">
        <v>46205.0</v>
      </c>
      <c r="T315" s="23">
        <v>46203.0</v>
      </c>
      <c r="U315" s="9"/>
      <c r="V315" s="6" t="s">
        <v>44</v>
      </c>
      <c r="W315" s="9"/>
      <c r="X315" s="6" t="s">
        <v>45</v>
      </c>
      <c r="Y315" s="6" t="s">
        <v>46</v>
      </c>
      <c r="Z315" s="6">
        <v>3.040309513E9</v>
      </c>
      <c r="AA315" s="6" t="s">
        <v>66</v>
      </c>
      <c r="AB315" s="6" t="s">
        <v>228</v>
      </c>
      <c r="AC315" s="6" t="s">
        <v>926</v>
      </c>
      <c r="AD315" s="9"/>
      <c r="AE315" s="9"/>
      <c r="AF315" s="9"/>
      <c r="AG315" s="9"/>
    </row>
    <row r="316" hidden="1">
      <c r="A316" s="21">
        <f>COUNTIF('Histórico'!$B:$B,B316)</f>
        <v>1</v>
      </c>
      <c r="B316" s="21" t="s">
        <v>1177</v>
      </c>
      <c r="C316" s="9"/>
      <c r="D316" s="6" t="s">
        <v>39</v>
      </c>
      <c r="E316" s="6" t="s">
        <v>40</v>
      </c>
      <c r="F316" s="23">
        <v>46203.0</v>
      </c>
      <c r="G316" s="6" t="s">
        <v>41</v>
      </c>
      <c r="H316" s="23">
        <v>46203.0</v>
      </c>
      <c r="I316" s="6" t="s">
        <v>1011</v>
      </c>
      <c r="J316" s="6" t="s">
        <v>275</v>
      </c>
      <c r="K316" s="6" t="s">
        <v>1012</v>
      </c>
      <c r="L316" s="14">
        <v>8.6815651E7</v>
      </c>
      <c r="M316" s="9"/>
      <c r="N316" s="9"/>
      <c r="O316" s="9"/>
      <c r="P316" s="9"/>
      <c r="Q316" s="6">
        <v>1.0</v>
      </c>
      <c r="R316" s="23">
        <v>46199.0</v>
      </c>
      <c r="S316" s="23">
        <v>46205.0</v>
      </c>
      <c r="T316" s="23">
        <v>46203.0</v>
      </c>
      <c r="U316" s="9"/>
      <c r="V316" s="6" t="s">
        <v>44</v>
      </c>
      <c r="W316" s="9"/>
      <c r="X316" s="6" t="s">
        <v>45</v>
      </c>
      <c r="Y316" s="6" t="s">
        <v>46</v>
      </c>
      <c r="Z316" s="6">
        <v>3.040307753E9</v>
      </c>
      <c r="AA316" s="6" t="s">
        <v>63</v>
      </c>
      <c r="AB316" s="6" t="s">
        <v>72</v>
      </c>
      <c r="AC316" s="6" t="s">
        <v>451</v>
      </c>
      <c r="AD316" s="9"/>
      <c r="AE316" s="9"/>
      <c r="AF316" s="9"/>
      <c r="AG316" s="9"/>
    </row>
    <row r="317" hidden="1">
      <c r="A317" s="21">
        <f>COUNTIF('Histórico'!$B:$B,B317)</f>
        <v>1</v>
      </c>
      <c r="B317" s="21" t="s">
        <v>1178</v>
      </c>
      <c r="C317" s="9"/>
      <c r="D317" s="6" t="s">
        <v>39</v>
      </c>
      <c r="E317" s="6" t="s">
        <v>40</v>
      </c>
      <c r="F317" s="23">
        <v>46205.0</v>
      </c>
      <c r="G317" s="6" t="s">
        <v>41</v>
      </c>
      <c r="H317" s="23">
        <v>46205.0</v>
      </c>
      <c r="I317" s="6" t="s">
        <v>1179</v>
      </c>
      <c r="J317" s="6">
        <v>6848.0</v>
      </c>
      <c r="K317" s="6" t="s">
        <v>577</v>
      </c>
      <c r="L317" s="14" t="s">
        <v>1180</v>
      </c>
      <c r="M317" s="9"/>
      <c r="N317" s="9"/>
      <c r="O317" s="9"/>
      <c r="P317" s="9"/>
      <c r="Q317" s="6">
        <v>1.0</v>
      </c>
      <c r="R317" s="23">
        <v>46205.0</v>
      </c>
      <c r="S317" s="23">
        <v>46211.0</v>
      </c>
      <c r="T317" s="23">
        <v>46205.0</v>
      </c>
      <c r="U317" s="9"/>
      <c r="V317" s="6" t="s">
        <v>44</v>
      </c>
      <c r="W317" s="9"/>
      <c r="X317" s="6" t="s">
        <v>45</v>
      </c>
      <c r="Y317" s="6" t="s">
        <v>46</v>
      </c>
      <c r="Z317" s="6">
        <v>3.040328401E9</v>
      </c>
      <c r="AA317" s="6" t="s">
        <v>63</v>
      </c>
      <c r="AB317" s="6" t="s">
        <v>1162</v>
      </c>
      <c r="AC317" s="6" t="s">
        <v>1181</v>
      </c>
      <c r="AD317" s="9"/>
      <c r="AE317" s="9"/>
      <c r="AF317" s="9"/>
      <c r="AG317" s="9"/>
    </row>
    <row r="318" hidden="1">
      <c r="A318" s="21">
        <f>COUNTIF('Histórico'!$B:$B,B318)</f>
        <v>1</v>
      </c>
      <c r="B318" s="21" t="s">
        <v>1182</v>
      </c>
      <c r="C318" s="9"/>
      <c r="D318" s="6" t="s">
        <v>39</v>
      </c>
      <c r="E318" s="6" t="s">
        <v>40</v>
      </c>
      <c r="F318" s="23">
        <v>46205.0</v>
      </c>
      <c r="G318" s="6" t="s">
        <v>41</v>
      </c>
      <c r="H318" s="23">
        <v>46205.0</v>
      </c>
      <c r="I318" s="6">
        <v>3034792.0</v>
      </c>
      <c r="J318" s="6">
        <v>198.0</v>
      </c>
      <c r="K318" s="6" t="s">
        <v>78</v>
      </c>
      <c r="L318" s="14">
        <v>4134.0</v>
      </c>
      <c r="M318" s="9"/>
      <c r="N318" s="9"/>
      <c r="O318" s="9"/>
      <c r="P318" s="9"/>
      <c r="Q318" s="6">
        <v>1.0</v>
      </c>
      <c r="R318" s="23">
        <v>46205.0</v>
      </c>
      <c r="S318" s="23">
        <v>46211.0</v>
      </c>
      <c r="T318" s="23">
        <v>46205.0</v>
      </c>
      <c r="U318" s="9"/>
      <c r="V318" s="6" t="s">
        <v>44</v>
      </c>
      <c r="W318" s="9"/>
      <c r="X318" s="6" t="s">
        <v>45</v>
      </c>
      <c r="Y318" s="6" t="s">
        <v>46</v>
      </c>
      <c r="Z318" s="6">
        <v>3.040328259E9</v>
      </c>
      <c r="AA318" s="6" t="s">
        <v>70</v>
      </c>
      <c r="AB318" s="6" t="s">
        <v>152</v>
      </c>
      <c r="AC318" s="6" t="s">
        <v>1121</v>
      </c>
      <c r="AD318" s="9"/>
      <c r="AE318" s="9"/>
      <c r="AF318" s="9"/>
      <c r="AG318" s="9"/>
    </row>
    <row r="319" hidden="1">
      <c r="A319" s="21">
        <f>COUNTIF('Histórico'!$B:$B,B319)</f>
        <v>1</v>
      </c>
      <c r="B319" s="21" t="s">
        <v>1184</v>
      </c>
      <c r="C319" s="9"/>
      <c r="D319" s="6" t="s">
        <v>39</v>
      </c>
      <c r="E319" s="6" t="s">
        <v>40</v>
      </c>
      <c r="F319" s="23">
        <v>46205.0</v>
      </c>
      <c r="G319" s="6" t="s">
        <v>41</v>
      </c>
      <c r="H319" s="23">
        <v>46205.0</v>
      </c>
      <c r="I319" s="6" t="s">
        <v>436</v>
      </c>
      <c r="J319" s="6">
        <v>7213.0</v>
      </c>
      <c r="K319" s="6" t="s">
        <v>778</v>
      </c>
      <c r="L319" s="14" t="s">
        <v>1185</v>
      </c>
      <c r="M319" s="9"/>
      <c r="N319" s="9"/>
      <c r="O319" s="9"/>
      <c r="P319" s="9"/>
      <c r="Q319" s="6">
        <v>1.0</v>
      </c>
      <c r="R319" s="23">
        <v>46205.0</v>
      </c>
      <c r="S319" s="23">
        <v>46211.0</v>
      </c>
      <c r="T319" s="23">
        <v>46205.0</v>
      </c>
      <c r="U319" s="9"/>
      <c r="V319" s="6" t="s">
        <v>44</v>
      </c>
      <c r="W319" s="9"/>
      <c r="X319" s="6" t="s">
        <v>45</v>
      </c>
      <c r="Y319" s="6" t="s">
        <v>46</v>
      </c>
      <c r="Z319" s="6">
        <v>3.04032826E9</v>
      </c>
      <c r="AA319" s="6" t="s">
        <v>70</v>
      </c>
      <c r="AB319" s="6" t="s">
        <v>152</v>
      </c>
      <c r="AC319" s="6" t="s">
        <v>1121</v>
      </c>
      <c r="AD319" s="9"/>
      <c r="AE319" s="9"/>
      <c r="AF319" s="9"/>
      <c r="AG319" s="9"/>
    </row>
    <row r="320" hidden="1">
      <c r="A320" s="21">
        <f>COUNTIF('Histórico'!$B:$B,B320)</f>
        <v>1</v>
      </c>
      <c r="B320" s="21" t="s">
        <v>1186</v>
      </c>
      <c r="C320" s="9"/>
      <c r="D320" s="6" t="s">
        <v>39</v>
      </c>
      <c r="E320" s="6" t="s">
        <v>40</v>
      </c>
      <c r="F320" s="23">
        <v>46211.0</v>
      </c>
      <c r="G320" s="6" t="s">
        <v>41</v>
      </c>
      <c r="H320" s="23">
        <v>46211.0</v>
      </c>
      <c r="I320" s="6" t="s">
        <v>796</v>
      </c>
      <c r="J320" s="6" t="s">
        <v>275</v>
      </c>
      <c r="K320" s="6" t="s">
        <v>798</v>
      </c>
      <c r="L320" s="14">
        <v>2.2006508E7</v>
      </c>
      <c r="M320" s="9"/>
      <c r="N320" s="9"/>
      <c r="O320" s="9"/>
      <c r="P320" s="9"/>
      <c r="Q320" s="6">
        <v>1.0</v>
      </c>
      <c r="R320" s="23">
        <v>46210.0</v>
      </c>
      <c r="S320" s="23">
        <v>46216.0</v>
      </c>
      <c r="T320" s="23">
        <v>46211.0</v>
      </c>
      <c r="U320" s="9"/>
      <c r="V320" s="6" t="s">
        <v>44</v>
      </c>
      <c r="W320" s="9"/>
      <c r="X320" s="6" t="s">
        <v>45</v>
      </c>
      <c r="Y320" s="6" t="s">
        <v>46</v>
      </c>
      <c r="Z320" s="6">
        <v>3.040328109E9</v>
      </c>
      <c r="AA320" s="6" t="s">
        <v>60</v>
      </c>
      <c r="AB320" s="6" t="s">
        <v>194</v>
      </c>
      <c r="AC320" s="6" t="s">
        <v>616</v>
      </c>
      <c r="AD320" s="9"/>
      <c r="AE320" s="9"/>
      <c r="AF320" s="9"/>
      <c r="AG320" s="9"/>
    </row>
    <row r="321" hidden="1">
      <c r="A321" s="21">
        <f>COUNTIF('Histórico'!$B:$B,B321)</f>
        <v>1</v>
      </c>
      <c r="B321" s="21" t="s">
        <v>1187</v>
      </c>
      <c r="C321" s="9"/>
      <c r="D321" s="6" t="s">
        <v>39</v>
      </c>
      <c r="E321" s="6" t="s">
        <v>40</v>
      </c>
      <c r="F321" s="23">
        <v>46211.0</v>
      </c>
      <c r="G321" s="6" t="s">
        <v>41</v>
      </c>
      <c r="H321" s="23">
        <v>46211.0</v>
      </c>
      <c r="I321" s="6" t="s">
        <v>796</v>
      </c>
      <c r="J321" s="6" t="s">
        <v>275</v>
      </c>
      <c r="K321" s="6" t="s">
        <v>798</v>
      </c>
      <c r="L321" s="14">
        <v>2.2005733E7</v>
      </c>
      <c r="M321" s="9"/>
      <c r="N321" s="9"/>
      <c r="O321" s="9"/>
      <c r="P321" s="9"/>
      <c r="Q321" s="6">
        <v>1.0</v>
      </c>
      <c r="R321" s="23">
        <v>46210.0</v>
      </c>
      <c r="S321" s="23">
        <v>46216.0</v>
      </c>
      <c r="T321" s="23">
        <v>46211.0</v>
      </c>
      <c r="U321" s="9"/>
      <c r="V321" s="6" t="s">
        <v>44</v>
      </c>
      <c r="W321" s="9"/>
      <c r="X321" s="6" t="s">
        <v>45</v>
      </c>
      <c r="Y321" s="6" t="s">
        <v>46</v>
      </c>
      <c r="Z321" s="6">
        <v>3.040325767E9</v>
      </c>
      <c r="AA321" s="6" t="s">
        <v>60</v>
      </c>
      <c r="AB321" s="6" t="s">
        <v>194</v>
      </c>
      <c r="AC321" s="6" t="s">
        <v>635</v>
      </c>
      <c r="AD321" s="9"/>
      <c r="AE321" s="9"/>
      <c r="AF321" s="9"/>
      <c r="AG321" s="9"/>
    </row>
    <row r="322">
      <c r="A322" s="21">
        <f>COUNTIF('Histórico'!$B:$B,B322)</f>
        <v>1</v>
      </c>
      <c r="B322" s="21" t="s">
        <v>1188</v>
      </c>
      <c r="C322" s="9"/>
      <c r="D322" s="6" t="s">
        <v>39</v>
      </c>
      <c r="E322" s="6" t="s">
        <v>40</v>
      </c>
      <c r="F322" s="23">
        <v>46226.0</v>
      </c>
      <c r="G322" s="6" t="s">
        <v>41</v>
      </c>
      <c r="H322" s="23">
        <v>46226.0</v>
      </c>
      <c r="I322" s="6" t="s">
        <v>452</v>
      </c>
      <c r="J322" s="6">
        <v>22373.0</v>
      </c>
      <c r="K322" s="6" t="s">
        <v>1044</v>
      </c>
      <c r="L322" s="14">
        <v>3357.0</v>
      </c>
      <c r="M322" s="9"/>
      <c r="N322" s="9"/>
      <c r="O322" s="9"/>
      <c r="P322" s="9"/>
      <c r="Q322" s="6">
        <v>1.0</v>
      </c>
      <c r="R322" s="23">
        <v>46225.0</v>
      </c>
      <c r="S322" s="23">
        <v>46231.0</v>
      </c>
      <c r="T322" s="23">
        <v>46226.0</v>
      </c>
      <c r="U322" s="9"/>
      <c r="V322" s="6" t="s">
        <v>44</v>
      </c>
      <c r="W322" s="9"/>
      <c r="X322" s="6" t="s">
        <v>45</v>
      </c>
      <c r="Y322" s="6" t="s">
        <v>46</v>
      </c>
      <c r="Z322" s="6">
        <v>3.040322966E9</v>
      </c>
      <c r="AA322" s="6" t="s">
        <v>57</v>
      </c>
      <c r="AB322" s="6" t="s">
        <v>58</v>
      </c>
      <c r="AC322" s="6" t="s">
        <v>59</v>
      </c>
      <c r="AD322" s="9"/>
      <c r="AE322" s="9"/>
      <c r="AF322" s="9"/>
      <c r="AG322" s="9"/>
    </row>
    <row r="323">
      <c r="A323" s="21">
        <f>COUNTIF('Histórico'!$B:$B,B323)</f>
        <v>1</v>
      </c>
      <c r="B323" s="21" t="s">
        <v>1189</v>
      </c>
      <c r="C323" s="9"/>
      <c r="D323" s="6" t="s">
        <v>39</v>
      </c>
      <c r="E323" s="6" t="s">
        <v>40</v>
      </c>
      <c r="F323" s="23">
        <v>46226.0</v>
      </c>
      <c r="G323" s="6" t="s">
        <v>41</v>
      </c>
      <c r="H323" s="23">
        <v>46226.0</v>
      </c>
      <c r="I323" s="6" t="s">
        <v>452</v>
      </c>
      <c r="J323" s="6">
        <v>22373.0</v>
      </c>
      <c r="K323" s="6" t="s">
        <v>1044</v>
      </c>
      <c r="L323" s="14">
        <v>25031.0</v>
      </c>
      <c r="M323" s="9"/>
      <c r="N323" s="9"/>
      <c r="O323" s="9"/>
      <c r="P323" s="9"/>
      <c r="Q323" s="6">
        <v>1.0</v>
      </c>
      <c r="R323" s="23">
        <v>46225.0</v>
      </c>
      <c r="S323" s="23">
        <v>46231.0</v>
      </c>
      <c r="T323" s="23">
        <v>46226.0</v>
      </c>
      <c r="U323" s="9"/>
      <c r="V323" s="6" t="s">
        <v>44</v>
      </c>
      <c r="W323" s="9"/>
      <c r="X323" s="6" t="s">
        <v>45</v>
      </c>
      <c r="Y323" s="6" t="s">
        <v>46</v>
      </c>
      <c r="Z323" s="6">
        <v>3.040320686E9</v>
      </c>
      <c r="AA323" s="6" t="s">
        <v>64</v>
      </c>
      <c r="AB323" s="6" t="s">
        <v>399</v>
      </c>
      <c r="AC323" s="6" t="s">
        <v>710</v>
      </c>
      <c r="AD323" s="9"/>
      <c r="AE323" s="9"/>
      <c r="AF323" s="9"/>
      <c r="AG323" s="9"/>
    </row>
    <row r="324">
      <c r="A324" s="21">
        <f>COUNTIF('Histórico'!$B:$B,B324)</f>
        <v>1</v>
      </c>
      <c r="B324" s="21" t="s">
        <v>1190</v>
      </c>
      <c r="C324" s="9"/>
      <c r="D324" s="6" t="s">
        <v>39</v>
      </c>
      <c r="E324" s="6" t="s">
        <v>40</v>
      </c>
      <c r="F324" s="23">
        <v>46226.0</v>
      </c>
      <c r="G324" s="6" t="s">
        <v>41</v>
      </c>
      <c r="H324" s="23">
        <v>46226.0</v>
      </c>
      <c r="I324" s="6" t="s">
        <v>452</v>
      </c>
      <c r="J324" s="6">
        <v>22373.0</v>
      </c>
      <c r="K324" s="6" t="s">
        <v>1044</v>
      </c>
      <c r="L324" s="14">
        <v>23874.0</v>
      </c>
      <c r="M324" s="9"/>
      <c r="N324" s="9"/>
      <c r="O324" s="9"/>
      <c r="P324" s="9"/>
      <c r="Q324" s="6">
        <v>1.0</v>
      </c>
      <c r="R324" s="23">
        <v>46225.0</v>
      </c>
      <c r="S324" s="23">
        <v>46231.0</v>
      </c>
      <c r="T324" s="23">
        <v>46226.0</v>
      </c>
      <c r="U324" s="9"/>
      <c r="V324" s="6" t="s">
        <v>44</v>
      </c>
      <c r="W324" s="9"/>
      <c r="X324" s="6" t="s">
        <v>45</v>
      </c>
      <c r="Y324" s="6" t="s">
        <v>46</v>
      </c>
      <c r="Z324" s="6">
        <v>3.040314606E9</v>
      </c>
      <c r="AA324" s="6" t="s">
        <v>57</v>
      </c>
      <c r="AB324" s="6" t="s">
        <v>58</v>
      </c>
      <c r="AC324" s="6" t="s">
        <v>1031</v>
      </c>
      <c r="AD324" s="9"/>
      <c r="AE324" s="9"/>
      <c r="AF324" s="9"/>
      <c r="AG324" s="9"/>
    </row>
    <row r="325">
      <c r="A325" s="21">
        <f>COUNTIF('Histórico'!$B:$B,B325)</f>
        <v>1</v>
      </c>
      <c r="B325" s="21" t="s">
        <v>1191</v>
      </c>
      <c r="C325" s="9"/>
      <c r="D325" s="6" t="s">
        <v>39</v>
      </c>
      <c r="E325" s="6" t="s">
        <v>40</v>
      </c>
      <c r="F325" s="23">
        <v>46230.0</v>
      </c>
      <c r="G325" s="6" t="s">
        <v>41</v>
      </c>
      <c r="H325" s="23">
        <v>46230.0</v>
      </c>
      <c r="I325" s="6" t="s">
        <v>164</v>
      </c>
      <c r="J325" s="6">
        <v>71653.0</v>
      </c>
      <c r="K325" s="6" t="s">
        <v>165</v>
      </c>
      <c r="L325" s="14" t="s">
        <v>1192</v>
      </c>
      <c r="M325" s="9"/>
      <c r="N325" s="9"/>
      <c r="O325" s="9"/>
      <c r="P325" s="9"/>
      <c r="Q325" s="6">
        <v>1.0</v>
      </c>
      <c r="R325" s="23">
        <v>46226.0</v>
      </c>
      <c r="S325" s="23">
        <v>46232.0</v>
      </c>
      <c r="T325" s="23">
        <v>46230.0</v>
      </c>
      <c r="U325" s="9"/>
      <c r="V325" s="6" t="s">
        <v>44</v>
      </c>
      <c r="W325" s="9"/>
      <c r="X325" s="6" t="s">
        <v>45</v>
      </c>
      <c r="Y325" s="6" t="s">
        <v>46</v>
      </c>
      <c r="Z325" s="6">
        <v>3.040325921E9</v>
      </c>
      <c r="AA325" s="6" t="s">
        <v>45</v>
      </c>
      <c r="AB325" s="6" t="s">
        <v>46</v>
      </c>
      <c r="AC325" s="6" t="s">
        <v>80</v>
      </c>
      <c r="AD325" s="9"/>
      <c r="AE325" s="9"/>
      <c r="AF325" s="9"/>
      <c r="AG325" s="9"/>
    </row>
    <row r="326">
      <c r="A326" s="21">
        <f>COUNTIF('Histórico'!$B:$B,B326)</f>
        <v>1</v>
      </c>
      <c r="B326" s="21" t="s">
        <v>1193</v>
      </c>
      <c r="C326" s="9"/>
      <c r="D326" s="6" t="s">
        <v>39</v>
      </c>
      <c r="E326" s="6" t="s">
        <v>40</v>
      </c>
      <c r="F326" s="23">
        <v>46230.0</v>
      </c>
      <c r="G326" s="6" t="s">
        <v>41</v>
      </c>
      <c r="H326" s="23">
        <v>46230.0</v>
      </c>
      <c r="I326" s="6" t="s">
        <v>164</v>
      </c>
      <c r="J326" s="6">
        <v>71653.0</v>
      </c>
      <c r="K326" s="6" t="s">
        <v>165</v>
      </c>
      <c r="L326" s="14" t="s">
        <v>1194</v>
      </c>
      <c r="M326" s="9"/>
      <c r="N326" s="9"/>
      <c r="O326" s="9"/>
      <c r="P326" s="9"/>
      <c r="Q326" s="6">
        <v>1.0</v>
      </c>
      <c r="R326" s="23">
        <v>46226.0</v>
      </c>
      <c r="S326" s="23">
        <v>46232.0</v>
      </c>
      <c r="T326" s="23">
        <v>46230.0</v>
      </c>
      <c r="U326" s="9"/>
      <c r="V326" s="6" t="s">
        <v>44</v>
      </c>
      <c r="W326" s="9"/>
      <c r="X326" s="6" t="s">
        <v>45</v>
      </c>
      <c r="Y326" s="6" t="s">
        <v>46</v>
      </c>
      <c r="Z326" s="6">
        <v>3.040323045E9</v>
      </c>
      <c r="AA326" s="6" t="s">
        <v>57</v>
      </c>
      <c r="AB326" s="6" t="s">
        <v>410</v>
      </c>
      <c r="AC326" s="6" t="s">
        <v>411</v>
      </c>
      <c r="AD326" s="9"/>
      <c r="AE326" s="9"/>
      <c r="AF326" s="9"/>
      <c r="AG326" s="9"/>
    </row>
    <row r="327">
      <c r="A327" s="21">
        <f>COUNTIF('Histórico'!$B:$B,B327)</f>
        <v>1</v>
      </c>
      <c r="B327" s="21" t="s">
        <v>1197</v>
      </c>
      <c r="C327" s="9"/>
      <c r="D327" s="6" t="s">
        <v>39</v>
      </c>
      <c r="E327" s="6" t="s">
        <v>40</v>
      </c>
      <c r="F327" s="23">
        <v>46230.0</v>
      </c>
      <c r="G327" s="6" t="s">
        <v>41</v>
      </c>
      <c r="H327" s="23">
        <v>46230.0</v>
      </c>
      <c r="I327" s="6" t="s">
        <v>721</v>
      </c>
      <c r="J327" s="6" t="s">
        <v>156</v>
      </c>
      <c r="K327" s="6" t="s">
        <v>722</v>
      </c>
      <c r="L327" s="14" t="s">
        <v>1198</v>
      </c>
      <c r="M327" s="9"/>
      <c r="N327" s="9"/>
      <c r="O327" s="9"/>
      <c r="P327" s="9"/>
      <c r="Q327" s="6">
        <v>1.0</v>
      </c>
      <c r="R327" s="23">
        <v>46226.0</v>
      </c>
      <c r="S327" s="23">
        <v>46232.0</v>
      </c>
      <c r="T327" s="23">
        <v>46230.0</v>
      </c>
      <c r="U327" s="9"/>
      <c r="V327" s="6" t="s">
        <v>44</v>
      </c>
      <c r="W327" s="9"/>
      <c r="X327" s="6" t="s">
        <v>45</v>
      </c>
      <c r="Y327" s="6" t="s">
        <v>46</v>
      </c>
      <c r="Z327" s="6">
        <v>3.040312639E9</v>
      </c>
      <c r="AA327" s="6" t="s">
        <v>57</v>
      </c>
      <c r="AB327" s="6" t="s">
        <v>410</v>
      </c>
      <c r="AC327" s="6" t="s">
        <v>994</v>
      </c>
      <c r="AD327" s="9"/>
      <c r="AE327" s="9"/>
      <c r="AF327" s="9"/>
      <c r="AG327" s="9"/>
    </row>
    <row r="328">
      <c r="A328" s="21">
        <f>COUNTIF('Histórico'!$B:$B,B328)</f>
        <v>1</v>
      </c>
      <c r="B328" s="21" t="s">
        <v>1199</v>
      </c>
      <c r="C328" s="9"/>
      <c r="D328" s="6" t="s">
        <v>39</v>
      </c>
      <c r="E328" s="6" t="s">
        <v>40</v>
      </c>
      <c r="F328" s="23">
        <v>46230.0</v>
      </c>
      <c r="G328" s="6" t="s">
        <v>41</v>
      </c>
      <c r="H328" s="23">
        <v>46230.0</v>
      </c>
      <c r="I328" s="6" t="s">
        <v>777</v>
      </c>
      <c r="J328" s="6">
        <v>7213.0</v>
      </c>
      <c r="K328" s="6" t="s">
        <v>778</v>
      </c>
      <c r="L328" s="14" t="s">
        <v>1200</v>
      </c>
      <c r="M328" s="9"/>
      <c r="N328" s="9"/>
      <c r="O328" s="9"/>
      <c r="P328" s="9"/>
      <c r="Q328" s="6">
        <v>1.0</v>
      </c>
      <c r="R328" s="23">
        <v>46226.0</v>
      </c>
      <c r="S328" s="23">
        <v>46232.0</v>
      </c>
      <c r="T328" s="23">
        <v>46230.0</v>
      </c>
      <c r="U328" s="9"/>
      <c r="V328" s="6" t="s">
        <v>44</v>
      </c>
      <c r="W328" s="9"/>
      <c r="X328" s="6" t="s">
        <v>45</v>
      </c>
      <c r="Y328" s="6" t="s">
        <v>46</v>
      </c>
      <c r="Z328" s="6">
        <v>3.040326393E9</v>
      </c>
      <c r="AA328" s="6" t="s">
        <v>57</v>
      </c>
      <c r="AB328" s="6" t="s">
        <v>1201</v>
      </c>
      <c r="AC328" s="6" t="s">
        <v>1202</v>
      </c>
      <c r="AD328" s="9"/>
      <c r="AE328" s="9"/>
      <c r="AF328" s="9"/>
      <c r="AG328" s="9"/>
    </row>
    <row r="329">
      <c r="A329" s="21">
        <f>COUNTIF('Histórico'!$B:$B,B329)</f>
        <v>1</v>
      </c>
      <c r="B329" s="21" t="s">
        <v>1203</v>
      </c>
      <c r="C329" s="9"/>
      <c r="D329" s="6" t="s">
        <v>39</v>
      </c>
      <c r="E329" s="6" t="s">
        <v>40</v>
      </c>
      <c r="F329" s="23">
        <v>46230.0</v>
      </c>
      <c r="G329" s="6" t="s">
        <v>41</v>
      </c>
      <c r="H329" s="23">
        <v>46230.0</v>
      </c>
      <c r="I329" s="6" t="s">
        <v>1204</v>
      </c>
      <c r="J329" s="6" t="s">
        <v>156</v>
      </c>
      <c r="K329" s="6" t="s">
        <v>165</v>
      </c>
      <c r="L329" s="14">
        <v>2316.0</v>
      </c>
      <c r="M329" s="9"/>
      <c r="N329" s="9"/>
      <c r="O329" s="9"/>
      <c r="P329" s="9"/>
      <c r="Q329" s="6">
        <v>1.0</v>
      </c>
      <c r="R329" s="23">
        <v>46226.0</v>
      </c>
      <c r="S329" s="23">
        <v>46232.0</v>
      </c>
      <c r="T329" s="23">
        <v>46230.0</v>
      </c>
      <c r="U329" s="9"/>
      <c r="V329" s="6" t="s">
        <v>44</v>
      </c>
      <c r="W329" s="9"/>
      <c r="X329" s="6" t="s">
        <v>45</v>
      </c>
      <c r="Y329" s="6" t="s">
        <v>46</v>
      </c>
      <c r="Z329" s="6">
        <v>3.040297932E9</v>
      </c>
      <c r="AA329" s="6" t="s">
        <v>64</v>
      </c>
      <c r="AB329" s="6" t="s">
        <v>94</v>
      </c>
      <c r="AC329" s="6" t="s">
        <v>95</v>
      </c>
      <c r="AD329" s="9"/>
      <c r="AE329" s="9"/>
      <c r="AF329" s="9"/>
      <c r="AG329" s="9"/>
    </row>
    <row r="330">
      <c r="A330" s="21">
        <f>COUNTIF('Histórico'!$B:$B,B330)</f>
        <v>1</v>
      </c>
      <c r="B330" s="21" t="s">
        <v>1207</v>
      </c>
      <c r="C330" s="9"/>
      <c r="D330" s="6" t="s">
        <v>39</v>
      </c>
      <c r="E330" s="6" t="s">
        <v>40</v>
      </c>
      <c r="F330" s="23">
        <v>46230.0</v>
      </c>
      <c r="G330" s="6" t="s">
        <v>41</v>
      </c>
      <c r="H330" s="23">
        <v>46230.0</v>
      </c>
      <c r="I330" s="6" t="s">
        <v>1204</v>
      </c>
      <c r="J330" s="6" t="s">
        <v>156</v>
      </c>
      <c r="K330" s="6" t="s">
        <v>165</v>
      </c>
      <c r="L330" s="14" t="s">
        <v>1208</v>
      </c>
      <c r="M330" s="9"/>
      <c r="N330" s="9"/>
      <c r="O330" s="9"/>
      <c r="P330" s="9"/>
      <c r="Q330" s="6">
        <v>1.0</v>
      </c>
      <c r="R330" s="23">
        <v>46226.0</v>
      </c>
      <c r="S330" s="23">
        <v>46232.0</v>
      </c>
      <c r="T330" s="23">
        <v>46230.0</v>
      </c>
      <c r="U330" s="9"/>
      <c r="V330" s="6" t="s">
        <v>44</v>
      </c>
      <c r="W330" s="9"/>
      <c r="X330" s="6" t="s">
        <v>45</v>
      </c>
      <c r="Y330" s="6" t="s">
        <v>46</v>
      </c>
      <c r="Z330" s="6">
        <v>3.04029216E9</v>
      </c>
      <c r="AA330" s="6" t="s">
        <v>66</v>
      </c>
      <c r="AB330" s="6" t="s">
        <v>228</v>
      </c>
      <c r="AC330" s="6" t="s">
        <v>296</v>
      </c>
      <c r="AD330" s="9"/>
      <c r="AE330" s="9"/>
      <c r="AF330" s="9"/>
      <c r="AG330" s="9"/>
    </row>
    <row r="331">
      <c r="A331" s="21">
        <f>COUNTIF('Histórico'!$B:$B,B331)</f>
        <v>1</v>
      </c>
      <c r="B331" s="21" t="s">
        <v>1209</v>
      </c>
      <c r="C331" s="9"/>
      <c r="D331" s="6" t="s">
        <v>39</v>
      </c>
      <c r="E331" s="6" t="s">
        <v>40</v>
      </c>
      <c r="F331" s="23">
        <v>46230.0</v>
      </c>
      <c r="G331" s="6" t="s">
        <v>41</v>
      </c>
      <c r="H331" s="23">
        <v>46230.0</v>
      </c>
      <c r="I331" s="6" t="s">
        <v>721</v>
      </c>
      <c r="J331" s="6" t="s">
        <v>156</v>
      </c>
      <c r="K331" s="6" t="s">
        <v>722</v>
      </c>
      <c r="L331" s="14">
        <v>7.0</v>
      </c>
      <c r="M331" s="9"/>
      <c r="N331" s="9"/>
      <c r="O331" s="9"/>
      <c r="P331" s="9"/>
      <c r="Q331" s="6">
        <v>1.0</v>
      </c>
      <c r="R331" s="23">
        <v>46226.0</v>
      </c>
      <c r="S331" s="23">
        <v>46232.0</v>
      </c>
      <c r="T331" s="23">
        <v>46230.0</v>
      </c>
      <c r="U331" s="9"/>
      <c r="V331" s="6" t="s">
        <v>44</v>
      </c>
      <c r="W331" s="9"/>
      <c r="X331" s="6" t="s">
        <v>45</v>
      </c>
      <c r="Y331" s="6" t="s">
        <v>46</v>
      </c>
      <c r="Z331" s="6">
        <v>3.04031264E9</v>
      </c>
      <c r="AA331" s="6" t="s">
        <v>57</v>
      </c>
      <c r="AB331" s="6" t="s">
        <v>410</v>
      </c>
      <c r="AC331" s="6" t="s">
        <v>994</v>
      </c>
      <c r="AD331" s="9"/>
      <c r="AE331" s="9"/>
      <c r="AF331" s="9"/>
      <c r="AG331" s="9"/>
    </row>
    <row r="332">
      <c r="A332" s="21">
        <f>COUNTIF('Histórico'!$B:$B,B332)</f>
        <v>1</v>
      </c>
      <c r="B332" s="21" t="s">
        <v>1210</v>
      </c>
      <c r="C332" s="9"/>
      <c r="D332" s="6" t="s">
        <v>39</v>
      </c>
      <c r="E332" s="6" t="s">
        <v>40</v>
      </c>
      <c r="F332" s="23">
        <v>46231.0</v>
      </c>
      <c r="G332" s="6" t="s">
        <v>41</v>
      </c>
      <c r="H332" s="23">
        <v>46231.0</v>
      </c>
      <c r="I332" s="6" t="s">
        <v>436</v>
      </c>
      <c r="J332" s="6">
        <v>7213.0</v>
      </c>
      <c r="K332" s="6" t="s">
        <v>778</v>
      </c>
      <c r="L332" s="14" t="s">
        <v>1211</v>
      </c>
      <c r="M332" s="9"/>
      <c r="N332" s="9"/>
      <c r="O332" s="9"/>
      <c r="P332" s="9"/>
      <c r="Q332" s="6">
        <v>1.0</v>
      </c>
      <c r="R332" s="23">
        <v>46231.0</v>
      </c>
      <c r="S332" s="23">
        <v>46237.0</v>
      </c>
      <c r="T332" s="23">
        <v>46231.0</v>
      </c>
      <c r="U332" s="9"/>
      <c r="V332" s="6" t="s">
        <v>44</v>
      </c>
      <c r="W332" s="9"/>
      <c r="X332" s="6" t="s">
        <v>45</v>
      </c>
      <c r="Y332" s="6" t="s">
        <v>46</v>
      </c>
      <c r="Z332" s="6">
        <v>3.040329193E9</v>
      </c>
      <c r="AA332" s="6" t="s">
        <v>70</v>
      </c>
      <c r="AB332" s="6" t="s">
        <v>152</v>
      </c>
      <c r="AC332" s="6" t="s">
        <v>737</v>
      </c>
      <c r="AD332" s="9"/>
      <c r="AE332" s="9"/>
      <c r="AF332" s="9"/>
      <c r="AG332" s="9"/>
    </row>
    <row r="333">
      <c r="A333" s="21">
        <f>COUNTIF('Histórico'!$B:$B,B333)</f>
        <v>1</v>
      </c>
      <c r="B333" s="21" t="s">
        <v>1212</v>
      </c>
      <c r="C333" s="9"/>
      <c r="D333" s="6" t="s">
        <v>39</v>
      </c>
      <c r="E333" s="6" t="s">
        <v>40</v>
      </c>
      <c r="F333" s="23">
        <v>46233.0</v>
      </c>
      <c r="G333" s="6" t="s">
        <v>41</v>
      </c>
      <c r="H333" s="23">
        <v>46233.0</v>
      </c>
      <c r="I333" s="6" t="s">
        <v>251</v>
      </c>
      <c r="J333" s="6" t="s">
        <v>156</v>
      </c>
      <c r="K333" s="6" t="s">
        <v>252</v>
      </c>
      <c r="L333" s="14" t="s">
        <v>1213</v>
      </c>
      <c r="M333" s="9"/>
      <c r="N333" s="9"/>
      <c r="O333" s="9"/>
      <c r="P333" s="9"/>
      <c r="Q333" s="6">
        <v>1.0</v>
      </c>
      <c r="R333" s="23">
        <v>46224.0</v>
      </c>
      <c r="S333" s="23">
        <v>46230.0</v>
      </c>
      <c r="T333" s="23">
        <v>46233.0</v>
      </c>
      <c r="U333" s="9"/>
      <c r="V333" s="6" t="s">
        <v>44</v>
      </c>
      <c r="W333" s="9"/>
      <c r="X333" s="6" t="s">
        <v>45</v>
      </c>
      <c r="Y333" s="6" t="s">
        <v>46</v>
      </c>
      <c r="Z333" s="6">
        <v>3.040264307E9</v>
      </c>
      <c r="AA333" s="6" t="s">
        <v>45</v>
      </c>
      <c r="AB333" s="6" t="s">
        <v>220</v>
      </c>
      <c r="AC333" s="6" t="s">
        <v>1062</v>
      </c>
      <c r="AD333" s="9"/>
      <c r="AE333" s="9"/>
      <c r="AF333" s="9"/>
      <c r="AG333" s="9"/>
    </row>
    <row r="334">
      <c r="A334" s="21">
        <f>COUNTIF('Histórico'!$B:$B,B334)</f>
        <v>1</v>
      </c>
      <c r="B334" s="21" t="s">
        <v>1215</v>
      </c>
      <c r="C334" s="9"/>
      <c r="D334" s="6" t="s">
        <v>39</v>
      </c>
      <c r="E334" s="6" t="s">
        <v>40</v>
      </c>
      <c r="F334" s="23">
        <v>46233.0</v>
      </c>
      <c r="G334" s="6" t="s">
        <v>41</v>
      </c>
      <c r="H334" s="23">
        <v>46233.0</v>
      </c>
      <c r="I334" s="6" t="s">
        <v>251</v>
      </c>
      <c r="J334" s="6" t="s">
        <v>156</v>
      </c>
      <c r="K334" s="6" t="s">
        <v>252</v>
      </c>
      <c r="L334" s="14" t="s">
        <v>1216</v>
      </c>
      <c r="M334" s="9"/>
      <c r="N334" s="9"/>
      <c r="O334" s="9"/>
      <c r="P334" s="9"/>
      <c r="Q334" s="6">
        <v>1.0</v>
      </c>
      <c r="R334" s="23">
        <v>46224.0</v>
      </c>
      <c r="S334" s="23">
        <v>46224.0</v>
      </c>
      <c r="T334" s="23">
        <v>46233.0</v>
      </c>
      <c r="U334" s="9"/>
      <c r="V334" s="6" t="s">
        <v>44</v>
      </c>
      <c r="W334" s="9"/>
      <c r="X334" s="6" t="s">
        <v>45</v>
      </c>
      <c r="Y334" s="6" t="s">
        <v>46</v>
      </c>
      <c r="Z334" s="6">
        <v>3.040285202E9</v>
      </c>
      <c r="AA334" s="6" t="s">
        <v>66</v>
      </c>
      <c r="AB334" s="6" t="s">
        <v>228</v>
      </c>
      <c r="AC334" s="6" t="s">
        <v>1217</v>
      </c>
      <c r="AD334" s="9"/>
      <c r="AE334" s="9"/>
      <c r="AF334" s="9"/>
      <c r="AG334" s="9"/>
    </row>
    <row r="335">
      <c r="A335" s="21">
        <f>COUNTIF('Histórico'!$B:$B,B335)</f>
        <v>1</v>
      </c>
      <c r="B335" s="21" t="s">
        <v>1218</v>
      </c>
      <c r="C335" s="9"/>
      <c r="D335" s="6" t="s">
        <v>39</v>
      </c>
      <c r="E335" s="6" t="s">
        <v>40</v>
      </c>
      <c r="F335" s="23">
        <v>46233.0</v>
      </c>
      <c r="G335" s="6" t="s">
        <v>41</v>
      </c>
      <c r="H335" s="23">
        <v>46233.0</v>
      </c>
      <c r="I335" s="6" t="s">
        <v>251</v>
      </c>
      <c r="J335" s="6" t="s">
        <v>156</v>
      </c>
      <c r="K335" s="6" t="s">
        <v>252</v>
      </c>
      <c r="L335" s="14">
        <v>4100928.0</v>
      </c>
      <c r="M335" s="9"/>
      <c r="N335" s="9"/>
      <c r="O335" s="9"/>
      <c r="P335" s="9"/>
      <c r="Q335" s="6">
        <v>1.0</v>
      </c>
      <c r="R335" s="23">
        <v>46224.0</v>
      </c>
      <c r="S335" s="23">
        <v>46230.0</v>
      </c>
      <c r="T335" s="23">
        <v>46233.0</v>
      </c>
      <c r="U335" s="9"/>
      <c r="V335" s="6" t="s">
        <v>44</v>
      </c>
      <c r="W335" s="9"/>
      <c r="X335" s="6" t="s">
        <v>45</v>
      </c>
      <c r="Y335" s="6" t="s">
        <v>46</v>
      </c>
      <c r="Z335" s="6">
        <v>3.040312966E9</v>
      </c>
      <c r="AA335" s="6" t="s">
        <v>45</v>
      </c>
      <c r="AB335" s="6" t="s">
        <v>46</v>
      </c>
      <c r="AC335" s="6" t="s">
        <v>80</v>
      </c>
      <c r="AD335" s="9"/>
      <c r="AE335" s="9"/>
      <c r="AF335" s="9"/>
      <c r="AG335" s="9"/>
    </row>
    <row r="336">
      <c r="A336" s="21">
        <f>COUNTIF('Histórico'!$B:$B,B336)</f>
        <v>1</v>
      </c>
      <c r="B336" s="21" t="s">
        <v>1219</v>
      </c>
      <c r="C336" s="9"/>
      <c r="D336" s="6" t="s">
        <v>39</v>
      </c>
      <c r="E336" s="6" t="s">
        <v>40</v>
      </c>
      <c r="F336" s="23">
        <v>46233.0</v>
      </c>
      <c r="G336" s="6" t="s">
        <v>41</v>
      </c>
      <c r="H336" s="23">
        <v>46233.0</v>
      </c>
      <c r="I336" s="6" t="s">
        <v>251</v>
      </c>
      <c r="J336" s="6" t="s">
        <v>156</v>
      </c>
      <c r="K336" s="6" t="s">
        <v>252</v>
      </c>
      <c r="L336" s="14">
        <v>1017.0</v>
      </c>
      <c r="M336" s="9"/>
      <c r="N336" s="9"/>
      <c r="O336" s="9"/>
      <c r="P336" s="9"/>
      <c r="Q336" s="6">
        <v>1.0</v>
      </c>
      <c r="R336" s="23">
        <v>46224.0</v>
      </c>
      <c r="S336" s="23">
        <v>46230.0</v>
      </c>
      <c r="T336" s="23">
        <v>46233.0</v>
      </c>
      <c r="U336" s="9"/>
      <c r="V336" s="6" t="s">
        <v>44</v>
      </c>
      <c r="W336" s="9"/>
      <c r="X336" s="6" t="s">
        <v>45</v>
      </c>
      <c r="Y336" s="6" t="s">
        <v>46</v>
      </c>
      <c r="Z336" s="6">
        <v>3.04031794E9</v>
      </c>
      <c r="AA336" s="6" t="s">
        <v>45</v>
      </c>
      <c r="AB336" s="6" t="s">
        <v>46</v>
      </c>
      <c r="AC336" s="6" t="s">
        <v>324</v>
      </c>
      <c r="AD336" s="9"/>
      <c r="AE336" s="9"/>
      <c r="AF336" s="9"/>
      <c r="AG336" s="9"/>
    </row>
    <row r="337">
      <c r="A337" s="21">
        <f>COUNTIF('Histórico'!$B:$B,B337)</f>
        <v>1</v>
      </c>
      <c r="B337" s="21" t="s">
        <v>1220</v>
      </c>
      <c r="C337" s="9"/>
      <c r="D337" s="6" t="s">
        <v>39</v>
      </c>
      <c r="E337" s="6" t="s">
        <v>40</v>
      </c>
      <c r="F337" s="23">
        <v>46234.0</v>
      </c>
      <c r="G337" s="6" t="s">
        <v>41</v>
      </c>
      <c r="H337" s="23">
        <v>46234.0</v>
      </c>
      <c r="I337" s="6" t="s">
        <v>1011</v>
      </c>
      <c r="J337" s="6" t="s">
        <v>275</v>
      </c>
      <c r="K337" s="6" t="s">
        <v>1012</v>
      </c>
      <c r="L337" s="14">
        <v>8.6816876E7</v>
      </c>
      <c r="M337" s="9"/>
      <c r="N337" s="9"/>
      <c r="O337" s="9"/>
      <c r="P337" s="9"/>
      <c r="Q337" s="6">
        <v>1.0</v>
      </c>
      <c r="R337" s="23">
        <v>46230.0</v>
      </c>
      <c r="S337" s="23">
        <v>46234.0</v>
      </c>
      <c r="T337" s="23">
        <v>46234.0</v>
      </c>
      <c r="U337" s="9"/>
      <c r="V337" s="6" t="s">
        <v>44</v>
      </c>
      <c r="W337" s="9"/>
      <c r="X337" s="6" t="s">
        <v>45</v>
      </c>
      <c r="Y337" s="6" t="s">
        <v>46</v>
      </c>
      <c r="Z337" s="6">
        <v>3.040317296E9</v>
      </c>
      <c r="AA337" s="6" t="s">
        <v>63</v>
      </c>
      <c r="AB337" s="6" t="s">
        <v>72</v>
      </c>
      <c r="AC337" s="6" t="s">
        <v>451</v>
      </c>
      <c r="AD337" s="9"/>
      <c r="AE337" s="9"/>
      <c r="AF337" s="9"/>
      <c r="AG337" s="9"/>
    </row>
    <row r="338" hidden="1">
      <c r="A338" s="21">
        <f>COUNTIF('Histórico'!$B:$B,B338)</f>
        <v>1</v>
      </c>
      <c r="B338" s="21" t="s">
        <v>1221</v>
      </c>
      <c r="C338" s="9"/>
      <c r="D338" s="6" t="s">
        <v>39</v>
      </c>
      <c r="E338" s="6" t="s">
        <v>1222</v>
      </c>
      <c r="F338" s="23">
        <v>45910.0</v>
      </c>
      <c r="G338" s="6" t="s">
        <v>41</v>
      </c>
      <c r="H338" s="9"/>
      <c r="I338" s="6" t="s">
        <v>226</v>
      </c>
      <c r="J338" s="6">
        <v>71513.0</v>
      </c>
      <c r="K338" s="6" t="s">
        <v>320</v>
      </c>
      <c r="L338" s="14" t="s">
        <v>1223</v>
      </c>
      <c r="M338" s="9"/>
      <c r="N338" s="9"/>
      <c r="O338" s="9"/>
      <c r="P338" s="9"/>
      <c r="Q338" s="6">
        <v>1.0</v>
      </c>
      <c r="R338" s="23">
        <v>45910.0</v>
      </c>
      <c r="S338" s="50">
        <v>45971.0</v>
      </c>
      <c r="T338" s="9"/>
      <c r="U338" s="9"/>
      <c r="V338" s="6" t="s">
        <v>44</v>
      </c>
      <c r="W338" s="9"/>
      <c r="X338" s="6" t="s">
        <v>45</v>
      </c>
      <c r="Y338" s="6" t="s">
        <v>46</v>
      </c>
      <c r="Z338" s="6">
        <v>3.040245069E9</v>
      </c>
      <c r="AA338" s="6" t="s">
        <v>160</v>
      </c>
      <c r="AB338" s="6" t="s">
        <v>530</v>
      </c>
      <c r="AC338" s="6" t="s">
        <v>531</v>
      </c>
      <c r="AD338" s="9"/>
      <c r="AE338" s="9"/>
      <c r="AF338" s="9"/>
      <c r="AG338" s="9"/>
    </row>
    <row r="339" hidden="1">
      <c r="A339" s="21">
        <f>COUNTIF('Histórico'!$B:$B,B339)</f>
        <v>1</v>
      </c>
      <c r="B339" s="21" t="s">
        <v>1224</v>
      </c>
      <c r="C339" s="9"/>
      <c r="D339" s="6" t="s">
        <v>39</v>
      </c>
      <c r="E339" s="6" t="s">
        <v>1222</v>
      </c>
      <c r="F339" s="23">
        <v>46188.0</v>
      </c>
      <c r="G339" s="6" t="s">
        <v>41</v>
      </c>
      <c r="H339" s="9"/>
      <c r="I339" s="6" t="s">
        <v>226</v>
      </c>
      <c r="J339" s="6">
        <v>71513.0</v>
      </c>
      <c r="K339" s="6" t="s">
        <v>320</v>
      </c>
      <c r="L339" s="14">
        <v>11.0</v>
      </c>
      <c r="M339" s="9"/>
      <c r="N339" s="9"/>
      <c r="O339" s="9"/>
      <c r="P339" s="9"/>
      <c r="Q339" s="6">
        <v>1.0</v>
      </c>
      <c r="R339" s="23">
        <v>46188.0</v>
      </c>
      <c r="S339" s="23">
        <v>46192.0</v>
      </c>
      <c r="T339" s="9"/>
      <c r="U339" s="9"/>
      <c r="V339" s="6" t="s">
        <v>44</v>
      </c>
      <c r="W339" s="9"/>
      <c r="X339" s="6" t="s">
        <v>45</v>
      </c>
      <c r="Y339" s="6" t="s">
        <v>46</v>
      </c>
      <c r="Z339" s="6">
        <v>3.040326276E9</v>
      </c>
      <c r="AA339" s="6" t="s">
        <v>45</v>
      </c>
      <c r="AB339" s="6" t="s">
        <v>46</v>
      </c>
      <c r="AC339" s="6" t="s">
        <v>80</v>
      </c>
      <c r="AD339" s="9"/>
      <c r="AE339" s="9"/>
      <c r="AF339" s="9"/>
      <c r="AG339" s="9"/>
    </row>
    <row r="340" hidden="1">
      <c r="A340" s="21">
        <f>COUNTIF('Histórico'!$B:$B,B340)</f>
        <v>1</v>
      </c>
      <c r="B340" s="21" t="s">
        <v>1225</v>
      </c>
      <c r="C340" s="9"/>
      <c r="D340" s="6" t="s">
        <v>39</v>
      </c>
      <c r="E340" s="6" t="s">
        <v>1222</v>
      </c>
      <c r="F340" s="23">
        <v>46188.0</v>
      </c>
      <c r="G340" s="6" t="s">
        <v>41</v>
      </c>
      <c r="H340" s="9"/>
      <c r="I340" s="6" t="s">
        <v>335</v>
      </c>
      <c r="J340" s="6">
        <v>71513.0</v>
      </c>
      <c r="K340" s="6" t="s">
        <v>336</v>
      </c>
      <c r="L340" s="14" t="s">
        <v>1226</v>
      </c>
      <c r="M340" s="9"/>
      <c r="N340" s="9"/>
      <c r="O340" s="9"/>
      <c r="P340" s="9"/>
      <c r="Q340" s="6">
        <v>1.0</v>
      </c>
      <c r="R340" s="23">
        <v>46188.0</v>
      </c>
      <c r="S340" s="23">
        <v>46192.0</v>
      </c>
      <c r="T340" s="9"/>
      <c r="U340" s="9"/>
      <c r="V340" s="6" t="s">
        <v>44</v>
      </c>
      <c r="W340" s="9"/>
      <c r="X340" s="6" t="s">
        <v>45</v>
      </c>
      <c r="Y340" s="6" t="s">
        <v>46</v>
      </c>
      <c r="Z340" s="6">
        <v>3.040327144E9</v>
      </c>
      <c r="AA340" s="6" t="s">
        <v>143</v>
      </c>
      <c r="AB340" s="6" t="s">
        <v>316</v>
      </c>
      <c r="AC340" s="6" t="s">
        <v>1227</v>
      </c>
      <c r="AD340" s="9"/>
      <c r="AE340" s="9"/>
      <c r="AF340" s="9"/>
      <c r="AG340" s="9"/>
    </row>
    <row r="341">
      <c r="A341" s="21">
        <f>COUNTIF('Histórico'!$B:$B,B341)</f>
        <v>1</v>
      </c>
      <c r="B341" s="21" t="s">
        <v>1228</v>
      </c>
      <c r="C341" s="9"/>
      <c r="D341" s="6" t="s">
        <v>39</v>
      </c>
      <c r="E341" s="6" t="s">
        <v>1222</v>
      </c>
      <c r="F341" s="23">
        <v>46230.0</v>
      </c>
      <c r="G341" s="6" t="s">
        <v>41</v>
      </c>
      <c r="H341" s="9"/>
      <c r="I341" s="6" t="s">
        <v>274</v>
      </c>
      <c r="J341" s="6" t="s">
        <v>275</v>
      </c>
      <c r="K341" s="6" t="s">
        <v>276</v>
      </c>
      <c r="L341" s="14">
        <v>8.6800896E7</v>
      </c>
      <c r="M341" s="9"/>
      <c r="N341" s="9"/>
      <c r="O341" s="9"/>
      <c r="P341" s="9"/>
      <c r="Q341" s="6">
        <v>1.0</v>
      </c>
      <c r="R341" s="23">
        <v>46230.0</v>
      </c>
      <c r="S341" s="23">
        <v>46234.0</v>
      </c>
      <c r="T341" s="9"/>
      <c r="U341" s="9"/>
      <c r="V341" s="6" t="s">
        <v>44</v>
      </c>
      <c r="W341" s="9"/>
      <c r="X341" s="6" t="s">
        <v>45</v>
      </c>
      <c r="Y341" s="6" t="s">
        <v>46</v>
      </c>
      <c r="Z341" s="6">
        <v>3.04031289E9</v>
      </c>
      <c r="AA341" s="6" t="s">
        <v>45</v>
      </c>
      <c r="AB341" s="6" t="s">
        <v>46</v>
      </c>
      <c r="AC341" s="6" t="s">
        <v>324</v>
      </c>
      <c r="AD341" s="9"/>
      <c r="AE341" s="9"/>
      <c r="AF341" s="9"/>
      <c r="AG341" s="9"/>
    </row>
    <row r="342">
      <c r="A342" s="21">
        <f>COUNTIF('Histórico'!$B:$B,B342)</f>
        <v>1</v>
      </c>
      <c r="B342" s="21" t="s">
        <v>1229</v>
      </c>
      <c r="C342" s="9"/>
      <c r="D342" s="6" t="s">
        <v>39</v>
      </c>
      <c r="E342" s="6" t="s">
        <v>1222</v>
      </c>
      <c r="F342" s="23">
        <v>46230.0</v>
      </c>
      <c r="G342" s="6" t="s">
        <v>41</v>
      </c>
      <c r="H342" s="9"/>
      <c r="I342" s="6" t="s">
        <v>274</v>
      </c>
      <c r="J342" s="6" t="s">
        <v>275</v>
      </c>
      <c r="K342" s="6" t="s">
        <v>276</v>
      </c>
      <c r="L342" s="14">
        <v>8.6801593E7</v>
      </c>
      <c r="M342" s="9"/>
      <c r="N342" s="9"/>
      <c r="O342" s="9"/>
      <c r="P342" s="9"/>
      <c r="Q342" s="6">
        <v>1.0</v>
      </c>
      <c r="R342" s="23">
        <v>46230.0</v>
      </c>
      <c r="S342" s="23">
        <v>46234.0</v>
      </c>
      <c r="T342" s="9"/>
      <c r="U342" s="9"/>
      <c r="V342" s="6" t="s">
        <v>44</v>
      </c>
      <c r="W342" s="9"/>
      <c r="X342" s="6" t="s">
        <v>45</v>
      </c>
      <c r="Y342" s="6" t="s">
        <v>46</v>
      </c>
      <c r="Z342" s="6">
        <v>3.040312961E9</v>
      </c>
      <c r="AA342" s="6" t="s">
        <v>45</v>
      </c>
      <c r="AB342" s="6" t="s">
        <v>46</v>
      </c>
      <c r="AC342" s="6" t="s">
        <v>324</v>
      </c>
      <c r="AD342" s="9"/>
      <c r="AE342" s="9"/>
      <c r="AF342" s="9"/>
      <c r="AG342" s="9"/>
    </row>
    <row r="343">
      <c r="A343" s="21">
        <f>COUNTIF('Histórico'!$B:$B,B343)</f>
        <v>1</v>
      </c>
      <c r="B343" s="21" t="s">
        <v>1230</v>
      </c>
      <c r="C343" s="9"/>
      <c r="D343" s="6" t="s">
        <v>39</v>
      </c>
      <c r="E343" s="6" t="s">
        <v>1222</v>
      </c>
      <c r="F343" s="23">
        <v>46230.0</v>
      </c>
      <c r="G343" s="6" t="s">
        <v>41</v>
      </c>
      <c r="H343" s="9"/>
      <c r="I343" s="6" t="s">
        <v>1231</v>
      </c>
      <c r="J343" s="6" t="s">
        <v>156</v>
      </c>
      <c r="K343" s="6" t="s">
        <v>1232</v>
      </c>
      <c r="L343" s="14" t="s">
        <v>1233</v>
      </c>
      <c r="M343" s="9"/>
      <c r="N343" s="9"/>
      <c r="O343" s="9"/>
      <c r="P343" s="9"/>
      <c r="Q343" s="6">
        <v>1.0</v>
      </c>
      <c r="R343" s="23">
        <v>46230.0</v>
      </c>
      <c r="S343" s="23">
        <v>46234.0</v>
      </c>
      <c r="T343" s="9"/>
      <c r="U343" s="9"/>
      <c r="V343" s="6" t="s">
        <v>44</v>
      </c>
      <c r="W343" s="9"/>
      <c r="X343" s="6" t="s">
        <v>45</v>
      </c>
      <c r="Y343" s="6" t="s">
        <v>46</v>
      </c>
      <c r="Z343" s="6">
        <v>3.040295136E9</v>
      </c>
      <c r="AA343" s="6" t="s">
        <v>66</v>
      </c>
      <c r="AB343" s="6" t="s">
        <v>394</v>
      </c>
      <c r="AC343" s="6" t="s">
        <v>296</v>
      </c>
      <c r="AD343" s="9"/>
      <c r="AE343" s="9"/>
      <c r="AF343" s="9"/>
      <c r="AG343" s="9"/>
    </row>
    <row r="344">
      <c r="A344" s="21">
        <f>COUNTIF('Histórico'!$B:$B,B344)</f>
        <v>1</v>
      </c>
      <c r="B344" s="21" t="s">
        <v>1234</v>
      </c>
      <c r="C344" s="9"/>
      <c r="D344" s="6" t="s">
        <v>39</v>
      </c>
      <c r="E344" s="6" t="s">
        <v>1222</v>
      </c>
      <c r="F344" s="23">
        <v>46230.0</v>
      </c>
      <c r="G344" s="6" t="s">
        <v>41</v>
      </c>
      <c r="H344" s="9"/>
      <c r="I344" s="6" t="s">
        <v>1231</v>
      </c>
      <c r="J344" s="6" t="s">
        <v>156</v>
      </c>
      <c r="K344" s="6" t="s">
        <v>1232</v>
      </c>
      <c r="L344" s="14" t="s">
        <v>1235</v>
      </c>
      <c r="M344" s="9"/>
      <c r="N344" s="9"/>
      <c r="O344" s="9"/>
      <c r="P344" s="9"/>
      <c r="Q344" s="6">
        <v>1.0</v>
      </c>
      <c r="R344" s="23">
        <v>46230.0</v>
      </c>
      <c r="S344" s="23">
        <v>46234.0</v>
      </c>
      <c r="T344" s="9"/>
      <c r="U344" s="9"/>
      <c r="V344" s="6" t="s">
        <v>44</v>
      </c>
      <c r="W344" s="9"/>
      <c r="X344" s="6" t="s">
        <v>45</v>
      </c>
      <c r="Y344" s="6" t="s">
        <v>46</v>
      </c>
      <c r="Z344" s="6">
        <v>3.040297179E9</v>
      </c>
      <c r="AA344" s="6" t="s">
        <v>71</v>
      </c>
      <c r="AB344" s="6" t="s">
        <v>827</v>
      </c>
      <c r="AC344" s="6" t="s">
        <v>1236</v>
      </c>
      <c r="AD344" s="9"/>
      <c r="AE344" s="9"/>
      <c r="AF344" s="9"/>
      <c r="AG344" s="9"/>
    </row>
    <row r="345">
      <c r="A345" s="21">
        <f>COUNTIF('Histórico'!$B:$B,B345)</f>
        <v>1</v>
      </c>
      <c r="B345" s="21" t="s">
        <v>1237</v>
      </c>
      <c r="C345" s="9"/>
      <c r="D345" s="6" t="s">
        <v>39</v>
      </c>
      <c r="E345" s="6" t="s">
        <v>1222</v>
      </c>
      <c r="F345" s="23">
        <v>46230.0</v>
      </c>
      <c r="G345" s="6" t="s">
        <v>41</v>
      </c>
      <c r="H345" s="9"/>
      <c r="I345" s="6" t="s">
        <v>1231</v>
      </c>
      <c r="J345" s="6" t="s">
        <v>156</v>
      </c>
      <c r="K345" s="6" t="s">
        <v>1232</v>
      </c>
      <c r="L345" s="14" t="s">
        <v>1238</v>
      </c>
      <c r="M345" s="9"/>
      <c r="N345" s="9"/>
      <c r="O345" s="9"/>
      <c r="P345" s="9"/>
      <c r="Q345" s="6">
        <v>1.0</v>
      </c>
      <c r="R345" s="23">
        <v>46230.0</v>
      </c>
      <c r="S345" s="23">
        <v>46234.0</v>
      </c>
      <c r="T345" s="9"/>
      <c r="U345" s="9"/>
      <c r="V345" s="6" t="s">
        <v>44</v>
      </c>
      <c r="W345" s="9"/>
      <c r="X345" s="6" t="s">
        <v>45</v>
      </c>
      <c r="Y345" s="6" t="s">
        <v>46</v>
      </c>
      <c r="Z345" s="6">
        <v>3.040299234E9</v>
      </c>
      <c r="AA345" s="6" t="s">
        <v>66</v>
      </c>
      <c r="AB345" s="6" t="s">
        <v>394</v>
      </c>
      <c r="AC345" s="6" t="s">
        <v>1239</v>
      </c>
      <c r="AD345" s="9"/>
      <c r="AE345" s="9"/>
      <c r="AF345" s="9"/>
      <c r="AG345" s="9"/>
    </row>
    <row r="346">
      <c r="A346" s="21">
        <f>COUNTIF('Histórico'!$B:$B,B346)</f>
        <v>1</v>
      </c>
      <c r="B346" s="21" t="s">
        <v>1240</v>
      </c>
      <c r="C346" s="9"/>
      <c r="D346" s="6" t="s">
        <v>39</v>
      </c>
      <c r="E346" s="6" t="s">
        <v>1222</v>
      </c>
      <c r="F346" s="23">
        <v>46230.0</v>
      </c>
      <c r="G346" s="6" t="s">
        <v>41</v>
      </c>
      <c r="H346" s="9"/>
      <c r="I346" s="6" t="s">
        <v>1231</v>
      </c>
      <c r="J346" s="6" t="s">
        <v>156</v>
      </c>
      <c r="K346" s="6" t="s">
        <v>1232</v>
      </c>
      <c r="L346" s="14" t="s">
        <v>1241</v>
      </c>
      <c r="M346" s="9"/>
      <c r="N346" s="9"/>
      <c r="O346" s="9"/>
      <c r="P346" s="9"/>
      <c r="Q346" s="6">
        <v>1.0</v>
      </c>
      <c r="R346" s="23">
        <v>46230.0</v>
      </c>
      <c r="S346" s="23">
        <v>46234.0</v>
      </c>
      <c r="T346" s="9"/>
      <c r="U346" s="9"/>
      <c r="V346" s="6" t="s">
        <v>44</v>
      </c>
      <c r="W346" s="9"/>
      <c r="X346" s="6" t="s">
        <v>45</v>
      </c>
      <c r="Y346" s="6" t="s">
        <v>46</v>
      </c>
      <c r="Z346" s="6">
        <v>3.040306368E9</v>
      </c>
      <c r="AA346" s="6" t="s">
        <v>66</v>
      </c>
      <c r="AB346" s="6" t="s">
        <v>394</v>
      </c>
      <c r="AC346" s="6" t="s">
        <v>296</v>
      </c>
      <c r="AD346" s="9"/>
      <c r="AE346" s="9"/>
      <c r="AF346" s="9"/>
      <c r="AG346" s="9"/>
    </row>
    <row r="347">
      <c r="A347" s="21">
        <f>COUNTIF('Histórico'!$B:$B,B347)</f>
        <v>1</v>
      </c>
      <c r="B347" s="21" t="s">
        <v>1243</v>
      </c>
      <c r="C347" s="9"/>
      <c r="D347" s="6" t="s">
        <v>39</v>
      </c>
      <c r="E347" s="6" t="s">
        <v>1222</v>
      </c>
      <c r="F347" s="23">
        <v>46230.0</v>
      </c>
      <c r="G347" s="6" t="s">
        <v>41</v>
      </c>
      <c r="H347" s="9"/>
      <c r="I347" s="6" t="s">
        <v>721</v>
      </c>
      <c r="J347" s="6" t="s">
        <v>156</v>
      </c>
      <c r="K347" s="6" t="s">
        <v>722</v>
      </c>
      <c r="L347" s="14" t="s">
        <v>1245</v>
      </c>
      <c r="M347" s="9"/>
      <c r="N347" s="9"/>
      <c r="O347" s="9"/>
      <c r="P347" s="9"/>
      <c r="Q347" s="6">
        <v>1.0</v>
      </c>
      <c r="R347" s="23">
        <v>46230.0</v>
      </c>
      <c r="S347" s="23">
        <v>46234.0</v>
      </c>
      <c r="T347" s="9"/>
      <c r="U347" s="9"/>
      <c r="V347" s="6" t="s">
        <v>44</v>
      </c>
      <c r="W347" s="9"/>
      <c r="X347" s="6" t="s">
        <v>45</v>
      </c>
      <c r="Y347" s="6" t="s">
        <v>46</v>
      </c>
      <c r="Z347" s="6">
        <v>3.040313649E9</v>
      </c>
      <c r="AA347" s="6" t="s">
        <v>45</v>
      </c>
      <c r="AB347" s="6" t="s">
        <v>203</v>
      </c>
      <c r="AC347" s="6" t="s">
        <v>1057</v>
      </c>
      <c r="AD347" s="9"/>
      <c r="AE347" s="9"/>
      <c r="AF347" s="9"/>
      <c r="AG347" s="9"/>
    </row>
    <row r="348">
      <c r="A348" s="21">
        <f>COUNTIF('Histórico'!$B:$B,B348)</f>
        <v>1</v>
      </c>
      <c r="B348" s="21" t="s">
        <v>1246</v>
      </c>
      <c r="C348" s="9"/>
      <c r="D348" s="6" t="s">
        <v>39</v>
      </c>
      <c r="E348" s="6" t="s">
        <v>1222</v>
      </c>
      <c r="F348" s="23">
        <v>46230.0</v>
      </c>
      <c r="G348" s="6" t="s">
        <v>41</v>
      </c>
      <c r="H348" s="9"/>
      <c r="I348" s="6" t="s">
        <v>721</v>
      </c>
      <c r="J348" s="6" t="s">
        <v>156</v>
      </c>
      <c r="K348" s="6" t="s">
        <v>722</v>
      </c>
      <c r="L348" s="14" t="s">
        <v>1247</v>
      </c>
      <c r="M348" s="9"/>
      <c r="N348" s="9"/>
      <c r="O348" s="9"/>
      <c r="P348" s="9"/>
      <c r="Q348" s="6">
        <v>1.0</v>
      </c>
      <c r="R348" s="23">
        <v>46230.0</v>
      </c>
      <c r="S348" s="23">
        <v>46234.0</v>
      </c>
      <c r="T348" s="9"/>
      <c r="U348" s="9"/>
      <c r="V348" s="6" t="s">
        <v>44</v>
      </c>
      <c r="W348" s="9"/>
      <c r="X348" s="6" t="s">
        <v>45</v>
      </c>
      <c r="Y348" s="6" t="s">
        <v>46</v>
      </c>
      <c r="Z348" s="6">
        <v>3.04032405E9</v>
      </c>
      <c r="AA348" s="6" t="s">
        <v>63</v>
      </c>
      <c r="AB348" s="6" t="s">
        <v>72</v>
      </c>
      <c r="AC348" s="6" t="s">
        <v>360</v>
      </c>
      <c r="AD348" s="9"/>
      <c r="AE348" s="9"/>
      <c r="AF348" s="9"/>
      <c r="AG348" s="9"/>
    </row>
    <row r="349">
      <c r="A349" s="21">
        <f>COUNTIF('Histórico'!$B:$B,B349)</f>
        <v>1</v>
      </c>
      <c r="B349" s="21" t="s">
        <v>1248</v>
      </c>
      <c r="C349" s="9"/>
      <c r="D349" s="6" t="s">
        <v>39</v>
      </c>
      <c r="E349" s="6" t="s">
        <v>1222</v>
      </c>
      <c r="F349" s="23">
        <v>46230.0</v>
      </c>
      <c r="G349" s="6" t="s">
        <v>41</v>
      </c>
      <c r="H349" s="9"/>
      <c r="I349" s="6" t="s">
        <v>1204</v>
      </c>
      <c r="J349" s="6" t="s">
        <v>156</v>
      </c>
      <c r="K349" s="6" t="s">
        <v>165</v>
      </c>
      <c r="L349" s="14">
        <v>5.0</v>
      </c>
      <c r="M349" s="9"/>
      <c r="N349" s="9"/>
      <c r="O349" s="9"/>
      <c r="P349" s="9"/>
      <c r="Q349" s="6">
        <v>1.0</v>
      </c>
      <c r="R349" s="23">
        <v>46230.0</v>
      </c>
      <c r="S349" s="23">
        <v>46234.0</v>
      </c>
      <c r="T349" s="9"/>
      <c r="U349" s="9"/>
      <c r="V349" s="6" t="s">
        <v>44</v>
      </c>
      <c r="W349" s="9"/>
      <c r="X349" s="6" t="s">
        <v>45</v>
      </c>
      <c r="Y349" s="6" t="s">
        <v>46</v>
      </c>
      <c r="Z349" s="6">
        <v>3.04031309E9</v>
      </c>
      <c r="AA349" s="6" t="s">
        <v>45</v>
      </c>
      <c r="AB349" s="6" t="s">
        <v>46</v>
      </c>
      <c r="AC349" s="6" t="s">
        <v>324</v>
      </c>
      <c r="AD349" s="9"/>
      <c r="AE349" s="9"/>
      <c r="AF349" s="9"/>
      <c r="AG349" s="9"/>
    </row>
    <row r="350">
      <c r="A350" s="21">
        <f>COUNTIF('Histórico'!$B:$B,B350)</f>
        <v>1</v>
      </c>
      <c r="B350" s="21" t="s">
        <v>1249</v>
      </c>
      <c r="C350" s="9"/>
      <c r="D350" s="6" t="s">
        <v>39</v>
      </c>
      <c r="E350" s="6" t="s">
        <v>1222</v>
      </c>
      <c r="F350" s="23">
        <v>46230.0</v>
      </c>
      <c r="G350" s="6" t="s">
        <v>41</v>
      </c>
      <c r="H350" s="9"/>
      <c r="I350" s="6" t="s">
        <v>1204</v>
      </c>
      <c r="J350" s="6" t="s">
        <v>156</v>
      </c>
      <c r="K350" s="6" t="s">
        <v>165</v>
      </c>
      <c r="L350" s="14">
        <v>2314.0</v>
      </c>
      <c r="M350" s="9"/>
      <c r="N350" s="9"/>
      <c r="O350" s="9"/>
      <c r="P350" s="9"/>
      <c r="Q350" s="6">
        <v>1.0</v>
      </c>
      <c r="R350" s="23">
        <v>46230.0</v>
      </c>
      <c r="S350" s="23">
        <v>46234.0</v>
      </c>
      <c r="T350" s="9"/>
      <c r="U350" s="9"/>
      <c r="V350" s="6" t="s">
        <v>44</v>
      </c>
      <c r="W350" s="9"/>
      <c r="X350" s="6" t="s">
        <v>45</v>
      </c>
      <c r="Y350" s="6" t="s">
        <v>46</v>
      </c>
      <c r="Z350" s="6">
        <v>3.040232792E9</v>
      </c>
      <c r="AA350" s="6" t="s">
        <v>389</v>
      </c>
      <c r="AB350" s="6" t="s">
        <v>390</v>
      </c>
      <c r="AC350" s="6" t="s">
        <v>814</v>
      </c>
      <c r="AD350" s="9"/>
      <c r="AE350" s="9"/>
      <c r="AF350" s="9"/>
      <c r="AG350" s="9"/>
    </row>
    <row r="351">
      <c r="A351" s="21">
        <f>COUNTIF('Histórico'!$B:$B,B351)</f>
        <v>1</v>
      </c>
      <c r="B351" s="21" t="s">
        <v>1250</v>
      </c>
      <c r="C351" s="9"/>
      <c r="D351" s="6" t="s">
        <v>39</v>
      </c>
      <c r="E351" s="6" t="s">
        <v>1222</v>
      </c>
      <c r="F351" s="23">
        <v>46231.0</v>
      </c>
      <c r="G351" s="6" t="s">
        <v>41</v>
      </c>
      <c r="H351" s="9"/>
      <c r="I351" s="6" t="s">
        <v>375</v>
      </c>
      <c r="J351" s="6">
        <v>22373.0</v>
      </c>
      <c r="K351" s="6" t="s">
        <v>491</v>
      </c>
      <c r="L351" s="14">
        <v>4042.0</v>
      </c>
      <c r="M351" s="9"/>
      <c r="N351" s="9"/>
      <c r="O351" s="9"/>
      <c r="P351" s="9"/>
      <c r="Q351" s="6">
        <v>1.0</v>
      </c>
      <c r="R351" s="23">
        <v>46231.0</v>
      </c>
      <c r="S351" s="23">
        <v>46237.0</v>
      </c>
      <c r="T351" s="9"/>
      <c r="U351" s="9"/>
      <c r="V351" s="6" t="s">
        <v>44</v>
      </c>
      <c r="W351" s="9"/>
      <c r="X351" s="6" t="s">
        <v>45</v>
      </c>
      <c r="Y351" s="6" t="s">
        <v>46</v>
      </c>
      <c r="Z351" s="6">
        <v>3.040316667E9</v>
      </c>
      <c r="AA351" s="6" t="s">
        <v>45</v>
      </c>
      <c r="AB351" s="6" t="s">
        <v>46</v>
      </c>
      <c r="AC351" s="6" t="s">
        <v>324</v>
      </c>
      <c r="AD351" s="9"/>
      <c r="AE351" s="9"/>
      <c r="AF351" s="9"/>
      <c r="AG351" s="9"/>
    </row>
    <row r="352">
      <c r="A352" s="21">
        <f>COUNTIF('Histórico'!$B:$B,B352)</f>
        <v>1</v>
      </c>
      <c r="B352" s="21" t="s">
        <v>1252</v>
      </c>
      <c r="C352" s="9"/>
      <c r="D352" s="6" t="s">
        <v>39</v>
      </c>
      <c r="E352" s="6" t="s">
        <v>1222</v>
      </c>
      <c r="F352" s="23">
        <v>46231.0</v>
      </c>
      <c r="G352" s="6" t="s">
        <v>41</v>
      </c>
      <c r="H352" s="9"/>
      <c r="I352" s="6" t="s">
        <v>375</v>
      </c>
      <c r="J352" s="6">
        <v>22373.0</v>
      </c>
      <c r="K352" s="6" t="s">
        <v>491</v>
      </c>
      <c r="L352" s="14" t="s">
        <v>1253</v>
      </c>
      <c r="M352" s="9"/>
      <c r="N352" s="9"/>
      <c r="O352" s="9"/>
      <c r="P352" s="9"/>
      <c r="Q352" s="6">
        <v>1.0</v>
      </c>
      <c r="R352" s="23">
        <v>46231.0</v>
      </c>
      <c r="S352" s="23">
        <v>46237.0</v>
      </c>
      <c r="T352" s="9"/>
      <c r="U352" s="9"/>
      <c r="V352" s="6" t="s">
        <v>44</v>
      </c>
      <c r="W352" s="9"/>
      <c r="X352" s="6" t="s">
        <v>45</v>
      </c>
      <c r="Y352" s="6" t="s">
        <v>46</v>
      </c>
      <c r="Z352" s="6">
        <v>3.040326958E9</v>
      </c>
      <c r="AA352" s="6" t="s">
        <v>70</v>
      </c>
      <c r="AB352" s="6" t="s">
        <v>152</v>
      </c>
      <c r="AC352" s="6" t="s">
        <v>737</v>
      </c>
      <c r="AD352" s="9"/>
      <c r="AE352" s="9"/>
      <c r="AF352" s="9"/>
      <c r="AG352" s="9"/>
    </row>
    <row r="353">
      <c r="A353" s="21">
        <f>COUNTIF('Histórico'!$B:$B,B353)</f>
        <v>1</v>
      </c>
      <c r="B353" s="21" t="s">
        <v>1254</v>
      </c>
      <c r="C353" s="9"/>
      <c r="D353" s="6" t="s">
        <v>39</v>
      </c>
      <c r="E353" s="6" t="s">
        <v>1222</v>
      </c>
      <c r="F353" s="23">
        <v>46231.0</v>
      </c>
      <c r="G353" s="6" t="s">
        <v>41</v>
      </c>
      <c r="H353" s="9"/>
      <c r="I353" s="6" t="s">
        <v>310</v>
      </c>
      <c r="J353" s="6" t="s">
        <v>156</v>
      </c>
      <c r="K353" s="6" t="s">
        <v>311</v>
      </c>
      <c r="L353" s="14">
        <v>136.0</v>
      </c>
      <c r="M353" s="9"/>
      <c r="N353" s="9"/>
      <c r="O353" s="9"/>
      <c r="P353" s="9"/>
      <c r="Q353" s="6">
        <v>1.0</v>
      </c>
      <c r="R353" s="23">
        <v>46231.0</v>
      </c>
      <c r="S353" s="23">
        <v>46237.0</v>
      </c>
      <c r="T353" s="9"/>
      <c r="U353" s="9"/>
      <c r="V353" s="6" t="s">
        <v>44</v>
      </c>
      <c r="W353" s="9"/>
      <c r="X353" s="6" t="s">
        <v>45</v>
      </c>
      <c r="Y353" s="6" t="s">
        <v>46</v>
      </c>
      <c r="Z353" s="6">
        <v>3.040325527E9</v>
      </c>
      <c r="AA353" s="6" t="s">
        <v>63</v>
      </c>
      <c r="AB353" s="6" t="s">
        <v>241</v>
      </c>
      <c r="AC353" s="6" t="s">
        <v>583</v>
      </c>
      <c r="AD353" s="9"/>
      <c r="AE353" s="9"/>
      <c r="AF353" s="9"/>
      <c r="AG353" s="9"/>
    </row>
    <row r="354">
      <c r="A354" s="21">
        <f>COUNTIF('Histórico'!$B:$B,B354)</f>
        <v>1</v>
      </c>
      <c r="B354" s="21" t="s">
        <v>1255</v>
      </c>
      <c r="C354" s="9"/>
      <c r="D354" s="6" t="s">
        <v>39</v>
      </c>
      <c r="E354" s="6" t="s">
        <v>1222</v>
      </c>
      <c r="F354" s="23">
        <v>46231.0</v>
      </c>
      <c r="G354" s="6" t="s">
        <v>41</v>
      </c>
      <c r="H354" s="9"/>
      <c r="I354" s="6" t="s">
        <v>684</v>
      </c>
      <c r="J354" s="6">
        <v>22373.0</v>
      </c>
      <c r="K354" s="6" t="s">
        <v>685</v>
      </c>
      <c r="L354" s="14">
        <v>83247.0</v>
      </c>
      <c r="M354" s="9"/>
      <c r="N354" s="9"/>
      <c r="O354" s="9"/>
      <c r="P354" s="9"/>
      <c r="Q354" s="6">
        <v>1.0</v>
      </c>
      <c r="R354" s="23">
        <v>46231.0</v>
      </c>
      <c r="S354" s="23">
        <v>46237.0</v>
      </c>
      <c r="T354" s="9"/>
      <c r="U354" s="9"/>
      <c r="V354" s="6" t="s">
        <v>44</v>
      </c>
      <c r="W354" s="9"/>
      <c r="X354" s="6" t="s">
        <v>45</v>
      </c>
      <c r="Y354" s="6" t="s">
        <v>46</v>
      </c>
      <c r="Z354" s="6">
        <v>3.040323038E9</v>
      </c>
      <c r="AA354" s="6" t="s">
        <v>57</v>
      </c>
      <c r="AB354" s="6" t="s">
        <v>410</v>
      </c>
      <c r="AC354" s="6" t="s">
        <v>411</v>
      </c>
      <c r="AD354" s="9"/>
      <c r="AE354" s="9"/>
      <c r="AF354" s="9"/>
      <c r="AG354" s="9"/>
    </row>
    <row r="355">
      <c r="A355" s="21">
        <f>COUNTIF('Histórico'!$B:$B,B355)</f>
        <v>1</v>
      </c>
      <c r="B355" s="21" t="s">
        <v>1256</v>
      </c>
      <c r="C355" s="9"/>
      <c r="D355" s="6" t="s">
        <v>39</v>
      </c>
      <c r="E355" s="6" t="s">
        <v>1222</v>
      </c>
      <c r="F355" s="23">
        <v>46231.0</v>
      </c>
      <c r="G355" s="6" t="s">
        <v>41</v>
      </c>
      <c r="H355" s="9"/>
      <c r="I355" s="6" t="s">
        <v>684</v>
      </c>
      <c r="J355" s="6">
        <v>22373.0</v>
      </c>
      <c r="K355" s="6" t="s">
        <v>685</v>
      </c>
      <c r="L355" s="14">
        <v>84327.0</v>
      </c>
      <c r="M355" s="9"/>
      <c r="N355" s="9"/>
      <c r="O355" s="9"/>
      <c r="P355" s="9"/>
      <c r="Q355" s="6">
        <v>1.0</v>
      </c>
      <c r="R355" s="23">
        <v>46231.0</v>
      </c>
      <c r="S355" s="23">
        <v>46237.0</v>
      </c>
      <c r="T355" s="9"/>
      <c r="U355" s="9"/>
      <c r="V355" s="6" t="s">
        <v>44</v>
      </c>
      <c r="W355" s="9"/>
      <c r="X355" s="6" t="s">
        <v>45</v>
      </c>
      <c r="Y355" s="6" t="s">
        <v>46</v>
      </c>
      <c r="Z355" s="6">
        <v>3.040324061E9</v>
      </c>
      <c r="AA355" s="6" t="s">
        <v>64</v>
      </c>
      <c r="AB355" s="6" t="s">
        <v>399</v>
      </c>
      <c r="AC355" s="6" t="s">
        <v>894</v>
      </c>
      <c r="AD355" s="9"/>
      <c r="AE355" s="9"/>
      <c r="AF355" s="9"/>
      <c r="AG355" s="9"/>
    </row>
    <row r="356">
      <c r="A356" s="21">
        <f>COUNTIF('Histórico'!$B:$B,B356)</f>
        <v>1</v>
      </c>
      <c r="B356" s="21" t="s">
        <v>1257</v>
      </c>
      <c r="C356" s="9"/>
      <c r="D356" s="6" t="s">
        <v>39</v>
      </c>
      <c r="E356" s="6" t="s">
        <v>1222</v>
      </c>
      <c r="F356" s="23">
        <v>46231.0</v>
      </c>
      <c r="G356" s="6" t="s">
        <v>41</v>
      </c>
      <c r="H356" s="9"/>
      <c r="I356" s="6" t="s">
        <v>684</v>
      </c>
      <c r="J356" s="6">
        <v>22373.0</v>
      </c>
      <c r="K356" s="6" t="s">
        <v>685</v>
      </c>
      <c r="L356" s="14">
        <v>88215.0</v>
      </c>
      <c r="M356" s="9"/>
      <c r="N356" s="9"/>
      <c r="O356" s="9"/>
      <c r="P356" s="9"/>
      <c r="Q356" s="6">
        <v>1.0</v>
      </c>
      <c r="R356" s="23">
        <v>46231.0</v>
      </c>
      <c r="S356" s="23">
        <v>46237.0</v>
      </c>
      <c r="T356" s="9"/>
      <c r="U356" s="9"/>
      <c r="V356" s="6" t="s">
        <v>44</v>
      </c>
      <c r="W356" s="9"/>
      <c r="X356" s="6" t="s">
        <v>45</v>
      </c>
      <c r="Y356" s="6" t="s">
        <v>46</v>
      </c>
      <c r="Z356" s="6">
        <v>3.040325526E9</v>
      </c>
      <c r="AA356" s="6" t="s">
        <v>75</v>
      </c>
      <c r="AB356" s="6" t="s">
        <v>152</v>
      </c>
      <c r="AC356" s="6" t="s">
        <v>153</v>
      </c>
      <c r="AD356" s="9"/>
      <c r="AE356" s="9"/>
      <c r="AF356" s="9"/>
      <c r="AG356" s="9"/>
    </row>
    <row r="357">
      <c r="A357" s="21">
        <f>COUNTIF('Histórico'!$B:$B,B357)</f>
        <v>1</v>
      </c>
      <c r="B357" s="21" t="s">
        <v>1258</v>
      </c>
      <c r="C357" s="9"/>
      <c r="D357" s="6" t="s">
        <v>39</v>
      </c>
      <c r="E357" s="6" t="s">
        <v>1222</v>
      </c>
      <c r="F357" s="23">
        <v>46231.0</v>
      </c>
      <c r="G357" s="6" t="s">
        <v>41</v>
      </c>
      <c r="H357" s="9"/>
      <c r="I357" s="6" t="s">
        <v>684</v>
      </c>
      <c r="J357" s="6">
        <v>22373.0</v>
      </c>
      <c r="K357" s="6" t="s">
        <v>685</v>
      </c>
      <c r="L357" s="14">
        <v>89129.0</v>
      </c>
      <c r="M357" s="9"/>
      <c r="N357" s="9"/>
      <c r="O357" s="9"/>
      <c r="P357" s="9"/>
      <c r="Q357" s="6">
        <v>1.0</v>
      </c>
      <c r="R357" s="23">
        <v>46231.0</v>
      </c>
      <c r="S357" s="23">
        <v>46237.0</v>
      </c>
      <c r="T357" s="9"/>
      <c r="U357" s="9"/>
      <c r="V357" s="6" t="s">
        <v>44</v>
      </c>
      <c r="W357" s="9"/>
      <c r="X357" s="6" t="s">
        <v>45</v>
      </c>
      <c r="Y357" s="6" t="s">
        <v>46</v>
      </c>
      <c r="Z357" s="6">
        <v>3.040326257E9</v>
      </c>
      <c r="AA357" s="6" t="s">
        <v>70</v>
      </c>
      <c r="AB357" s="6" t="s">
        <v>152</v>
      </c>
      <c r="AC357" s="6" t="s">
        <v>1259</v>
      </c>
      <c r="AD357" s="9"/>
      <c r="AE357" s="9"/>
      <c r="AF357" s="9"/>
      <c r="AG357" s="9"/>
    </row>
    <row r="358">
      <c r="A358" s="21">
        <f>COUNTIF('Histórico'!$B:$B,B358)</f>
        <v>1</v>
      </c>
      <c r="B358" s="21" t="s">
        <v>1260</v>
      </c>
      <c r="C358" s="9"/>
      <c r="D358" s="6" t="s">
        <v>39</v>
      </c>
      <c r="E358" s="6" t="s">
        <v>1222</v>
      </c>
      <c r="F358" s="23">
        <v>46231.0</v>
      </c>
      <c r="G358" s="6" t="s">
        <v>41</v>
      </c>
      <c r="H358" s="9"/>
      <c r="I358" s="6" t="s">
        <v>251</v>
      </c>
      <c r="J358" s="6" t="s">
        <v>156</v>
      </c>
      <c r="K358" s="6" t="s">
        <v>252</v>
      </c>
      <c r="L358" s="14">
        <v>662.0</v>
      </c>
      <c r="M358" s="9"/>
      <c r="N358" s="9"/>
      <c r="O358" s="9"/>
      <c r="P358" s="9"/>
      <c r="Q358" s="6">
        <v>1.0</v>
      </c>
      <c r="R358" s="23">
        <v>46231.0</v>
      </c>
      <c r="S358" s="23">
        <v>46231.0</v>
      </c>
      <c r="T358" s="9"/>
      <c r="U358" s="9"/>
      <c r="V358" s="6" t="s">
        <v>44</v>
      </c>
      <c r="W358" s="9"/>
      <c r="X358" s="6" t="s">
        <v>45</v>
      </c>
      <c r="Y358" s="6" t="s">
        <v>46</v>
      </c>
      <c r="Z358" s="6">
        <v>3.040285201E9</v>
      </c>
      <c r="AA358" s="6" t="s">
        <v>66</v>
      </c>
      <c r="AB358" s="6" t="s">
        <v>228</v>
      </c>
      <c r="AC358" s="6" t="s">
        <v>1217</v>
      </c>
      <c r="AD358" s="9"/>
      <c r="AE358" s="9"/>
      <c r="AF358" s="9"/>
      <c r="AG358" s="9"/>
    </row>
    <row r="359">
      <c r="A359" s="21">
        <f>COUNTIF('Histórico'!$B:$B,B359)</f>
        <v>1</v>
      </c>
      <c r="B359" s="21" t="s">
        <v>1261</v>
      </c>
      <c r="C359" s="9"/>
      <c r="D359" s="6" t="s">
        <v>39</v>
      </c>
      <c r="E359" s="6" t="s">
        <v>1222</v>
      </c>
      <c r="F359" s="23">
        <v>46231.0</v>
      </c>
      <c r="G359" s="6" t="s">
        <v>41</v>
      </c>
      <c r="H359" s="9"/>
      <c r="I359" s="6" t="s">
        <v>251</v>
      </c>
      <c r="J359" s="6" t="s">
        <v>156</v>
      </c>
      <c r="K359" s="6" t="s">
        <v>252</v>
      </c>
      <c r="L359" s="14">
        <v>1306.0</v>
      </c>
      <c r="M359" s="9"/>
      <c r="N359" s="9"/>
      <c r="O359" s="9"/>
      <c r="P359" s="9"/>
      <c r="Q359" s="6">
        <v>1.0</v>
      </c>
      <c r="R359" s="23">
        <v>46231.0</v>
      </c>
      <c r="S359" s="23">
        <v>46237.0</v>
      </c>
      <c r="T359" s="9"/>
      <c r="U359" s="9"/>
      <c r="V359" s="6" t="s">
        <v>44</v>
      </c>
      <c r="W359" s="9"/>
      <c r="X359" s="6" t="s">
        <v>45</v>
      </c>
      <c r="Y359" s="6" t="s">
        <v>46</v>
      </c>
      <c r="Z359" s="6">
        <v>3.040289265E9</v>
      </c>
      <c r="AA359" s="6" t="s">
        <v>75</v>
      </c>
      <c r="AB359" s="6" t="s">
        <v>152</v>
      </c>
      <c r="AC359" s="6" t="s">
        <v>153</v>
      </c>
      <c r="AD359" s="9"/>
      <c r="AE359" s="9"/>
      <c r="AF359" s="9"/>
      <c r="AG359" s="9"/>
    </row>
    <row r="360">
      <c r="A360" s="21">
        <f>COUNTIF('Histórico'!$B:$B,B360)</f>
        <v>1</v>
      </c>
      <c r="B360" s="21" t="s">
        <v>1262</v>
      </c>
      <c r="C360" s="9"/>
      <c r="D360" s="6" t="s">
        <v>39</v>
      </c>
      <c r="E360" s="6" t="s">
        <v>1222</v>
      </c>
      <c r="F360" s="23">
        <v>46231.0</v>
      </c>
      <c r="G360" s="6" t="s">
        <v>41</v>
      </c>
      <c r="H360" s="9"/>
      <c r="I360" s="6" t="s">
        <v>251</v>
      </c>
      <c r="J360" s="6" t="s">
        <v>156</v>
      </c>
      <c r="K360" s="6" t="s">
        <v>252</v>
      </c>
      <c r="L360" s="14">
        <v>5091817.0</v>
      </c>
      <c r="M360" s="9"/>
      <c r="N360" s="9"/>
      <c r="O360" s="9"/>
      <c r="P360" s="9"/>
      <c r="Q360" s="6">
        <v>1.0</v>
      </c>
      <c r="R360" s="23">
        <v>46231.0</v>
      </c>
      <c r="S360" s="23">
        <v>46237.0</v>
      </c>
      <c r="T360" s="9"/>
      <c r="U360" s="9"/>
      <c r="V360" s="6" t="s">
        <v>44</v>
      </c>
      <c r="W360" s="9"/>
      <c r="X360" s="6" t="s">
        <v>45</v>
      </c>
      <c r="Y360" s="6" t="s">
        <v>46</v>
      </c>
      <c r="Z360" s="6">
        <v>3.040294656E9</v>
      </c>
      <c r="AA360" s="6" t="s">
        <v>45</v>
      </c>
      <c r="AB360" s="6" t="s">
        <v>203</v>
      </c>
      <c r="AC360" s="6" t="s">
        <v>1263</v>
      </c>
      <c r="AD360" s="9"/>
      <c r="AE360" s="9"/>
      <c r="AF360" s="9"/>
      <c r="AG360" s="9"/>
    </row>
    <row r="361">
      <c r="A361" s="21">
        <f>COUNTIF('Histórico'!$B:$B,B361)</f>
        <v>1</v>
      </c>
      <c r="B361" s="21" t="s">
        <v>1264</v>
      </c>
      <c r="C361" s="9"/>
      <c r="D361" s="6" t="s">
        <v>39</v>
      </c>
      <c r="E361" s="6" t="s">
        <v>1222</v>
      </c>
      <c r="F361" s="23">
        <v>46231.0</v>
      </c>
      <c r="G361" s="6" t="s">
        <v>41</v>
      </c>
      <c r="H361" s="9"/>
      <c r="I361" s="6" t="s">
        <v>251</v>
      </c>
      <c r="J361" s="6" t="s">
        <v>156</v>
      </c>
      <c r="K361" s="6" t="s">
        <v>252</v>
      </c>
      <c r="L361" s="14" t="s">
        <v>1265</v>
      </c>
      <c r="M361" s="9"/>
      <c r="N361" s="9"/>
      <c r="O361" s="9"/>
      <c r="P361" s="9"/>
      <c r="Q361" s="6">
        <v>1.0</v>
      </c>
      <c r="R361" s="23">
        <v>46231.0</v>
      </c>
      <c r="S361" s="23">
        <v>46237.0</v>
      </c>
      <c r="T361" s="9"/>
      <c r="U361" s="9"/>
      <c r="V361" s="6" t="s">
        <v>44</v>
      </c>
      <c r="W361" s="9"/>
      <c r="X361" s="6" t="s">
        <v>45</v>
      </c>
      <c r="Y361" s="6" t="s">
        <v>46</v>
      </c>
      <c r="Z361" s="6">
        <v>3.040297627E9</v>
      </c>
      <c r="AA361" s="6" t="s">
        <v>64</v>
      </c>
      <c r="AB361" s="6" t="s">
        <v>94</v>
      </c>
      <c r="AC361" s="6" t="s">
        <v>95</v>
      </c>
      <c r="AD361" s="9"/>
      <c r="AE361" s="9"/>
      <c r="AF361" s="9"/>
      <c r="AG361" s="9"/>
    </row>
    <row r="362">
      <c r="A362" s="21">
        <f>COUNTIF('Histórico'!$B:$B,B362)</f>
        <v>1</v>
      </c>
      <c r="B362" s="21" t="s">
        <v>1266</v>
      </c>
      <c r="C362" s="9"/>
      <c r="D362" s="6" t="s">
        <v>39</v>
      </c>
      <c r="E362" s="6" t="s">
        <v>1222</v>
      </c>
      <c r="F362" s="23">
        <v>46231.0</v>
      </c>
      <c r="G362" s="6" t="s">
        <v>41</v>
      </c>
      <c r="H362" s="9"/>
      <c r="I362" s="6" t="s">
        <v>251</v>
      </c>
      <c r="J362" s="6" t="s">
        <v>156</v>
      </c>
      <c r="K362" s="6" t="s">
        <v>252</v>
      </c>
      <c r="L362" s="14">
        <v>4051378.0</v>
      </c>
      <c r="M362" s="9"/>
      <c r="N362" s="9"/>
      <c r="O362" s="9"/>
      <c r="P362" s="9"/>
      <c r="Q362" s="6">
        <v>1.0</v>
      </c>
      <c r="R362" s="23">
        <v>46231.0</v>
      </c>
      <c r="S362" s="23">
        <v>46237.0</v>
      </c>
      <c r="T362" s="9"/>
      <c r="U362" s="9"/>
      <c r="V362" s="6" t="s">
        <v>44</v>
      </c>
      <c r="W362" s="9"/>
      <c r="X362" s="6" t="s">
        <v>45</v>
      </c>
      <c r="Y362" s="6" t="s">
        <v>46</v>
      </c>
      <c r="Z362" s="6">
        <v>3.040306738E9</v>
      </c>
      <c r="AA362" s="6" t="s">
        <v>60</v>
      </c>
      <c r="AB362" s="6" t="s">
        <v>189</v>
      </c>
      <c r="AC362" s="6" t="s">
        <v>810</v>
      </c>
      <c r="AD362" s="9"/>
      <c r="AE362" s="9"/>
      <c r="AF362" s="9"/>
      <c r="AG362" s="9"/>
    </row>
    <row r="363">
      <c r="A363" s="21">
        <f>COUNTIF('Histórico'!$B:$B,B363)</f>
        <v>1</v>
      </c>
      <c r="B363" s="21" t="s">
        <v>1267</v>
      </c>
      <c r="C363" s="9"/>
      <c r="D363" s="6" t="s">
        <v>39</v>
      </c>
      <c r="E363" s="6" t="s">
        <v>1222</v>
      </c>
      <c r="F363" s="23">
        <v>46231.0</v>
      </c>
      <c r="G363" s="6" t="s">
        <v>41</v>
      </c>
      <c r="H363" s="9"/>
      <c r="I363" s="6" t="s">
        <v>251</v>
      </c>
      <c r="J363" s="6" t="s">
        <v>156</v>
      </c>
      <c r="K363" s="6" t="s">
        <v>252</v>
      </c>
      <c r="L363" s="14">
        <v>5091750.0</v>
      </c>
      <c r="M363" s="9"/>
      <c r="N363" s="9"/>
      <c r="O363" s="9"/>
      <c r="P363" s="9"/>
      <c r="Q363" s="6">
        <v>1.0</v>
      </c>
      <c r="R363" s="23">
        <v>46231.0</v>
      </c>
      <c r="S363" s="23">
        <v>46237.0</v>
      </c>
      <c r="T363" s="9"/>
      <c r="U363" s="9"/>
      <c r="V363" s="6" t="s">
        <v>44</v>
      </c>
      <c r="W363" s="9"/>
      <c r="X363" s="6" t="s">
        <v>45</v>
      </c>
      <c r="Y363" s="6" t="s">
        <v>46</v>
      </c>
      <c r="Z363" s="6">
        <v>3.040308003E9</v>
      </c>
      <c r="AA363" s="6" t="s">
        <v>57</v>
      </c>
      <c r="AB363" s="6" t="s">
        <v>410</v>
      </c>
      <c r="AC363" s="6" t="s">
        <v>411</v>
      </c>
      <c r="AD363" s="9"/>
      <c r="AE363" s="9"/>
      <c r="AF363" s="9"/>
      <c r="AG363" s="9"/>
    </row>
    <row r="364">
      <c r="A364" s="21">
        <f>COUNTIF('Histórico'!$B:$B,B364)</f>
        <v>1</v>
      </c>
      <c r="B364" s="21" t="s">
        <v>1268</v>
      </c>
      <c r="C364" s="9"/>
      <c r="D364" s="6" t="s">
        <v>39</v>
      </c>
      <c r="E364" s="6" t="s">
        <v>1222</v>
      </c>
      <c r="F364" s="23">
        <v>46231.0</v>
      </c>
      <c r="G364" s="6" t="s">
        <v>41</v>
      </c>
      <c r="H364" s="9"/>
      <c r="I364" s="6" t="s">
        <v>302</v>
      </c>
      <c r="J364" s="6">
        <v>22373.0</v>
      </c>
      <c r="K364" s="6" t="s">
        <v>303</v>
      </c>
      <c r="L364" s="14">
        <v>73267.0</v>
      </c>
      <c r="M364" s="9"/>
      <c r="N364" s="9"/>
      <c r="O364" s="9"/>
      <c r="P364" s="9"/>
      <c r="Q364" s="6">
        <v>1.0</v>
      </c>
      <c r="R364" s="23">
        <v>46231.0</v>
      </c>
      <c r="S364" s="23">
        <v>46237.0</v>
      </c>
      <c r="T364" s="9"/>
      <c r="U364" s="9"/>
      <c r="V364" s="6" t="s">
        <v>44</v>
      </c>
      <c r="W364" s="9"/>
      <c r="X364" s="6" t="s">
        <v>45</v>
      </c>
      <c r="Y364" s="6" t="s">
        <v>46</v>
      </c>
      <c r="Z364" s="6">
        <v>3.040308519E9</v>
      </c>
      <c r="AA364" s="6" t="s">
        <v>62</v>
      </c>
      <c r="AB364" s="6" t="s">
        <v>120</v>
      </c>
      <c r="AC364" s="6" t="s">
        <v>662</v>
      </c>
      <c r="AD364" s="9"/>
      <c r="AE364" s="9"/>
      <c r="AF364" s="9"/>
      <c r="AG364" s="9"/>
    </row>
    <row r="365">
      <c r="A365" s="21">
        <f>COUNTIF('Histórico'!$B:$B,B365)</f>
        <v>1</v>
      </c>
      <c r="B365" s="21" t="s">
        <v>1271</v>
      </c>
      <c r="C365" s="9"/>
      <c r="D365" s="6" t="s">
        <v>39</v>
      </c>
      <c r="E365" s="6" t="s">
        <v>1222</v>
      </c>
      <c r="F365" s="23">
        <v>46231.0</v>
      </c>
      <c r="G365" s="6" t="s">
        <v>41</v>
      </c>
      <c r="H365" s="9"/>
      <c r="I365" s="6" t="s">
        <v>302</v>
      </c>
      <c r="J365" s="6">
        <v>22373.0</v>
      </c>
      <c r="K365" s="6" t="s">
        <v>303</v>
      </c>
      <c r="L365" s="14">
        <v>71067.0</v>
      </c>
      <c r="M365" s="9"/>
      <c r="N365" s="9"/>
      <c r="O365" s="9"/>
      <c r="P365" s="9"/>
      <c r="Q365" s="6">
        <v>1.0</v>
      </c>
      <c r="R365" s="23">
        <v>46231.0</v>
      </c>
      <c r="S365" s="23">
        <v>46237.0</v>
      </c>
      <c r="T365" s="9"/>
      <c r="U365" s="9"/>
      <c r="V365" s="6" t="s">
        <v>44</v>
      </c>
      <c r="W365" s="9"/>
      <c r="X365" s="6" t="s">
        <v>45</v>
      </c>
      <c r="Y365" s="6" t="s">
        <v>46</v>
      </c>
      <c r="Z365" s="6">
        <v>3.040310009E9</v>
      </c>
      <c r="AA365" s="6" t="s">
        <v>63</v>
      </c>
      <c r="AB365" s="6" t="s">
        <v>72</v>
      </c>
      <c r="AC365" s="6" t="s">
        <v>74</v>
      </c>
      <c r="AD365" s="9"/>
      <c r="AE365" s="9"/>
      <c r="AF365" s="9"/>
      <c r="AG365" s="9"/>
    </row>
    <row r="366">
      <c r="A366" s="21">
        <f>COUNTIF('Histórico'!$B:$B,B366)</f>
        <v>1</v>
      </c>
      <c r="B366" s="21" t="s">
        <v>1272</v>
      </c>
      <c r="C366" s="9"/>
      <c r="D366" s="6" t="s">
        <v>39</v>
      </c>
      <c r="E366" s="6" t="s">
        <v>1222</v>
      </c>
      <c r="F366" s="23">
        <v>46231.0</v>
      </c>
      <c r="G366" s="6" t="s">
        <v>41</v>
      </c>
      <c r="H366" s="9"/>
      <c r="I366" s="6" t="s">
        <v>302</v>
      </c>
      <c r="J366" s="6">
        <v>22373.0</v>
      </c>
      <c r="K366" s="6" t="s">
        <v>303</v>
      </c>
      <c r="L366" s="14">
        <v>67239.0</v>
      </c>
      <c r="M366" s="9"/>
      <c r="N366" s="9"/>
      <c r="O366" s="9"/>
      <c r="P366" s="9"/>
      <c r="Q366" s="6">
        <v>1.0</v>
      </c>
      <c r="R366" s="23">
        <v>46231.0</v>
      </c>
      <c r="S366" s="23">
        <v>46237.0</v>
      </c>
      <c r="T366" s="9"/>
      <c r="U366" s="9"/>
      <c r="V366" s="6" t="s">
        <v>44</v>
      </c>
      <c r="W366" s="9"/>
      <c r="X366" s="6" t="s">
        <v>45</v>
      </c>
      <c r="Y366" s="6" t="s">
        <v>46</v>
      </c>
      <c r="Z366" s="6">
        <v>3.040312888E9</v>
      </c>
      <c r="AA366" s="6" t="s">
        <v>45</v>
      </c>
      <c r="AB366" s="6" t="s">
        <v>46</v>
      </c>
      <c r="AC366" s="6" t="s">
        <v>324</v>
      </c>
      <c r="AD366" s="9"/>
      <c r="AE366" s="9"/>
      <c r="AF366" s="9"/>
      <c r="AG366" s="9"/>
    </row>
    <row r="367">
      <c r="A367" s="21">
        <f>COUNTIF('Histórico'!$B:$B,B367)</f>
        <v>1</v>
      </c>
      <c r="B367" s="21" t="s">
        <v>1273</v>
      </c>
      <c r="C367" s="9"/>
      <c r="D367" s="6" t="s">
        <v>39</v>
      </c>
      <c r="E367" s="6" t="s">
        <v>1222</v>
      </c>
      <c r="F367" s="23">
        <v>46231.0</v>
      </c>
      <c r="G367" s="6" t="s">
        <v>41</v>
      </c>
      <c r="H367" s="9"/>
      <c r="I367" s="6" t="s">
        <v>452</v>
      </c>
      <c r="J367" s="6">
        <v>22373.0</v>
      </c>
      <c r="K367" s="6" t="s">
        <v>1044</v>
      </c>
      <c r="L367" s="14">
        <v>22401.0</v>
      </c>
      <c r="M367" s="9"/>
      <c r="N367" s="9"/>
      <c r="O367" s="9"/>
      <c r="P367" s="9"/>
      <c r="Q367" s="6">
        <v>1.0</v>
      </c>
      <c r="R367" s="23">
        <v>46231.0</v>
      </c>
      <c r="S367" s="23">
        <v>46237.0</v>
      </c>
      <c r="T367" s="9"/>
      <c r="U367" s="9"/>
      <c r="V367" s="6" t="s">
        <v>44</v>
      </c>
      <c r="W367" s="9"/>
      <c r="X367" s="6" t="s">
        <v>45</v>
      </c>
      <c r="Y367" s="6" t="s">
        <v>46</v>
      </c>
      <c r="Z367" s="6">
        <v>3.040313661E9</v>
      </c>
      <c r="AA367" s="6" t="s">
        <v>45</v>
      </c>
      <c r="AB367" s="6" t="s">
        <v>46</v>
      </c>
      <c r="AC367" s="6" t="s">
        <v>324</v>
      </c>
      <c r="AD367" s="9"/>
      <c r="AE367" s="9"/>
      <c r="AF367" s="9"/>
      <c r="AG367" s="9"/>
    </row>
    <row r="368">
      <c r="A368" s="21">
        <f>COUNTIF('Histórico'!$B:$B,B368)</f>
        <v>1</v>
      </c>
      <c r="B368" s="21" t="s">
        <v>1274</v>
      </c>
      <c r="C368" s="9"/>
      <c r="D368" s="6" t="s">
        <v>39</v>
      </c>
      <c r="E368" s="6" t="s">
        <v>1222</v>
      </c>
      <c r="F368" s="23">
        <v>46231.0</v>
      </c>
      <c r="G368" s="6" t="s">
        <v>41</v>
      </c>
      <c r="H368" s="9"/>
      <c r="I368" s="6" t="s">
        <v>452</v>
      </c>
      <c r="J368" s="6">
        <v>22373.0</v>
      </c>
      <c r="K368" s="6" t="s">
        <v>1044</v>
      </c>
      <c r="L368" s="14">
        <v>25098.0</v>
      </c>
      <c r="M368" s="9"/>
      <c r="N368" s="9"/>
      <c r="O368" s="9"/>
      <c r="P368" s="9"/>
      <c r="Q368" s="6">
        <v>1.0</v>
      </c>
      <c r="R368" s="23">
        <v>46231.0</v>
      </c>
      <c r="S368" s="23">
        <v>46237.0</v>
      </c>
      <c r="T368" s="9"/>
      <c r="U368" s="9"/>
      <c r="V368" s="6" t="s">
        <v>44</v>
      </c>
      <c r="W368" s="9"/>
      <c r="X368" s="6" t="s">
        <v>45</v>
      </c>
      <c r="Y368" s="6" t="s">
        <v>46</v>
      </c>
      <c r="Z368" s="6">
        <v>3.040313662E9</v>
      </c>
      <c r="AA368" s="6" t="s">
        <v>45</v>
      </c>
      <c r="AB368" s="6" t="s">
        <v>46</v>
      </c>
      <c r="AC368" s="6" t="s">
        <v>324</v>
      </c>
      <c r="AD368" s="9"/>
      <c r="AE368" s="9"/>
      <c r="AF368" s="9"/>
      <c r="AG368" s="9"/>
    </row>
    <row r="369">
      <c r="A369" s="21">
        <f>COUNTIF('Histórico'!$B:$B,B369)</f>
        <v>1</v>
      </c>
      <c r="B369" s="21" t="s">
        <v>1277</v>
      </c>
      <c r="C369" s="9"/>
      <c r="D369" s="6" t="s">
        <v>39</v>
      </c>
      <c r="E369" s="6" t="s">
        <v>1222</v>
      </c>
      <c r="F369" s="23">
        <v>46231.0</v>
      </c>
      <c r="G369" s="6" t="s">
        <v>41</v>
      </c>
      <c r="H369" s="9"/>
      <c r="I369" s="6" t="s">
        <v>1278</v>
      </c>
      <c r="J369" s="6">
        <v>74025.0</v>
      </c>
      <c r="K369" s="6" t="s">
        <v>1279</v>
      </c>
      <c r="L369" s="14">
        <v>1.0603744E7</v>
      </c>
      <c r="M369" s="9"/>
      <c r="N369" s="9"/>
      <c r="O369" s="9"/>
      <c r="P369" s="9"/>
      <c r="Q369" s="6">
        <v>1.0</v>
      </c>
      <c r="R369" s="23">
        <v>46231.0</v>
      </c>
      <c r="S369" s="23">
        <v>46237.0</v>
      </c>
      <c r="T369" s="9"/>
      <c r="U369" s="9"/>
      <c r="V369" s="6" t="s">
        <v>44</v>
      </c>
      <c r="W369" s="9"/>
      <c r="X369" s="6" t="s">
        <v>45</v>
      </c>
      <c r="Y369" s="6" t="s">
        <v>46</v>
      </c>
      <c r="Z369" s="6">
        <v>3.040328253E9</v>
      </c>
      <c r="AA369" s="6" t="s">
        <v>45</v>
      </c>
      <c r="AB369" s="6" t="s">
        <v>46</v>
      </c>
      <c r="AC369" s="6" t="s">
        <v>177</v>
      </c>
      <c r="AD369" s="9"/>
      <c r="AE369" s="9"/>
      <c r="AF369" s="9"/>
      <c r="AG369" s="9"/>
    </row>
    <row r="370">
      <c r="A370" s="21">
        <f>COUNTIF('Histórico'!$B:$B,B370)</f>
        <v>1</v>
      </c>
      <c r="B370" s="21" t="s">
        <v>1280</v>
      </c>
      <c r="C370" s="9"/>
      <c r="D370" s="6" t="s">
        <v>39</v>
      </c>
      <c r="E370" s="6" t="s">
        <v>1222</v>
      </c>
      <c r="F370" s="23">
        <v>46231.0</v>
      </c>
      <c r="G370" s="6" t="s">
        <v>41</v>
      </c>
      <c r="H370" s="9"/>
      <c r="I370" s="6" t="s">
        <v>1278</v>
      </c>
      <c r="J370" s="6">
        <v>74025.0</v>
      </c>
      <c r="K370" s="6" t="s">
        <v>1279</v>
      </c>
      <c r="L370" s="14">
        <v>1.0603742E7</v>
      </c>
      <c r="M370" s="9"/>
      <c r="N370" s="9"/>
      <c r="O370" s="9"/>
      <c r="P370" s="9"/>
      <c r="Q370" s="6">
        <v>1.0</v>
      </c>
      <c r="R370" s="23">
        <v>46231.0</v>
      </c>
      <c r="S370" s="23">
        <v>46237.0</v>
      </c>
      <c r="T370" s="9"/>
      <c r="U370" s="9"/>
      <c r="V370" s="6" t="s">
        <v>44</v>
      </c>
      <c r="W370" s="9"/>
      <c r="X370" s="6" t="s">
        <v>45</v>
      </c>
      <c r="Y370" s="6" t="s">
        <v>46</v>
      </c>
      <c r="Z370" s="6">
        <v>3.040328254E9</v>
      </c>
      <c r="AA370" s="6" t="s">
        <v>45</v>
      </c>
      <c r="AB370" s="6" t="s">
        <v>46</v>
      </c>
      <c r="AC370" s="6" t="s">
        <v>177</v>
      </c>
      <c r="AD370" s="9"/>
      <c r="AE370" s="9"/>
      <c r="AF370" s="9"/>
      <c r="AG370" s="9"/>
    </row>
    <row r="371">
      <c r="A371" s="21">
        <f>COUNTIF('Histórico'!$B:$B,B371)</f>
        <v>1</v>
      </c>
      <c r="B371" s="21" t="s">
        <v>1281</v>
      </c>
      <c r="C371" s="9"/>
      <c r="D371" s="6" t="s">
        <v>39</v>
      </c>
      <c r="E371" s="6" t="s">
        <v>1222</v>
      </c>
      <c r="F371" s="23">
        <v>46231.0</v>
      </c>
      <c r="G371" s="6" t="s">
        <v>41</v>
      </c>
      <c r="H371" s="9"/>
      <c r="I371" s="6" t="s">
        <v>1278</v>
      </c>
      <c r="J371" s="6">
        <v>74025.0</v>
      </c>
      <c r="K371" s="6" t="s">
        <v>1279</v>
      </c>
      <c r="L371" s="14">
        <v>1.0603745E7</v>
      </c>
      <c r="M371" s="9"/>
      <c r="N371" s="9"/>
      <c r="O371" s="9"/>
      <c r="P371" s="9"/>
      <c r="Q371" s="6">
        <v>1.0</v>
      </c>
      <c r="R371" s="23">
        <v>46231.0</v>
      </c>
      <c r="S371" s="23">
        <v>46237.0</v>
      </c>
      <c r="T371" s="9"/>
      <c r="U371" s="9"/>
      <c r="V371" s="6" t="s">
        <v>44</v>
      </c>
      <c r="W371" s="9"/>
      <c r="X371" s="6" t="s">
        <v>45</v>
      </c>
      <c r="Y371" s="6" t="s">
        <v>46</v>
      </c>
      <c r="Z371" s="6">
        <v>3.040328255E9</v>
      </c>
      <c r="AA371" s="6" t="s">
        <v>45</v>
      </c>
      <c r="AB371" s="6" t="s">
        <v>46</v>
      </c>
      <c r="AC371" s="6" t="s">
        <v>177</v>
      </c>
      <c r="AD371" s="9"/>
      <c r="AE371" s="9"/>
      <c r="AF371" s="9"/>
      <c r="AG371" s="9"/>
    </row>
    <row r="372">
      <c r="A372" s="21">
        <f>COUNTIF('Histórico'!$B:$B,B372)</f>
        <v>1</v>
      </c>
      <c r="B372" s="21" t="s">
        <v>1282</v>
      </c>
      <c r="C372" s="9"/>
      <c r="D372" s="6" t="s">
        <v>39</v>
      </c>
      <c r="E372" s="6" t="s">
        <v>1222</v>
      </c>
      <c r="F372" s="23">
        <v>46231.0</v>
      </c>
      <c r="G372" s="6" t="s">
        <v>41</v>
      </c>
      <c r="H372" s="9"/>
      <c r="I372" s="6" t="s">
        <v>1278</v>
      </c>
      <c r="J372" s="6">
        <v>74025.0</v>
      </c>
      <c r="K372" s="6" t="s">
        <v>1279</v>
      </c>
      <c r="L372" s="14">
        <v>1.1200477E7</v>
      </c>
      <c r="M372" s="9"/>
      <c r="N372" s="9"/>
      <c r="O372" s="9"/>
      <c r="P372" s="9"/>
      <c r="Q372" s="6">
        <v>1.0</v>
      </c>
      <c r="R372" s="23">
        <v>46231.0</v>
      </c>
      <c r="S372" s="23">
        <v>46237.0</v>
      </c>
      <c r="T372" s="9"/>
      <c r="U372" s="9"/>
      <c r="V372" s="6" t="s">
        <v>44</v>
      </c>
      <c r="W372" s="9"/>
      <c r="X372" s="6" t="s">
        <v>45</v>
      </c>
      <c r="Y372" s="6" t="s">
        <v>46</v>
      </c>
      <c r="Z372" s="6">
        <v>3.040328256E9</v>
      </c>
      <c r="AA372" s="6" t="s">
        <v>45</v>
      </c>
      <c r="AB372" s="6" t="s">
        <v>46</v>
      </c>
      <c r="AC372" s="6" t="s">
        <v>177</v>
      </c>
      <c r="AD372" s="9"/>
      <c r="AE372" s="9"/>
      <c r="AF372" s="9"/>
      <c r="AG372" s="9"/>
    </row>
    <row r="373">
      <c r="A373" s="21">
        <f>COUNTIF('Histórico'!$B:$B,B373)</f>
        <v>1</v>
      </c>
      <c r="B373" s="21" t="s">
        <v>1284</v>
      </c>
      <c r="C373" s="9"/>
      <c r="D373" s="6" t="s">
        <v>39</v>
      </c>
      <c r="E373" s="6" t="s">
        <v>1222</v>
      </c>
      <c r="F373" s="23">
        <v>46231.0</v>
      </c>
      <c r="G373" s="6" t="s">
        <v>41</v>
      </c>
      <c r="H373" s="9"/>
      <c r="I373" s="6" t="s">
        <v>1278</v>
      </c>
      <c r="J373" s="6">
        <v>74025.0</v>
      </c>
      <c r="K373" s="6" t="s">
        <v>1279</v>
      </c>
      <c r="L373" s="14" t="s">
        <v>1286</v>
      </c>
      <c r="M373" s="9"/>
      <c r="N373" s="9"/>
      <c r="O373" s="9"/>
      <c r="P373" s="9"/>
      <c r="Q373" s="6">
        <v>1.0</v>
      </c>
      <c r="R373" s="23">
        <v>46231.0</v>
      </c>
      <c r="S373" s="23">
        <v>46237.0</v>
      </c>
      <c r="T373" s="9"/>
      <c r="U373" s="9"/>
      <c r="V373" s="6" t="s">
        <v>44</v>
      </c>
      <c r="W373" s="9"/>
      <c r="X373" s="6" t="s">
        <v>45</v>
      </c>
      <c r="Y373" s="6" t="s">
        <v>46</v>
      </c>
      <c r="Z373" s="6">
        <v>3.040328257E9</v>
      </c>
      <c r="AA373" s="6" t="s">
        <v>45</v>
      </c>
      <c r="AB373" s="6" t="s">
        <v>46</v>
      </c>
      <c r="AC373" s="6" t="s">
        <v>177</v>
      </c>
      <c r="AD373" s="9"/>
      <c r="AE373" s="9"/>
      <c r="AF373" s="9"/>
      <c r="AG373" s="9"/>
    </row>
    <row r="374">
      <c r="A374" s="21">
        <f>COUNTIF('Histórico'!$B:$B,B374)</f>
        <v>1</v>
      </c>
      <c r="B374" s="21" t="s">
        <v>1287</v>
      </c>
      <c r="C374" s="9"/>
      <c r="D374" s="6" t="s">
        <v>39</v>
      </c>
      <c r="E374" s="6" t="s">
        <v>1222</v>
      </c>
      <c r="F374" s="23">
        <v>46231.0</v>
      </c>
      <c r="G374" s="6" t="s">
        <v>41</v>
      </c>
      <c r="H374" s="9"/>
      <c r="I374" s="6" t="s">
        <v>949</v>
      </c>
      <c r="J374" s="6" t="s">
        <v>156</v>
      </c>
      <c r="K374" s="6" t="s">
        <v>950</v>
      </c>
      <c r="L374" s="14" t="s">
        <v>1288</v>
      </c>
      <c r="M374" s="9"/>
      <c r="N374" s="9"/>
      <c r="O374" s="9"/>
      <c r="P374" s="9"/>
      <c r="Q374" s="6">
        <v>1.0</v>
      </c>
      <c r="R374" s="23">
        <v>46231.0</v>
      </c>
      <c r="S374" s="23">
        <v>46237.0</v>
      </c>
      <c r="T374" s="9"/>
      <c r="U374" s="9"/>
      <c r="V374" s="6" t="s">
        <v>44</v>
      </c>
      <c r="W374" s="9"/>
      <c r="X374" s="6" t="s">
        <v>45</v>
      </c>
      <c r="Y374" s="6" t="s">
        <v>46</v>
      </c>
      <c r="Z374" s="6">
        <v>3.040328927E9</v>
      </c>
      <c r="AA374" s="6" t="s">
        <v>63</v>
      </c>
      <c r="AB374" s="6" t="s">
        <v>241</v>
      </c>
      <c r="AC374" s="6" t="s">
        <v>583</v>
      </c>
      <c r="AD374" s="9"/>
      <c r="AE374" s="9"/>
      <c r="AF374" s="9"/>
      <c r="AG374" s="9"/>
    </row>
    <row r="375">
      <c r="A375" s="21">
        <f>COUNTIF('Histórico'!$B:$B,B375)</f>
        <v>1</v>
      </c>
      <c r="B375" s="21" t="s">
        <v>1296</v>
      </c>
      <c r="C375" s="9"/>
      <c r="D375" s="6" t="s">
        <v>39</v>
      </c>
      <c r="E375" s="6" t="s">
        <v>1222</v>
      </c>
      <c r="F375" s="23">
        <v>46231.0</v>
      </c>
      <c r="G375" s="6" t="s">
        <v>41</v>
      </c>
      <c r="H375" s="9"/>
      <c r="I375" s="6" t="s">
        <v>949</v>
      </c>
      <c r="J375" s="6" t="s">
        <v>156</v>
      </c>
      <c r="K375" s="6" t="s">
        <v>950</v>
      </c>
      <c r="L375" s="61" t="s">
        <v>1297</v>
      </c>
      <c r="M375" s="9"/>
      <c r="N375" s="9"/>
      <c r="O375" s="9"/>
      <c r="P375" s="9"/>
      <c r="Q375" s="6">
        <v>1.0</v>
      </c>
      <c r="R375" s="23">
        <v>46231.0</v>
      </c>
      <c r="S375" s="23">
        <v>46237.0</v>
      </c>
      <c r="T375" s="9"/>
      <c r="U375" s="9"/>
      <c r="V375" s="6" t="s">
        <v>44</v>
      </c>
      <c r="W375" s="9"/>
      <c r="X375" s="6" t="s">
        <v>45</v>
      </c>
      <c r="Y375" s="6" t="s">
        <v>46</v>
      </c>
      <c r="Z375" s="6">
        <v>3.040328928E9</v>
      </c>
      <c r="AA375" s="6" t="s">
        <v>63</v>
      </c>
      <c r="AB375" s="6" t="s">
        <v>241</v>
      </c>
      <c r="AC375" s="6" t="s">
        <v>583</v>
      </c>
      <c r="AD375" s="9"/>
      <c r="AE375" s="9"/>
      <c r="AF375" s="9"/>
      <c r="AG375" s="9"/>
    </row>
    <row r="376">
      <c r="A376" s="21">
        <f>COUNTIF('Histórico'!$B:$B,B376)</f>
        <v>1</v>
      </c>
      <c r="B376" s="21" t="s">
        <v>1298</v>
      </c>
      <c r="C376" s="9"/>
      <c r="D376" s="6" t="s">
        <v>39</v>
      </c>
      <c r="E376" s="6" t="s">
        <v>1222</v>
      </c>
      <c r="F376" s="23">
        <v>46231.0</v>
      </c>
      <c r="G376" s="6" t="s">
        <v>41</v>
      </c>
      <c r="H376" s="9"/>
      <c r="I376" s="6" t="s">
        <v>231</v>
      </c>
      <c r="J376" s="6">
        <v>71513.0</v>
      </c>
      <c r="K376" s="6" t="s">
        <v>232</v>
      </c>
      <c r="L376" s="14" t="s">
        <v>1299</v>
      </c>
      <c r="M376" s="9"/>
      <c r="N376" s="9"/>
      <c r="O376" s="9"/>
      <c r="P376" s="9"/>
      <c r="Q376" s="6">
        <v>1.0</v>
      </c>
      <c r="R376" s="23">
        <v>46231.0</v>
      </c>
      <c r="S376" s="23">
        <v>46237.0</v>
      </c>
      <c r="T376" s="9"/>
      <c r="U376" s="9"/>
      <c r="V376" s="6" t="s">
        <v>44</v>
      </c>
      <c r="W376" s="9"/>
      <c r="X376" s="6" t="s">
        <v>45</v>
      </c>
      <c r="Y376" s="6" t="s">
        <v>46</v>
      </c>
      <c r="Z376" s="6">
        <v>3.040327143E9</v>
      </c>
      <c r="AA376" s="6" t="s">
        <v>143</v>
      </c>
      <c r="AB376" s="6" t="s">
        <v>316</v>
      </c>
      <c r="AC376" s="6" t="s">
        <v>1227</v>
      </c>
      <c r="AD376" s="9"/>
      <c r="AE376" s="9"/>
      <c r="AF376" s="9"/>
      <c r="AG376" s="9"/>
    </row>
    <row r="377">
      <c r="A377" s="21">
        <f>COUNTIF('Histórico'!$B:$B,B377)</f>
        <v>1</v>
      </c>
      <c r="B377" s="21" t="s">
        <v>1300</v>
      </c>
      <c r="C377" s="9"/>
      <c r="D377" s="6" t="s">
        <v>39</v>
      </c>
      <c r="E377" s="6" t="s">
        <v>1222</v>
      </c>
      <c r="F377" s="23">
        <v>46231.0</v>
      </c>
      <c r="G377" s="6" t="s">
        <v>41</v>
      </c>
      <c r="H377" s="9"/>
      <c r="I377" s="6" t="s">
        <v>226</v>
      </c>
      <c r="J377" s="6">
        <v>71513.0</v>
      </c>
      <c r="K377" s="6" t="s">
        <v>320</v>
      </c>
      <c r="L377" s="14">
        <v>40.0</v>
      </c>
      <c r="M377" s="9"/>
      <c r="N377" s="9"/>
      <c r="O377" s="9"/>
      <c r="P377" s="9"/>
      <c r="Q377" s="6">
        <v>1.0</v>
      </c>
      <c r="R377" s="23">
        <v>46231.0</v>
      </c>
      <c r="S377" s="23">
        <v>46237.0</v>
      </c>
      <c r="T377" s="9"/>
      <c r="U377" s="9"/>
      <c r="V377" s="6" t="s">
        <v>44</v>
      </c>
      <c r="W377" s="9"/>
      <c r="X377" s="6" t="s">
        <v>45</v>
      </c>
      <c r="Y377" s="6" t="s">
        <v>46</v>
      </c>
      <c r="Z377" s="6">
        <v>3.040329227E9</v>
      </c>
      <c r="AA377" s="6" t="s">
        <v>60</v>
      </c>
      <c r="AB377" s="6" t="s">
        <v>367</v>
      </c>
      <c r="AC377" s="6" t="s">
        <v>977</v>
      </c>
      <c r="AD377" s="9"/>
      <c r="AE377" s="9"/>
      <c r="AF377" s="9"/>
      <c r="AG377" s="9"/>
    </row>
    <row r="378">
      <c r="A378" s="21">
        <f>COUNTIF('Histórico'!$B:$B,B378)</f>
        <v>1</v>
      </c>
      <c r="B378" s="21" t="s">
        <v>1301</v>
      </c>
      <c r="C378" s="9"/>
      <c r="D378" s="6" t="s">
        <v>39</v>
      </c>
      <c r="E378" s="6" t="s">
        <v>1222</v>
      </c>
      <c r="F378" s="23">
        <v>46231.0</v>
      </c>
      <c r="G378" s="6" t="s">
        <v>41</v>
      </c>
      <c r="H378" s="9"/>
      <c r="I378" s="6" t="s">
        <v>837</v>
      </c>
      <c r="J378" s="6">
        <v>22373.0</v>
      </c>
      <c r="K378" s="6" t="s">
        <v>303</v>
      </c>
      <c r="L378" s="14">
        <v>12185.0</v>
      </c>
      <c r="M378" s="9"/>
      <c r="N378" s="9"/>
      <c r="O378" s="9"/>
      <c r="P378" s="9"/>
      <c r="Q378" s="6">
        <v>1.0</v>
      </c>
      <c r="R378" s="23">
        <v>46231.0</v>
      </c>
      <c r="S378" s="23">
        <v>46237.0</v>
      </c>
      <c r="T378" s="9"/>
      <c r="U378" s="9"/>
      <c r="V378" s="6" t="s">
        <v>44</v>
      </c>
      <c r="W378" s="9"/>
      <c r="X378" s="6" t="s">
        <v>45</v>
      </c>
      <c r="Y378" s="6" t="s">
        <v>46</v>
      </c>
      <c r="Z378" s="6">
        <v>3.040312895E9</v>
      </c>
      <c r="AA378" s="6" t="s">
        <v>45</v>
      </c>
      <c r="AB378" s="6" t="s">
        <v>46</v>
      </c>
      <c r="AC378" s="6" t="s">
        <v>324</v>
      </c>
      <c r="AD378" s="9"/>
      <c r="AE378" s="9"/>
      <c r="AF378" s="9"/>
      <c r="AG378" s="9"/>
    </row>
    <row r="379">
      <c r="A379" s="21">
        <f>COUNTIF('Histórico'!$B:$B,B379)</f>
        <v>1</v>
      </c>
      <c r="B379" s="21" t="s">
        <v>1302</v>
      </c>
      <c r="C379" s="9"/>
      <c r="D379" s="6" t="s">
        <v>39</v>
      </c>
      <c r="E379" s="6" t="s">
        <v>1222</v>
      </c>
      <c r="F379" s="23">
        <v>46231.0</v>
      </c>
      <c r="G379" s="6" t="s">
        <v>41</v>
      </c>
      <c r="H379" s="9"/>
      <c r="I379" s="6" t="s">
        <v>837</v>
      </c>
      <c r="J379" s="6">
        <v>22373.0</v>
      </c>
      <c r="K379" s="6" t="s">
        <v>303</v>
      </c>
      <c r="L379" s="14">
        <v>16013.0</v>
      </c>
      <c r="M379" s="9"/>
      <c r="N379" s="9"/>
      <c r="O379" s="9"/>
      <c r="P379" s="9"/>
      <c r="Q379" s="6">
        <v>1.0</v>
      </c>
      <c r="R379" s="23">
        <v>46231.0</v>
      </c>
      <c r="S379" s="23">
        <v>46237.0</v>
      </c>
      <c r="T379" s="9"/>
      <c r="U379" s="9"/>
      <c r="V379" s="6" t="s">
        <v>44</v>
      </c>
      <c r="W379" s="9"/>
      <c r="X379" s="6" t="s">
        <v>45</v>
      </c>
      <c r="Y379" s="6" t="s">
        <v>46</v>
      </c>
      <c r="Z379" s="6">
        <v>3.040312896E9</v>
      </c>
      <c r="AA379" s="6" t="s">
        <v>45</v>
      </c>
      <c r="AB379" s="6" t="s">
        <v>46</v>
      </c>
      <c r="AC379" s="6" t="s">
        <v>324</v>
      </c>
      <c r="AD379" s="9"/>
      <c r="AE379" s="9"/>
      <c r="AF379" s="9"/>
      <c r="AG379" s="9"/>
    </row>
    <row r="380">
      <c r="A380" s="21">
        <f>COUNTIF('Histórico'!$B:$B,B380)</f>
        <v>1</v>
      </c>
      <c r="B380" s="21" t="s">
        <v>1303</v>
      </c>
      <c r="C380" s="9"/>
      <c r="D380" s="6" t="s">
        <v>39</v>
      </c>
      <c r="E380" s="6" t="s">
        <v>1222</v>
      </c>
      <c r="F380" s="23">
        <v>46231.0</v>
      </c>
      <c r="G380" s="6" t="s">
        <v>41</v>
      </c>
      <c r="H380" s="9"/>
      <c r="I380" s="6" t="s">
        <v>383</v>
      </c>
      <c r="J380" s="6">
        <v>71379.0</v>
      </c>
      <c r="K380" s="6" t="s">
        <v>384</v>
      </c>
      <c r="L380" s="14" t="s">
        <v>1304</v>
      </c>
      <c r="M380" s="9"/>
      <c r="N380" s="9"/>
      <c r="O380" s="9"/>
      <c r="P380" s="9"/>
      <c r="Q380" s="6">
        <v>1.0</v>
      </c>
      <c r="R380" s="23">
        <v>46231.0</v>
      </c>
      <c r="S380" s="23">
        <v>46237.0</v>
      </c>
      <c r="T380" s="9"/>
      <c r="U380" s="9"/>
      <c r="V380" s="6" t="s">
        <v>44</v>
      </c>
      <c r="W380" s="9"/>
      <c r="X380" s="6" t="s">
        <v>45</v>
      </c>
      <c r="Y380" s="6" t="s">
        <v>46</v>
      </c>
      <c r="Z380" s="6">
        <v>3.040148938E9</v>
      </c>
      <c r="AA380" s="6" t="s">
        <v>465</v>
      </c>
      <c r="AB380" s="6" t="s">
        <v>466</v>
      </c>
      <c r="AC380" s="6" t="s">
        <v>1305</v>
      </c>
      <c r="AD380" s="9"/>
      <c r="AE380" s="9"/>
      <c r="AF380" s="9"/>
      <c r="AG380" s="9"/>
    </row>
    <row r="381">
      <c r="A381" s="21">
        <f>COUNTIF('Histórico'!$B:$B,B381)</f>
        <v>1</v>
      </c>
      <c r="B381" s="21" t="s">
        <v>1306</v>
      </c>
      <c r="C381" s="9"/>
      <c r="D381" s="6" t="s">
        <v>39</v>
      </c>
      <c r="E381" s="6" t="s">
        <v>1222</v>
      </c>
      <c r="F381" s="23">
        <v>46232.0</v>
      </c>
      <c r="G381" s="6" t="s">
        <v>41</v>
      </c>
      <c r="H381" s="9"/>
      <c r="I381" s="6" t="s">
        <v>1307</v>
      </c>
      <c r="J381" s="6" t="s">
        <v>1308</v>
      </c>
      <c r="K381" s="6" t="s">
        <v>1309</v>
      </c>
      <c r="L381" s="14" t="s">
        <v>1310</v>
      </c>
      <c r="M381" s="9"/>
      <c r="N381" s="9"/>
      <c r="O381" s="9"/>
      <c r="P381" s="9"/>
      <c r="Q381" s="6">
        <v>1.0</v>
      </c>
      <c r="R381" s="23">
        <v>46232.0</v>
      </c>
      <c r="S381" s="23">
        <v>46238.0</v>
      </c>
      <c r="T381" s="9"/>
      <c r="U381" s="9"/>
      <c r="V381" s="6" t="s">
        <v>44</v>
      </c>
      <c r="W381" s="9"/>
      <c r="X381" s="6" t="s">
        <v>45</v>
      </c>
      <c r="Y381" s="6" t="s">
        <v>46</v>
      </c>
      <c r="Z381" s="6">
        <v>3.040325543E9</v>
      </c>
      <c r="AA381" s="6" t="s">
        <v>68</v>
      </c>
      <c r="AB381" s="6" t="s">
        <v>827</v>
      </c>
      <c r="AC381" s="6" t="s">
        <v>1311</v>
      </c>
      <c r="AD381" s="9"/>
      <c r="AE381" s="9"/>
      <c r="AF381" s="9"/>
      <c r="AG381" s="9"/>
    </row>
    <row r="382">
      <c r="A382" s="21">
        <f>COUNTIF('Histórico'!$B:$B,B382)</f>
        <v>1</v>
      </c>
      <c r="B382" s="21" t="s">
        <v>1312</v>
      </c>
      <c r="C382" s="9"/>
      <c r="D382" s="6" t="s">
        <v>39</v>
      </c>
      <c r="E382" s="6" t="s">
        <v>1222</v>
      </c>
      <c r="F382" s="23">
        <v>46232.0</v>
      </c>
      <c r="G382" s="6" t="s">
        <v>41</v>
      </c>
      <c r="H382" s="9"/>
      <c r="I382" s="6" t="s">
        <v>1313</v>
      </c>
      <c r="J382" s="6" t="s">
        <v>156</v>
      </c>
      <c r="K382" s="6" t="s">
        <v>1314</v>
      </c>
      <c r="L382" s="14" t="s">
        <v>1315</v>
      </c>
      <c r="M382" s="9"/>
      <c r="N382" s="9"/>
      <c r="O382" s="9"/>
      <c r="P382" s="9"/>
      <c r="Q382" s="6">
        <v>1.0</v>
      </c>
      <c r="R382" s="23">
        <v>46232.0</v>
      </c>
      <c r="S382" s="23">
        <v>46238.0</v>
      </c>
      <c r="T382" s="9"/>
      <c r="U382" s="9"/>
      <c r="V382" s="6" t="s">
        <v>44</v>
      </c>
      <c r="W382" s="9"/>
      <c r="X382" s="6" t="s">
        <v>45</v>
      </c>
      <c r="Y382" s="6" t="s">
        <v>46</v>
      </c>
      <c r="Z382" s="6">
        <v>3.040326169E9</v>
      </c>
      <c r="AA382" s="6" t="s">
        <v>45</v>
      </c>
      <c r="AB382" s="6" t="s">
        <v>203</v>
      </c>
      <c r="AC382" s="6" t="s">
        <v>1316</v>
      </c>
      <c r="AD382" s="9"/>
      <c r="AE382" s="9"/>
      <c r="AF382" s="9"/>
      <c r="AG382" s="9"/>
    </row>
    <row r="383">
      <c r="A383" s="21">
        <f>COUNTIF('Histórico'!$B:$B,B383)</f>
        <v>1</v>
      </c>
      <c r="B383" s="21" t="s">
        <v>1317</v>
      </c>
      <c r="C383" s="9"/>
      <c r="D383" s="6" t="s">
        <v>39</v>
      </c>
      <c r="E383" s="6" t="s">
        <v>1222</v>
      </c>
      <c r="F383" s="23">
        <v>46232.0</v>
      </c>
      <c r="G383" s="6" t="s">
        <v>41</v>
      </c>
      <c r="H383" s="9"/>
      <c r="I383" s="6" t="s">
        <v>1313</v>
      </c>
      <c r="J383" s="6" t="s">
        <v>156</v>
      </c>
      <c r="K383" s="6" t="s">
        <v>1314</v>
      </c>
      <c r="L383" s="14" t="s">
        <v>1318</v>
      </c>
      <c r="M383" s="9"/>
      <c r="N383" s="9"/>
      <c r="O383" s="9"/>
      <c r="P383" s="9"/>
      <c r="Q383" s="6">
        <v>1.0</v>
      </c>
      <c r="R383" s="23">
        <v>46232.0</v>
      </c>
      <c r="S383" s="23">
        <v>46238.0</v>
      </c>
      <c r="T383" s="9"/>
      <c r="U383" s="9"/>
      <c r="V383" s="6" t="s">
        <v>44</v>
      </c>
      <c r="W383" s="9"/>
      <c r="X383" s="6" t="s">
        <v>45</v>
      </c>
      <c r="Y383" s="6" t="s">
        <v>46</v>
      </c>
      <c r="Z383" s="6">
        <v>3.040328944E9</v>
      </c>
      <c r="AA383" s="6" t="s">
        <v>45</v>
      </c>
      <c r="AB383" s="6" t="s">
        <v>203</v>
      </c>
      <c r="AC383" s="6" t="s">
        <v>1316</v>
      </c>
      <c r="AD383" s="9"/>
      <c r="AE383" s="9"/>
      <c r="AF383" s="9"/>
      <c r="AG383" s="9"/>
    </row>
    <row r="384">
      <c r="A384" s="21">
        <f>COUNTIF('Histórico'!$B:$B,B384)</f>
        <v>1</v>
      </c>
      <c r="B384" s="21" t="s">
        <v>1319</v>
      </c>
      <c r="C384" s="9"/>
      <c r="D384" s="6" t="s">
        <v>39</v>
      </c>
      <c r="E384" s="6" t="s">
        <v>1222</v>
      </c>
      <c r="F384" s="23">
        <v>46237.0</v>
      </c>
      <c r="G384" s="6" t="s">
        <v>41</v>
      </c>
      <c r="H384" s="9"/>
      <c r="I384" s="6" t="s">
        <v>1320</v>
      </c>
      <c r="J384" s="6">
        <v>53468.0</v>
      </c>
      <c r="K384" s="6" t="s">
        <v>698</v>
      </c>
      <c r="L384" s="14" t="s">
        <v>1321</v>
      </c>
      <c r="M384" s="9"/>
      <c r="N384" s="9"/>
      <c r="O384" s="9"/>
      <c r="P384" s="9"/>
      <c r="Q384" s="6">
        <v>1.0</v>
      </c>
      <c r="R384" s="23">
        <v>46237.0</v>
      </c>
      <c r="S384" s="23">
        <v>46241.0</v>
      </c>
      <c r="T384" s="9"/>
      <c r="U384" s="9"/>
      <c r="V384" s="6" t="s">
        <v>44</v>
      </c>
      <c r="W384" s="9"/>
      <c r="X384" s="6" t="s">
        <v>45</v>
      </c>
      <c r="Y384" s="6" t="s">
        <v>46</v>
      </c>
      <c r="Z384" s="6">
        <v>3.040317035E9</v>
      </c>
      <c r="AA384" s="6" t="s">
        <v>45</v>
      </c>
      <c r="AB384" s="6" t="s">
        <v>46</v>
      </c>
      <c r="AC384" s="6" t="s">
        <v>177</v>
      </c>
      <c r="AD384" s="9"/>
      <c r="AE384" s="9"/>
      <c r="AF384" s="9"/>
      <c r="AG384" s="9"/>
    </row>
    <row r="385">
      <c r="A385" s="21">
        <f>COUNTIF('Histórico'!$B:$B,B385)</f>
        <v>1</v>
      </c>
      <c r="B385" s="21" t="s">
        <v>1322</v>
      </c>
      <c r="C385" s="9"/>
      <c r="D385" s="6" t="s">
        <v>39</v>
      </c>
      <c r="E385" s="6" t="s">
        <v>1222</v>
      </c>
      <c r="F385" s="23">
        <v>46237.0</v>
      </c>
      <c r="G385" s="6" t="s">
        <v>41</v>
      </c>
      <c r="H385" s="9"/>
      <c r="I385" s="6" t="s">
        <v>1320</v>
      </c>
      <c r="J385" s="6">
        <v>53468.0</v>
      </c>
      <c r="K385" s="6" t="s">
        <v>698</v>
      </c>
      <c r="L385" s="14" t="s">
        <v>1323</v>
      </c>
      <c r="M385" s="9"/>
      <c r="N385" s="9"/>
      <c r="O385" s="9"/>
      <c r="P385" s="9"/>
      <c r="Q385" s="6">
        <v>1.0</v>
      </c>
      <c r="R385" s="23">
        <v>46237.0</v>
      </c>
      <c r="S385" s="23">
        <v>46272.0</v>
      </c>
      <c r="T385" s="9"/>
      <c r="U385" s="9"/>
      <c r="V385" s="6" t="s">
        <v>44</v>
      </c>
      <c r="W385" s="9"/>
      <c r="X385" s="6" t="s">
        <v>45</v>
      </c>
      <c r="Y385" s="6" t="s">
        <v>46</v>
      </c>
      <c r="Z385" s="6">
        <v>3.040317036E9</v>
      </c>
      <c r="AA385" s="6" t="s">
        <v>45</v>
      </c>
      <c r="AB385" s="6" t="s">
        <v>46</v>
      </c>
      <c r="AC385" s="6" t="s">
        <v>177</v>
      </c>
      <c r="AD385" s="9"/>
      <c r="AE385" s="9"/>
      <c r="AF385" s="9"/>
      <c r="AG385" s="9"/>
    </row>
    <row r="386">
      <c r="A386" s="21">
        <f>COUNTIF('Histórico'!$B:$B,B386)</f>
        <v>1</v>
      </c>
      <c r="B386" s="21" t="s">
        <v>1324</v>
      </c>
      <c r="C386" s="9"/>
      <c r="D386" s="6" t="s">
        <v>39</v>
      </c>
      <c r="E386" s="6" t="s">
        <v>1222</v>
      </c>
      <c r="F386" s="23">
        <v>46237.0</v>
      </c>
      <c r="G386" s="6" t="s">
        <v>41</v>
      </c>
      <c r="H386" s="9"/>
      <c r="I386" s="6" t="s">
        <v>1320</v>
      </c>
      <c r="J386" s="6">
        <v>53468.0</v>
      </c>
      <c r="K386" s="6" t="s">
        <v>698</v>
      </c>
      <c r="L386" s="14" t="s">
        <v>1326</v>
      </c>
      <c r="M386" s="9"/>
      <c r="N386" s="9"/>
      <c r="O386" s="9"/>
      <c r="P386" s="9"/>
      <c r="Q386" s="6">
        <v>1.0</v>
      </c>
      <c r="R386" s="23">
        <v>46237.0</v>
      </c>
      <c r="S386" s="23">
        <v>46241.0</v>
      </c>
      <c r="T386" s="9"/>
      <c r="U386" s="9"/>
      <c r="V386" s="6" t="s">
        <v>44</v>
      </c>
      <c r="W386" s="9"/>
      <c r="X386" s="6" t="s">
        <v>45</v>
      </c>
      <c r="Y386" s="6" t="s">
        <v>46</v>
      </c>
      <c r="Z386" s="6">
        <v>3.040317037E9</v>
      </c>
      <c r="AA386" s="6" t="s">
        <v>45</v>
      </c>
      <c r="AB386" s="6" t="s">
        <v>46</v>
      </c>
      <c r="AC386" s="6" t="s">
        <v>177</v>
      </c>
      <c r="AD386" s="9"/>
      <c r="AE386" s="9"/>
      <c r="AF386" s="9"/>
      <c r="AG386" s="9"/>
    </row>
    <row r="387">
      <c r="A387" s="21">
        <f>COUNTIF('Histórico'!$B:$B,B387)</f>
        <v>1</v>
      </c>
      <c r="B387" s="21" t="s">
        <v>1327</v>
      </c>
      <c r="C387" s="9"/>
      <c r="D387" s="6" t="s">
        <v>39</v>
      </c>
      <c r="E387" s="6" t="s">
        <v>1222</v>
      </c>
      <c r="F387" s="23">
        <v>46237.0</v>
      </c>
      <c r="G387" s="6" t="s">
        <v>41</v>
      </c>
      <c r="H387" s="9"/>
      <c r="I387" s="6" t="s">
        <v>1320</v>
      </c>
      <c r="J387" s="6">
        <v>53468.0</v>
      </c>
      <c r="K387" s="6" t="s">
        <v>698</v>
      </c>
      <c r="L387" s="14" t="s">
        <v>1328</v>
      </c>
      <c r="M387" s="9"/>
      <c r="N387" s="9"/>
      <c r="O387" s="9"/>
      <c r="P387" s="9"/>
      <c r="Q387" s="6">
        <v>1.0</v>
      </c>
      <c r="R387" s="23">
        <v>46237.0</v>
      </c>
      <c r="S387" s="23">
        <v>46272.0</v>
      </c>
      <c r="T387" s="9"/>
      <c r="U387" s="9"/>
      <c r="V387" s="6" t="s">
        <v>44</v>
      </c>
      <c r="W387" s="9"/>
      <c r="X387" s="6" t="s">
        <v>45</v>
      </c>
      <c r="Y387" s="6" t="s">
        <v>46</v>
      </c>
      <c r="Z387" s="6">
        <v>3.040317038E9</v>
      </c>
      <c r="AA387" s="6" t="s">
        <v>45</v>
      </c>
      <c r="AB387" s="6" t="s">
        <v>46</v>
      </c>
      <c r="AC387" s="6" t="s">
        <v>177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0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0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0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0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0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0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0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0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0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0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0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0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0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0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0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0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0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0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0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0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0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0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0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0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0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0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0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0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0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0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0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0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0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0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0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0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0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0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0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0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0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0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0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0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0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0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0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0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0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0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0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0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0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0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0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0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0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0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0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0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0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0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0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0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0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0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0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0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0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0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0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0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0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0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0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0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0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0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0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0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0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0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0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0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0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0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0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0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0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0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0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0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0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0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0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0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0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0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0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0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0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0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0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0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0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0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0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0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0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0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0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0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0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0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0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0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0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0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0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0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0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0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0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0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0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0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0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0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0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0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0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0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0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0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0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0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0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0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0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0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0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0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0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0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0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0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0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0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0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0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0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0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0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0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0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0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0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0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0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0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0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0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0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0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0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0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0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0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0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0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0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0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0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0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0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0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0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0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0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0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0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0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0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0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0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0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0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0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0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0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0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0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0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0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0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0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0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0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0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0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0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0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0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0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0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0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0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0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0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0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0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0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0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0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0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0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0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0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0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0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0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0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0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0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0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0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0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0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0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0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0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0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0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0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0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0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0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0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0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0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0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0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0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0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0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0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0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0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0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0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0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0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0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0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0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0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0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0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0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0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0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0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0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0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0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0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0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0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0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0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0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0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0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0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0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0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0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0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0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0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0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0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0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0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0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0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0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0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0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0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0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0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0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0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0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0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0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0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0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0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0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0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0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0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0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0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0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0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0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0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0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0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0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0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0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0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0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0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0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0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0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0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0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0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0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0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0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0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0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0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0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0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0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0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0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0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0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0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0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0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0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0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0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0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0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0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0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0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0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0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0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0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0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0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0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0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0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0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0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0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0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0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0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0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0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0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0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0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0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0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0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0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0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0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0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0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0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0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0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0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0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0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0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0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0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0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0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0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0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0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0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0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0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0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0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0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0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0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0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0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0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0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0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0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0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0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0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0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0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0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0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0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0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0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0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0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0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0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0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0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0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0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0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0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0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0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0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0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0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0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0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0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0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0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0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0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0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0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0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0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0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0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0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0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0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0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0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0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0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0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0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0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0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0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0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0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0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0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0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0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0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0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0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0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0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0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0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0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0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0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0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0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0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0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0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0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0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0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0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0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0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0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0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0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0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0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0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0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0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0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0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0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0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0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0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0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0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0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0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0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0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0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0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0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0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0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0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0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0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0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0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0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0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0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0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0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0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0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0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0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0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0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0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0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0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0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0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0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0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0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0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0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0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0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0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0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0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0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0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0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0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0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0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0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0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0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0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0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0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0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0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0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0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0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0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0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0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0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0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0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0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0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0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0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0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0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0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0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0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0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0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0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0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0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0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0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0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0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0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0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0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0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0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0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0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0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0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0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0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0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0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0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0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0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0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0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0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0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0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0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0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0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0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0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0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0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0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0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0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0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0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0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0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1"/>
      <c r="B1" s="21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1384</v>
      </c>
      <c r="AG1" s="55"/>
    </row>
    <row r="2">
      <c r="A2" s="21" t="s">
        <v>1385</v>
      </c>
      <c r="B2" s="21" t="s">
        <v>7</v>
      </c>
      <c r="C2" s="6" t="s">
        <v>8</v>
      </c>
      <c r="D2" s="6" t="s">
        <v>9</v>
      </c>
      <c r="E2" s="6" t="s">
        <v>10</v>
      </c>
      <c r="F2" s="6" t="s">
        <v>11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6" t="s">
        <v>17</v>
      </c>
      <c r="M2" s="6" t="s">
        <v>18</v>
      </c>
      <c r="N2" s="6" t="s">
        <v>19</v>
      </c>
      <c r="O2" s="6" t="s">
        <v>20</v>
      </c>
      <c r="P2" s="6" t="s">
        <v>21</v>
      </c>
      <c r="Q2" s="6" t="s">
        <v>22</v>
      </c>
      <c r="R2" s="6" t="s">
        <v>23</v>
      </c>
      <c r="S2" s="6" t="s">
        <v>24</v>
      </c>
      <c r="T2" s="6" t="s">
        <v>25</v>
      </c>
      <c r="U2" s="6" t="s">
        <v>26</v>
      </c>
      <c r="V2" s="6" t="s">
        <v>27</v>
      </c>
      <c r="W2" s="6" t="s">
        <v>28</v>
      </c>
      <c r="X2" s="6" t="s">
        <v>29</v>
      </c>
      <c r="Y2" s="6" t="s">
        <v>30</v>
      </c>
      <c r="Z2" s="6" t="s">
        <v>31</v>
      </c>
      <c r="AA2" s="6" t="s">
        <v>32</v>
      </c>
      <c r="AB2" s="6" t="s">
        <v>33</v>
      </c>
      <c r="AC2" s="6" t="s">
        <v>34</v>
      </c>
      <c r="AD2" s="6" t="s">
        <v>35</v>
      </c>
      <c r="AE2" s="55"/>
      <c r="AF2" s="55"/>
      <c r="AG2" s="55"/>
    </row>
    <row r="3">
      <c r="A3" s="21">
        <f>COUNTIF('Divulgação'!$B:$B,B3)</f>
        <v>1</v>
      </c>
      <c r="B3" s="62" t="s">
        <v>38</v>
      </c>
      <c r="C3" s="55"/>
      <c r="D3" s="6" t="s">
        <v>39</v>
      </c>
      <c r="E3" s="6" t="s">
        <v>40</v>
      </c>
      <c r="F3" s="63" t="s">
        <v>1386</v>
      </c>
      <c r="G3" s="6" t="s">
        <v>41</v>
      </c>
      <c r="H3" s="63" t="s">
        <v>1386</v>
      </c>
      <c r="I3" s="21" t="s">
        <v>42</v>
      </c>
      <c r="J3" s="63" t="s">
        <v>1387</v>
      </c>
      <c r="K3" s="6" t="s">
        <v>43</v>
      </c>
      <c r="L3" s="63" t="s">
        <v>1388</v>
      </c>
      <c r="M3" s="55"/>
      <c r="N3" s="55"/>
      <c r="O3" s="55"/>
      <c r="P3" s="55"/>
      <c r="Q3" s="6">
        <v>1.0</v>
      </c>
      <c r="R3" s="23">
        <v>45694.0</v>
      </c>
      <c r="S3" s="23">
        <v>45700.0</v>
      </c>
      <c r="T3" s="23">
        <v>45698.0</v>
      </c>
      <c r="U3" s="55"/>
      <c r="V3" s="6" t="s">
        <v>44</v>
      </c>
      <c r="W3" s="55"/>
      <c r="X3" s="6" t="s">
        <v>45</v>
      </c>
      <c r="Y3" s="6" t="s">
        <v>46</v>
      </c>
      <c r="Z3" s="6">
        <v>3.040205095E9</v>
      </c>
      <c r="AA3" s="6" t="s">
        <v>45</v>
      </c>
      <c r="AB3" s="6" t="s">
        <v>46</v>
      </c>
      <c r="AC3" s="6" t="s">
        <v>47</v>
      </c>
      <c r="AD3" s="55"/>
      <c r="AE3" s="55"/>
      <c r="AF3" s="55"/>
      <c r="AG3" s="55"/>
    </row>
    <row r="4">
      <c r="A4" s="21">
        <f>COUNTIF('Divulgação'!$B:$B,B4)</f>
        <v>1</v>
      </c>
      <c r="B4" s="62" t="s">
        <v>48</v>
      </c>
      <c r="C4" s="55"/>
      <c r="D4" s="6" t="s">
        <v>39</v>
      </c>
      <c r="E4" s="6" t="s">
        <v>40</v>
      </c>
      <c r="F4" s="63" t="s">
        <v>1389</v>
      </c>
      <c r="G4" s="6" t="s">
        <v>41</v>
      </c>
      <c r="H4" s="63" t="s">
        <v>1389</v>
      </c>
      <c r="I4" s="21" t="s">
        <v>51</v>
      </c>
      <c r="J4" s="63" t="s">
        <v>1390</v>
      </c>
      <c r="K4" s="6" t="s">
        <v>54</v>
      </c>
      <c r="L4" s="6" t="s">
        <v>55</v>
      </c>
      <c r="M4" s="55"/>
      <c r="N4" s="55"/>
      <c r="O4" s="55"/>
      <c r="P4" s="55"/>
      <c r="Q4" s="6">
        <v>1.0</v>
      </c>
      <c r="R4" s="23">
        <v>45713.0</v>
      </c>
      <c r="S4" s="23">
        <v>45719.0</v>
      </c>
      <c r="T4" s="23">
        <v>45714.0</v>
      </c>
      <c r="U4" s="55"/>
      <c r="V4" s="6" t="s">
        <v>44</v>
      </c>
      <c r="W4" s="55"/>
      <c r="X4" s="6" t="s">
        <v>45</v>
      </c>
      <c r="Y4" s="6" t="s">
        <v>46</v>
      </c>
      <c r="Z4" s="6">
        <v>3.04030802E9</v>
      </c>
      <c r="AA4" s="6" t="s">
        <v>57</v>
      </c>
      <c r="AB4" s="6" t="s">
        <v>58</v>
      </c>
      <c r="AC4" s="6" t="s">
        <v>59</v>
      </c>
      <c r="AD4" s="55"/>
      <c r="AE4" s="55"/>
      <c r="AF4" s="55"/>
      <c r="AG4" s="55"/>
    </row>
    <row r="5">
      <c r="A5" s="21">
        <f>COUNTIF('Divulgação'!$B:$B,B5)</f>
        <v>1</v>
      </c>
      <c r="B5" s="62" t="s">
        <v>61</v>
      </c>
      <c r="C5" s="55"/>
      <c r="D5" s="6" t="s">
        <v>39</v>
      </c>
      <c r="E5" s="6" t="s">
        <v>40</v>
      </c>
      <c r="F5" s="63" t="s">
        <v>1389</v>
      </c>
      <c r="G5" s="6" t="s">
        <v>41</v>
      </c>
      <c r="H5" s="63" t="s">
        <v>1389</v>
      </c>
      <c r="I5" s="21" t="s">
        <v>51</v>
      </c>
      <c r="J5" s="63" t="s">
        <v>1390</v>
      </c>
      <c r="K5" s="6" t="s">
        <v>54</v>
      </c>
      <c r="L5" s="6" t="s">
        <v>67</v>
      </c>
      <c r="M5" s="55"/>
      <c r="N5" s="55"/>
      <c r="O5" s="55"/>
      <c r="P5" s="55"/>
      <c r="Q5" s="6">
        <v>1.0</v>
      </c>
      <c r="R5" s="23">
        <v>45713.0</v>
      </c>
      <c r="S5" s="23">
        <v>45719.0</v>
      </c>
      <c r="T5" s="23">
        <v>45714.0</v>
      </c>
      <c r="U5" s="55"/>
      <c r="V5" s="6" t="s">
        <v>103</v>
      </c>
      <c r="W5" s="6">
        <v>6.85250007776E11</v>
      </c>
      <c r="X5" s="6" t="s">
        <v>45</v>
      </c>
      <c r="Y5" s="6" t="s">
        <v>46</v>
      </c>
      <c r="Z5" s="6">
        <v>3.040309304E9</v>
      </c>
      <c r="AA5" s="6" t="s">
        <v>63</v>
      </c>
      <c r="AB5" s="6" t="s">
        <v>72</v>
      </c>
      <c r="AC5" s="6" t="s">
        <v>74</v>
      </c>
      <c r="AD5" s="55"/>
      <c r="AE5" s="55"/>
      <c r="AF5" s="55"/>
      <c r="AG5" s="55"/>
    </row>
    <row r="6">
      <c r="A6" s="21">
        <f>COUNTIF('Divulgação'!$B:$B,B6)</f>
        <v>1</v>
      </c>
      <c r="B6" s="62" t="s">
        <v>77</v>
      </c>
      <c r="C6" s="55"/>
      <c r="D6" s="6" t="s">
        <v>39</v>
      </c>
      <c r="E6" s="6" t="s">
        <v>40</v>
      </c>
      <c r="F6" s="63" t="s">
        <v>1389</v>
      </c>
      <c r="G6" s="6" t="s">
        <v>41</v>
      </c>
      <c r="H6" s="63" t="s">
        <v>1389</v>
      </c>
      <c r="I6" s="62" t="s">
        <v>1392</v>
      </c>
      <c r="J6" s="63" t="s">
        <v>1393</v>
      </c>
      <c r="K6" s="6" t="s">
        <v>78</v>
      </c>
      <c r="L6" s="63" t="s">
        <v>1394</v>
      </c>
      <c r="M6" s="55"/>
      <c r="N6" s="55"/>
      <c r="O6" s="55"/>
      <c r="P6" s="55"/>
      <c r="Q6" s="6">
        <v>1.0</v>
      </c>
      <c r="R6" s="23">
        <v>45713.0</v>
      </c>
      <c r="S6" s="23">
        <v>45964.0</v>
      </c>
      <c r="T6" s="23">
        <v>45714.0</v>
      </c>
      <c r="U6" s="55"/>
      <c r="V6" s="6" t="s">
        <v>44</v>
      </c>
      <c r="W6" s="55"/>
      <c r="X6" s="6" t="s">
        <v>45</v>
      </c>
      <c r="Y6" s="6" t="s">
        <v>46</v>
      </c>
      <c r="Z6" s="6">
        <v>3.040310537E9</v>
      </c>
      <c r="AA6" s="6" t="s">
        <v>45</v>
      </c>
      <c r="AB6" s="6" t="s">
        <v>46</v>
      </c>
      <c r="AC6" s="6" t="s">
        <v>80</v>
      </c>
      <c r="AD6" s="55"/>
      <c r="AE6" s="55"/>
      <c r="AF6" s="55"/>
      <c r="AG6" s="55"/>
    </row>
    <row r="7">
      <c r="A7" s="21">
        <f>COUNTIF('Divulgação'!$B:$B,B7)</f>
        <v>1</v>
      </c>
      <c r="B7" s="62" t="s">
        <v>81</v>
      </c>
      <c r="C7" s="55"/>
      <c r="D7" s="6" t="s">
        <v>39</v>
      </c>
      <c r="E7" s="6" t="s">
        <v>40</v>
      </c>
      <c r="F7" s="63" t="s">
        <v>1395</v>
      </c>
      <c r="G7" s="6" t="s">
        <v>41</v>
      </c>
      <c r="H7" s="63" t="s">
        <v>1395</v>
      </c>
      <c r="I7" s="21" t="s">
        <v>84</v>
      </c>
      <c r="J7" s="63" t="s">
        <v>1396</v>
      </c>
      <c r="K7" s="6" t="s">
        <v>85</v>
      </c>
      <c r="L7" s="63" t="s">
        <v>1397</v>
      </c>
      <c r="M7" s="55"/>
      <c r="N7" s="55"/>
      <c r="O7" s="55"/>
      <c r="P7" s="55"/>
      <c r="Q7" s="6">
        <v>1.0</v>
      </c>
      <c r="R7" s="23">
        <v>45730.0</v>
      </c>
      <c r="S7" s="23">
        <v>45736.0</v>
      </c>
      <c r="T7" s="23">
        <v>45736.0</v>
      </c>
      <c r="U7" s="55"/>
      <c r="V7" s="6" t="s">
        <v>44</v>
      </c>
      <c r="W7" s="55"/>
      <c r="X7" s="6" t="s">
        <v>45</v>
      </c>
      <c r="Y7" s="6" t="s">
        <v>46</v>
      </c>
      <c r="Z7" s="6">
        <v>3.040310142E9</v>
      </c>
      <c r="AA7" s="6" t="s">
        <v>63</v>
      </c>
      <c r="AB7" s="6" t="s">
        <v>72</v>
      </c>
      <c r="AC7" s="6" t="s">
        <v>74</v>
      </c>
      <c r="AD7" s="55"/>
      <c r="AE7" s="55"/>
      <c r="AF7" s="55"/>
      <c r="AG7" s="55"/>
    </row>
    <row r="8">
      <c r="A8" s="21">
        <f>COUNTIF('Divulgação'!$B:$B,B8)</f>
        <v>1</v>
      </c>
      <c r="B8" s="62" t="s">
        <v>138</v>
      </c>
      <c r="C8" s="55"/>
      <c r="D8" s="6" t="s">
        <v>39</v>
      </c>
      <c r="E8" s="6" t="s">
        <v>40</v>
      </c>
      <c r="F8" s="63" t="s">
        <v>1395</v>
      </c>
      <c r="G8" s="6" t="s">
        <v>41</v>
      </c>
      <c r="H8" s="63" t="s">
        <v>1395</v>
      </c>
      <c r="I8" s="21" t="s">
        <v>90</v>
      </c>
      <c r="J8" s="63" t="s">
        <v>1398</v>
      </c>
      <c r="K8" s="6" t="s">
        <v>91</v>
      </c>
      <c r="L8" s="63" t="s">
        <v>1399</v>
      </c>
      <c r="M8" s="55"/>
      <c r="N8" s="55"/>
      <c r="O8" s="55"/>
      <c r="P8" s="55"/>
      <c r="Q8" s="6">
        <v>1.0</v>
      </c>
      <c r="R8" s="23">
        <v>45730.0</v>
      </c>
      <c r="S8" s="23">
        <v>45757.0</v>
      </c>
      <c r="T8" s="23">
        <v>45736.0</v>
      </c>
      <c r="U8" s="55"/>
      <c r="V8" s="6" t="s">
        <v>44</v>
      </c>
      <c r="W8" s="55"/>
      <c r="X8" s="6" t="s">
        <v>45</v>
      </c>
      <c r="Y8" s="6" t="s">
        <v>46</v>
      </c>
      <c r="Z8" s="6">
        <v>3.04030642E9</v>
      </c>
      <c r="AA8" s="6" t="s">
        <v>143</v>
      </c>
      <c r="AB8" s="6" t="s">
        <v>144</v>
      </c>
      <c r="AC8" s="6" t="s">
        <v>145</v>
      </c>
      <c r="AD8" s="55"/>
      <c r="AE8" s="55"/>
      <c r="AF8" s="55"/>
      <c r="AG8" s="55"/>
    </row>
    <row r="9">
      <c r="A9" s="21">
        <f>COUNTIF('Divulgação'!$B:$B,B9)</f>
        <v>1</v>
      </c>
      <c r="B9" s="62" t="s">
        <v>600</v>
      </c>
      <c r="C9" s="55"/>
      <c r="D9" s="6" t="s">
        <v>39</v>
      </c>
      <c r="E9" s="6" t="s">
        <v>40</v>
      </c>
      <c r="F9" s="63" t="s">
        <v>1395</v>
      </c>
      <c r="G9" s="6" t="s">
        <v>41</v>
      </c>
      <c r="H9" s="63" t="s">
        <v>1395</v>
      </c>
      <c r="I9" s="21" t="s">
        <v>100</v>
      </c>
      <c r="J9" s="63" t="s">
        <v>1400</v>
      </c>
      <c r="K9" s="6" t="s">
        <v>101</v>
      </c>
      <c r="L9" s="63" t="s">
        <v>1401</v>
      </c>
      <c r="M9" s="55"/>
      <c r="N9" s="55"/>
      <c r="O9" s="55"/>
      <c r="P9" s="55"/>
      <c r="Q9" s="6">
        <v>1.0</v>
      </c>
      <c r="R9" s="23">
        <v>45730.0</v>
      </c>
      <c r="S9" s="50">
        <v>45981.0</v>
      </c>
      <c r="T9" s="23">
        <v>45736.0</v>
      </c>
      <c r="U9" s="55"/>
      <c r="V9" s="6" t="s">
        <v>103</v>
      </c>
      <c r="W9" s="6">
        <v>3.13250016538E11</v>
      </c>
      <c r="X9" s="6" t="s">
        <v>45</v>
      </c>
      <c r="Y9" s="6" t="s">
        <v>46</v>
      </c>
      <c r="Z9" s="6">
        <v>3.04030957E9</v>
      </c>
      <c r="AA9" s="6" t="s">
        <v>63</v>
      </c>
      <c r="AB9" s="6" t="s">
        <v>72</v>
      </c>
      <c r="AC9" s="6" t="s">
        <v>360</v>
      </c>
      <c r="AD9" s="55"/>
      <c r="AE9" s="55"/>
      <c r="AF9" s="55"/>
      <c r="AG9" s="55"/>
    </row>
    <row r="10">
      <c r="A10" s="21">
        <f>COUNTIF('Divulgação'!$B:$B,B10)</f>
        <v>1</v>
      </c>
      <c r="B10" s="62" t="s">
        <v>116</v>
      </c>
      <c r="C10" s="55"/>
      <c r="D10" s="6" t="s">
        <v>39</v>
      </c>
      <c r="E10" s="6" t="s">
        <v>40</v>
      </c>
      <c r="F10" s="63" t="s">
        <v>1395</v>
      </c>
      <c r="G10" s="6" t="s">
        <v>41</v>
      </c>
      <c r="H10" s="63" t="s">
        <v>1395</v>
      </c>
      <c r="I10" s="21" t="s">
        <v>100</v>
      </c>
      <c r="J10" s="63" t="s">
        <v>1400</v>
      </c>
      <c r="K10" s="6" t="s">
        <v>101</v>
      </c>
      <c r="L10" s="63" t="s">
        <v>1402</v>
      </c>
      <c r="M10" s="55"/>
      <c r="N10" s="55"/>
      <c r="O10" s="55"/>
      <c r="P10" s="55"/>
      <c r="Q10" s="6">
        <v>1.0</v>
      </c>
      <c r="R10" s="23">
        <v>45730.0</v>
      </c>
      <c r="S10" s="50">
        <v>45981.0</v>
      </c>
      <c r="T10" s="23">
        <v>45736.0</v>
      </c>
      <c r="U10" s="55"/>
      <c r="V10" s="6" t="s">
        <v>103</v>
      </c>
      <c r="W10" s="6">
        <v>3.04250073785E11</v>
      </c>
      <c r="X10" s="6" t="s">
        <v>45</v>
      </c>
      <c r="Y10" s="6" t="s">
        <v>46</v>
      </c>
      <c r="Z10" s="6">
        <v>3.040307586E9</v>
      </c>
      <c r="AA10" s="6" t="s">
        <v>62</v>
      </c>
      <c r="AB10" s="6" t="s">
        <v>120</v>
      </c>
      <c r="AC10" s="6" t="s">
        <v>121</v>
      </c>
      <c r="AD10" s="55"/>
      <c r="AE10" s="55"/>
      <c r="AF10" s="55"/>
      <c r="AG10" s="55"/>
    </row>
    <row r="11">
      <c r="A11" s="21">
        <f>COUNTIF('Divulgação'!$B:$B,B11)</f>
        <v>1</v>
      </c>
      <c r="B11" s="62" t="s">
        <v>96</v>
      </c>
      <c r="C11" s="55"/>
      <c r="D11" s="6" t="s">
        <v>39</v>
      </c>
      <c r="E11" s="6" t="s">
        <v>40</v>
      </c>
      <c r="F11" s="63" t="s">
        <v>1395</v>
      </c>
      <c r="G11" s="6" t="s">
        <v>41</v>
      </c>
      <c r="H11" s="63" t="s">
        <v>1395</v>
      </c>
      <c r="I11" s="21" t="s">
        <v>100</v>
      </c>
      <c r="J11" s="63" t="s">
        <v>1400</v>
      </c>
      <c r="K11" s="6" t="s">
        <v>101</v>
      </c>
      <c r="L11" s="6" t="s">
        <v>102</v>
      </c>
      <c r="M11" s="55"/>
      <c r="N11" s="55"/>
      <c r="O11" s="55"/>
      <c r="P11" s="55"/>
      <c r="Q11" s="6">
        <v>1.0</v>
      </c>
      <c r="R11" s="23">
        <v>45730.0</v>
      </c>
      <c r="S11" s="50">
        <v>45981.0</v>
      </c>
      <c r="T11" s="23">
        <v>45736.0</v>
      </c>
      <c r="U11" s="55"/>
      <c r="V11" s="6" t="s">
        <v>44</v>
      </c>
      <c r="W11" s="55"/>
      <c r="X11" s="6" t="s">
        <v>45</v>
      </c>
      <c r="Y11" s="6" t="s">
        <v>46</v>
      </c>
      <c r="Z11" s="6">
        <v>3.040304272E9</v>
      </c>
      <c r="AA11" s="6" t="s">
        <v>64</v>
      </c>
      <c r="AB11" s="6" t="s">
        <v>94</v>
      </c>
      <c r="AC11" s="6" t="s">
        <v>95</v>
      </c>
      <c r="AD11" s="55"/>
      <c r="AE11" s="55"/>
      <c r="AF11" s="55"/>
      <c r="AG11" s="55"/>
    </row>
    <row r="12">
      <c r="A12" s="21">
        <f>COUNTIF('Divulgação'!$B:$B,B12)</f>
        <v>1</v>
      </c>
      <c r="B12" s="62" t="s">
        <v>89</v>
      </c>
      <c r="C12" s="55"/>
      <c r="D12" s="6" t="s">
        <v>39</v>
      </c>
      <c r="E12" s="6" t="s">
        <v>40</v>
      </c>
      <c r="F12" s="63" t="s">
        <v>1395</v>
      </c>
      <c r="G12" s="6" t="s">
        <v>41</v>
      </c>
      <c r="H12" s="63" t="s">
        <v>1395</v>
      </c>
      <c r="I12" s="21" t="s">
        <v>90</v>
      </c>
      <c r="J12" s="63" t="s">
        <v>1398</v>
      </c>
      <c r="K12" s="6" t="s">
        <v>91</v>
      </c>
      <c r="L12" s="63" t="s">
        <v>1403</v>
      </c>
      <c r="M12" s="55"/>
      <c r="N12" s="55"/>
      <c r="O12" s="55"/>
      <c r="P12" s="55"/>
      <c r="Q12" s="6">
        <v>1.0</v>
      </c>
      <c r="R12" s="23">
        <v>45730.0</v>
      </c>
      <c r="S12" s="23">
        <v>45736.0</v>
      </c>
      <c r="T12" s="23">
        <v>45736.0</v>
      </c>
      <c r="U12" s="55"/>
      <c r="V12" s="6" t="s">
        <v>44</v>
      </c>
      <c r="W12" s="55"/>
      <c r="X12" s="6" t="s">
        <v>45</v>
      </c>
      <c r="Y12" s="6" t="s">
        <v>46</v>
      </c>
      <c r="Z12" s="6">
        <v>3.040309199E9</v>
      </c>
      <c r="AA12" s="6" t="s">
        <v>64</v>
      </c>
      <c r="AB12" s="6" t="s">
        <v>94</v>
      </c>
      <c r="AC12" s="6" t="s">
        <v>95</v>
      </c>
      <c r="AD12" s="55"/>
      <c r="AE12" s="55"/>
      <c r="AF12" s="55"/>
      <c r="AG12" s="55"/>
    </row>
    <row r="13">
      <c r="A13" s="21">
        <f>COUNTIF('Divulgação'!$B:$B,B13)</f>
        <v>1</v>
      </c>
      <c r="B13" s="62" t="s">
        <v>154</v>
      </c>
      <c r="C13" s="55"/>
      <c r="D13" s="6" t="s">
        <v>39</v>
      </c>
      <c r="E13" s="6" t="s">
        <v>40</v>
      </c>
      <c r="F13" s="63" t="s">
        <v>1395</v>
      </c>
      <c r="G13" s="6" t="s">
        <v>41</v>
      </c>
      <c r="H13" s="63" t="s">
        <v>1395</v>
      </c>
      <c r="I13" s="21" t="s">
        <v>155</v>
      </c>
      <c r="J13" s="6" t="s">
        <v>156</v>
      </c>
      <c r="K13" s="6" t="s">
        <v>157</v>
      </c>
      <c r="L13" s="63" t="s">
        <v>1404</v>
      </c>
      <c r="M13" s="55"/>
      <c r="N13" s="55"/>
      <c r="O13" s="55"/>
      <c r="P13" s="55"/>
      <c r="Q13" s="6">
        <v>1.0</v>
      </c>
      <c r="R13" s="23">
        <v>45730.0</v>
      </c>
      <c r="S13" s="50">
        <v>45981.0</v>
      </c>
      <c r="T13" s="23">
        <v>45736.0</v>
      </c>
      <c r="U13" s="55"/>
      <c r="V13" s="6" t="s">
        <v>103</v>
      </c>
      <c r="W13" s="6">
        <v>3.13250017551E11</v>
      </c>
      <c r="X13" s="6" t="s">
        <v>45</v>
      </c>
      <c r="Y13" s="6" t="s">
        <v>46</v>
      </c>
      <c r="Z13" s="6">
        <v>3.040239627E9</v>
      </c>
      <c r="AA13" s="6" t="s">
        <v>160</v>
      </c>
      <c r="AB13" s="6" t="s">
        <v>161</v>
      </c>
      <c r="AC13" s="6" t="s">
        <v>162</v>
      </c>
      <c r="AD13" s="55"/>
      <c r="AE13" s="55"/>
      <c r="AF13" s="55"/>
      <c r="AG13" s="55"/>
    </row>
    <row r="14">
      <c r="A14" s="21">
        <f>COUNTIF('Divulgação'!$B:$B,B14)</f>
        <v>1</v>
      </c>
      <c r="B14" s="62" t="s">
        <v>903</v>
      </c>
      <c r="C14" s="55"/>
      <c r="D14" s="6" t="s">
        <v>39</v>
      </c>
      <c r="E14" s="6" t="s">
        <v>40</v>
      </c>
      <c r="F14" s="63" t="s">
        <v>1395</v>
      </c>
      <c r="G14" s="6" t="s">
        <v>41</v>
      </c>
      <c r="H14" s="63" t="s">
        <v>1395</v>
      </c>
      <c r="I14" s="21" t="s">
        <v>155</v>
      </c>
      <c r="J14" s="6" t="s">
        <v>156</v>
      </c>
      <c r="K14" s="6" t="s">
        <v>157</v>
      </c>
      <c r="L14" s="63" t="s">
        <v>1405</v>
      </c>
      <c r="M14" s="55"/>
      <c r="N14" s="55"/>
      <c r="O14" s="55"/>
      <c r="P14" s="55"/>
      <c r="Q14" s="6">
        <v>1.0</v>
      </c>
      <c r="R14" s="23">
        <v>45730.0</v>
      </c>
      <c r="S14" s="50">
        <v>45981.0</v>
      </c>
      <c r="T14" s="23">
        <v>45736.0</v>
      </c>
      <c r="U14" s="55"/>
      <c r="V14" s="6" t="s">
        <v>44</v>
      </c>
      <c r="W14" s="55"/>
      <c r="X14" s="6" t="s">
        <v>45</v>
      </c>
      <c r="Y14" s="6" t="s">
        <v>46</v>
      </c>
      <c r="Z14" s="6">
        <v>3.04024468E9</v>
      </c>
      <c r="AA14" s="6" t="s">
        <v>160</v>
      </c>
      <c r="AB14" s="6" t="s">
        <v>1406</v>
      </c>
      <c r="AC14" s="6" t="s">
        <v>1407</v>
      </c>
      <c r="AD14" s="55"/>
      <c r="AE14" s="55"/>
      <c r="AF14" s="55"/>
      <c r="AG14" s="55"/>
    </row>
    <row r="15">
      <c r="A15" s="21">
        <f>COUNTIF('Divulgação'!$B:$B,B15)</f>
        <v>1</v>
      </c>
      <c r="B15" s="62" t="s">
        <v>146</v>
      </c>
      <c r="C15" s="55"/>
      <c r="D15" s="6" t="s">
        <v>39</v>
      </c>
      <c r="E15" s="6" t="s">
        <v>40</v>
      </c>
      <c r="F15" s="63" t="s">
        <v>1395</v>
      </c>
      <c r="G15" s="6" t="s">
        <v>41</v>
      </c>
      <c r="H15" s="63" t="s">
        <v>1395</v>
      </c>
      <c r="I15" s="21" t="s">
        <v>147</v>
      </c>
      <c r="J15" s="63" t="s">
        <v>1408</v>
      </c>
      <c r="K15" s="6" t="s">
        <v>148</v>
      </c>
      <c r="L15" s="6" t="s">
        <v>150</v>
      </c>
      <c r="M15" s="55"/>
      <c r="N15" s="55"/>
      <c r="O15" s="55"/>
      <c r="P15" s="55"/>
      <c r="Q15" s="6">
        <v>1.0</v>
      </c>
      <c r="R15" s="23">
        <v>45730.0</v>
      </c>
      <c r="S15" s="23">
        <v>45736.0</v>
      </c>
      <c r="T15" s="23">
        <v>45736.0</v>
      </c>
      <c r="U15" s="55"/>
      <c r="V15" s="6" t="s">
        <v>44</v>
      </c>
      <c r="W15" s="55"/>
      <c r="X15" s="6" t="s">
        <v>45</v>
      </c>
      <c r="Y15" s="6" t="s">
        <v>46</v>
      </c>
      <c r="Z15" s="6">
        <v>3.040310112E9</v>
      </c>
      <c r="AA15" s="6" t="s">
        <v>75</v>
      </c>
      <c r="AB15" s="6" t="s">
        <v>152</v>
      </c>
      <c r="AC15" s="6" t="s">
        <v>153</v>
      </c>
      <c r="AD15" s="55"/>
      <c r="AE15" s="55"/>
      <c r="AF15" s="55"/>
      <c r="AG15" s="55"/>
    </row>
    <row r="16">
      <c r="A16" s="21">
        <f>COUNTIF('Divulgação'!$B:$B,B16)</f>
        <v>1</v>
      </c>
      <c r="B16" s="62" t="s">
        <v>163</v>
      </c>
      <c r="C16" s="55"/>
      <c r="D16" s="6" t="s">
        <v>39</v>
      </c>
      <c r="E16" s="6" t="s">
        <v>40</v>
      </c>
      <c r="F16" s="63" t="s">
        <v>1395</v>
      </c>
      <c r="G16" s="6" t="s">
        <v>41</v>
      </c>
      <c r="H16" s="63" t="s">
        <v>1395</v>
      </c>
      <c r="I16" s="21" t="s">
        <v>164</v>
      </c>
      <c r="J16" s="63" t="s">
        <v>1409</v>
      </c>
      <c r="K16" s="6" t="s">
        <v>165</v>
      </c>
      <c r="L16" s="6" t="s">
        <v>167</v>
      </c>
      <c r="M16" s="55"/>
      <c r="N16" s="55"/>
      <c r="O16" s="55"/>
      <c r="P16" s="55"/>
      <c r="Q16" s="6">
        <v>1.0</v>
      </c>
      <c r="R16" s="23">
        <v>45730.0</v>
      </c>
      <c r="S16" s="50">
        <v>45981.0</v>
      </c>
      <c r="T16" s="23">
        <v>45736.0</v>
      </c>
      <c r="U16" s="55"/>
      <c r="V16" s="6" t="s">
        <v>103</v>
      </c>
      <c r="W16" s="6">
        <v>3.13250016499E11</v>
      </c>
      <c r="X16" s="6" t="s">
        <v>45</v>
      </c>
      <c r="Y16" s="6" t="s">
        <v>46</v>
      </c>
      <c r="Z16" s="6">
        <v>3.040265936E9</v>
      </c>
      <c r="AA16" s="6" t="s">
        <v>169</v>
      </c>
      <c r="AB16" s="6" t="s">
        <v>120</v>
      </c>
      <c r="AC16" s="6" t="s">
        <v>170</v>
      </c>
      <c r="AD16" s="55"/>
      <c r="AE16" s="55"/>
      <c r="AF16" s="55"/>
      <c r="AG16" s="55"/>
    </row>
    <row r="17">
      <c r="A17" s="21">
        <f>COUNTIF('Divulgação'!$B:$B,B17)</f>
        <v>1</v>
      </c>
      <c r="B17" s="62" t="s">
        <v>171</v>
      </c>
      <c r="C17" s="55"/>
      <c r="D17" s="6" t="s">
        <v>39</v>
      </c>
      <c r="E17" s="6" t="s">
        <v>40</v>
      </c>
      <c r="F17" s="63" t="s">
        <v>1395</v>
      </c>
      <c r="G17" s="6" t="s">
        <v>41</v>
      </c>
      <c r="H17" s="63" t="s">
        <v>1395</v>
      </c>
      <c r="I17" s="21" t="s">
        <v>174</v>
      </c>
      <c r="J17" s="6" t="s">
        <v>156</v>
      </c>
      <c r="K17" s="6" t="s">
        <v>175</v>
      </c>
      <c r="L17" s="6" t="s">
        <v>176</v>
      </c>
      <c r="M17" s="55"/>
      <c r="N17" s="55"/>
      <c r="O17" s="55"/>
      <c r="P17" s="55"/>
      <c r="Q17" s="6">
        <v>1.0</v>
      </c>
      <c r="R17" s="23">
        <v>45730.0</v>
      </c>
      <c r="S17" s="23">
        <v>45736.0</v>
      </c>
      <c r="T17" s="23">
        <v>45736.0</v>
      </c>
      <c r="U17" s="55"/>
      <c r="V17" s="6" t="s">
        <v>44</v>
      </c>
      <c r="W17" s="55"/>
      <c r="X17" s="6" t="s">
        <v>45</v>
      </c>
      <c r="Y17" s="6" t="s">
        <v>46</v>
      </c>
      <c r="Z17" s="6">
        <v>3.040309916E9</v>
      </c>
      <c r="AA17" s="6" t="s">
        <v>45</v>
      </c>
      <c r="AB17" s="6" t="s">
        <v>46</v>
      </c>
      <c r="AC17" s="6" t="s">
        <v>177</v>
      </c>
      <c r="AD17" s="55"/>
      <c r="AE17" s="55"/>
      <c r="AF17" s="55"/>
      <c r="AG17" s="55"/>
    </row>
    <row r="18">
      <c r="A18" s="21">
        <f>COUNTIF('Divulgação'!$B:$B,B18)</f>
        <v>1</v>
      </c>
      <c r="B18" s="62" t="s">
        <v>180</v>
      </c>
      <c r="C18" s="55"/>
      <c r="D18" s="6" t="s">
        <v>39</v>
      </c>
      <c r="E18" s="6" t="s">
        <v>40</v>
      </c>
      <c r="F18" s="63" t="s">
        <v>1395</v>
      </c>
      <c r="G18" s="6" t="s">
        <v>41</v>
      </c>
      <c r="H18" s="63" t="s">
        <v>1395</v>
      </c>
      <c r="I18" s="21" t="s">
        <v>181</v>
      </c>
      <c r="J18" s="6" t="s">
        <v>156</v>
      </c>
      <c r="K18" s="6" t="s">
        <v>182</v>
      </c>
      <c r="L18" s="63" t="s">
        <v>1412</v>
      </c>
      <c r="M18" s="55"/>
      <c r="N18" s="55"/>
      <c r="O18" s="55"/>
      <c r="P18" s="55"/>
      <c r="Q18" s="6">
        <v>1.0</v>
      </c>
      <c r="R18" s="23">
        <v>45730.0</v>
      </c>
      <c r="S18" s="50">
        <v>45981.0</v>
      </c>
      <c r="T18" s="23">
        <v>45736.0</v>
      </c>
      <c r="U18" s="55"/>
      <c r="V18" s="6" t="s">
        <v>44</v>
      </c>
      <c r="W18" s="55"/>
      <c r="X18" s="6" t="s">
        <v>45</v>
      </c>
      <c r="Y18" s="6" t="s">
        <v>46</v>
      </c>
      <c r="Z18" s="6">
        <v>3.040233376E9</v>
      </c>
      <c r="AA18" s="6" t="s">
        <v>169</v>
      </c>
      <c r="AB18" s="6" t="s">
        <v>183</v>
      </c>
      <c r="AC18" s="6" t="s">
        <v>1413</v>
      </c>
      <c r="AD18" s="55"/>
      <c r="AE18" s="55"/>
      <c r="AF18" s="55"/>
      <c r="AG18" s="55"/>
    </row>
    <row r="19">
      <c r="A19" s="21">
        <f>COUNTIF('Divulgação'!$B:$B,B19)</f>
        <v>1</v>
      </c>
      <c r="B19" s="62" t="s">
        <v>187</v>
      </c>
      <c r="C19" s="55"/>
      <c r="D19" s="6" t="s">
        <v>39</v>
      </c>
      <c r="E19" s="6" t="s">
        <v>40</v>
      </c>
      <c r="F19" s="63" t="s">
        <v>1395</v>
      </c>
      <c r="G19" s="6" t="s">
        <v>41</v>
      </c>
      <c r="H19" s="63" t="s">
        <v>1395</v>
      </c>
      <c r="I19" s="21" t="s">
        <v>181</v>
      </c>
      <c r="J19" s="6" t="s">
        <v>156</v>
      </c>
      <c r="K19" s="6" t="s">
        <v>182</v>
      </c>
      <c r="L19" s="63" t="s">
        <v>1414</v>
      </c>
      <c r="M19" s="55"/>
      <c r="N19" s="55"/>
      <c r="O19" s="55"/>
      <c r="P19" s="55"/>
      <c r="Q19" s="6">
        <v>1.0</v>
      </c>
      <c r="R19" s="23">
        <v>45730.0</v>
      </c>
      <c r="S19" s="50">
        <v>45981.0</v>
      </c>
      <c r="T19" s="23">
        <v>45736.0</v>
      </c>
      <c r="U19" s="55"/>
      <c r="V19" s="6" t="s">
        <v>44</v>
      </c>
      <c r="W19" s="55"/>
      <c r="X19" s="6" t="s">
        <v>45</v>
      </c>
      <c r="Y19" s="6" t="s">
        <v>46</v>
      </c>
      <c r="Z19" s="6">
        <v>3.040242891E9</v>
      </c>
      <c r="AA19" s="6" t="s">
        <v>188</v>
      </c>
      <c r="AB19" s="6" t="s">
        <v>189</v>
      </c>
      <c r="AC19" s="6" t="s">
        <v>190</v>
      </c>
      <c r="AD19" s="55"/>
      <c r="AE19" s="55"/>
      <c r="AF19" s="55"/>
      <c r="AG19" s="55"/>
    </row>
    <row r="20">
      <c r="A20" s="21">
        <f>COUNTIF('Divulgação'!$B:$B,B20)</f>
        <v>1</v>
      </c>
      <c r="B20" s="62" t="s">
        <v>1054</v>
      </c>
      <c r="C20" s="55"/>
      <c r="D20" s="6" t="s">
        <v>39</v>
      </c>
      <c r="E20" s="6" t="s">
        <v>40</v>
      </c>
      <c r="F20" s="63" t="s">
        <v>1395</v>
      </c>
      <c r="G20" s="6" t="s">
        <v>41</v>
      </c>
      <c r="H20" s="63" t="s">
        <v>1395</v>
      </c>
      <c r="I20" s="21" t="s">
        <v>181</v>
      </c>
      <c r="J20" s="6" t="s">
        <v>156</v>
      </c>
      <c r="K20" s="6" t="s">
        <v>182</v>
      </c>
      <c r="L20" s="63" t="s">
        <v>1415</v>
      </c>
      <c r="M20" s="55"/>
      <c r="N20" s="55"/>
      <c r="O20" s="55"/>
      <c r="P20" s="55"/>
      <c r="Q20" s="6">
        <v>1.0</v>
      </c>
      <c r="R20" s="23">
        <v>45730.0</v>
      </c>
      <c r="S20" s="50">
        <v>45981.0</v>
      </c>
      <c r="T20" s="23">
        <v>45736.0</v>
      </c>
      <c r="U20" s="55"/>
      <c r="V20" s="6" t="s">
        <v>44</v>
      </c>
      <c r="W20" s="55"/>
      <c r="X20" s="6" t="s">
        <v>45</v>
      </c>
      <c r="Y20" s="6" t="s">
        <v>46</v>
      </c>
      <c r="Z20" s="6">
        <v>3.04024015E9</v>
      </c>
      <c r="AA20" s="6" t="s">
        <v>262</v>
      </c>
      <c r="AB20" s="6" t="s">
        <v>263</v>
      </c>
      <c r="AC20" s="6" t="s">
        <v>1416</v>
      </c>
      <c r="AD20" s="55"/>
      <c r="AE20" s="55"/>
      <c r="AF20" s="55"/>
      <c r="AG20" s="55"/>
    </row>
    <row r="21">
      <c r="A21" s="21">
        <f>COUNTIF('Divulgação'!$B:$B,B21)</f>
        <v>1</v>
      </c>
      <c r="B21" s="62" t="s">
        <v>196</v>
      </c>
      <c r="C21" s="55"/>
      <c r="D21" s="6" t="s">
        <v>39</v>
      </c>
      <c r="E21" s="6" t="s">
        <v>40</v>
      </c>
      <c r="F21" s="63" t="s">
        <v>1395</v>
      </c>
      <c r="G21" s="6" t="s">
        <v>41</v>
      </c>
      <c r="H21" s="63" t="s">
        <v>1395</v>
      </c>
      <c r="I21" s="21" t="s">
        <v>199</v>
      </c>
      <c r="J21" s="63" t="s">
        <v>1387</v>
      </c>
      <c r="K21" s="6" t="s">
        <v>200</v>
      </c>
      <c r="L21" s="6" t="s">
        <v>201</v>
      </c>
      <c r="M21" s="55"/>
      <c r="N21" s="55"/>
      <c r="O21" s="55"/>
      <c r="P21" s="55"/>
      <c r="Q21" s="6">
        <v>1.0</v>
      </c>
      <c r="R21" s="23">
        <v>45729.0</v>
      </c>
      <c r="S21" s="23">
        <v>45735.0</v>
      </c>
      <c r="T21" s="23">
        <v>45736.0</v>
      </c>
      <c r="U21" s="55"/>
      <c r="V21" s="6" t="s">
        <v>44</v>
      </c>
      <c r="W21" s="55"/>
      <c r="X21" s="6" t="s">
        <v>45</v>
      </c>
      <c r="Y21" s="6" t="s">
        <v>46</v>
      </c>
      <c r="Z21" s="6">
        <v>3.040293359E9</v>
      </c>
      <c r="AA21" s="6" t="s">
        <v>45</v>
      </c>
      <c r="AB21" s="6" t="s">
        <v>203</v>
      </c>
      <c r="AC21" s="6" t="s">
        <v>204</v>
      </c>
      <c r="AD21" s="55"/>
      <c r="AE21" s="55"/>
      <c r="AF21" s="55"/>
      <c r="AG21" s="55"/>
    </row>
    <row r="22">
      <c r="A22" s="21">
        <f>COUNTIF('Divulgação'!$B:$B,B22)</f>
        <v>1</v>
      </c>
      <c r="B22" s="62" t="s">
        <v>1082</v>
      </c>
      <c r="C22" s="55"/>
      <c r="D22" s="6" t="s">
        <v>39</v>
      </c>
      <c r="E22" s="6" t="s">
        <v>40</v>
      </c>
      <c r="F22" s="63" t="s">
        <v>1395</v>
      </c>
      <c r="G22" s="6" t="s">
        <v>41</v>
      </c>
      <c r="H22" s="63" t="s">
        <v>1395</v>
      </c>
      <c r="I22" s="21" t="s">
        <v>199</v>
      </c>
      <c r="J22" s="63" t="s">
        <v>1387</v>
      </c>
      <c r="K22" s="6" t="s">
        <v>200</v>
      </c>
      <c r="L22" s="6" t="s">
        <v>1417</v>
      </c>
      <c r="M22" s="55"/>
      <c r="N22" s="55"/>
      <c r="O22" s="55"/>
      <c r="P22" s="55"/>
      <c r="Q22" s="6">
        <v>1.0</v>
      </c>
      <c r="R22" s="23">
        <v>45729.0</v>
      </c>
      <c r="S22" s="23">
        <v>45735.0</v>
      </c>
      <c r="T22" s="23">
        <v>45736.0</v>
      </c>
      <c r="U22" s="55"/>
      <c r="V22" s="6" t="s">
        <v>44</v>
      </c>
      <c r="W22" s="55"/>
      <c r="X22" s="6" t="s">
        <v>45</v>
      </c>
      <c r="Y22" s="6" t="s">
        <v>46</v>
      </c>
      <c r="Z22" s="6">
        <v>3.04029601E9</v>
      </c>
      <c r="AA22" s="6" t="s">
        <v>66</v>
      </c>
      <c r="AB22" s="6" t="s">
        <v>394</v>
      </c>
      <c r="AC22" s="6" t="s">
        <v>296</v>
      </c>
      <c r="AD22" s="55"/>
      <c r="AE22" s="55"/>
      <c r="AF22" s="55"/>
      <c r="AG22" s="55"/>
    </row>
    <row r="23">
      <c r="A23" s="21">
        <f>COUNTIF('Divulgação'!$B:$B,B23)</f>
        <v>1</v>
      </c>
      <c r="B23" s="62" t="s">
        <v>193</v>
      </c>
      <c r="C23" s="55"/>
      <c r="D23" s="6" t="s">
        <v>39</v>
      </c>
      <c r="E23" s="6" t="s">
        <v>40</v>
      </c>
      <c r="F23" s="63" t="s">
        <v>1395</v>
      </c>
      <c r="G23" s="6" t="s">
        <v>41</v>
      </c>
      <c r="H23" s="63" t="s">
        <v>1395</v>
      </c>
      <c r="I23" s="21" t="s">
        <v>42</v>
      </c>
      <c r="J23" s="63" t="s">
        <v>1387</v>
      </c>
      <c r="K23" s="6" t="s">
        <v>43</v>
      </c>
      <c r="L23" s="63" t="s">
        <v>1420</v>
      </c>
      <c r="M23" s="55"/>
      <c r="N23" s="55"/>
      <c r="O23" s="55"/>
      <c r="P23" s="55"/>
      <c r="Q23" s="6">
        <v>1.0</v>
      </c>
      <c r="R23" s="23">
        <v>45729.0</v>
      </c>
      <c r="S23" s="23">
        <v>45735.0</v>
      </c>
      <c r="T23" s="23">
        <v>45736.0</v>
      </c>
      <c r="U23" s="55"/>
      <c r="V23" s="6" t="s">
        <v>44</v>
      </c>
      <c r="W23" s="55"/>
      <c r="X23" s="6" t="s">
        <v>45</v>
      </c>
      <c r="Y23" s="6" t="s">
        <v>46</v>
      </c>
      <c r="Z23" s="6">
        <v>3.040235688E9</v>
      </c>
      <c r="AA23" s="6" t="s">
        <v>188</v>
      </c>
      <c r="AB23" s="6" t="s">
        <v>194</v>
      </c>
      <c r="AC23" s="6" t="s">
        <v>195</v>
      </c>
      <c r="AD23" s="55"/>
      <c r="AE23" s="55"/>
      <c r="AF23" s="55"/>
      <c r="AG23" s="55"/>
    </row>
    <row r="24">
      <c r="A24" s="21">
        <f>COUNTIF('Divulgação'!$B:$B,B24)</f>
        <v>1</v>
      </c>
      <c r="B24" s="62" t="s">
        <v>205</v>
      </c>
      <c r="C24" s="55"/>
      <c r="D24" s="6" t="s">
        <v>39</v>
      </c>
      <c r="E24" s="6" t="s">
        <v>40</v>
      </c>
      <c r="F24" s="63" t="s">
        <v>1395</v>
      </c>
      <c r="G24" s="6" t="s">
        <v>41</v>
      </c>
      <c r="H24" s="63" t="s">
        <v>1395</v>
      </c>
      <c r="I24" s="21" t="s">
        <v>42</v>
      </c>
      <c r="J24" s="63" t="s">
        <v>1387</v>
      </c>
      <c r="K24" s="6" t="s">
        <v>43</v>
      </c>
      <c r="L24" s="63" t="s">
        <v>1421</v>
      </c>
      <c r="M24" s="55"/>
      <c r="N24" s="55"/>
      <c r="O24" s="55"/>
      <c r="P24" s="55"/>
      <c r="Q24" s="6">
        <v>1.0</v>
      </c>
      <c r="R24" s="23">
        <v>45729.0</v>
      </c>
      <c r="S24" s="23">
        <v>45735.0</v>
      </c>
      <c r="T24" s="23">
        <v>45736.0</v>
      </c>
      <c r="U24" s="55"/>
      <c r="V24" s="6" t="s">
        <v>44</v>
      </c>
      <c r="W24" s="55"/>
      <c r="X24" s="6" t="s">
        <v>45</v>
      </c>
      <c r="Y24" s="6" t="s">
        <v>46</v>
      </c>
      <c r="Z24" s="6">
        <v>3.040262311E9</v>
      </c>
      <c r="AA24" s="6" t="s">
        <v>70</v>
      </c>
      <c r="AB24" s="6" t="s">
        <v>152</v>
      </c>
      <c r="AC24" s="6" t="s">
        <v>208</v>
      </c>
      <c r="AD24" s="55"/>
      <c r="AE24" s="55"/>
      <c r="AF24" s="55"/>
      <c r="AG24" s="55"/>
    </row>
    <row r="25">
      <c r="A25" s="21">
        <f>COUNTIF('Divulgação'!$B:$B,B25)</f>
        <v>1</v>
      </c>
      <c r="B25" s="62" t="s">
        <v>1143</v>
      </c>
      <c r="C25" s="55"/>
      <c r="D25" s="6" t="s">
        <v>39</v>
      </c>
      <c r="E25" s="6" t="s">
        <v>40</v>
      </c>
      <c r="F25" s="63" t="s">
        <v>1395</v>
      </c>
      <c r="G25" s="6" t="s">
        <v>41</v>
      </c>
      <c r="H25" s="63" t="s">
        <v>1395</v>
      </c>
      <c r="I25" s="21" t="s">
        <v>199</v>
      </c>
      <c r="J25" s="63" t="s">
        <v>1387</v>
      </c>
      <c r="K25" s="6" t="s">
        <v>200</v>
      </c>
      <c r="L25" s="63" t="s">
        <v>1422</v>
      </c>
      <c r="M25" s="55"/>
      <c r="N25" s="55"/>
      <c r="O25" s="55"/>
      <c r="P25" s="55"/>
      <c r="Q25" s="6">
        <v>1.0</v>
      </c>
      <c r="R25" s="23">
        <v>45729.0</v>
      </c>
      <c r="S25" s="23">
        <v>45735.0</v>
      </c>
      <c r="T25" s="23">
        <v>45736.0</v>
      </c>
      <c r="U25" s="55"/>
      <c r="V25" s="6" t="s">
        <v>103</v>
      </c>
      <c r="W25" s="6">
        <v>3.04250073782E11</v>
      </c>
      <c r="X25" s="6" t="s">
        <v>45</v>
      </c>
      <c r="Y25" s="6" t="s">
        <v>46</v>
      </c>
      <c r="Z25" s="6">
        <v>3.040302423E9</v>
      </c>
      <c r="AA25" s="6" t="s">
        <v>64</v>
      </c>
      <c r="AB25" s="6" t="s">
        <v>94</v>
      </c>
      <c r="AC25" s="6" t="s">
        <v>95</v>
      </c>
      <c r="AD25" s="55"/>
      <c r="AE25" s="55"/>
      <c r="AF25" s="55"/>
      <c r="AG25" s="55"/>
    </row>
    <row r="26">
      <c r="A26" s="21">
        <f>COUNTIF('Divulgação'!$B:$B,B26)</f>
        <v>1</v>
      </c>
      <c r="B26" s="62" t="s">
        <v>1149</v>
      </c>
      <c r="C26" s="55"/>
      <c r="D26" s="6" t="s">
        <v>39</v>
      </c>
      <c r="E26" s="6" t="s">
        <v>40</v>
      </c>
      <c r="F26" s="63" t="s">
        <v>1395</v>
      </c>
      <c r="G26" s="6" t="s">
        <v>41</v>
      </c>
      <c r="H26" s="63" t="s">
        <v>1395</v>
      </c>
      <c r="I26" s="21" t="s">
        <v>684</v>
      </c>
      <c r="J26" s="63" t="s">
        <v>1387</v>
      </c>
      <c r="K26" s="6" t="s">
        <v>685</v>
      </c>
      <c r="L26" s="63" t="s">
        <v>1423</v>
      </c>
      <c r="M26" s="55"/>
      <c r="N26" s="55"/>
      <c r="O26" s="55"/>
      <c r="P26" s="55"/>
      <c r="Q26" s="6">
        <v>1.0</v>
      </c>
      <c r="R26" s="23">
        <v>45729.0</v>
      </c>
      <c r="S26" s="23">
        <v>45735.0</v>
      </c>
      <c r="T26" s="23">
        <v>45736.0</v>
      </c>
      <c r="U26" s="55"/>
      <c r="V26" s="6" t="s">
        <v>44</v>
      </c>
      <c r="W26" s="55"/>
      <c r="X26" s="6" t="s">
        <v>45</v>
      </c>
      <c r="Y26" s="6" t="s">
        <v>46</v>
      </c>
      <c r="Z26" s="6">
        <v>3.040242916E9</v>
      </c>
      <c r="AA26" s="6" t="s">
        <v>262</v>
      </c>
      <c r="AB26" s="6" t="s">
        <v>263</v>
      </c>
      <c r="AC26" s="6" t="s">
        <v>1424</v>
      </c>
      <c r="AD26" s="55"/>
      <c r="AE26" s="55"/>
      <c r="AF26" s="55"/>
      <c r="AG26" s="55"/>
    </row>
    <row r="27">
      <c r="A27" s="21">
        <f>COUNTIF('Divulgação'!$B:$B,B27)</f>
        <v>1</v>
      </c>
      <c r="B27" s="62" t="s">
        <v>209</v>
      </c>
      <c r="C27" s="55"/>
      <c r="D27" s="6" t="s">
        <v>39</v>
      </c>
      <c r="E27" s="6" t="s">
        <v>40</v>
      </c>
      <c r="F27" s="63" t="s">
        <v>1395</v>
      </c>
      <c r="G27" s="6" t="s">
        <v>41</v>
      </c>
      <c r="H27" s="63" t="s">
        <v>1395</v>
      </c>
      <c r="I27" s="21" t="s">
        <v>210</v>
      </c>
      <c r="J27" s="63" t="s">
        <v>1387</v>
      </c>
      <c r="K27" s="6" t="s">
        <v>211</v>
      </c>
      <c r="L27" s="6" t="s">
        <v>212</v>
      </c>
      <c r="M27" s="55"/>
      <c r="N27" s="55"/>
      <c r="O27" s="55"/>
      <c r="P27" s="55"/>
      <c r="Q27" s="6">
        <v>1.0</v>
      </c>
      <c r="R27" s="23">
        <v>45729.0</v>
      </c>
      <c r="S27" s="23">
        <v>45735.0</v>
      </c>
      <c r="T27" s="23">
        <v>45736.0</v>
      </c>
      <c r="U27" s="55"/>
      <c r="V27" s="6" t="s">
        <v>44</v>
      </c>
      <c r="W27" s="55"/>
      <c r="X27" s="6" t="s">
        <v>45</v>
      </c>
      <c r="Y27" s="6" t="s">
        <v>46</v>
      </c>
      <c r="Z27" s="6">
        <v>3.040310542E9</v>
      </c>
      <c r="AA27" s="6" t="s">
        <v>45</v>
      </c>
      <c r="AB27" s="6" t="s">
        <v>46</v>
      </c>
      <c r="AC27" s="6" t="s">
        <v>80</v>
      </c>
      <c r="AD27" s="55"/>
      <c r="AE27" s="55"/>
      <c r="AF27" s="55"/>
      <c r="AG27" s="55"/>
    </row>
    <row r="28">
      <c r="A28" s="21">
        <f>COUNTIF('Divulgação'!$B:$B,B28)</f>
        <v>1</v>
      </c>
      <c r="B28" s="62" t="s">
        <v>215</v>
      </c>
      <c r="C28" s="55"/>
      <c r="D28" s="6" t="s">
        <v>39</v>
      </c>
      <c r="E28" s="6" t="s">
        <v>40</v>
      </c>
      <c r="F28" s="63" t="s">
        <v>1395</v>
      </c>
      <c r="G28" s="6" t="s">
        <v>41</v>
      </c>
      <c r="H28" s="63" t="s">
        <v>1395</v>
      </c>
      <c r="I28" s="21" t="s">
        <v>216</v>
      </c>
      <c r="J28" s="63" t="s">
        <v>1387</v>
      </c>
      <c r="K28" s="6" t="s">
        <v>217</v>
      </c>
      <c r="L28" s="63" t="s">
        <v>1426</v>
      </c>
      <c r="M28" s="55"/>
      <c r="N28" s="55"/>
      <c r="O28" s="55"/>
      <c r="P28" s="55"/>
      <c r="Q28" s="6">
        <v>1.0</v>
      </c>
      <c r="R28" s="23">
        <v>45729.0</v>
      </c>
      <c r="S28" s="23">
        <v>45735.0</v>
      </c>
      <c r="T28" s="23">
        <v>45736.0</v>
      </c>
      <c r="U28" s="55"/>
      <c r="V28" s="6" t="s">
        <v>44</v>
      </c>
      <c r="W28" s="55"/>
      <c r="X28" s="6" t="s">
        <v>45</v>
      </c>
      <c r="Y28" s="6" t="s">
        <v>46</v>
      </c>
      <c r="Z28" s="6">
        <v>3.04022812E9</v>
      </c>
      <c r="AA28" s="6" t="s">
        <v>45</v>
      </c>
      <c r="AB28" s="6" t="s">
        <v>220</v>
      </c>
      <c r="AC28" s="6" t="s">
        <v>221</v>
      </c>
      <c r="AD28" s="55"/>
      <c r="AE28" s="55"/>
      <c r="AF28" s="55"/>
      <c r="AG28" s="55"/>
    </row>
    <row r="29">
      <c r="A29" s="21">
        <f>COUNTIF('Divulgação'!$B:$B,B29)</f>
        <v>1</v>
      </c>
      <c r="B29" s="62" t="s">
        <v>1196</v>
      </c>
      <c r="C29" s="55"/>
      <c r="D29" s="6" t="s">
        <v>39</v>
      </c>
      <c r="E29" s="6" t="s">
        <v>40</v>
      </c>
      <c r="F29" s="63" t="s">
        <v>1395</v>
      </c>
      <c r="G29" s="6" t="s">
        <v>41</v>
      </c>
      <c r="H29" s="63" t="s">
        <v>1395</v>
      </c>
      <c r="I29" s="21" t="s">
        <v>606</v>
      </c>
      <c r="J29" s="6" t="s">
        <v>156</v>
      </c>
      <c r="K29" s="6" t="s">
        <v>607</v>
      </c>
      <c r="L29" s="6" t="s">
        <v>1427</v>
      </c>
      <c r="M29" s="55"/>
      <c r="N29" s="55"/>
      <c r="O29" s="55"/>
      <c r="P29" s="55"/>
      <c r="Q29" s="6">
        <v>1.0</v>
      </c>
      <c r="R29" s="23">
        <v>45729.0</v>
      </c>
      <c r="S29" s="50">
        <v>45980.0</v>
      </c>
      <c r="T29" s="23">
        <v>45736.0</v>
      </c>
      <c r="U29" s="55"/>
      <c r="V29" s="6" t="s">
        <v>44</v>
      </c>
      <c r="W29" s="55"/>
      <c r="X29" s="6" t="s">
        <v>45</v>
      </c>
      <c r="Y29" s="6" t="s">
        <v>46</v>
      </c>
      <c r="Z29" s="6">
        <v>3.040240155E9</v>
      </c>
      <c r="AA29" s="6" t="s">
        <v>188</v>
      </c>
      <c r="AB29" s="6" t="s">
        <v>189</v>
      </c>
      <c r="AC29" s="6" t="s">
        <v>448</v>
      </c>
      <c r="AD29" s="55"/>
      <c r="AE29" s="55"/>
      <c r="AF29" s="55"/>
      <c r="AG29" s="55"/>
    </row>
    <row r="30">
      <c r="A30" s="21">
        <f>COUNTIF('Divulgação'!$B:$B,B30)</f>
        <v>1</v>
      </c>
      <c r="B30" s="62" t="s">
        <v>1206</v>
      </c>
      <c r="C30" s="55"/>
      <c r="D30" s="6" t="s">
        <v>39</v>
      </c>
      <c r="E30" s="6" t="s">
        <v>40</v>
      </c>
      <c r="F30" s="63" t="s">
        <v>1395</v>
      </c>
      <c r="G30" s="6" t="s">
        <v>41</v>
      </c>
      <c r="H30" s="63" t="s">
        <v>1395</v>
      </c>
      <c r="I30" s="21" t="s">
        <v>231</v>
      </c>
      <c r="J30" s="63" t="s">
        <v>1428</v>
      </c>
      <c r="K30" s="6" t="s">
        <v>232</v>
      </c>
      <c r="L30" s="63" t="s">
        <v>1429</v>
      </c>
      <c r="M30" s="55"/>
      <c r="N30" s="55"/>
      <c r="O30" s="55"/>
      <c r="P30" s="55"/>
      <c r="Q30" s="6">
        <v>1.0</v>
      </c>
      <c r="R30" s="23">
        <v>45729.0</v>
      </c>
      <c r="S30" s="50">
        <v>45980.0</v>
      </c>
      <c r="T30" s="23">
        <v>45736.0</v>
      </c>
      <c r="U30" s="55"/>
      <c r="V30" s="6" t="s">
        <v>44</v>
      </c>
      <c r="W30" s="55"/>
      <c r="X30" s="6" t="s">
        <v>45</v>
      </c>
      <c r="Y30" s="6" t="s">
        <v>46</v>
      </c>
      <c r="Z30" s="6">
        <v>3.040309327E9</v>
      </c>
      <c r="AA30" s="6" t="s">
        <v>60</v>
      </c>
      <c r="AB30" s="6" t="s">
        <v>367</v>
      </c>
      <c r="AC30" s="6" t="s">
        <v>1430</v>
      </c>
      <c r="AD30" s="55"/>
      <c r="AE30" s="55"/>
      <c r="AF30" s="55"/>
      <c r="AG30" s="55"/>
    </row>
    <row r="31">
      <c r="A31" s="21">
        <f>COUNTIF('Divulgação'!$B:$B,B31)</f>
        <v>1</v>
      </c>
      <c r="B31" s="62" t="s">
        <v>230</v>
      </c>
      <c r="C31" s="55"/>
      <c r="D31" s="6" t="s">
        <v>39</v>
      </c>
      <c r="E31" s="6" t="s">
        <v>40</v>
      </c>
      <c r="F31" s="63" t="s">
        <v>1395</v>
      </c>
      <c r="G31" s="6" t="s">
        <v>41</v>
      </c>
      <c r="H31" s="63" t="s">
        <v>1395</v>
      </c>
      <c r="I31" s="21" t="s">
        <v>231</v>
      </c>
      <c r="J31" s="63" t="s">
        <v>1428</v>
      </c>
      <c r="K31" s="6" t="s">
        <v>232</v>
      </c>
      <c r="L31" s="63" t="s">
        <v>1333</v>
      </c>
      <c r="M31" s="55"/>
      <c r="N31" s="55"/>
      <c r="O31" s="55"/>
      <c r="P31" s="55"/>
      <c r="Q31" s="6">
        <v>1.0</v>
      </c>
      <c r="R31" s="23">
        <v>45729.0</v>
      </c>
      <c r="S31" s="50">
        <v>45974.0</v>
      </c>
      <c r="T31" s="23">
        <v>45736.0</v>
      </c>
      <c r="U31" s="55"/>
      <c r="V31" s="6" t="s">
        <v>103</v>
      </c>
      <c r="W31" s="6">
        <v>6.85250007752E11</v>
      </c>
      <c r="X31" s="6" t="s">
        <v>45</v>
      </c>
      <c r="Y31" s="6" t="s">
        <v>46</v>
      </c>
      <c r="Z31" s="6">
        <v>3.040301283E9</v>
      </c>
      <c r="AA31" s="6" t="s">
        <v>75</v>
      </c>
      <c r="AB31" s="6" t="s">
        <v>152</v>
      </c>
      <c r="AC31" s="6" t="s">
        <v>234</v>
      </c>
      <c r="AD31" s="55"/>
      <c r="AE31" s="55"/>
      <c r="AF31" s="55"/>
      <c r="AG31" s="55"/>
    </row>
    <row r="32">
      <c r="A32" s="21">
        <f>COUNTIF('Divulgação'!$B:$B,B32)</f>
        <v>1</v>
      </c>
      <c r="B32" s="62" t="s">
        <v>1244</v>
      </c>
      <c r="C32" s="55"/>
      <c r="D32" s="6" t="s">
        <v>39</v>
      </c>
      <c r="E32" s="6" t="s">
        <v>40</v>
      </c>
      <c r="F32" s="63" t="s">
        <v>1395</v>
      </c>
      <c r="G32" s="6" t="s">
        <v>41</v>
      </c>
      <c r="H32" s="63" t="s">
        <v>1395</v>
      </c>
      <c r="I32" s="21" t="s">
        <v>223</v>
      </c>
      <c r="J32" s="63" t="s">
        <v>1431</v>
      </c>
      <c r="K32" s="6" t="s">
        <v>224</v>
      </c>
      <c r="L32" s="63" t="s">
        <v>1432</v>
      </c>
      <c r="M32" s="55"/>
      <c r="N32" s="55"/>
      <c r="O32" s="55"/>
      <c r="P32" s="55"/>
      <c r="Q32" s="6">
        <v>1.0</v>
      </c>
      <c r="R32" s="23">
        <v>45729.0</v>
      </c>
      <c r="S32" s="50">
        <v>45980.0</v>
      </c>
      <c r="T32" s="23">
        <v>45736.0</v>
      </c>
      <c r="U32" s="55"/>
      <c r="V32" s="6" t="s">
        <v>44</v>
      </c>
      <c r="W32" s="55"/>
      <c r="X32" s="6" t="s">
        <v>45</v>
      </c>
      <c r="Y32" s="6" t="s">
        <v>46</v>
      </c>
      <c r="Z32" s="6">
        <v>3.0403085E9</v>
      </c>
      <c r="AA32" s="6" t="s">
        <v>143</v>
      </c>
      <c r="AB32" s="6" t="s">
        <v>316</v>
      </c>
      <c r="AC32" s="6" t="s">
        <v>1004</v>
      </c>
      <c r="AD32" s="55"/>
      <c r="AE32" s="55"/>
      <c r="AF32" s="55"/>
      <c r="AG32" s="55"/>
    </row>
    <row r="33">
      <c r="A33" s="21">
        <f>COUNTIF('Divulgação'!$B:$B,B33)</f>
        <v>1</v>
      </c>
      <c r="B33" s="62" t="s">
        <v>222</v>
      </c>
      <c r="C33" s="55"/>
      <c r="D33" s="6" t="s">
        <v>39</v>
      </c>
      <c r="E33" s="6" t="s">
        <v>40</v>
      </c>
      <c r="F33" s="63" t="s">
        <v>1395</v>
      </c>
      <c r="G33" s="6" t="s">
        <v>41</v>
      </c>
      <c r="H33" s="63" t="s">
        <v>1395</v>
      </c>
      <c r="I33" s="21" t="s">
        <v>223</v>
      </c>
      <c r="J33" s="63" t="s">
        <v>1431</v>
      </c>
      <c r="K33" s="6" t="s">
        <v>224</v>
      </c>
      <c r="L33" s="6" t="s">
        <v>225</v>
      </c>
      <c r="M33" s="55"/>
      <c r="N33" s="55"/>
      <c r="O33" s="55"/>
      <c r="P33" s="55"/>
      <c r="Q33" s="6">
        <v>1.0</v>
      </c>
      <c r="R33" s="23">
        <v>45729.0</v>
      </c>
      <c r="S33" s="50">
        <v>45980.0</v>
      </c>
      <c r="T33" s="23">
        <v>45736.0</v>
      </c>
      <c r="U33" s="55"/>
      <c r="V33" s="6" t="s">
        <v>44</v>
      </c>
      <c r="W33" s="55"/>
      <c r="X33" s="6" t="s">
        <v>45</v>
      </c>
      <c r="Y33" s="6" t="s">
        <v>46</v>
      </c>
      <c r="Z33" s="6">
        <v>3.040307832E9</v>
      </c>
      <c r="AA33" s="6" t="s">
        <v>66</v>
      </c>
      <c r="AB33" s="6" t="s">
        <v>228</v>
      </c>
      <c r="AC33" s="6" t="s">
        <v>229</v>
      </c>
      <c r="AD33" s="55"/>
      <c r="AE33" s="55"/>
      <c r="AF33" s="55"/>
      <c r="AG33" s="55"/>
    </row>
    <row r="34">
      <c r="A34" s="21">
        <f>COUNTIF('Divulgação'!$B:$B,B34)</f>
        <v>1</v>
      </c>
      <c r="B34" s="62" t="s">
        <v>1270</v>
      </c>
      <c r="C34" s="55"/>
      <c r="D34" s="6" t="s">
        <v>39</v>
      </c>
      <c r="E34" s="6" t="s">
        <v>40</v>
      </c>
      <c r="F34" s="63" t="s">
        <v>1395</v>
      </c>
      <c r="G34" s="6" t="s">
        <v>41</v>
      </c>
      <c r="H34" s="63" t="s">
        <v>1395</v>
      </c>
      <c r="I34" s="21" t="s">
        <v>223</v>
      </c>
      <c r="J34" s="63" t="s">
        <v>1431</v>
      </c>
      <c r="K34" s="6" t="s">
        <v>224</v>
      </c>
      <c r="L34" s="63" t="s">
        <v>1433</v>
      </c>
      <c r="M34" s="55"/>
      <c r="N34" s="55"/>
      <c r="O34" s="55"/>
      <c r="P34" s="55"/>
      <c r="Q34" s="6">
        <v>1.0</v>
      </c>
      <c r="R34" s="23">
        <v>45729.0</v>
      </c>
      <c r="S34" s="50">
        <v>45980.0</v>
      </c>
      <c r="T34" s="23">
        <v>45736.0</v>
      </c>
      <c r="U34" s="55"/>
      <c r="V34" s="6" t="s">
        <v>103</v>
      </c>
      <c r="W34" s="6">
        <v>3.13250016833E11</v>
      </c>
      <c r="X34" s="6" t="s">
        <v>45</v>
      </c>
      <c r="Y34" s="6" t="s">
        <v>46</v>
      </c>
      <c r="Z34" s="6">
        <v>3.040308499E9</v>
      </c>
      <c r="AA34" s="6" t="s">
        <v>143</v>
      </c>
      <c r="AB34" s="6" t="s">
        <v>316</v>
      </c>
      <c r="AC34" s="6" t="s">
        <v>1004</v>
      </c>
      <c r="AD34" s="55"/>
      <c r="AE34" s="55"/>
      <c r="AF34" s="55"/>
      <c r="AG34" s="55"/>
    </row>
    <row r="35">
      <c r="A35" s="21">
        <f>COUNTIF('Divulgação'!$B:$B,B35)</f>
        <v>1</v>
      </c>
      <c r="B35" s="62" t="s">
        <v>1276</v>
      </c>
      <c r="C35" s="55"/>
      <c r="D35" s="6" t="s">
        <v>39</v>
      </c>
      <c r="E35" s="6" t="s">
        <v>40</v>
      </c>
      <c r="F35" s="63" t="s">
        <v>1395</v>
      </c>
      <c r="G35" s="6" t="s">
        <v>41</v>
      </c>
      <c r="H35" s="63" t="s">
        <v>1395</v>
      </c>
      <c r="I35" s="21" t="s">
        <v>218</v>
      </c>
      <c r="J35" s="63" t="s">
        <v>1431</v>
      </c>
      <c r="K35" s="6" t="s">
        <v>343</v>
      </c>
      <c r="L35" s="63" t="s">
        <v>1195</v>
      </c>
      <c r="M35" s="55"/>
      <c r="N35" s="55"/>
      <c r="O35" s="55"/>
      <c r="P35" s="55"/>
      <c r="Q35" s="6">
        <v>1.0</v>
      </c>
      <c r="R35" s="23">
        <v>45729.0</v>
      </c>
      <c r="S35" s="50">
        <v>45980.0</v>
      </c>
      <c r="T35" s="23">
        <v>45736.0</v>
      </c>
      <c r="U35" s="55"/>
      <c r="V35" s="6" t="s">
        <v>44</v>
      </c>
      <c r="W35" s="55"/>
      <c r="X35" s="6" t="s">
        <v>45</v>
      </c>
      <c r="Y35" s="6" t="s">
        <v>46</v>
      </c>
      <c r="Z35" s="6">
        <v>3.040307976E9</v>
      </c>
      <c r="AA35" s="6" t="s">
        <v>45</v>
      </c>
      <c r="AB35" s="6" t="s">
        <v>203</v>
      </c>
      <c r="AC35" s="6" t="s">
        <v>1434</v>
      </c>
      <c r="AD35" s="55"/>
      <c r="AE35" s="55"/>
      <c r="AF35" s="55"/>
      <c r="AG35" s="55"/>
    </row>
    <row r="36">
      <c r="A36" s="21">
        <f>COUNTIF('Divulgação'!$B:$B,B36)</f>
        <v>1</v>
      </c>
      <c r="B36" s="62" t="s">
        <v>1285</v>
      </c>
      <c r="C36" s="55"/>
      <c r="D36" s="6" t="s">
        <v>39</v>
      </c>
      <c r="E36" s="6" t="s">
        <v>40</v>
      </c>
      <c r="F36" s="63" t="s">
        <v>1395</v>
      </c>
      <c r="G36" s="6" t="s">
        <v>41</v>
      </c>
      <c r="H36" s="63" t="s">
        <v>1395</v>
      </c>
      <c r="I36" s="21" t="s">
        <v>218</v>
      </c>
      <c r="J36" s="63" t="s">
        <v>1431</v>
      </c>
      <c r="K36" s="6" t="s">
        <v>343</v>
      </c>
      <c r="L36" s="6" t="s">
        <v>1435</v>
      </c>
      <c r="M36" s="55"/>
      <c r="N36" s="55"/>
      <c r="O36" s="55"/>
      <c r="P36" s="55"/>
      <c r="Q36" s="6">
        <v>1.0</v>
      </c>
      <c r="R36" s="23">
        <v>45729.0</v>
      </c>
      <c r="S36" s="50">
        <v>45980.0</v>
      </c>
      <c r="T36" s="23">
        <v>45736.0</v>
      </c>
      <c r="U36" s="55"/>
      <c r="V36" s="6" t="s">
        <v>44</v>
      </c>
      <c r="W36" s="55"/>
      <c r="X36" s="6" t="s">
        <v>45</v>
      </c>
      <c r="Y36" s="6" t="s">
        <v>46</v>
      </c>
      <c r="Z36" s="6">
        <v>3.040309278E9</v>
      </c>
      <c r="AA36" s="6" t="s">
        <v>62</v>
      </c>
      <c r="AB36" s="6" t="s">
        <v>328</v>
      </c>
      <c r="AC36" s="6" t="s">
        <v>1436</v>
      </c>
      <c r="AD36" s="55"/>
      <c r="AE36" s="55"/>
      <c r="AF36" s="55"/>
      <c r="AG36" s="55"/>
    </row>
    <row r="37">
      <c r="A37" s="21">
        <f>COUNTIF('Divulgação'!$B:$B,B37)</f>
        <v>1</v>
      </c>
      <c r="B37" s="62" t="s">
        <v>1290</v>
      </c>
      <c r="C37" s="55"/>
      <c r="D37" s="6" t="s">
        <v>39</v>
      </c>
      <c r="E37" s="6" t="s">
        <v>40</v>
      </c>
      <c r="F37" s="63" t="s">
        <v>1395</v>
      </c>
      <c r="G37" s="6" t="s">
        <v>41</v>
      </c>
      <c r="H37" s="63" t="s">
        <v>1395</v>
      </c>
      <c r="I37" s="21" t="s">
        <v>226</v>
      </c>
      <c r="J37" s="63" t="s">
        <v>1428</v>
      </c>
      <c r="K37" s="6" t="s">
        <v>320</v>
      </c>
      <c r="L37" s="63" t="s">
        <v>1437</v>
      </c>
      <c r="M37" s="55"/>
      <c r="N37" s="55"/>
      <c r="O37" s="55"/>
      <c r="P37" s="55"/>
      <c r="Q37" s="6">
        <v>1.0</v>
      </c>
      <c r="R37" s="23">
        <v>45729.0</v>
      </c>
      <c r="S37" s="50">
        <v>45980.0</v>
      </c>
      <c r="T37" s="23">
        <v>45736.0</v>
      </c>
      <c r="U37" s="55"/>
      <c r="V37" s="6" t="s">
        <v>103</v>
      </c>
      <c r="W37" s="6">
        <v>3.96250015515E11</v>
      </c>
      <c r="X37" s="6" t="s">
        <v>45</v>
      </c>
      <c r="Y37" s="6" t="s">
        <v>46</v>
      </c>
      <c r="Z37" s="6">
        <v>3.040309277E9</v>
      </c>
      <c r="AA37" s="6" t="s">
        <v>62</v>
      </c>
      <c r="AB37" s="6" t="s">
        <v>328</v>
      </c>
      <c r="AC37" s="6" t="s">
        <v>1436</v>
      </c>
      <c r="AD37" s="55"/>
      <c r="AE37" s="55"/>
      <c r="AF37" s="55"/>
      <c r="AG37" s="55"/>
    </row>
    <row r="38">
      <c r="A38" s="21">
        <f>COUNTIF('Divulgação'!$B:$B,B38)</f>
        <v>1</v>
      </c>
      <c r="B38" s="62" t="s">
        <v>1292</v>
      </c>
      <c r="C38" s="55"/>
      <c r="D38" s="6" t="s">
        <v>39</v>
      </c>
      <c r="E38" s="6" t="s">
        <v>40</v>
      </c>
      <c r="F38" s="63" t="s">
        <v>1395</v>
      </c>
      <c r="G38" s="6" t="s">
        <v>41</v>
      </c>
      <c r="H38" s="63" t="s">
        <v>1395</v>
      </c>
      <c r="I38" s="21" t="s">
        <v>226</v>
      </c>
      <c r="J38" s="63" t="s">
        <v>1428</v>
      </c>
      <c r="K38" s="6" t="s">
        <v>320</v>
      </c>
      <c r="L38" s="63" t="s">
        <v>1438</v>
      </c>
      <c r="M38" s="55"/>
      <c r="N38" s="55"/>
      <c r="O38" s="55"/>
      <c r="P38" s="55"/>
      <c r="Q38" s="6">
        <v>1.0</v>
      </c>
      <c r="R38" s="23">
        <v>45729.0</v>
      </c>
      <c r="S38" s="50">
        <v>45980.0</v>
      </c>
      <c r="T38" s="23">
        <v>45736.0</v>
      </c>
      <c r="U38" s="55"/>
      <c r="V38" s="6" t="s">
        <v>103</v>
      </c>
      <c r="W38" s="6">
        <v>3.96250015514E11</v>
      </c>
      <c r="X38" s="6" t="s">
        <v>45</v>
      </c>
      <c r="Y38" s="6" t="s">
        <v>46</v>
      </c>
      <c r="Z38" s="6">
        <v>3.040306812E9</v>
      </c>
      <c r="AA38" s="6" t="s">
        <v>60</v>
      </c>
      <c r="AB38" s="6" t="s">
        <v>367</v>
      </c>
      <c r="AC38" s="6" t="s">
        <v>1430</v>
      </c>
      <c r="AD38" s="55"/>
      <c r="AE38" s="55"/>
      <c r="AF38" s="55"/>
      <c r="AG38" s="55"/>
    </row>
    <row r="39">
      <c r="A39" s="21">
        <f>COUNTIF('Divulgação'!$B:$B,B39)</f>
        <v>1</v>
      </c>
      <c r="B39" s="62" t="s">
        <v>1294</v>
      </c>
      <c r="C39" s="55"/>
      <c r="D39" s="6" t="s">
        <v>39</v>
      </c>
      <c r="E39" s="6" t="s">
        <v>40</v>
      </c>
      <c r="F39" s="63" t="s">
        <v>1395</v>
      </c>
      <c r="G39" s="6" t="s">
        <v>41</v>
      </c>
      <c r="H39" s="63" t="s">
        <v>1395</v>
      </c>
      <c r="I39" s="21" t="s">
        <v>1439</v>
      </c>
      <c r="J39" s="6" t="s">
        <v>156</v>
      </c>
      <c r="K39" s="6" t="s">
        <v>1440</v>
      </c>
      <c r="L39" s="63" t="s">
        <v>1412</v>
      </c>
      <c r="M39" s="55"/>
      <c r="N39" s="55"/>
      <c r="O39" s="55"/>
      <c r="P39" s="55"/>
      <c r="Q39" s="6">
        <v>1.0</v>
      </c>
      <c r="R39" s="23">
        <v>45729.0</v>
      </c>
      <c r="S39" s="50">
        <v>45980.0</v>
      </c>
      <c r="T39" s="23">
        <v>45736.0</v>
      </c>
      <c r="U39" s="55"/>
      <c r="V39" s="6" t="s">
        <v>44</v>
      </c>
      <c r="W39" s="55"/>
      <c r="X39" s="6" t="s">
        <v>45</v>
      </c>
      <c r="Y39" s="6" t="s">
        <v>46</v>
      </c>
      <c r="Z39" s="6">
        <v>3.040287732E9</v>
      </c>
      <c r="AA39" s="6" t="s">
        <v>63</v>
      </c>
      <c r="AB39" s="6" t="s">
        <v>241</v>
      </c>
      <c r="AC39" s="6" t="s">
        <v>242</v>
      </c>
      <c r="AD39" s="55"/>
      <c r="AE39" s="55"/>
      <c r="AF39" s="55"/>
      <c r="AG39" s="55"/>
    </row>
    <row r="40">
      <c r="A40" s="21">
        <f>COUNTIF('Divulgação'!$B:$B,B40)</f>
        <v>1</v>
      </c>
      <c r="B40" s="62" t="s">
        <v>243</v>
      </c>
      <c r="C40" s="55"/>
      <c r="D40" s="6" t="s">
        <v>39</v>
      </c>
      <c r="E40" s="6" t="s">
        <v>40</v>
      </c>
      <c r="F40" s="63" t="s">
        <v>1395</v>
      </c>
      <c r="G40" s="6" t="s">
        <v>41</v>
      </c>
      <c r="H40" s="63" t="s">
        <v>1395</v>
      </c>
      <c r="I40" s="21" t="s">
        <v>237</v>
      </c>
      <c r="J40" s="6" t="s">
        <v>156</v>
      </c>
      <c r="K40" s="6" t="s">
        <v>238</v>
      </c>
      <c r="L40" s="59"/>
      <c r="M40" s="55"/>
      <c r="N40" s="55"/>
      <c r="O40" s="55"/>
      <c r="P40" s="55"/>
      <c r="Q40" s="6">
        <v>1.0</v>
      </c>
      <c r="R40" s="23">
        <v>45729.0</v>
      </c>
      <c r="S40" s="23">
        <v>45735.0</v>
      </c>
      <c r="T40" s="23">
        <v>45736.0</v>
      </c>
      <c r="U40" s="55"/>
      <c r="V40" s="6" t="s">
        <v>103</v>
      </c>
      <c r="W40" s="6">
        <v>3.13250016672E11</v>
      </c>
      <c r="X40" s="6" t="s">
        <v>45</v>
      </c>
      <c r="Y40" s="6" t="s">
        <v>46</v>
      </c>
      <c r="Z40" s="6">
        <v>3.040281041E9</v>
      </c>
      <c r="AA40" s="6" t="s">
        <v>64</v>
      </c>
      <c r="AB40" s="6" t="s">
        <v>246</v>
      </c>
      <c r="AC40" s="6" t="s">
        <v>247</v>
      </c>
      <c r="AD40" s="55"/>
      <c r="AE40" s="55"/>
      <c r="AF40" s="55"/>
      <c r="AG40" s="55"/>
    </row>
    <row r="41">
      <c r="A41" s="21">
        <f>COUNTIF('Divulgação'!$B:$B,B41)</f>
        <v>1</v>
      </c>
      <c r="B41" s="62" t="s">
        <v>236</v>
      </c>
      <c r="C41" s="55"/>
      <c r="D41" s="6" t="s">
        <v>39</v>
      </c>
      <c r="E41" s="6" t="s">
        <v>40</v>
      </c>
      <c r="F41" s="63" t="s">
        <v>1395</v>
      </c>
      <c r="G41" s="6" t="s">
        <v>41</v>
      </c>
      <c r="H41" s="63" t="s">
        <v>1395</v>
      </c>
      <c r="I41" s="21" t="s">
        <v>237</v>
      </c>
      <c r="J41" s="6" t="s">
        <v>156</v>
      </c>
      <c r="K41" s="6" t="s">
        <v>238</v>
      </c>
      <c r="L41" s="59"/>
      <c r="M41" s="55"/>
      <c r="N41" s="55"/>
      <c r="O41" s="55"/>
      <c r="P41" s="55"/>
      <c r="Q41" s="6">
        <v>1.0</v>
      </c>
      <c r="R41" s="23">
        <v>45729.0</v>
      </c>
      <c r="S41" s="23">
        <v>45735.0</v>
      </c>
      <c r="T41" s="23">
        <v>45736.0</v>
      </c>
      <c r="U41" s="55"/>
      <c r="V41" s="6" t="s">
        <v>103</v>
      </c>
      <c r="W41" s="6">
        <v>3.96250015099E11</v>
      </c>
      <c r="X41" s="6" t="s">
        <v>45</v>
      </c>
      <c r="Y41" s="6" t="s">
        <v>46</v>
      </c>
      <c r="Z41" s="6">
        <v>3.040294873E9</v>
      </c>
      <c r="AA41" s="6" t="s">
        <v>63</v>
      </c>
      <c r="AB41" s="6" t="s">
        <v>241</v>
      </c>
      <c r="AC41" s="6" t="s">
        <v>242</v>
      </c>
      <c r="AD41" s="55"/>
      <c r="AE41" s="55"/>
      <c r="AF41" s="55"/>
      <c r="AG41" s="55"/>
    </row>
    <row r="42">
      <c r="A42" s="21">
        <f>COUNTIF('Divulgação'!$B:$B,B42)</f>
        <v>1</v>
      </c>
      <c r="B42" s="62" t="s">
        <v>1330</v>
      </c>
      <c r="C42" s="55"/>
      <c r="D42" s="6" t="s">
        <v>39</v>
      </c>
      <c r="E42" s="6" t="s">
        <v>40</v>
      </c>
      <c r="F42" s="63" t="s">
        <v>1395</v>
      </c>
      <c r="G42" s="6" t="s">
        <v>41</v>
      </c>
      <c r="H42" s="63" t="s">
        <v>1395</v>
      </c>
      <c r="I42" s="21" t="s">
        <v>1442</v>
      </c>
      <c r="J42" s="6" t="s">
        <v>156</v>
      </c>
      <c r="K42" s="6" t="s">
        <v>1443</v>
      </c>
      <c r="L42" s="63" t="s">
        <v>1444</v>
      </c>
      <c r="M42" s="55"/>
      <c r="N42" s="55"/>
      <c r="O42" s="55"/>
      <c r="P42" s="55"/>
      <c r="Q42" s="6">
        <v>1.0</v>
      </c>
      <c r="R42" s="23">
        <v>45729.0</v>
      </c>
      <c r="S42" s="50">
        <v>45980.0</v>
      </c>
      <c r="T42" s="23">
        <v>45736.0</v>
      </c>
      <c r="U42" s="55"/>
      <c r="V42" s="6" t="s">
        <v>44</v>
      </c>
      <c r="W42" s="55"/>
      <c r="X42" s="6" t="s">
        <v>45</v>
      </c>
      <c r="Y42" s="6" t="s">
        <v>46</v>
      </c>
      <c r="Z42" s="6">
        <v>3.040306657E9</v>
      </c>
      <c r="AA42" s="6" t="s">
        <v>304</v>
      </c>
      <c r="AB42" s="6" t="s">
        <v>306</v>
      </c>
      <c r="AC42" s="6" t="s">
        <v>1445</v>
      </c>
      <c r="AD42" s="55"/>
      <c r="AE42" s="55"/>
      <c r="AF42" s="55"/>
      <c r="AG42" s="55"/>
    </row>
    <row r="43">
      <c r="A43" s="21">
        <f>COUNTIF('Divulgação'!$B:$B,B43)</f>
        <v>1</v>
      </c>
      <c r="B43" s="62" t="s">
        <v>1332</v>
      </c>
      <c r="C43" s="55"/>
      <c r="D43" s="6" t="s">
        <v>39</v>
      </c>
      <c r="E43" s="6" t="s">
        <v>40</v>
      </c>
      <c r="F43" s="63" t="s">
        <v>1395</v>
      </c>
      <c r="G43" s="6" t="s">
        <v>41</v>
      </c>
      <c r="H43" s="63" t="s">
        <v>1395</v>
      </c>
      <c r="I43" s="21" t="s">
        <v>365</v>
      </c>
      <c r="J43" s="6" t="s">
        <v>156</v>
      </c>
      <c r="K43" s="6" t="s">
        <v>366</v>
      </c>
      <c r="L43" s="63" t="s">
        <v>1446</v>
      </c>
      <c r="M43" s="55"/>
      <c r="N43" s="55"/>
      <c r="O43" s="55"/>
      <c r="P43" s="55"/>
      <c r="Q43" s="6">
        <v>1.0</v>
      </c>
      <c r="R43" s="23">
        <v>45729.0</v>
      </c>
      <c r="S43" s="50">
        <v>45980.0</v>
      </c>
      <c r="T43" s="23">
        <v>45736.0</v>
      </c>
      <c r="U43" s="55"/>
      <c r="V43" s="6" t="s">
        <v>44</v>
      </c>
      <c r="W43" s="55"/>
      <c r="X43" s="6" t="s">
        <v>45</v>
      </c>
      <c r="Y43" s="6" t="s">
        <v>46</v>
      </c>
      <c r="Z43" s="6">
        <v>3.040299712E9</v>
      </c>
      <c r="AA43" s="6" t="s">
        <v>63</v>
      </c>
      <c r="AB43" s="6" t="s">
        <v>241</v>
      </c>
      <c r="AC43" s="6" t="s">
        <v>583</v>
      </c>
      <c r="AD43" s="55"/>
      <c r="AE43" s="55"/>
      <c r="AF43" s="55"/>
      <c r="AG43" s="55"/>
    </row>
    <row r="44">
      <c r="A44" s="21">
        <f>COUNTIF('Divulgação'!$B:$B,B44)</f>
        <v>1</v>
      </c>
      <c r="B44" s="62" t="s">
        <v>1334</v>
      </c>
      <c r="C44" s="55"/>
      <c r="D44" s="6" t="s">
        <v>39</v>
      </c>
      <c r="E44" s="6" t="s">
        <v>40</v>
      </c>
      <c r="F44" s="63" t="s">
        <v>1395</v>
      </c>
      <c r="G44" s="6" t="s">
        <v>41</v>
      </c>
      <c r="H44" s="63" t="s">
        <v>1395</v>
      </c>
      <c r="I44" s="21" t="s">
        <v>1278</v>
      </c>
      <c r="J44" s="63" t="s">
        <v>1447</v>
      </c>
      <c r="K44" s="6" t="s">
        <v>1279</v>
      </c>
      <c r="L44" s="63" t="s">
        <v>1448</v>
      </c>
      <c r="M44" s="55"/>
      <c r="N44" s="55"/>
      <c r="O44" s="55"/>
      <c r="P44" s="55"/>
      <c r="Q44" s="6">
        <v>1.0</v>
      </c>
      <c r="R44" s="23">
        <v>45729.0</v>
      </c>
      <c r="S44" s="50">
        <v>45980.0</v>
      </c>
      <c r="T44" s="23">
        <v>45736.0</v>
      </c>
      <c r="U44" s="55"/>
      <c r="V44" s="6" t="s">
        <v>103</v>
      </c>
      <c r="W44" s="6">
        <v>3.13250016526E11</v>
      </c>
      <c r="X44" s="6" t="s">
        <v>45</v>
      </c>
      <c r="Y44" s="6" t="s">
        <v>46</v>
      </c>
      <c r="Z44" s="6">
        <v>3.040305165E9</v>
      </c>
      <c r="AA44" s="6" t="s">
        <v>64</v>
      </c>
      <c r="AB44" s="6" t="s">
        <v>1449</v>
      </c>
      <c r="AC44" s="6" t="s">
        <v>1450</v>
      </c>
      <c r="AD44" s="55"/>
      <c r="AE44" s="55"/>
      <c r="AF44" s="55"/>
      <c r="AG44" s="55"/>
    </row>
    <row r="45">
      <c r="A45" s="21">
        <f>COUNTIF('Divulgação'!$B:$B,B45)</f>
        <v>1</v>
      </c>
      <c r="B45" s="62" t="s">
        <v>248</v>
      </c>
      <c r="C45" s="55"/>
      <c r="D45" s="6" t="s">
        <v>39</v>
      </c>
      <c r="E45" s="6" t="s">
        <v>40</v>
      </c>
      <c r="F45" s="63" t="s">
        <v>1451</v>
      </c>
      <c r="G45" s="6" t="s">
        <v>41</v>
      </c>
      <c r="H45" s="63" t="s">
        <v>1451</v>
      </c>
      <c r="I45" s="21" t="s">
        <v>251</v>
      </c>
      <c r="J45" s="6" t="s">
        <v>156</v>
      </c>
      <c r="K45" s="6" t="s">
        <v>252</v>
      </c>
      <c r="L45" s="6" t="s">
        <v>253</v>
      </c>
      <c r="M45" s="55"/>
      <c r="N45" s="55"/>
      <c r="O45" s="55"/>
      <c r="P45" s="55"/>
      <c r="Q45" s="6">
        <v>1.0</v>
      </c>
      <c r="R45" s="23">
        <v>45762.0</v>
      </c>
      <c r="S45" s="23">
        <v>45770.0</v>
      </c>
      <c r="T45" s="23">
        <v>45769.0</v>
      </c>
      <c r="U45" s="55"/>
      <c r="V45" s="6" t="s">
        <v>44</v>
      </c>
      <c r="W45" s="55"/>
      <c r="X45" s="6" t="s">
        <v>45</v>
      </c>
      <c r="Y45" s="6" t="s">
        <v>46</v>
      </c>
      <c r="Z45" s="6">
        <v>3.04021637E9</v>
      </c>
      <c r="AA45" s="6" t="s">
        <v>45</v>
      </c>
      <c r="AB45" s="6" t="s">
        <v>203</v>
      </c>
      <c r="AC45" s="6" t="s">
        <v>254</v>
      </c>
      <c r="AD45" s="55"/>
      <c r="AE45" s="55"/>
      <c r="AF45" s="55"/>
      <c r="AG45" s="55"/>
    </row>
    <row r="46">
      <c r="A46" s="21">
        <f>COUNTIF('Divulgação'!$B:$B,B46)</f>
        <v>1</v>
      </c>
      <c r="B46" s="62" t="s">
        <v>273</v>
      </c>
      <c r="C46" s="55"/>
      <c r="D46" s="6" t="s">
        <v>39</v>
      </c>
      <c r="E46" s="6" t="s">
        <v>40</v>
      </c>
      <c r="F46" s="63" t="s">
        <v>1451</v>
      </c>
      <c r="G46" s="6" t="s">
        <v>41</v>
      </c>
      <c r="H46" s="63" t="s">
        <v>1451</v>
      </c>
      <c r="I46" s="21" t="s">
        <v>274</v>
      </c>
      <c r="J46" s="6" t="s">
        <v>275</v>
      </c>
      <c r="K46" s="6" t="s">
        <v>276</v>
      </c>
      <c r="L46" s="63" t="s">
        <v>1452</v>
      </c>
      <c r="M46" s="55"/>
      <c r="N46" s="55"/>
      <c r="O46" s="55"/>
      <c r="P46" s="55"/>
      <c r="Q46" s="6">
        <v>1.0</v>
      </c>
      <c r="R46" s="23">
        <v>45762.0</v>
      </c>
      <c r="S46" s="50">
        <v>45984.0</v>
      </c>
      <c r="T46" s="23">
        <v>45769.0</v>
      </c>
      <c r="U46" s="55"/>
      <c r="V46" s="6" t="s">
        <v>44</v>
      </c>
      <c r="W46" s="55"/>
      <c r="X46" s="6" t="s">
        <v>45</v>
      </c>
      <c r="Y46" s="6" t="s">
        <v>46</v>
      </c>
      <c r="Z46" s="6">
        <v>3.040294707E9</v>
      </c>
      <c r="AA46" s="6" t="s">
        <v>63</v>
      </c>
      <c r="AB46" s="6" t="s">
        <v>72</v>
      </c>
      <c r="AC46" s="6" t="s">
        <v>279</v>
      </c>
      <c r="AD46" s="55"/>
      <c r="AE46" s="55"/>
      <c r="AF46" s="55"/>
      <c r="AG46" s="55"/>
    </row>
    <row r="47">
      <c r="A47" s="21">
        <f>COUNTIF('Divulgação'!$B:$B,B47)</f>
        <v>1</v>
      </c>
      <c r="B47" s="62" t="s">
        <v>258</v>
      </c>
      <c r="C47" s="55"/>
      <c r="D47" s="6" t="s">
        <v>39</v>
      </c>
      <c r="E47" s="6" t="s">
        <v>40</v>
      </c>
      <c r="F47" s="63" t="s">
        <v>1451</v>
      </c>
      <c r="G47" s="6" t="s">
        <v>41</v>
      </c>
      <c r="H47" s="63" t="s">
        <v>1451</v>
      </c>
      <c r="I47" s="21" t="s">
        <v>259</v>
      </c>
      <c r="J47" s="63" t="s">
        <v>1387</v>
      </c>
      <c r="K47" s="6" t="s">
        <v>260</v>
      </c>
      <c r="L47" s="6" t="s">
        <v>261</v>
      </c>
      <c r="M47" s="55"/>
      <c r="N47" s="55"/>
      <c r="O47" s="55"/>
      <c r="P47" s="55"/>
      <c r="Q47" s="6">
        <v>1.0</v>
      </c>
      <c r="R47" s="23">
        <v>45762.0</v>
      </c>
      <c r="S47" s="23">
        <v>45770.0</v>
      </c>
      <c r="T47" s="23">
        <v>45769.0</v>
      </c>
      <c r="U47" s="55"/>
      <c r="V47" s="6" t="s">
        <v>44</v>
      </c>
      <c r="W47" s="55"/>
      <c r="X47" s="6" t="s">
        <v>45</v>
      </c>
      <c r="Y47" s="6" t="s">
        <v>46</v>
      </c>
      <c r="Z47" s="6">
        <v>3.04025329E9</v>
      </c>
      <c r="AA47" s="6" t="s">
        <v>262</v>
      </c>
      <c r="AB47" s="6" t="s">
        <v>263</v>
      </c>
      <c r="AC47" s="6" t="s">
        <v>264</v>
      </c>
      <c r="AD47" s="55"/>
      <c r="AE47" s="55"/>
      <c r="AF47" s="55"/>
      <c r="AG47" s="55"/>
    </row>
    <row r="48">
      <c r="A48" s="21">
        <f>COUNTIF('Divulgação'!$B:$B,B48)</f>
        <v>1</v>
      </c>
      <c r="B48" s="62" t="s">
        <v>267</v>
      </c>
      <c r="C48" s="55"/>
      <c r="D48" s="6" t="s">
        <v>39</v>
      </c>
      <c r="E48" s="6" t="s">
        <v>40</v>
      </c>
      <c r="F48" s="63" t="s">
        <v>1451</v>
      </c>
      <c r="G48" s="6" t="s">
        <v>41</v>
      </c>
      <c r="H48" s="63" t="s">
        <v>1451</v>
      </c>
      <c r="I48" s="21" t="s">
        <v>259</v>
      </c>
      <c r="J48" s="63" t="s">
        <v>1387</v>
      </c>
      <c r="K48" s="6" t="s">
        <v>260</v>
      </c>
      <c r="L48" s="63" t="s">
        <v>1453</v>
      </c>
      <c r="M48" s="55"/>
      <c r="N48" s="55"/>
      <c r="O48" s="55"/>
      <c r="P48" s="55"/>
      <c r="Q48" s="6">
        <v>1.0</v>
      </c>
      <c r="R48" s="23">
        <v>45762.0</v>
      </c>
      <c r="S48" s="23">
        <v>45770.0</v>
      </c>
      <c r="T48" s="23">
        <v>45769.0</v>
      </c>
      <c r="U48" s="55"/>
      <c r="V48" s="6" t="s">
        <v>44</v>
      </c>
      <c r="W48" s="55"/>
      <c r="X48" s="6" t="s">
        <v>45</v>
      </c>
      <c r="Y48" s="6" t="s">
        <v>46</v>
      </c>
      <c r="Z48" s="6">
        <v>3.040306523E9</v>
      </c>
      <c r="AA48" s="6" t="s">
        <v>75</v>
      </c>
      <c r="AB48" s="6" t="s">
        <v>152</v>
      </c>
      <c r="AC48" s="6" t="s">
        <v>153</v>
      </c>
      <c r="AD48" s="55"/>
      <c r="AE48" s="55"/>
      <c r="AF48" s="55"/>
      <c r="AG48" s="55"/>
    </row>
    <row r="49">
      <c r="A49" s="21">
        <f>COUNTIF('Divulgação'!$B:$B,B49)</f>
        <v>1</v>
      </c>
      <c r="B49" s="62" t="s">
        <v>270</v>
      </c>
      <c r="C49" s="55"/>
      <c r="D49" s="6" t="s">
        <v>39</v>
      </c>
      <c r="E49" s="6" t="s">
        <v>40</v>
      </c>
      <c r="F49" s="63" t="s">
        <v>1451</v>
      </c>
      <c r="G49" s="6" t="s">
        <v>41</v>
      </c>
      <c r="H49" s="63" t="s">
        <v>1451</v>
      </c>
      <c r="I49" s="21" t="s">
        <v>259</v>
      </c>
      <c r="J49" s="63" t="s">
        <v>1387</v>
      </c>
      <c r="K49" s="6" t="s">
        <v>260</v>
      </c>
      <c r="L49" s="63" t="s">
        <v>1454</v>
      </c>
      <c r="M49" s="55"/>
      <c r="N49" s="55"/>
      <c r="O49" s="55"/>
      <c r="P49" s="55"/>
      <c r="Q49" s="6">
        <v>1.0</v>
      </c>
      <c r="R49" s="23">
        <v>45762.0</v>
      </c>
      <c r="S49" s="23">
        <v>45770.0</v>
      </c>
      <c r="T49" s="23">
        <v>45769.0</v>
      </c>
      <c r="U49" s="55"/>
      <c r="V49" s="6" t="s">
        <v>44</v>
      </c>
      <c r="W49" s="55"/>
      <c r="X49" s="6" t="s">
        <v>45</v>
      </c>
      <c r="Y49" s="6" t="s">
        <v>46</v>
      </c>
      <c r="Z49" s="6">
        <v>3.040308557E9</v>
      </c>
      <c r="AA49" s="6" t="s">
        <v>75</v>
      </c>
      <c r="AB49" s="6" t="s">
        <v>152</v>
      </c>
      <c r="AC49" s="6" t="s">
        <v>153</v>
      </c>
      <c r="AD49" s="55"/>
      <c r="AE49" s="55"/>
      <c r="AF49" s="55"/>
      <c r="AG49" s="55"/>
    </row>
    <row r="50">
      <c r="A50" s="21">
        <f>COUNTIF('Divulgação'!$B:$B,B50)</f>
        <v>1</v>
      </c>
      <c r="B50" s="62" t="s">
        <v>1341</v>
      </c>
      <c r="C50" s="55"/>
      <c r="D50" s="6" t="s">
        <v>39</v>
      </c>
      <c r="E50" s="6" t="s">
        <v>40</v>
      </c>
      <c r="F50" s="63" t="s">
        <v>1451</v>
      </c>
      <c r="G50" s="6" t="s">
        <v>41</v>
      </c>
      <c r="H50" s="63" t="s">
        <v>1451</v>
      </c>
      <c r="I50" s="21" t="s">
        <v>259</v>
      </c>
      <c r="J50" s="63" t="s">
        <v>1387</v>
      </c>
      <c r="K50" s="6" t="s">
        <v>260</v>
      </c>
      <c r="L50" s="63" t="s">
        <v>1455</v>
      </c>
      <c r="M50" s="55"/>
      <c r="N50" s="55"/>
      <c r="O50" s="55"/>
      <c r="P50" s="55"/>
      <c r="Q50" s="6">
        <v>1.0</v>
      </c>
      <c r="R50" s="23">
        <v>45762.0</v>
      </c>
      <c r="S50" s="23">
        <v>45770.0</v>
      </c>
      <c r="T50" s="23">
        <v>45769.0</v>
      </c>
      <c r="U50" s="55"/>
      <c r="V50" s="6" t="s">
        <v>44</v>
      </c>
      <c r="W50" s="55"/>
      <c r="X50" s="6" t="s">
        <v>45</v>
      </c>
      <c r="Y50" s="6" t="s">
        <v>46</v>
      </c>
      <c r="Z50" s="6">
        <v>3.040309918E9</v>
      </c>
      <c r="AA50" s="6" t="s">
        <v>45</v>
      </c>
      <c r="AB50" s="6" t="s">
        <v>46</v>
      </c>
      <c r="AC50" s="6" t="s">
        <v>177</v>
      </c>
      <c r="AD50" s="55"/>
      <c r="AE50" s="55"/>
      <c r="AF50" s="55"/>
      <c r="AG50" s="55"/>
    </row>
    <row r="51">
      <c r="A51" s="21">
        <f>COUNTIF('Divulgação'!$B:$B,B51)</f>
        <v>1</v>
      </c>
      <c r="B51" s="62" t="s">
        <v>280</v>
      </c>
      <c r="C51" s="55"/>
      <c r="D51" s="6" t="s">
        <v>39</v>
      </c>
      <c r="E51" s="6" t="s">
        <v>40</v>
      </c>
      <c r="F51" s="63" t="s">
        <v>1451</v>
      </c>
      <c r="G51" s="6" t="s">
        <v>41</v>
      </c>
      <c r="H51" s="63" t="s">
        <v>1451</v>
      </c>
      <c r="I51" s="21" t="s">
        <v>281</v>
      </c>
      <c r="J51" s="63" t="s">
        <v>1387</v>
      </c>
      <c r="K51" s="6" t="s">
        <v>282</v>
      </c>
      <c r="L51" s="63" t="s">
        <v>1456</v>
      </c>
      <c r="M51" s="55"/>
      <c r="N51" s="55"/>
      <c r="O51" s="55"/>
      <c r="P51" s="55"/>
      <c r="Q51" s="6">
        <v>1.0</v>
      </c>
      <c r="R51" s="23">
        <v>45762.0</v>
      </c>
      <c r="S51" s="50">
        <v>45984.0</v>
      </c>
      <c r="T51" s="23">
        <v>45769.0</v>
      </c>
      <c r="U51" s="55"/>
      <c r="V51" s="6" t="s">
        <v>44</v>
      </c>
      <c r="W51" s="55"/>
      <c r="X51" s="6" t="s">
        <v>45</v>
      </c>
      <c r="Y51" s="6" t="s">
        <v>46</v>
      </c>
      <c r="Z51" s="6">
        <v>3.040310113E9</v>
      </c>
      <c r="AA51" s="6" t="s">
        <v>75</v>
      </c>
      <c r="AB51" s="6" t="s">
        <v>152</v>
      </c>
      <c r="AC51" s="6" t="s">
        <v>153</v>
      </c>
      <c r="AD51" s="55"/>
      <c r="AE51" s="55"/>
      <c r="AF51" s="55"/>
      <c r="AG51" s="55"/>
    </row>
    <row r="52">
      <c r="A52" s="21">
        <f>COUNTIF('Divulgação'!$B:$B,B52)</f>
        <v>1</v>
      </c>
      <c r="B52" s="62" t="s">
        <v>1344</v>
      </c>
      <c r="C52" s="55"/>
      <c r="D52" s="6" t="s">
        <v>39</v>
      </c>
      <c r="E52" s="6" t="s">
        <v>40</v>
      </c>
      <c r="F52" s="63" t="s">
        <v>1451</v>
      </c>
      <c r="G52" s="6" t="s">
        <v>41</v>
      </c>
      <c r="H52" s="63" t="s">
        <v>1451</v>
      </c>
      <c r="I52" s="21" t="s">
        <v>286</v>
      </c>
      <c r="J52" s="63" t="s">
        <v>1387</v>
      </c>
      <c r="K52" s="6" t="s">
        <v>287</v>
      </c>
      <c r="L52" s="63" t="s">
        <v>1457</v>
      </c>
      <c r="M52" s="55"/>
      <c r="N52" s="55"/>
      <c r="O52" s="55"/>
      <c r="P52" s="55"/>
      <c r="Q52" s="6">
        <v>1.0</v>
      </c>
      <c r="R52" s="23">
        <v>45762.0</v>
      </c>
      <c r="S52" s="23">
        <v>45770.0</v>
      </c>
      <c r="T52" s="23">
        <v>45769.0</v>
      </c>
      <c r="U52" s="55"/>
      <c r="V52" s="6" t="s">
        <v>44</v>
      </c>
      <c r="W52" s="55"/>
      <c r="X52" s="6" t="s">
        <v>45</v>
      </c>
      <c r="Y52" s="6" t="s">
        <v>46</v>
      </c>
      <c r="Z52" s="6">
        <v>3.040262393E9</v>
      </c>
      <c r="AA52" s="6" t="s">
        <v>188</v>
      </c>
      <c r="AB52" s="6" t="s">
        <v>189</v>
      </c>
      <c r="AC52" s="6" t="s">
        <v>448</v>
      </c>
      <c r="AD52" s="55"/>
      <c r="AE52" s="55"/>
      <c r="AF52" s="55"/>
      <c r="AG52" s="55"/>
    </row>
    <row r="53">
      <c r="A53" s="21">
        <f>COUNTIF('Divulgação'!$B:$B,B53)</f>
        <v>1</v>
      </c>
      <c r="B53" s="62" t="s">
        <v>290</v>
      </c>
      <c r="C53" s="55"/>
      <c r="D53" s="6" t="s">
        <v>39</v>
      </c>
      <c r="E53" s="6" t="s">
        <v>40</v>
      </c>
      <c r="F53" s="63" t="s">
        <v>1451</v>
      </c>
      <c r="G53" s="6" t="s">
        <v>41</v>
      </c>
      <c r="H53" s="63" t="s">
        <v>1451</v>
      </c>
      <c r="I53" s="21" t="s">
        <v>286</v>
      </c>
      <c r="J53" s="63" t="s">
        <v>1387</v>
      </c>
      <c r="K53" s="6" t="s">
        <v>287</v>
      </c>
      <c r="L53" s="63" t="s">
        <v>1458</v>
      </c>
      <c r="M53" s="55"/>
      <c r="N53" s="55"/>
      <c r="O53" s="55"/>
      <c r="P53" s="55"/>
      <c r="Q53" s="6">
        <v>1.0</v>
      </c>
      <c r="R53" s="23">
        <v>45762.0</v>
      </c>
      <c r="S53" s="23">
        <v>45770.0</v>
      </c>
      <c r="T53" s="23">
        <v>45769.0</v>
      </c>
      <c r="U53" s="55"/>
      <c r="V53" s="6" t="s">
        <v>44</v>
      </c>
      <c r="W53" s="55"/>
      <c r="X53" s="6" t="s">
        <v>45</v>
      </c>
      <c r="Y53" s="6" t="s">
        <v>46</v>
      </c>
      <c r="Z53" s="6">
        <v>3.040311455E9</v>
      </c>
      <c r="AA53" s="6" t="s">
        <v>64</v>
      </c>
      <c r="AB53" s="6" t="s">
        <v>94</v>
      </c>
      <c r="AC53" s="6" t="s">
        <v>95</v>
      </c>
      <c r="AD53" s="55"/>
      <c r="AE53" s="55"/>
      <c r="AF53" s="55"/>
      <c r="AG53" s="55"/>
    </row>
    <row r="54">
      <c r="A54" s="21">
        <f>COUNTIF('Divulgação'!$B:$B,B54)</f>
        <v>1</v>
      </c>
      <c r="B54" s="62" t="s">
        <v>285</v>
      </c>
      <c r="C54" s="55"/>
      <c r="D54" s="6" t="s">
        <v>39</v>
      </c>
      <c r="E54" s="6" t="s">
        <v>40</v>
      </c>
      <c r="F54" s="63" t="s">
        <v>1451</v>
      </c>
      <c r="G54" s="6" t="s">
        <v>41</v>
      </c>
      <c r="H54" s="63" t="s">
        <v>1451</v>
      </c>
      <c r="I54" s="21" t="s">
        <v>286</v>
      </c>
      <c r="J54" s="63" t="s">
        <v>1387</v>
      </c>
      <c r="K54" s="6" t="s">
        <v>287</v>
      </c>
      <c r="L54" s="63" t="s">
        <v>1459</v>
      </c>
      <c r="M54" s="55"/>
      <c r="N54" s="55"/>
      <c r="O54" s="55"/>
      <c r="P54" s="55"/>
      <c r="Q54" s="6">
        <v>1.0</v>
      </c>
      <c r="R54" s="23">
        <v>45762.0</v>
      </c>
      <c r="S54" s="23">
        <v>45770.0</v>
      </c>
      <c r="T54" s="23">
        <v>45769.0</v>
      </c>
      <c r="U54" s="55"/>
      <c r="V54" s="6" t="s">
        <v>44</v>
      </c>
      <c r="W54" s="55"/>
      <c r="X54" s="6" t="s">
        <v>45</v>
      </c>
      <c r="Y54" s="6" t="s">
        <v>46</v>
      </c>
      <c r="Z54" s="6">
        <v>3.040311368E9</v>
      </c>
      <c r="AA54" s="6" t="s">
        <v>45</v>
      </c>
      <c r="AB54" s="6" t="s">
        <v>46</v>
      </c>
      <c r="AC54" s="6" t="s">
        <v>80</v>
      </c>
      <c r="AD54" s="55"/>
      <c r="AE54" s="55"/>
      <c r="AF54" s="55"/>
      <c r="AG54" s="55"/>
    </row>
    <row r="55">
      <c r="A55" s="21">
        <f>COUNTIF('Divulgação'!$B:$B,B55)</f>
        <v>1</v>
      </c>
      <c r="B55" s="62" t="s">
        <v>293</v>
      </c>
      <c r="C55" s="55"/>
      <c r="D55" s="6" t="s">
        <v>39</v>
      </c>
      <c r="E55" s="6" t="s">
        <v>40</v>
      </c>
      <c r="F55" s="63" t="s">
        <v>1451</v>
      </c>
      <c r="G55" s="6" t="s">
        <v>41</v>
      </c>
      <c r="H55" s="63" t="s">
        <v>1451</v>
      </c>
      <c r="I55" s="21" t="s">
        <v>286</v>
      </c>
      <c r="J55" s="63" t="s">
        <v>1387</v>
      </c>
      <c r="K55" s="6" t="s">
        <v>287</v>
      </c>
      <c r="L55" s="63" t="s">
        <v>1460</v>
      </c>
      <c r="M55" s="55"/>
      <c r="N55" s="55"/>
      <c r="O55" s="55"/>
      <c r="P55" s="55"/>
      <c r="Q55" s="6">
        <v>1.0</v>
      </c>
      <c r="R55" s="23">
        <v>45762.0</v>
      </c>
      <c r="S55" s="23">
        <v>45770.0</v>
      </c>
      <c r="T55" s="23">
        <v>45769.0</v>
      </c>
      <c r="U55" s="55"/>
      <c r="V55" s="6" t="s">
        <v>44</v>
      </c>
      <c r="W55" s="55"/>
      <c r="X55" s="6" t="s">
        <v>45</v>
      </c>
      <c r="Y55" s="6" t="s">
        <v>46</v>
      </c>
      <c r="Z55" s="6">
        <v>3.040277219E9</v>
      </c>
      <c r="AA55" s="6" t="s">
        <v>294</v>
      </c>
      <c r="AB55" s="6" t="s">
        <v>295</v>
      </c>
      <c r="AC55" s="6" t="s">
        <v>296</v>
      </c>
      <c r="AD55" s="55"/>
      <c r="AE55" s="55"/>
      <c r="AF55" s="55"/>
      <c r="AG55" s="55"/>
    </row>
    <row r="56">
      <c r="A56" s="21">
        <f>COUNTIF('Divulgação'!$B:$B,B56)</f>
        <v>1</v>
      </c>
      <c r="B56" s="62" t="s">
        <v>1349</v>
      </c>
      <c r="C56" s="55"/>
      <c r="D56" s="6" t="s">
        <v>39</v>
      </c>
      <c r="E56" s="6" t="s">
        <v>40</v>
      </c>
      <c r="F56" s="63" t="s">
        <v>1451</v>
      </c>
      <c r="G56" s="6" t="s">
        <v>41</v>
      </c>
      <c r="H56" s="63" t="s">
        <v>1451</v>
      </c>
      <c r="I56" s="21" t="s">
        <v>923</v>
      </c>
      <c r="J56" s="63" t="s">
        <v>1387</v>
      </c>
      <c r="K56" s="6" t="s">
        <v>924</v>
      </c>
      <c r="L56" s="63" t="s">
        <v>1463</v>
      </c>
      <c r="M56" s="55"/>
      <c r="N56" s="55"/>
      <c r="O56" s="55"/>
      <c r="P56" s="55"/>
      <c r="Q56" s="6">
        <v>1.0</v>
      </c>
      <c r="R56" s="23">
        <v>45762.0</v>
      </c>
      <c r="S56" s="23">
        <v>45770.0</v>
      </c>
      <c r="T56" s="23">
        <v>45769.0</v>
      </c>
      <c r="U56" s="55"/>
      <c r="V56" s="6" t="s">
        <v>44</v>
      </c>
      <c r="W56" s="55"/>
      <c r="X56" s="6" t="s">
        <v>45</v>
      </c>
      <c r="Y56" s="6" t="s">
        <v>46</v>
      </c>
      <c r="Z56" s="6">
        <v>3.040205091E9</v>
      </c>
      <c r="AA56" s="6" t="s">
        <v>45</v>
      </c>
      <c r="AB56" s="6" t="s">
        <v>46</v>
      </c>
      <c r="AC56" s="6" t="s">
        <v>47</v>
      </c>
      <c r="AD56" s="55"/>
      <c r="AE56" s="55"/>
      <c r="AF56" s="55"/>
      <c r="AG56" s="55"/>
    </row>
    <row r="57">
      <c r="A57" s="21">
        <f>COUNTIF('Divulgação'!$B:$B,B57)</f>
        <v>1</v>
      </c>
      <c r="B57" s="62" t="s">
        <v>1351</v>
      </c>
      <c r="C57" s="55"/>
      <c r="D57" s="6" t="s">
        <v>39</v>
      </c>
      <c r="E57" s="6" t="s">
        <v>40</v>
      </c>
      <c r="F57" s="63" t="s">
        <v>1451</v>
      </c>
      <c r="G57" s="6" t="s">
        <v>41</v>
      </c>
      <c r="H57" s="63" t="s">
        <v>1451</v>
      </c>
      <c r="I57" s="21" t="s">
        <v>302</v>
      </c>
      <c r="J57" s="63" t="s">
        <v>1387</v>
      </c>
      <c r="K57" s="6" t="s">
        <v>303</v>
      </c>
      <c r="L57" s="63" t="s">
        <v>1464</v>
      </c>
      <c r="M57" s="55"/>
      <c r="N57" s="55"/>
      <c r="O57" s="55"/>
      <c r="P57" s="55"/>
      <c r="Q57" s="6">
        <v>1.0</v>
      </c>
      <c r="R57" s="23">
        <v>45762.0</v>
      </c>
      <c r="S57" s="23">
        <v>45770.0</v>
      </c>
      <c r="T57" s="23">
        <v>45769.0</v>
      </c>
      <c r="U57" s="55"/>
      <c r="V57" s="6" t="s">
        <v>44</v>
      </c>
      <c r="W57" s="55"/>
      <c r="X57" s="6" t="s">
        <v>45</v>
      </c>
      <c r="Y57" s="6" t="s">
        <v>46</v>
      </c>
      <c r="Z57" s="6">
        <v>3.040256767E9</v>
      </c>
      <c r="AA57" s="6" t="s">
        <v>188</v>
      </c>
      <c r="AB57" s="6" t="s">
        <v>194</v>
      </c>
      <c r="AC57" s="6" t="s">
        <v>404</v>
      </c>
      <c r="AD57" s="55"/>
      <c r="AE57" s="55"/>
      <c r="AF57" s="55"/>
      <c r="AG57" s="55"/>
    </row>
    <row r="58">
      <c r="A58" s="21">
        <f>COUNTIF('Divulgação'!$B:$B,B58)</f>
        <v>1</v>
      </c>
      <c r="B58" s="62" t="s">
        <v>301</v>
      </c>
      <c r="C58" s="55"/>
      <c r="D58" s="6" t="s">
        <v>39</v>
      </c>
      <c r="E58" s="6" t="s">
        <v>40</v>
      </c>
      <c r="F58" s="63" t="s">
        <v>1451</v>
      </c>
      <c r="G58" s="6" t="s">
        <v>41</v>
      </c>
      <c r="H58" s="63" t="s">
        <v>1451</v>
      </c>
      <c r="I58" s="21" t="s">
        <v>302</v>
      </c>
      <c r="J58" s="63" t="s">
        <v>1387</v>
      </c>
      <c r="K58" s="6" t="s">
        <v>303</v>
      </c>
      <c r="L58" s="63" t="s">
        <v>1465</v>
      </c>
      <c r="M58" s="55"/>
      <c r="N58" s="55"/>
      <c r="O58" s="55"/>
      <c r="P58" s="55"/>
      <c r="Q58" s="6">
        <v>1.0</v>
      </c>
      <c r="R58" s="23">
        <v>45762.0</v>
      </c>
      <c r="S58" s="23">
        <v>45770.0</v>
      </c>
      <c r="T58" s="23">
        <v>45769.0</v>
      </c>
      <c r="U58" s="55"/>
      <c r="V58" s="6" t="s">
        <v>44</v>
      </c>
      <c r="W58" s="55"/>
      <c r="X58" s="6" t="s">
        <v>45</v>
      </c>
      <c r="Y58" s="6" t="s">
        <v>46</v>
      </c>
      <c r="Z58" s="6">
        <v>3.040250226E9</v>
      </c>
      <c r="AA58" s="6" t="s">
        <v>304</v>
      </c>
      <c r="AB58" s="6" t="s">
        <v>306</v>
      </c>
      <c r="AC58" s="6" t="s">
        <v>308</v>
      </c>
      <c r="AD58" s="55"/>
      <c r="AE58" s="55"/>
      <c r="AF58" s="55"/>
      <c r="AG58" s="55"/>
    </row>
    <row r="59">
      <c r="A59" s="21">
        <f>COUNTIF('Divulgação'!$B:$B,B59)</f>
        <v>1</v>
      </c>
      <c r="B59" s="62" t="s">
        <v>1355</v>
      </c>
      <c r="C59" s="55"/>
      <c r="D59" s="6" t="s">
        <v>39</v>
      </c>
      <c r="E59" s="6" t="s">
        <v>40</v>
      </c>
      <c r="F59" s="63" t="s">
        <v>1451</v>
      </c>
      <c r="G59" s="6" t="s">
        <v>41</v>
      </c>
      <c r="H59" s="63" t="s">
        <v>1451</v>
      </c>
      <c r="I59" s="21" t="s">
        <v>302</v>
      </c>
      <c r="J59" s="63" t="s">
        <v>1387</v>
      </c>
      <c r="K59" s="6" t="s">
        <v>303</v>
      </c>
      <c r="L59" s="63" t="s">
        <v>1466</v>
      </c>
      <c r="M59" s="55"/>
      <c r="N59" s="55"/>
      <c r="O59" s="55"/>
      <c r="P59" s="55"/>
      <c r="Q59" s="6">
        <v>1.0</v>
      </c>
      <c r="R59" s="23">
        <v>45762.0</v>
      </c>
      <c r="S59" s="23">
        <v>45770.0</v>
      </c>
      <c r="T59" s="23">
        <v>45769.0</v>
      </c>
      <c r="U59" s="55"/>
      <c r="V59" s="6" t="s">
        <v>44</v>
      </c>
      <c r="W59" s="55"/>
      <c r="X59" s="6" t="s">
        <v>45</v>
      </c>
      <c r="Y59" s="6" t="s">
        <v>46</v>
      </c>
      <c r="Z59" s="6">
        <v>3.040249847E9</v>
      </c>
      <c r="AA59" s="6" t="s">
        <v>389</v>
      </c>
      <c r="AB59" s="6" t="s">
        <v>390</v>
      </c>
      <c r="AC59" s="6" t="s">
        <v>1173</v>
      </c>
      <c r="AD59" s="55"/>
      <c r="AE59" s="55"/>
      <c r="AF59" s="55"/>
      <c r="AG59" s="55"/>
    </row>
    <row r="60">
      <c r="A60" s="21">
        <f>COUNTIF('Divulgação'!$B:$B,B60)</f>
        <v>1</v>
      </c>
      <c r="B60" s="62" t="s">
        <v>1357</v>
      </c>
      <c r="C60" s="55"/>
      <c r="D60" s="6" t="s">
        <v>39</v>
      </c>
      <c r="E60" s="6" t="s">
        <v>40</v>
      </c>
      <c r="F60" s="63" t="s">
        <v>1451</v>
      </c>
      <c r="G60" s="6" t="s">
        <v>41</v>
      </c>
      <c r="H60" s="63" t="s">
        <v>1451</v>
      </c>
      <c r="I60" s="21" t="s">
        <v>302</v>
      </c>
      <c r="J60" s="63" t="s">
        <v>1387</v>
      </c>
      <c r="K60" s="6" t="s">
        <v>303</v>
      </c>
      <c r="L60" s="63" t="s">
        <v>1467</v>
      </c>
      <c r="M60" s="55"/>
      <c r="N60" s="55"/>
      <c r="O60" s="55"/>
      <c r="P60" s="55"/>
      <c r="Q60" s="6">
        <v>1.0</v>
      </c>
      <c r="R60" s="23">
        <v>45762.0</v>
      </c>
      <c r="S60" s="23">
        <v>45770.0</v>
      </c>
      <c r="T60" s="23">
        <v>45769.0</v>
      </c>
      <c r="U60" s="55"/>
      <c r="V60" s="6" t="s">
        <v>44</v>
      </c>
      <c r="W60" s="55"/>
      <c r="X60" s="6" t="s">
        <v>45</v>
      </c>
      <c r="Y60" s="6" t="s">
        <v>46</v>
      </c>
      <c r="Z60" s="6">
        <v>3.040281731E9</v>
      </c>
      <c r="AA60" s="6" t="s">
        <v>63</v>
      </c>
      <c r="AB60" s="6" t="s">
        <v>72</v>
      </c>
      <c r="AC60" s="6" t="s">
        <v>451</v>
      </c>
      <c r="AD60" s="55"/>
      <c r="AE60" s="55"/>
      <c r="AF60" s="55"/>
      <c r="AG60" s="55"/>
    </row>
    <row r="61">
      <c r="A61" s="21">
        <f>COUNTIF('Divulgação'!$B:$B,B61)</f>
        <v>1</v>
      </c>
      <c r="B61" s="62" t="s">
        <v>1359</v>
      </c>
      <c r="C61" s="55"/>
      <c r="D61" s="6" t="s">
        <v>39</v>
      </c>
      <c r="E61" s="6" t="s">
        <v>40</v>
      </c>
      <c r="F61" s="63" t="s">
        <v>1451</v>
      </c>
      <c r="G61" s="6" t="s">
        <v>41</v>
      </c>
      <c r="H61" s="63" t="s">
        <v>1451</v>
      </c>
      <c r="I61" s="21" t="s">
        <v>658</v>
      </c>
      <c r="J61" s="63" t="s">
        <v>1400</v>
      </c>
      <c r="K61" s="6" t="s">
        <v>971</v>
      </c>
      <c r="L61" s="6" t="s">
        <v>1468</v>
      </c>
      <c r="M61" s="55"/>
      <c r="N61" s="55"/>
      <c r="O61" s="55"/>
      <c r="P61" s="55"/>
      <c r="Q61" s="6">
        <v>1.0</v>
      </c>
      <c r="R61" s="23">
        <v>45762.0</v>
      </c>
      <c r="S61" s="23">
        <v>45770.0</v>
      </c>
      <c r="T61" s="23">
        <v>45769.0</v>
      </c>
      <c r="U61" s="55"/>
      <c r="V61" s="6" t="s">
        <v>44</v>
      </c>
      <c r="W61" s="55"/>
      <c r="X61" s="6" t="s">
        <v>45</v>
      </c>
      <c r="Y61" s="6" t="s">
        <v>46</v>
      </c>
      <c r="Z61" s="6">
        <v>3.040265321E9</v>
      </c>
      <c r="AA61" s="6" t="s">
        <v>389</v>
      </c>
      <c r="AB61" s="6" t="s">
        <v>390</v>
      </c>
      <c r="AC61" s="6" t="s">
        <v>391</v>
      </c>
      <c r="AD61" s="55"/>
      <c r="AE61" s="55"/>
      <c r="AF61" s="55"/>
      <c r="AG61" s="55"/>
    </row>
    <row r="62">
      <c r="A62" s="21">
        <f>COUNTIF('Divulgação'!$B:$B,B62)</f>
        <v>1</v>
      </c>
      <c r="B62" s="62" t="s">
        <v>1361</v>
      </c>
      <c r="C62" s="55"/>
      <c r="D62" s="6" t="s">
        <v>39</v>
      </c>
      <c r="E62" s="6" t="s">
        <v>40</v>
      </c>
      <c r="F62" s="63" t="s">
        <v>1451</v>
      </c>
      <c r="G62" s="6" t="s">
        <v>41</v>
      </c>
      <c r="H62" s="63" t="s">
        <v>1451</v>
      </c>
      <c r="I62" s="21" t="s">
        <v>658</v>
      </c>
      <c r="J62" s="63" t="s">
        <v>1400</v>
      </c>
      <c r="K62" s="6" t="s">
        <v>971</v>
      </c>
      <c r="L62" s="6" t="s">
        <v>1470</v>
      </c>
      <c r="M62" s="55"/>
      <c r="N62" s="55"/>
      <c r="O62" s="55"/>
      <c r="P62" s="55"/>
      <c r="Q62" s="6">
        <v>1.0</v>
      </c>
      <c r="R62" s="23">
        <v>45762.0</v>
      </c>
      <c r="S62" s="23">
        <v>45770.0</v>
      </c>
      <c r="T62" s="23">
        <v>45769.0</v>
      </c>
      <c r="U62" s="55"/>
      <c r="V62" s="6" t="s">
        <v>103</v>
      </c>
      <c r="W62" s="6">
        <v>3.96250015382E11</v>
      </c>
      <c r="X62" s="6" t="s">
        <v>45</v>
      </c>
      <c r="Y62" s="6" t="s">
        <v>46</v>
      </c>
      <c r="Z62" s="6">
        <v>3.040308015E9</v>
      </c>
      <c r="AA62" s="6" t="s">
        <v>57</v>
      </c>
      <c r="AB62" s="6" t="s">
        <v>410</v>
      </c>
      <c r="AC62" s="6" t="s">
        <v>411</v>
      </c>
      <c r="AD62" s="55"/>
      <c r="AE62" s="55"/>
      <c r="AF62" s="55"/>
      <c r="AG62" s="55"/>
    </row>
    <row r="63">
      <c r="A63" s="21">
        <f>COUNTIF('Divulgação'!$B:$B,B63)</f>
        <v>1</v>
      </c>
      <c r="B63" s="62" t="s">
        <v>1363</v>
      </c>
      <c r="C63" s="55"/>
      <c r="D63" s="6" t="s">
        <v>39</v>
      </c>
      <c r="E63" s="6" t="s">
        <v>40</v>
      </c>
      <c r="F63" s="63" t="s">
        <v>1471</v>
      </c>
      <c r="G63" s="6" t="s">
        <v>41</v>
      </c>
      <c r="H63" s="63" t="s">
        <v>1471</v>
      </c>
      <c r="I63" s="21" t="s">
        <v>796</v>
      </c>
      <c r="J63" s="6" t="s">
        <v>275</v>
      </c>
      <c r="K63" s="6" t="s">
        <v>798</v>
      </c>
      <c r="L63" s="63" t="s">
        <v>1472</v>
      </c>
      <c r="M63" s="55"/>
      <c r="N63" s="55"/>
      <c r="O63" s="55"/>
      <c r="P63" s="55"/>
      <c r="Q63" s="6">
        <v>1.0</v>
      </c>
      <c r="R63" s="23">
        <v>45762.0</v>
      </c>
      <c r="S63" s="23">
        <v>45770.0</v>
      </c>
      <c r="T63" s="23">
        <v>45770.0</v>
      </c>
      <c r="U63" s="55"/>
      <c r="V63" s="6" t="s">
        <v>103</v>
      </c>
      <c r="W63" s="6">
        <v>3.13250016742E11</v>
      </c>
      <c r="X63" s="6" t="s">
        <v>45</v>
      </c>
      <c r="Y63" s="6" t="s">
        <v>46</v>
      </c>
      <c r="Z63" s="6">
        <v>3.040304988E9</v>
      </c>
      <c r="AA63" s="6" t="s">
        <v>63</v>
      </c>
      <c r="AB63" s="6" t="s">
        <v>72</v>
      </c>
      <c r="AC63" s="6" t="s">
        <v>451</v>
      </c>
      <c r="AD63" s="55"/>
      <c r="AE63" s="55"/>
      <c r="AF63" s="55"/>
      <c r="AG63" s="55"/>
    </row>
    <row r="64">
      <c r="A64" s="21">
        <f>COUNTIF('Divulgação'!$B:$B,B64)</f>
        <v>1</v>
      </c>
      <c r="B64" s="62" t="s">
        <v>309</v>
      </c>
      <c r="C64" s="55"/>
      <c r="D64" s="6" t="s">
        <v>39</v>
      </c>
      <c r="E64" s="6" t="s">
        <v>40</v>
      </c>
      <c r="F64" s="63" t="s">
        <v>1473</v>
      </c>
      <c r="G64" s="6" t="s">
        <v>41</v>
      </c>
      <c r="H64" s="63" t="s">
        <v>1473</v>
      </c>
      <c r="I64" s="21" t="s">
        <v>310</v>
      </c>
      <c r="J64" s="6" t="s">
        <v>156</v>
      </c>
      <c r="K64" s="6" t="s">
        <v>311</v>
      </c>
      <c r="L64" s="6" t="s">
        <v>312</v>
      </c>
      <c r="M64" s="55"/>
      <c r="N64" s="55"/>
      <c r="O64" s="55"/>
      <c r="P64" s="55"/>
      <c r="Q64" s="6">
        <v>1.0</v>
      </c>
      <c r="R64" s="23">
        <v>45796.0</v>
      </c>
      <c r="S64" s="50">
        <v>45984.0</v>
      </c>
      <c r="T64" s="23">
        <v>45799.0</v>
      </c>
      <c r="U64" s="55"/>
      <c r="V64" s="6" t="s">
        <v>44</v>
      </c>
      <c r="W64" s="55"/>
      <c r="X64" s="6" t="s">
        <v>45</v>
      </c>
      <c r="Y64" s="6" t="s">
        <v>46</v>
      </c>
      <c r="Z64" s="6">
        <v>3.040307826E9</v>
      </c>
      <c r="AA64" s="6" t="s">
        <v>66</v>
      </c>
      <c r="AB64" s="6" t="s">
        <v>228</v>
      </c>
      <c r="AC64" s="6" t="s">
        <v>229</v>
      </c>
      <c r="AD64" s="55"/>
      <c r="AE64" s="55"/>
      <c r="AF64" s="55"/>
      <c r="AG64" s="55"/>
    </row>
    <row r="65">
      <c r="A65" s="21">
        <f>COUNTIF('Divulgação'!$B:$B,B65)</f>
        <v>1</v>
      </c>
      <c r="B65" s="62" t="s">
        <v>315</v>
      </c>
      <c r="C65" s="55"/>
      <c r="D65" s="6" t="s">
        <v>39</v>
      </c>
      <c r="E65" s="6" t="s">
        <v>40</v>
      </c>
      <c r="F65" s="63" t="s">
        <v>1473</v>
      </c>
      <c r="G65" s="6" t="s">
        <v>41</v>
      </c>
      <c r="H65" s="63" t="s">
        <v>1473</v>
      </c>
      <c r="I65" s="21" t="s">
        <v>223</v>
      </c>
      <c r="J65" s="63" t="s">
        <v>1431</v>
      </c>
      <c r="K65" s="6" t="s">
        <v>224</v>
      </c>
      <c r="L65" s="63" t="s">
        <v>1474</v>
      </c>
      <c r="M65" s="55"/>
      <c r="N65" s="55"/>
      <c r="O65" s="55"/>
      <c r="P65" s="55"/>
      <c r="Q65" s="6">
        <v>1.0</v>
      </c>
      <c r="R65" s="23">
        <v>45796.0</v>
      </c>
      <c r="S65" s="50">
        <v>45984.0</v>
      </c>
      <c r="T65" s="23">
        <v>45799.0</v>
      </c>
      <c r="U65" s="55"/>
      <c r="V65" s="6" t="s">
        <v>103</v>
      </c>
      <c r="W65" s="6">
        <v>3.96250014613E11</v>
      </c>
      <c r="X65" s="6" t="s">
        <v>45</v>
      </c>
      <c r="Y65" s="6" t="s">
        <v>46</v>
      </c>
      <c r="Z65" s="6">
        <v>3.040310145E9</v>
      </c>
      <c r="AA65" s="6" t="s">
        <v>143</v>
      </c>
      <c r="AB65" s="6" t="s">
        <v>316</v>
      </c>
      <c r="AC65" s="6" t="s">
        <v>317</v>
      </c>
      <c r="AD65" s="55"/>
      <c r="AE65" s="55"/>
      <c r="AF65" s="55"/>
      <c r="AG65" s="55"/>
    </row>
    <row r="66">
      <c r="A66" s="21">
        <f>COUNTIF('Divulgação'!$B:$B,B66)</f>
        <v>1</v>
      </c>
      <c r="B66" s="62" t="s">
        <v>1367</v>
      </c>
      <c r="C66" s="55"/>
      <c r="D66" s="6" t="s">
        <v>39</v>
      </c>
      <c r="E66" s="6" t="s">
        <v>40</v>
      </c>
      <c r="F66" s="63" t="s">
        <v>1473</v>
      </c>
      <c r="G66" s="6" t="s">
        <v>41</v>
      </c>
      <c r="H66" s="63" t="s">
        <v>1473</v>
      </c>
      <c r="I66" s="21" t="s">
        <v>223</v>
      </c>
      <c r="J66" s="63" t="s">
        <v>1431</v>
      </c>
      <c r="K66" s="6" t="s">
        <v>224</v>
      </c>
      <c r="L66" s="63" t="s">
        <v>1475</v>
      </c>
      <c r="M66" s="55"/>
      <c r="N66" s="55"/>
      <c r="O66" s="55"/>
      <c r="P66" s="55"/>
      <c r="Q66" s="6">
        <v>1.0</v>
      </c>
      <c r="R66" s="23">
        <v>45796.0</v>
      </c>
      <c r="S66" s="50">
        <v>45984.0</v>
      </c>
      <c r="T66" s="23">
        <v>45799.0</v>
      </c>
      <c r="U66" s="55"/>
      <c r="V66" s="6" t="s">
        <v>44</v>
      </c>
      <c r="W66" s="55"/>
      <c r="X66" s="6" t="s">
        <v>45</v>
      </c>
      <c r="Y66" s="6" t="s">
        <v>46</v>
      </c>
      <c r="Z66" s="6">
        <v>3.040309257E9</v>
      </c>
      <c r="AA66" s="6" t="s">
        <v>63</v>
      </c>
      <c r="AB66" s="6" t="s">
        <v>241</v>
      </c>
      <c r="AC66" s="6" t="s">
        <v>583</v>
      </c>
      <c r="AD66" s="55"/>
      <c r="AE66" s="55"/>
      <c r="AF66" s="55"/>
      <c r="AG66" s="55"/>
    </row>
    <row r="67">
      <c r="A67" s="21">
        <f>COUNTIF('Divulgação'!$B:$B,B67)</f>
        <v>1</v>
      </c>
      <c r="B67" s="62" t="s">
        <v>1369</v>
      </c>
      <c r="C67" s="55"/>
      <c r="D67" s="6" t="s">
        <v>39</v>
      </c>
      <c r="E67" s="6" t="s">
        <v>40</v>
      </c>
      <c r="F67" s="63" t="s">
        <v>1473</v>
      </c>
      <c r="G67" s="6" t="s">
        <v>41</v>
      </c>
      <c r="H67" s="63" t="s">
        <v>1473</v>
      </c>
      <c r="I67" s="21" t="s">
        <v>1476</v>
      </c>
      <c r="J67" s="63" t="s">
        <v>1431</v>
      </c>
      <c r="K67" s="6" t="s">
        <v>224</v>
      </c>
      <c r="L67" s="63" t="s">
        <v>1477</v>
      </c>
      <c r="M67" s="55"/>
      <c r="N67" s="55"/>
      <c r="O67" s="55"/>
      <c r="P67" s="55"/>
      <c r="Q67" s="6">
        <v>1.0</v>
      </c>
      <c r="R67" s="23">
        <v>45796.0</v>
      </c>
      <c r="S67" s="50">
        <v>45984.0</v>
      </c>
      <c r="T67" s="23">
        <v>45799.0</v>
      </c>
      <c r="U67" s="55"/>
      <c r="V67" s="6" t="s">
        <v>44</v>
      </c>
      <c r="W67" s="55"/>
      <c r="X67" s="6" t="s">
        <v>45</v>
      </c>
      <c r="Y67" s="6" t="s">
        <v>46</v>
      </c>
      <c r="Z67" s="6">
        <v>3.040307837E9</v>
      </c>
      <c r="AA67" s="6" t="s">
        <v>66</v>
      </c>
      <c r="AB67" s="6" t="s">
        <v>228</v>
      </c>
      <c r="AC67" s="6" t="s">
        <v>229</v>
      </c>
      <c r="AD67" s="55"/>
      <c r="AE67" s="55"/>
      <c r="AF67" s="55"/>
      <c r="AG67" s="55"/>
    </row>
    <row r="68">
      <c r="A68" s="21">
        <f>COUNTIF('Divulgação'!$B:$B,B68)</f>
        <v>1</v>
      </c>
      <c r="B68" s="62" t="s">
        <v>1371</v>
      </c>
      <c r="C68" s="55"/>
      <c r="D68" s="6" t="s">
        <v>39</v>
      </c>
      <c r="E68" s="6" t="s">
        <v>40</v>
      </c>
      <c r="F68" s="63" t="s">
        <v>1473</v>
      </c>
      <c r="G68" s="6" t="s">
        <v>41</v>
      </c>
      <c r="H68" s="63" t="s">
        <v>1473</v>
      </c>
      <c r="I68" s="21" t="s">
        <v>1476</v>
      </c>
      <c r="J68" s="63" t="s">
        <v>1431</v>
      </c>
      <c r="K68" s="6" t="s">
        <v>224</v>
      </c>
      <c r="L68" s="63" t="s">
        <v>1478</v>
      </c>
      <c r="M68" s="55"/>
      <c r="N68" s="55"/>
      <c r="O68" s="55"/>
      <c r="P68" s="55"/>
      <c r="Q68" s="6">
        <v>1.0</v>
      </c>
      <c r="R68" s="23">
        <v>45796.0</v>
      </c>
      <c r="S68" s="50">
        <v>45984.0</v>
      </c>
      <c r="T68" s="23">
        <v>45799.0</v>
      </c>
      <c r="U68" s="55"/>
      <c r="V68" s="6" t="s">
        <v>44</v>
      </c>
      <c r="W68" s="55"/>
      <c r="X68" s="6" t="s">
        <v>45</v>
      </c>
      <c r="Y68" s="6" t="s">
        <v>46</v>
      </c>
      <c r="Z68" s="6">
        <v>3.040308148E9</v>
      </c>
      <c r="AA68" s="6" t="s">
        <v>63</v>
      </c>
      <c r="AB68" s="6" t="s">
        <v>241</v>
      </c>
      <c r="AC68" s="6" t="s">
        <v>1479</v>
      </c>
      <c r="AD68" s="55"/>
      <c r="AE68" s="55"/>
      <c r="AF68" s="55"/>
      <c r="AG68" s="55"/>
    </row>
    <row r="69">
      <c r="A69" s="21">
        <f>COUNTIF('Divulgação'!$B:$B,B69)</f>
        <v>1</v>
      </c>
      <c r="B69" s="62" t="s">
        <v>1373</v>
      </c>
      <c r="C69" s="55"/>
      <c r="D69" s="6" t="s">
        <v>39</v>
      </c>
      <c r="E69" s="6" t="s">
        <v>40</v>
      </c>
      <c r="F69" s="63" t="s">
        <v>1473</v>
      </c>
      <c r="G69" s="6" t="s">
        <v>41</v>
      </c>
      <c r="H69" s="63" t="s">
        <v>1473</v>
      </c>
      <c r="I69" s="21" t="s">
        <v>1476</v>
      </c>
      <c r="J69" s="63" t="s">
        <v>1431</v>
      </c>
      <c r="K69" s="6" t="s">
        <v>224</v>
      </c>
      <c r="L69" s="63" t="s">
        <v>1480</v>
      </c>
      <c r="M69" s="55"/>
      <c r="N69" s="55"/>
      <c r="O69" s="55"/>
      <c r="P69" s="55"/>
      <c r="Q69" s="6">
        <v>1.0</v>
      </c>
      <c r="R69" s="23">
        <v>45796.0</v>
      </c>
      <c r="S69" s="50">
        <v>45984.0</v>
      </c>
      <c r="T69" s="23">
        <v>45799.0</v>
      </c>
      <c r="U69" s="55"/>
      <c r="V69" s="6" t="s">
        <v>103</v>
      </c>
      <c r="W69" s="6">
        <v>3.04250073792E11</v>
      </c>
      <c r="X69" s="6" t="s">
        <v>45</v>
      </c>
      <c r="Y69" s="6" t="s">
        <v>46</v>
      </c>
      <c r="Z69" s="6">
        <v>3.040309258E9</v>
      </c>
      <c r="AA69" s="6" t="s">
        <v>63</v>
      </c>
      <c r="AB69" s="6" t="s">
        <v>241</v>
      </c>
      <c r="AC69" s="6" t="s">
        <v>583</v>
      </c>
      <c r="AD69" s="55"/>
      <c r="AE69" s="55"/>
      <c r="AF69" s="55"/>
      <c r="AG69" s="55"/>
    </row>
    <row r="70">
      <c r="A70" s="21">
        <f>COUNTIF('Divulgação'!$B:$B,B70)</f>
        <v>1</v>
      </c>
      <c r="B70" s="62" t="s">
        <v>1375</v>
      </c>
      <c r="C70" s="55"/>
      <c r="D70" s="6" t="s">
        <v>39</v>
      </c>
      <c r="E70" s="6" t="s">
        <v>40</v>
      </c>
      <c r="F70" s="63" t="s">
        <v>1481</v>
      </c>
      <c r="G70" s="6" t="s">
        <v>41</v>
      </c>
      <c r="H70" s="63" t="s">
        <v>1481</v>
      </c>
      <c r="I70" s="21" t="s">
        <v>226</v>
      </c>
      <c r="J70" s="63" t="s">
        <v>1428</v>
      </c>
      <c r="K70" s="6" t="s">
        <v>320</v>
      </c>
      <c r="L70" s="63" t="s">
        <v>1482</v>
      </c>
      <c r="M70" s="55"/>
      <c r="N70" s="55"/>
      <c r="O70" s="55"/>
      <c r="P70" s="55"/>
      <c r="Q70" s="6">
        <v>1.0</v>
      </c>
      <c r="R70" s="23">
        <v>45800.0</v>
      </c>
      <c r="S70" s="50">
        <v>45990.0</v>
      </c>
      <c r="T70" s="23">
        <v>45803.0</v>
      </c>
      <c r="U70" s="55"/>
      <c r="V70" s="6" t="s">
        <v>44</v>
      </c>
      <c r="W70" s="55"/>
      <c r="X70" s="6" t="s">
        <v>45</v>
      </c>
      <c r="Y70" s="6" t="s">
        <v>46</v>
      </c>
      <c r="Z70" s="6">
        <v>3.040311451E9</v>
      </c>
      <c r="AA70" s="6" t="s">
        <v>71</v>
      </c>
      <c r="AB70" s="6" t="s">
        <v>328</v>
      </c>
      <c r="AC70" s="6" t="s">
        <v>329</v>
      </c>
      <c r="AD70" s="55"/>
      <c r="AE70" s="55"/>
      <c r="AF70" s="55"/>
      <c r="AG70" s="55"/>
    </row>
    <row r="71">
      <c r="A71" s="21">
        <f>COUNTIF('Divulgação'!$B:$B,B71)</f>
        <v>1</v>
      </c>
      <c r="B71" s="62" t="s">
        <v>325</v>
      </c>
      <c r="C71" s="55"/>
      <c r="D71" s="6" t="s">
        <v>39</v>
      </c>
      <c r="E71" s="6" t="s">
        <v>40</v>
      </c>
      <c r="F71" s="63" t="s">
        <v>1481</v>
      </c>
      <c r="G71" s="6" t="s">
        <v>41</v>
      </c>
      <c r="H71" s="63" t="s">
        <v>1481</v>
      </c>
      <c r="I71" s="21" t="s">
        <v>226</v>
      </c>
      <c r="J71" s="63" t="s">
        <v>1428</v>
      </c>
      <c r="K71" s="6" t="s">
        <v>320</v>
      </c>
      <c r="L71" s="63" t="s">
        <v>1325</v>
      </c>
      <c r="M71" s="55"/>
      <c r="N71" s="55"/>
      <c r="O71" s="55"/>
      <c r="P71" s="55"/>
      <c r="Q71" s="6">
        <v>1.0</v>
      </c>
      <c r="R71" s="23">
        <v>45800.0</v>
      </c>
      <c r="S71" s="50">
        <v>45990.0</v>
      </c>
      <c r="T71" s="23">
        <v>45803.0</v>
      </c>
      <c r="U71" s="55"/>
      <c r="V71" s="6" t="s">
        <v>44</v>
      </c>
      <c r="W71" s="55"/>
      <c r="X71" s="6" t="s">
        <v>45</v>
      </c>
      <c r="Y71" s="6" t="s">
        <v>46</v>
      </c>
      <c r="Z71" s="6">
        <v>3.04031145E9</v>
      </c>
      <c r="AA71" s="6" t="s">
        <v>71</v>
      </c>
      <c r="AB71" s="6" t="s">
        <v>328</v>
      </c>
      <c r="AC71" s="6" t="s">
        <v>329</v>
      </c>
      <c r="AD71" s="55"/>
      <c r="AE71" s="55"/>
      <c r="AF71" s="55"/>
      <c r="AG71" s="55"/>
    </row>
    <row r="72">
      <c r="A72" s="21">
        <f>COUNTIF('Divulgação'!$B:$B,B72)</f>
        <v>1</v>
      </c>
      <c r="B72" s="62" t="s">
        <v>319</v>
      </c>
      <c r="C72" s="55"/>
      <c r="D72" s="6" t="s">
        <v>39</v>
      </c>
      <c r="E72" s="6" t="s">
        <v>40</v>
      </c>
      <c r="F72" s="63" t="s">
        <v>1481</v>
      </c>
      <c r="G72" s="6" t="s">
        <v>41</v>
      </c>
      <c r="H72" s="63" t="s">
        <v>1481</v>
      </c>
      <c r="I72" s="21" t="s">
        <v>226</v>
      </c>
      <c r="J72" s="63" t="s">
        <v>1428</v>
      </c>
      <c r="K72" s="6" t="s">
        <v>320</v>
      </c>
      <c r="L72" s="6" t="s">
        <v>321</v>
      </c>
      <c r="M72" s="55"/>
      <c r="N72" s="55"/>
      <c r="O72" s="55"/>
      <c r="P72" s="55"/>
      <c r="Q72" s="6">
        <v>1.0</v>
      </c>
      <c r="R72" s="23">
        <v>45800.0</v>
      </c>
      <c r="S72" s="50">
        <v>45990.0</v>
      </c>
      <c r="T72" s="23">
        <v>45803.0</v>
      </c>
      <c r="U72" s="55"/>
      <c r="V72" s="6" t="s">
        <v>44</v>
      </c>
      <c r="W72" s="55"/>
      <c r="X72" s="6" t="s">
        <v>45</v>
      </c>
      <c r="Y72" s="6" t="s">
        <v>46</v>
      </c>
      <c r="Z72" s="6">
        <v>3.040313477E9</v>
      </c>
      <c r="AA72" s="6" t="s">
        <v>45</v>
      </c>
      <c r="AB72" s="6" t="s">
        <v>46</v>
      </c>
      <c r="AC72" s="6" t="s">
        <v>324</v>
      </c>
      <c r="AD72" s="55"/>
      <c r="AE72" s="55"/>
      <c r="AF72" s="55"/>
      <c r="AG72" s="55"/>
    </row>
    <row r="73">
      <c r="A73" s="21">
        <f>COUNTIF('Divulgação'!$B:$B,B73)</f>
        <v>1</v>
      </c>
      <c r="B73" s="62" t="s">
        <v>1379</v>
      </c>
      <c r="C73" s="55"/>
      <c r="D73" s="6" t="s">
        <v>39</v>
      </c>
      <c r="E73" s="6" t="s">
        <v>40</v>
      </c>
      <c r="F73" s="63" t="s">
        <v>1481</v>
      </c>
      <c r="G73" s="6" t="s">
        <v>41</v>
      </c>
      <c r="H73" s="63" t="s">
        <v>1481</v>
      </c>
      <c r="I73" s="21" t="s">
        <v>226</v>
      </c>
      <c r="J73" s="63" t="s">
        <v>1428</v>
      </c>
      <c r="K73" s="6" t="s">
        <v>320</v>
      </c>
      <c r="L73" s="63" t="s">
        <v>1483</v>
      </c>
      <c r="M73" s="55"/>
      <c r="N73" s="55"/>
      <c r="O73" s="55"/>
      <c r="P73" s="55"/>
      <c r="Q73" s="6">
        <v>1.0</v>
      </c>
      <c r="R73" s="23">
        <v>45789.0</v>
      </c>
      <c r="S73" s="50">
        <v>45977.0</v>
      </c>
      <c r="T73" s="23">
        <v>45803.0</v>
      </c>
      <c r="U73" s="55"/>
      <c r="V73" s="6" t="s">
        <v>44</v>
      </c>
      <c r="W73" s="55"/>
      <c r="X73" s="6" t="s">
        <v>45</v>
      </c>
      <c r="Y73" s="6" t="s">
        <v>46</v>
      </c>
      <c r="Z73" s="6">
        <v>3.040313479E9</v>
      </c>
      <c r="AA73" s="6" t="s">
        <v>45</v>
      </c>
      <c r="AB73" s="6" t="s">
        <v>46</v>
      </c>
      <c r="AC73" s="6" t="s">
        <v>324</v>
      </c>
      <c r="AD73" s="55"/>
      <c r="AE73" s="55"/>
      <c r="AF73" s="55"/>
      <c r="AG73" s="55"/>
    </row>
    <row r="74">
      <c r="A74" s="21">
        <f>COUNTIF('Divulgação'!$B:$B,B74)</f>
        <v>1</v>
      </c>
      <c r="B74" s="62" t="s">
        <v>330</v>
      </c>
      <c r="C74" s="55"/>
      <c r="D74" s="6" t="s">
        <v>39</v>
      </c>
      <c r="E74" s="6" t="s">
        <v>40</v>
      </c>
      <c r="F74" s="63" t="s">
        <v>1481</v>
      </c>
      <c r="G74" s="6" t="s">
        <v>41</v>
      </c>
      <c r="H74" s="63" t="s">
        <v>1481</v>
      </c>
      <c r="I74" s="21" t="s">
        <v>226</v>
      </c>
      <c r="J74" s="63" t="s">
        <v>1428</v>
      </c>
      <c r="K74" s="6" t="s">
        <v>320</v>
      </c>
      <c r="L74" s="63" t="s">
        <v>1484</v>
      </c>
      <c r="M74" s="55"/>
      <c r="N74" s="55"/>
      <c r="O74" s="55"/>
      <c r="P74" s="55"/>
      <c r="Q74" s="6">
        <v>1.0</v>
      </c>
      <c r="R74" s="23">
        <v>45800.0</v>
      </c>
      <c r="S74" s="50">
        <v>45990.0</v>
      </c>
      <c r="T74" s="23">
        <v>45803.0</v>
      </c>
      <c r="U74" s="55"/>
      <c r="V74" s="6" t="s">
        <v>44</v>
      </c>
      <c r="W74" s="55"/>
      <c r="X74" s="6" t="s">
        <v>45</v>
      </c>
      <c r="Y74" s="6" t="s">
        <v>46</v>
      </c>
      <c r="Z74" s="6">
        <v>3.040313478E9</v>
      </c>
      <c r="AA74" s="6" t="s">
        <v>45</v>
      </c>
      <c r="AB74" s="6" t="s">
        <v>46</v>
      </c>
      <c r="AC74" s="6" t="s">
        <v>324</v>
      </c>
      <c r="AD74" s="55"/>
      <c r="AE74" s="55"/>
      <c r="AF74" s="55"/>
      <c r="AG74" s="55"/>
    </row>
    <row r="75">
      <c r="A75" s="21">
        <f>COUNTIF('Divulgação'!$B:$B,B75)</f>
        <v>1</v>
      </c>
      <c r="B75" s="62" t="s">
        <v>1382</v>
      </c>
      <c r="C75" s="55"/>
      <c r="D75" s="6" t="s">
        <v>39</v>
      </c>
      <c r="E75" s="6" t="s">
        <v>40</v>
      </c>
      <c r="F75" s="63" t="s">
        <v>1481</v>
      </c>
      <c r="G75" s="6" t="s">
        <v>41</v>
      </c>
      <c r="H75" s="63" t="s">
        <v>1481</v>
      </c>
      <c r="I75" s="21" t="s">
        <v>335</v>
      </c>
      <c r="J75" s="63" t="s">
        <v>1428</v>
      </c>
      <c r="K75" s="6" t="s">
        <v>336</v>
      </c>
      <c r="L75" s="63" t="s">
        <v>1483</v>
      </c>
      <c r="M75" s="55"/>
      <c r="N75" s="55"/>
      <c r="O75" s="55"/>
      <c r="P75" s="55"/>
      <c r="Q75" s="6">
        <v>1.0</v>
      </c>
      <c r="R75" s="23">
        <v>45800.0</v>
      </c>
      <c r="S75" s="50">
        <v>45990.0</v>
      </c>
      <c r="T75" s="23">
        <v>45803.0</v>
      </c>
      <c r="U75" s="55"/>
      <c r="V75" s="6" t="s">
        <v>44</v>
      </c>
      <c r="W75" s="55"/>
      <c r="X75" s="6" t="s">
        <v>45</v>
      </c>
      <c r="Y75" s="6" t="s">
        <v>46</v>
      </c>
      <c r="Z75" s="6">
        <v>3.040309328E9</v>
      </c>
      <c r="AA75" s="6" t="s">
        <v>60</v>
      </c>
      <c r="AB75" s="6" t="s">
        <v>367</v>
      </c>
      <c r="AC75" s="6" t="s">
        <v>1430</v>
      </c>
      <c r="AD75" s="55"/>
      <c r="AE75" s="55"/>
      <c r="AF75" s="55"/>
      <c r="AG75" s="55"/>
    </row>
    <row r="76">
      <c r="A76" s="21">
        <f>COUNTIF('Divulgação'!$B:$B,B76)</f>
        <v>1</v>
      </c>
      <c r="B76" s="62" t="s">
        <v>334</v>
      </c>
      <c r="C76" s="55"/>
      <c r="D76" s="6" t="s">
        <v>39</v>
      </c>
      <c r="E76" s="6" t="s">
        <v>40</v>
      </c>
      <c r="F76" s="63" t="s">
        <v>1481</v>
      </c>
      <c r="G76" s="6" t="s">
        <v>41</v>
      </c>
      <c r="H76" s="63" t="s">
        <v>1481</v>
      </c>
      <c r="I76" s="21" t="s">
        <v>335</v>
      </c>
      <c r="J76" s="63" t="s">
        <v>1428</v>
      </c>
      <c r="K76" s="6" t="s">
        <v>336</v>
      </c>
      <c r="L76" s="63" t="s">
        <v>1487</v>
      </c>
      <c r="M76" s="55"/>
      <c r="N76" s="55"/>
      <c r="O76" s="55"/>
      <c r="P76" s="55"/>
      <c r="Q76" s="6">
        <v>1.0</v>
      </c>
      <c r="R76" s="23">
        <v>45800.0</v>
      </c>
      <c r="S76" s="50">
        <v>45990.0</v>
      </c>
      <c r="T76" s="23">
        <v>45803.0</v>
      </c>
      <c r="U76" s="55"/>
      <c r="V76" s="6" t="s">
        <v>44</v>
      </c>
      <c r="W76" s="55"/>
      <c r="X76" s="6" t="s">
        <v>45</v>
      </c>
      <c r="Y76" s="6" t="s">
        <v>46</v>
      </c>
      <c r="Z76" s="6">
        <v>3.040313076E9</v>
      </c>
      <c r="AA76" s="6" t="s">
        <v>66</v>
      </c>
      <c r="AB76" s="6" t="s">
        <v>339</v>
      </c>
      <c r="AC76" s="6" t="s">
        <v>229</v>
      </c>
      <c r="AD76" s="55"/>
      <c r="AE76" s="55"/>
      <c r="AF76" s="55"/>
      <c r="AG76" s="55"/>
    </row>
    <row r="77">
      <c r="A77" s="21">
        <f>COUNTIF('Divulgação'!$B:$B,B77)</f>
        <v>1</v>
      </c>
      <c r="B77" s="62" t="s">
        <v>340</v>
      </c>
      <c r="C77" s="55"/>
      <c r="D77" s="6" t="s">
        <v>39</v>
      </c>
      <c r="E77" s="6" t="s">
        <v>40</v>
      </c>
      <c r="F77" s="63" t="s">
        <v>1481</v>
      </c>
      <c r="G77" s="6" t="s">
        <v>41</v>
      </c>
      <c r="H77" s="63" t="s">
        <v>1481</v>
      </c>
      <c r="I77" s="21" t="s">
        <v>335</v>
      </c>
      <c r="J77" s="63" t="s">
        <v>1428</v>
      </c>
      <c r="K77" s="6" t="s">
        <v>336</v>
      </c>
      <c r="L77" s="63" t="s">
        <v>1342</v>
      </c>
      <c r="M77" s="55"/>
      <c r="N77" s="55"/>
      <c r="O77" s="55"/>
      <c r="P77" s="55"/>
      <c r="Q77" s="6">
        <v>1.0</v>
      </c>
      <c r="R77" s="23">
        <v>45800.0</v>
      </c>
      <c r="S77" s="50">
        <v>45984.0</v>
      </c>
      <c r="T77" s="23">
        <v>45803.0</v>
      </c>
      <c r="U77" s="55"/>
      <c r="V77" s="6" t="s">
        <v>103</v>
      </c>
      <c r="W77" s="6">
        <v>6.85250007749E11</v>
      </c>
      <c r="X77" s="6" t="s">
        <v>45</v>
      </c>
      <c r="Y77" s="6" t="s">
        <v>46</v>
      </c>
      <c r="Z77" s="6">
        <v>3.04031348E9</v>
      </c>
      <c r="AA77" s="6" t="s">
        <v>45</v>
      </c>
      <c r="AB77" s="6" t="s">
        <v>46</v>
      </c>
      <c r="AC77" s="6" t="s">
        <v>324</v>
      </c>
      <c r="AD77" s="55"/>
      <c r="AE77" s="55"/>
      <c r="AF77" s="55"/>
      <c r="AG77" s="55"/>
    </row>
    <row r="78">
      <c r="A78" s="21">
        <f>COUNTIF('Divulgação'!$B:$B,B78)</f>
        <v>1</v>
      </c>
      <c r="B78" s="62" t="s">
        <v>1411</v>
      </c>
      <c r="C78" s="55"/>
      <c r="D78" s="6" t="s">
        <v>39</v>
      </c>
      <c r="E78" s="6" t="s">
        <v>40</v>
      </c>
      <c r="F78" s="63" t="s">
        <v>1481</v>
      </c>
      <c r="G78" s="6" t="s">
        <v>41</v>
      </c>
      <c r="H78" s="63" t="s">
        <v>1481</v>
      </c>
      <c r="I78" s="21" t="s">
        <v>218</v>
      </c>
      <c r="J78" s="63" t="s">
        <v>1431</v>
      </c>
      <c r="K78" s="6" t="s">
        <v>343</v>
      </c>
      <c r="L78" s="63" t="s">
        <v>1488</v>
      </c>
      <c r="M78" s="55"/>
      <c r="N78" s="55"/>
      <c r="O78" s="55"/>
      <c r="P78" s="55"/>
      <c r="Q78" s="6">
        <v>1.0</v>
      </c>
      <c r="R78" s="23">
        <v>45800.0</v>
      </c>
      <c r="S78" s="50">
        <v>45990.0</v>
      </c>
      <c r="T78" s="23">
        <v>45803.0</v>
      </c>
      <c r="U78" s="55"/>
      <c r="V78" s="6" t="s">
        <v>44</v>
      </c>
      <c r="W78" s="55"/>
      <c r="X78" s="6" t="s">
        <v>45</v>
      </c>
      <c r="Y78" s="6" t="s">
        <v>46</v>
      </c>
      <c r="Z78" s="6">
        <v>3.040310761E9</v>
      </c>
      <c r="AA78" s="6" t="s">
        <v>70</v>
      </c>
      <c r="AB78" s="6" t="s">
        <v>152</v>
      </c>
      <c r="AC78" s="6" t="s">
        <v>550</v>
      </c>
      <c r="AD78" s="55"/>
      <c r="AE78" s="55"/>
      <c r="AF78" s="55"/>
      <c r="AG78" s="55"/>
    </row>
    <row r="79">
      <c r="A79" s="21">
        <f>COUNTIF('Divulgação'!$B:$B,B79)</f>
        <v>1</v>
      </c>
      <c r="B79" s="62" t="s">
        <v>1419</v>
      </c>
      <c r="C79" s="55"/>
      <c r="D79" s="6" t="s">
        <v>39</v>
      </c>
      <c r="E79" s="6" t="s">
        <v>40</v>
      </c>
      <c r="F79" s="63" t="s">
        <v>1481</v>
      </c>
      <c r="G79" s="6" t="s">
        <v>41</v>
      </c>
      <c r="H79" s="63" t="s">
        <v>1481</v>
      </c>
      <c r="I79" s="21" t="s">
        <v>218</v>
      </c>
      <c r="J79" s="63" t="s">
        <v>1431</v>
      </c>
      <c r="K79" s="6" t="s">
        <v>343</v>
      </c>
      <c r="L79" s="63" t="s">
        <v>1489</v>
      </c>
      <c r="M79" s="55"/>
      <c r="N79" s="55"/>
      <c r="O79" s="55"/>
      <c r="P79" s="55"/>
      <c r="Q79" s="6">
        <v>1.0</v>
      </c>
      <c r="R79" s="23">
        <v>45800.0</v>
      </c>
      <c r="S79" s="50">
        <v>45990.0</v>
      </c>
      <c r="T79" s="23">
        <v>45803.0</v>
      </c>
      <c r="U79" s="55"/>
      <c r="V79" s="6" t="s">
        <v>44</v>
      </c>
      <c r="W79" s="55"/>
      <c r="X79" s="6" t="s">
        <v>45</v>
      </c>
      <c r="Y79" s="6" t="s">
        <v>46</v>
      </c>
      <c r="Z79" s="6">
        <v>3.040313474E9</v>
      </c>
      <c r="AA79" s="6" t="s">
        <v>45</v>
      </c>
      <c r="AB79" s="6" t="s">
        <v>46</v>
      </c>
      <c r="AC79" s="6" t="s">
        <v>324</v>
      </c>
      <c r="AD79" s="55"/>
      <c r="AE79" s="55"/>
      <c r="AF79" s="55"/>
      <c r="AG79" s="55"/>
    </row>
    <row r="80">
      <c r="A80" s="21">
        <f>COUNTIF('Divulgação'!$B:$B,B80)</f>
        <v>1</v>
      </c>
      <c r="B80" s="62" t="s">
        <v>342</v>
      </c>
      <c r="C80" s="55"/>
      <c r="D80" s="6" t="s">
        <v>39</v>
      </c>
      <c r="E80" s="6" t="s">
        <v>40</v>
      </c>
      <c r="F80" s="63" t="s">
        <v>1481</v>
      </c>
      <c r="G80" s="6" t="s">
        <v>41</v>
      </c>
      <c r="H80" s="63" t="s">
        <v>1481</v>
      </c>
      <c r="I80" s="21" t="s">
        <v>218</v>
      </c>
      <c r="J80" s="63" t="s">
        <v>1431</v>
      </c>
      <c r="K80" s="6" t="s">
        <v>343</v>
      </c>
      <c r="L80" s="63" t="s">
        <v>1269</v>
      </c>
      <c r="M80" s="55"/>
      <c r="N80" s="55"/>
      <c r="O80" s="55"/>
      <c r="P80" s="55"/>
      <c r="Q80" s="6">
        <v>1.0</v>
      </c>
      <c r="R80" s="23">
        <v>45800.0</v>
      </c>
      <c r="S80" s="50">
        <v>45990.0</v>
      </c>
      <c r="T80" s="23">
        <v>45803.0</v>
      </c>
      <c r="U80" s="55"/>
      <c r="V80" s="6" t="s">
        <v>44</v>
      </c>
      <c r="W80" s="55"/>
      <c r="X80" s="6" t="s">
        <v>45</v>
      </c>
      <c r="Y80" s="6" t="s">
        <v>46</v>
      </c>
      <c r="Z80" s="6">
        <v>3.040311452E9</v>
      </c>
      <c r="AA80" s="6" t="s">
        <v>71</v>
      </c>
      <c r="AB80" s="6" t="s">
        <v>328</v>
      </c>
      <c r="AC80" s="6" t="s">
        <v>329</v>
      </c>
      <c r="AD80" s="55"/>
      <c r="AE80" s="55"/>
      <c r="AF80" s="55"/>
      <c r="AG80" s="55"/>
    </row>
    <row r="81">
      <c r="A81" s="21">
        <f>COUNTIF('Divulgação'!$B:$B,B81)</f>
        <v>1</v>
      </c>
      <c r="B81" s="62" t="s">
        <v>344</v>
      </c>
      <c r="C81" s="55"/>
      <c r="D81" s="6" t="s">
        <v>39</v>
      </c>
      <c r="E81" s="6" t="s">
        <v>40</v>
      </c>
      <c r="F81" s="63" t="s">
        <v>1481</v>
      </c>
      <c r="G81" s="6" t="s">
        <v>41</v>
      </c>
      <c r="H81" s="63" t="s">
        <v>1481</v>
      </c>
      <c r="I81" s="21" t="s">
        <v>218</v>
      </c>
      <c r="J81" s="63" t="s">
        <v>1431</v>
      </c>
      <c r="K81" s="6" t="s">
        <v>343</v>
      </c>
      <c r="L81" s="63" t="s">
        <v>1490</v>
      </c>
      <c r="M81" s="55"/>
      <c r="N81" s="55"/>
      <c r="O81" s="55"/>
      <c r="P81" s="55"/>
      <c r="Q81" s="6">
        <v>1.0</v>
      </c>
      <c r="R81" s="23">
        <v>45800.0</v>
      </c>
      <c r="S81" s="50">
        <v>45990.0</v>
      </c>
      <c r="T81" s="23">
        <v>45803.0</v>
      </c>
      <c r="U81" s="55"/>
      <c r="V81" s="6" t="s">
        <v>103</v>
      </c>
      <c r="W81" s="6">
        <v>6.85250007754E11</v>
      </c>
      <c r="X81" s="6" t="s">
        <v>45</v>
      </c>
      <c r="Y81" s="6" t="s">
        <v>46</v>
      </c>
      <c r="Z81" s="6">
        <v>3.040313475E9</v>
      </c>
      <c r="AA81" s="6" t="s">
        <v>45</v>
      </c>
      <c r="AB81" s="6" t="s">
        <v>46</v>
      </c>
      <c r="AC81" s="6" t="s">
        <v>324</v>
      </c>
      <c r="AD81" s="55"/>
      <c r="AE81" s="55"/>
      <c r="AF81" s="55"/>
      <c r="AG81" s="55"/>
    </row>
    <row r="82">
      <c r="A82" s="21">
        <f>COUNTIF('Divulgação'!$B:$B,B82)</f>
        <v>1</v>
      </c>
      <c r="B82" s="62" t="s">
        <v>1462</v>
      </c>
      <c r="C82" s="55"/>
      <c r="D82" s="6" t="s">
        <v>39</v>
      </c>
      <c r="E82" s="6" t="s">
        <v>40</v>
      </c>
      <c r="F82" s="63" t="s">
        <v>1492</v>
      </c>
      <c r="G82" s="6" t="s">
        <v>41</v>
      </c>
      <c r="H82" s="63" t="s">
        <v>1492</v>
      </c>
      <c r="I82" s="21" t="s">
        <v>1442</v>
      </c>
      <c r="J82" s="6" t="s">
        <v>156</v>
      </c>
      <c r="K82" s="6" t="s">
        <v>1443</v>
      </c>
      <c r="L82" s="63" t="s">
        <v>1493</v>
      </c>
      <c r="M82" s="55"/>
      <c r="N82" s="55"/>
      <c r="O82" s="55"/>
      <c r="P82" s="55"/>
      <c r="Q82" s="6">
        <v>1.0</v>
      </c>
      <c r="R82" s="23">
        <v>45812.0</v>
      </c>
      <c r="S82" s="50">
        <v>45971.0</v>
      </c>
      <c r="T82" s="23">
        <v>45813.0</v>
      </c>
      <c r="U82" s="55"/>
      <c r="V82" s="6" t="s">
        <v>44</v>
      </c>
      <c r="W82" s="55"/>
      <c r="X82" s="6" t="s">
        <v>45</v>
      </c>
      <c r="Y82" s="6" t="s">
        <v>46</v>
      </c>
      <c r="Z82" s="6">
        <v>3.040312971E9</v>
      </c>
      <c r="AA82" s="6" t="s">
        <v>45</v>
      </c>
      <c r="AB82" s="6" t="s">
        <v>46</v>
      </c>
      <c r="AC82" s="6" t="s">
        <v>80</v>
      </c>
      <c r="AD82" s="55"/>
      <c r="AE82" s="55"/>
      <c r="AF82" s="55"/>
      <c r="AG82" s="55"/>
    </row>
    <row r="83">
      <c r="A83" s="21">
        <f>COUNTIF('Divulgação'!$B:$B,B83)</f>
        <v>1</v>
      </c>
      <c r="B83" s="62" t="s">
        <v>347</v>
      </c>
      <c r="C83" s="55"/>
      <c r="D83" s="6" t="s">
        <v>39</v>
      </c>
      <c r="E83" s="6" t="s">
        <v>40</v>
      </c>
      <c r="F83" s="63" t="s">
        <v>1492</v>
      </c>
      <c r="G83" s="6" t="s">
        <v>41</v>
      </c>
      <c r="H83" s="63" t="s">
        <v>1492</v>
      </c>
      <c r="I83" s="21" t="s">
        <v>286</v>
      </c>
      <c r="J83" s="63" t="s">
        <v>1387</v>
      </c>
      <c r="K83" s="6" t="s">
        <v>287</v>
      </c>
      <c r="L83" s="63" t="s">
        <v>1494</v>
      </c>
      <c r="M83" s="55"/>
      <c r="N83" s="55"/>
      <c r="O83" s="55"/>
      <c r="P83" s="55"/>
      <c r="Q83" s="6">
        <v>1.0</v>
      </c>
      <c r="R83" s="23">
        <v>45812.0</v>
      </c>
      <c r="S83" s="23">
        <v>45818.0</v>
      </c>
      <c r="T83" s="23">
        <v>45813.0</v>
      </c>
      <c r="U83" s="55"/>
      <c r="V83" s="6" t="s">
        <v>44</v>
      </c>
      <c r="W83" s="55"/>
      <c r="X83" s="6" t="s">
        <v>45</v>
      </c>
      <c r="Y83" s="6" t="s">
        <v>46</v>
      </c>
      <c r="Z83" s="6">
        <v>3.040172638E9</v>
      </c>
      <c r="AA83" s="6" t="s">
        <v>349</v>
      </c>
      <c r="AB83" s="6" t="s">
        <v>351</v>
      </c>
      <c r="AC83" s="6" t="s">
        <v>352</v>
      </c>
      <c r="AD83" s="55"/>
      <c r="AE83" s="55"/>
      <c r="AF83" s="55"/>
      <c r="AG83" s="55"/>
    </row>
    <row r="84">
      <c r="A84" s="21">
        <f>COUNTIF('Divulgação'!$B:$B,B84)</f>
        <v>1</v>
      </c>
      <c r="B84" s="62" t="s">
        <v>1486</v>
      </c>
      <c r="C84" s="55"/>
      <c r="D84" s="6" t="s">
        <v>39</v>
      </c>
      <c r="E84" s="6" t="s">
        <v>40</v>
      </c>
      <c r="F84" s="63" t="s">
        <v>1492</v>
      </c>
      <c r="G84" s="6" t="s">
        <v>41</v>
      </c>
      <c r="H84" s="63" t="s">
        <v>1492</v>
      </c>
      <c r="I84" s="21" t="s">
        <v>286</v>
      </c>
      <c r="J84" s="63" t="s">
        <v>1387</v>
      </c>
      <c r="K84" s="6" t="s">
        <v>287</v>
      </c>
      <c r="L84" s="63" t="s">
        <v>1495</v>
      </c>
      <c r="M84" s="55"/>
      <c r="N84" s="55"/>
      <c r="O84" s="55"/>
      <c r="P84" s="55"/>
      <c r="Q84" s="6">
        <v>1.0</v>
      </c>
      <c r="R84" s="23">
        <v>45812.0</v>
      </c>
      <c r="S84" s="23">
        <v>45818.0</v>
      </c>
      <c r="T84" s="23">
        <v>45813.0</v>
      </c>
      <c r="U84" s="55"/>
      <c r="V84" s="6" t="s">
        <v>44</v>
      </c>
      <c r="W84" s="55"/>
      <c r="X84" s="6" t="s">
        <v>45</v>
      </c>
      <c r="Y84" s="6" t="s">
        <v>46</v>
      </c>
      <c r="Z84" s="6">
        <v>3.040311483E9</v>
      </c>
      <c r="AA84" s="6" t="s">
        <v>64</v>
      </c>
      <c r="AB84" s="6" t="s">
        <v>94</v>
      </c>
      <c r="AC84" s="6" t="s">
        <v>95</v>
      </c>
      <c r="AD84" s="55"/>
      <c r="AE84" s="55"/>
      <c r="AF84" s="55"/>
      <c r="AG84" s="55"/>
    </row>
    <row r="85">
      <c r="A85" s="21">
        <f>COUNTIF('Divulgação'!$B:$B,B85)</f>
        <v>1</v>
      </c>
      <c r="B85" s="62" t="s">
        <v>361</v>
      </c>
      <c r="C85" s="55"/>
      <c r="D85" s="6" t="s">
        <v>39</v>
      </c>
      <c r="E85" s="6" t="s">
        <v>40</v>
      </c>
      <c r="F85" s="63" t="s">
        <v>1492</v>
      </c>
      <c r="G85" s="6" t="s">
        <v>41</v>
      </c>
      <c r="H85" s="63" t="s">
        <v>1492</v>
      </c>
      <c r="I85" s="21" t="s">
        <v>90</v>
      </c>
      <c r="J85" s="63" t="s">
        <v>1398</v>
      </c>
      <c r="K85" s="6" t="s">
        <v>91</v>
      </c>
      <c r="L85" s="63" t="s">
        <v>1496</v>
      </c>
      <c r="M85" s="55"/>
      <c r="N85" s="55"/>
      <c r="O85" s="55"/>
      <c r="P85" s="55"/>
      <c r="Q85" s="6">
        <v>1.0</v>
      </c>
      <c r="R85" s="23">
        <v>45812.0</v>
      </c>
      <c r="S85" s="23">
        <v>45818.0</v>
      </c>
      <c r="T85" s="23">
        <v>45813.0</v>
      </c>
      <c r="U85" s="55"/>
      <c r="V85" s="6" t="s">
        <v>103</v>
      </c>
      <c r="W85" s="6">
        <v>3.13250016763E11</v>
      </c>
      <c r="X85" s="6" t="s">
        <v>45</v>
      </c>
      <c r="Y85" s="6" t="s">
        <v>46</v>
      </c>
      <c r="Z85" s="6">
        <v>3.040313472E9</v>
      </c>
      <c r="AA85" s="6" t="s">
        <v>45</v>
      </c>
      <c r="AB85" s="6" t="s">
        <v>46</v>
      </c>
      <c r="AC85" s="6" t="s">
        <v>177</v>
      </c>
      <c r="AD85" s="55"/>
      <c r="AE85" s="55"/>
      <c r="AF85" s="55"/>
      <c r="AG85" s="55"/>
    </row>
    <row r="86">
      <c r="A86" s="21">
        <f>COUNTIF('Divulgação'!$B:$B,B86)</f>
        <v>1</v>
      </c>
      <c r="B86" s="62" t="s">
        <v>364</v>
      </c>
      <c r="C86" s="55"/>
      <c r="D86" s="6" t="s">
        <v>39</v>
      </c>
      <c r="E86" s="6" t="s">
        <v>40</v>
      </c>
      <c r="F86" s="63" t="s">
        <v>1492</v>
      </c>
      <c r="G86" s="6" t="s">
        <v>41</v>
      </c>
      <c r="H86" s="63" t="s">
        <v>1492</v>
      </c>
      <c r="I86" s="21" t="s">
        <v>365</v>
      </c>
      <c r="J86" s="6" t="s">
        <v>156</v>
      </c>
      <c r="K86" s="6" t="s">
        <v>366</v>
      </c>
      <c r="L86" s="63" t="s">
        <v>1497</v>
      </c>
      <c r="M86" s="55"/>
      <c r="N86" s="55"/>
      <c r="O86" s="55"/>
      <c r="P86" s="55"/>
      <c r="Q86" s="6">
        <v>1.0</v>
      </c>
      <c r="R86" s="23">
        <v>45812.0</v>
      </c>
      <c r="S86" s="50">
        <v>45971.0</v>
      </c>
      <c r="T86" s="23">
        <v>45813.0</v>
      </c>
      <c r="U86" s="55"/>
      <c r="V86" s="6" t="s">
        <v>44</v>
      </c>
      <c r="W86" s="55"/>
      <c r="X86" s="6" t="s">
        <v>45</v>
      </c>
      <c r="Y86" s="6" t="s">
        <v>46</v>
      </c>
      <c r="Z86" s="6">
        <v>3.040313068E9</v>
      </c>
      <c r="AA86" s="6" t="s">
        <v>60</v>
      </c>
      <c r="AB86" s="6" t="s">
        <v>367</v>
      </c>
      <c r="AC86" s="6" t="s">
        <v>1430</v>
      </c>
      <c r="AD86" s="55"/>
      <c r="AE86" s="55"/>
      <c r="AF86" s="55"/>
      <c r="AG86" s="55"/>
    </row>
    <row r="87">
      <c r="A87" s="21">
        <f>COUNTIF('Divulgação'!$B:$B,B87)</f>
        <v>1</v>
      </c>
      <c r="B87" s="62" t="s">
        <v>356</v>
      </c>
      <c r="C87" s="55"/>
      <c r="D87" s="6" t="s">
        <v>39</v>
      </c>
      <c r="E87" s="6" t="s">
        <v>40</v>
      </c>
      <c r="F87" s="63" t="s">
        <v>1492</v>
      </c>
      <c r="G87" s="6" t="s">
        <v>41</v>
      </c>
      <c r="H87" s="63" t="s">
        <v>1492</v>
      </c>
      <c r="I87" s="21" t="s">
        <v>90</v>
      </c>
      <c r="J87" s="63" t="s">
        <v>1398</v>
      </c>
      <c r="K87" s="6" t="s">
        <v>91</v>
      </c>
      <c r="L87" s="6" t="s">
        <v>357</v>
      </c>
      <c r="M87" s="55"/>
      <c r="N87" s="55"/>
      <c r="O87" s="55"/>
      <c r="P87" s="55"/>
      <c r="Q87" s="6">
        <v>1.0</v>
      </c>
      <c r="R87" s="23">
        <v>45812.0</v>
      </c>
      <c r="S87" s="23">
        <v>45818.0</v>
      </c>
      <c r="T87" s="23">
        <v>45813.0</v>
      </c>
      <c r="U87" s="55"/>
      <c r="V87" s="6" t="s">
        <v>103</v>
      </c>
      <c r="W87" s="6">
        <v>3.0425007378E11</v>
      </c>
      <c r="X87" s="6" t="s">
        <v>45</v>
      </c>
      <c r="Y87" s="6" t="s">
        <v>46</v>
      </c>
      <c r="Z87" s="6">
        <v>3.040309286E9</v>
      </c>
      <c r="AA87" s="6" t="s">
        <v>63</v>
      </c>
      <c r="AB87" s="6" t="s">
        <v>72</v>
      </c>
      <c r="AC87" s="6" t="s">
        <v>360</v>
      </c>
      <c r="AD87" s="55"/>
      <c r="AE87" s="55"/>
      <c r="AF87" s="55"/>
      <c r="AG87" s="55"/>
    </row>
    <row r="88">
      <c r="A88" s="21">
        <f>COUNTIF('Divulgação'!$B:$B,B88)</f>
        <v>1</v>
      </c>
      <c r="B88" s="62" t="s">
        <v>353</v>
      </c>
      <c r="C88" s="55"/>
      <c r="D88" s="6" t="s">
        <v>39</v>
      </c>
      <c r="E88" s="6" t="s">
        <v>40</v>
      </c>
      <c r="F88" s="63" t="s">
        <v>1492</v>
      </c>
      <c r="G88" s="6" t="s">
        <v>41</v>
      </c>
      <c r="H88" s="63" t="s">
        <v>1492</v>
      </c>
      <c r="I88" s="21" t="s">
        <v>90</v>
      </c>
      <c r="J88" s="63" t="s">
        <v>1398</v>
      </c>
      <c r="K88" s="6" t="s">
        <v>91</v>
      </c>
      <c r="L88" s="63" t="s">
        <v>1498</v>
      </c>
      <c r="M88" s="55"/>
      <c r="N88" s="55"/>
      <c r="O88" s="55"/>
      <c r="P88" s="55"/>
      <c r="Q88" s="6">
        <v>1.0</v>
      </c>
      <c r="R88" s="23">
        <v>45812.0</v>
      </c>
      <c r="S88" s="23">
        <v>45818.0</v>
      </c>
      <c r="T88" s="23">
        <v>45813.0</v>
      </c>
      <c r="U88" s="55"/>
      <c r="V88" s="6" t="s">
        <v>103</v>
      </c>
      <c r="W88" s="6">
        <v>6.85250008466E11</v>
      </c>
      <c r="X88" s="6" t="s">
        <v>45</v>
      </c>
      <c r="Y88" s="6" t="s">
        <v>46</v>
      </c>
      <c r="Z88" s="6">
        <v>3.040309276E9</v>
      </c>
      <c r="AA88" s="6" t="s">
        <v>63</v>
      </c>
      <c r="AB88" s="6" t="s">
        <v>72</v>
      </c>
      <c r="AC88" s="6" t="s">
        <v>355</v>
      </c>
      <c r="AD88" s="55"/>
      <c r="AE88" s="55"/>
      <c r="AF88" s="55"/>
      <c r="AG88" s="55"/>
    </row>
    <row r="89">
      <c r="A89" s="21">
        <f>COUNTIF('Divulgação'!$B:$B,B89)</f>
        <v>1</v>
      </c>
      <c r="B89" s="62" t="s">
        <v>1499</v>
      </c>
      <c r="C89" s="55"/>
      <c r="D89" s="6" t="s">
        <v>39</v>
      </c>
      <c r="E89" s="6" t="s">
        <v>40</v>
      </c>
      <c r="F89" s="63" t="s">
        <v>1492</v>
      </c>
      <c r="G89" s="6" t="s">
        <v>41</v>
      </c>
      <c r="H89" s="63" t="s">
        <v>1492</v>
      </c>
      <c r="I89" s="21" t="s">
        <v>1278</v>
      </c>
      <c r="J89" s="63" t="s">
        <v>1447</v>
      </c>
      <c r="K89" s="6" t="s">
        <v>1279</v>
      </c>
      <c r="L89" s="63" t="s">
        <v>1500</v>
      </c>
      <c r="M89" s="55"/>
      <c r="N89" s="55"/>
      <c r="O89" s="55"/>
      <c r="P89" s="55"/>
      <c r="Q89" s="6">
        <v>1.0</v>
      </c>
      <c r="R89" s="23">
        <v>45812.0</v>
      </c>
      <c r="S89" s="50">
        <v>45971.0</v>
      </c>
      <c r="T89" s="23">
        <v>45813.0</v>
      </c>
      <c r="U89" s="55"/>
      <c r="V89" s="6" t="s">
        <v>44</v>
      </c>
      <c r="W89" s="55"/>
      <c r="X89" s="6" t="s">
        <v>45</v>
      </c>
      <c r="Y89" s="6" t="s">
        <v>46</v>
      </c>
      <c r="Z89" s="6">
        <v>3.040312946E9</v>
      </c>
      <c r="AA89" s="6" t="s">
        <v>45</v>
      </c>
      <c r="AB89" s="6" t="s">
        <v>203</v>
      </c>
      <c r="AC89" s="6" t="s">
        <v>1501</v>
      </c>
      <c r="AD89" s="55"/>
      <c r="AE89" s="55"/>
      <c r="AF89" s="55"/>
      <c r="AG89" s="55"/>
    </row>
    <row r="90">
      <c r="A90" s="21">
        <f>COUNTIF('Divulgação'!$B:$B,B90)</f>
        <v>1</v>
      </c>
      <c r="B90" s="62" t="s">
        <v>1502</v>
      </c>
      <c r="C90" s="55"/>
      <c r="D90" s="6" t="s">
        <v>39</v>
      </c>
      <c r="E90" s="6" t="s">
        <v>40</v>
      </c>
      <c r="F90" s="63" t="s">
        <v>1492</v>
      </c>
      <c r="G90" s="6" t="s">
        <v>41</v>
      </c>
      <c r="H90" s="63" t="s">
        <v>1492</v>
      </c>
      <c r="I90" s="21" t="s">
        <v>1278</v>
      </c>
      <c r="J90" s="63" t="s">
        <v>1447</v>
      </c>
      <c r="K90" s="6" t="s">
        <v>1279</v>
      </c>
      <c r="L90" s="63" t="s">
        <v>1503</v>
      </c>
      <c r="M90" s="55"/>
      <c r="N90" s="55"/>
      <c r="O90" s="55"/>
      <c r="P90" s="55"/>
      <c r="Q90" s="6">
        <v>1.0</v>
      </c>
      <c r="R90" s="23">
        <v>45812.0</v>
      </c>
      <c r="S90" s="50">
        <v>45971.0</v>
      </c>
      <c r="T90" s="23">
        <v>45813.0</v>
      </c>
      <c r="U90" s="55"/>
      <c r="V90" s="6" t="s">
        <v>44</v>
      </c>
      <c r="W90" s="55"/>
      <c r="X90" s="6" t="s">
        <v>45</v>
      </c>
      <c r="Y90" s="6" t="s">
        <v>46</v>
      </c>
      <c r="Z90" s="6">
        <v>3.040313116E9</v>
      </c>
      <c r="AA90" s="6" t="s">
        <v>68</v>
      </c>
      <c r="AB90" s="6" t="s">
        <v>827</v>
      </c>
      <c r="AC90" s="6" t="s">
        <v>1504</v>
      </c>
      <c r="AD90" s="55"/>
      <c r="AE90" s="55"/>
      <c r="AF90" s="55"/>
      <c r="AG90" s="55"/>
    </row>
    <row r="91">
      <c r="A91" s="21">
        <f>COUNTIF('Divulgação'!$B:$B,B91)</f>
        <v>1</v>
      </c>
      <c r="B91" s="62" t="s">
        <v>371</v>
      </c>
      <c r="C91" s="55"/>
      <c r="D91" s="6" t="s">
        <v>39</v>
      </c>
      <c r="E91" s="6" t="s">
        <v>40</v>
      </c>
      <c r="F91" s="63" t="s">
        <v>1505</v>
      </c>
      <c r="G91" s="6" t="s">
        <v>41</v>
      </c>
      <c r="H91" s="63" t="s">
        <v>1505</v>
      </c>
      <c r="I91" s="21" t="s">
        <v>372</v>
      </c>
      <c r="J91" s="6" t="s">
        <v>373</v>
      </c>
      <c r="K91" s="6" t="s">
        <v>374</v>
      </c>
      <c r="L91" s="63" t="s">
        <v>1506</v>
      </c>
      <c r="M91" s="55"/>
      <c r="N91" s="55"/>
      <c r="O91" s="55"/>
      <c r="P91" s="55"/>
      <c r="Q91" s="6">
        <v>1.0</v>
      </c>
      <c r="R91" s="23">
        <v>45825.0</v>
      </c>
      <c r="S91" s="50">
        <v>45984.0</v>
      </c>
      <c r="T91" s="23">
        <v>45831.0</v>
      </c>
      <c r="U91" s="55"/>
      <c r="V91" s="6" t="s">
        <v>44</v>
      </c>
      <c r="W91" s="55"/>
      <c r="X91" s="6" t="s">
        <v>45</v>
      </c>
      <c r="Y91" s="6" t="s">
        <v>46</v>
      </c>
      <c r="Z91" s="6">
        <v>3.040313462E9</v>
      </c>
      <c r="AA91" s="6" t="s">
        <v>45</v>
      </c>
      <c r="AB91" s="6" t="s">
        <v>46</v>
      </c>
      <c r="AC91" s="6" t="s">
        <v>177</v>
      </c>
      <c r="AD91" s="55"/>
      <c r="AE91" s="55"/>
      <c r="AF91" s="55"/>
      <c r="AG91" s="55"/>
    </row>
    <row r="92">
      <c r="A92" s="21">
        <f>COUNTIF('Divulgação'!$B:$B,B92)</f>
        <v>1</v>
      </c>
      <c r="B92" s="62" t="s">
        <v>377</v>
      </c>
      <c r="C92" s="55"/>
      <c r="D92" s="6" t="s">
        <v>39</v>
      </c>
      <c r="E92" s="6" t="s">
        <v>40</v>
      </c>
      <c r="F92" s="63" t="s">
        <v>1505</v>
      </c>
      <c r="G92" s="6" t="s">
        <v>41</v>
      </c>
      <c r="H92" s="63" t="s">
        <v>1505</v>
      </c>
      <c r="I92" s="21" t="s">
        <v>378</v>
      </c>
      <c r="J92" s="6" t="s">
        <v>156</v>
      </c>
      <c r="K92" s="6" t="s">
        <v>379</v>
      </c>
      <c r="L92" s="63" t="s">
        <v>1507</v>
      </c>
      <c r="M92" s="55"/>
      <c r="N92" s="55"/>
      <c r="O92" s="55"/>
      <c r="P92" s="55"/>
      <c r="Q92" s="6">
        <v>1.0</v>
      </c>
      <c r="R92" s="23">
        <v>45825.0</v>
      </c>
      <c r="S92" s="23">
        <v>45831.0</v>
      </c>
      <c r="T92" s="23">
        <v>45831.0</v>
      </c>
      <c r="U92" s="55"/>
      <c r="V92" s="6" t="s">
        <v>103</v>
      </c>
      <c r="W92" s="6">
        <v>3.96250015662E11</v>
      </c>
      <c r="X92" s="6" t="s">
        <v>45</v>
      </c>
      <c r="Y92" s="6" t="s">
        <v>46</v>
      </c>
      <c r="Z92" s="6">
        <v>3.040312973E9</v>
      </c>
      <c r="AA92" s="6" t="s">
        <v>45</v>
      </c>
      <c r="AB92" s="6" t="s">
        <v>46</v>
      </c>
      <c r="AC92" s="6" t="s">
        <v>80</v>
      </c>
      <c r="AD92" s="55"/>
      <c r="AE92" s="55"/>
      <c r="AF92" s="55"/>
      <c r="AG92" s="55"/>
    </row>
    <row r="93">
      <c r="A93" s="21">
        <f>COUNTIF('Divulgação'!$B:$B,B93)</f>
        <v>1</v>
      </c>
      <c r="B93" s="62" t="s">
        <v>1508</v>
      </c>
      <c r="C93" s="55"/>
      <c r="D93" s="6" t="s">
        <v>39</v>
      </c>
      <c r="E93" s="6" t="s">
        <v>40</v>
      </c>
      <c r="F93" s="63" t="s">
        <v>1505</v>
      </c>
      <c r="G93" s="6" t="s">
        <v>41</v>
      </c>
      <c r="H93" s="63" t="s">
        <v>1505</v>
      </c>
      <c r="I93" s="21" t="s">
        <v>1509</v>
      </c>
      <c r="J93" s="63" t="s">
        <v>1510</v>
      </c>
      <c r="K93" s="6" t="s">
        <v>1511</v>
      </c>
      <c r="L93" s="59"/>
      <c r="M93" s="55"/>
      <c r="N93" s="55"/>
      <c r="O93" s="55"/>
      <c r="P93" s="55"/>
      <c r="Q93" s="6">
        <v>1.0</v>
      </c>
      <c r="R93" s="23">
        <v>45825.0</v>
      </c>
      <c r="S93" s="23">
        <v>45831.0</v>
      </c>
      <c r="T93" s="23">
        <v>45831.0</v>
      </c>
      <c r="U93" s="55"/>
      <c r="V93" s="6" t="s">
        <v>103</v>
      </c>
      <c r="W93" s="6">
        <v>3.96250015643E11</v>
      </c>
      <c r="X93" s="6" t="s">
        <v>45</v>
      </c>
      <c r="Y93" s="6" t="s">
        <v>46</v>
      </c>
      <c r="Z93" s="6">
        <v>3.040101182E9</v>
      </c>
      <c r="AA93" s="6" t="s">
        <v>1512</v>
      </c>
      <c r="AB93" s="6" t="s">
        <v>1513</v>
      </c>
      <c r="AC93" s="6" t="s">
        <v>635</v>
      </c>
      <c r="AD93" s="55"/>
      <c r="AE93" s="55"/>
      <c r="AF93" s="55"/>
      <c r="AG93" s="55"/>
    </row>
    <row r="94">
      <c r="A94" s="21">
        <f>COUNTIF('Divulgação'!$B:$B,B94)</f>
        <v>1</v>
      </c>
      <c r="B94" s="62" t="s">
        <v>381</v>
      </c>
      <c r="C94" s="55"/>
      <c r="D94" s="6" t="s">
        <v>39</v>
      </c>
      <c r="E94" s="6" t="s">
        <v>40</v>
      </c>
      <c r="F94" s="63" t="s">
        <v>1505</v>
      </c>
      <c r="G94" s="6" t="s">
        <v>41</v>
      </c>
      <c r="H94" s="63" t="s">
        <v>1505</v>
      </c>
      <c r="I94" s="21" t="s">
        <v>383</v>
      </c>
      <c r="J94" s="63" t="s">
        <v>1400</v>
      </c>
      <c r="K94" s="6" t="s">
        <v>384</v>
      </c>
      <c r="L94" s="6" t="s">
        <v>385</v>
      </c>
      <c r="M94" s="55"/>
      <c r="N94" s="55"/>
      <c r="O94" s="55"/>
      <c r="P94" s="55"/>
      <c r="Q94" s="6">
        <v>1.0</v>
      </c>
      <c r="R94" s="23">
        <v>45825.0</v>
      </c>
      <c r="S94" s="23">
        <v>45831.0</v>
      </c>
      <c r="T94" s="23">
        <v>45831.0</v>
      </c>
      <c r="U94" s="55"/>
      <c r="V94" s="6" t="s">
        <v>44</v>
      </c>
      <c r="W94" s="55"/>
      <c r="X94" s="6" t="s">
        <v>45</v>
      </c>
      <c r="Y94" s="6" t="s">
        <v>46</v>
      </c>
      <c r="Z94" s="6">
        <v>3.040257642E9</v>
      </c>
      <c r="AA94" s="6" t="s">
        <v>45</v>
      </c>
      <c r="AB94" s="6" t="s">
        <v>220</v>
      </c>
      <c r="AC94" s="6" t="s">
        <v>386</v>
      </c>
      <c r="AD94" s="55"/>
      <c r="AE94" s="55"/>
      <c r="AF94" s="55"/>
      <c r="AG94" s="55"/>
    </row>
    <row r="95">
      <c r="A95" s="21">
        <f>COUNTIF('Divulgação'!$B:$B,B95)</f>
        <v>1</v>
      </c>
      <c r="B95" s="62" t="s">
        <v>387</v>
      </c>
      <c r="C95" s="55"/>
      <c r="D95" s="6" t="s">
        <v>39</v>
      </c>
      <c r="E95" s="6" t="s">
        <v>40</v>
      </c>
      <c r="F95" s="63" t="s">
        <v>1505</v>
      </c>
      <c r="G95" s="6" t="s">
        <v>41</v>
      </c>
      <c r="H95" s="63" t="s">
        <v>1505</v>
      </c>
      <c r="I95" s="21" t="s">
        <v>383</v>
      </c>
      <c r="J95" s="63" t="s">
        <v>1400</v>
      </c>
      <c r="K95" s="6" t="s">
        <v>384</v>
      </c>
      <c r="L95" s="6" t="s">
        <v>388</v>
      </c>
      <c r="M95" s="55"/>
      <c r="N95" s="55"/>
      <c r="O95" s="55"/>
      <c r="P95" s="55"/>
      <c r="Q95" s="6">
        <v>1.0</v>
      </c>
      <c r="R95" s="23">
        <v>45825.0</v>
      </c>
      <c r="S95" s="23">
        <v>45831.0</v>
      </c>
      <c r="T95" s="23">
        <v>45831.0</v>
      </c>
      <c r="U95" s="55"/>
      <c r="V95" s="6" t="s">
        <v>103</v>
      </c>
      <c r="W95" s="6">
        <v>3.04250073784E11</v>
      </c>
      <c r="X95" s="6" t="s">
        <v>45</v>
      </c>
      <c r="Y95" s="6" t="s">
        <v>46</v>
      </c>
      <c r="Z95" s="6">
        <v>3.040265315E9</v>
      </c>
      <c r="AA95" s="6" t="s">
        <v>389</v>
      </c>
      <c r="AB95" s="6" t="s">
        <v>390</v>
      </c>
      <c r="AC95" s="6" t="s">
        <v>391</v>
      </c>
      <c r="AD95" s="55"/>
      <c r="AE95" s="55"/>
      <c r="AF95" s="55"/>
      <c r="AG95" s="55"/>
    </row>
    <row r="96">
      <c r="A96" s="21">
        <f>COUNTIF('Divulgação'!$B:$B,B96)</f>
        <v>1</v>
      </c>
      <c r="B96" s="62" t="s">
        <v>392</v>
      </c>
      <c r="C96" s="55"/>
      <c r="D96" s="6" t="s">
        <v>39</v>
      </c>
      <c r="E96" s="6" t="s">
        <v>40</v>
      </c>
      <c r="F96" s="63" t="s">
        <v>1505</v>
      </c>
      <c r="G96" s="6" t="s">
        <v>41</v>
      </c>
      <c r="H96" s="63" t="s">
        <v>1505</v>
      </c>
      <c r="I96" s="21" t="s">
        <v>383</v>
      </c>
      <c r="J96" s="63" t="s">
        <v>1400</v>
      </c>
      <c r="K96" s="6" t="s">
        <v>384</v>
      </c>
      <c r="L96" s="6" t="s">
        <v>393</v>
      </c>
      <c r="M96" s="55"/>
      <c r="N96" s="55"/>
      <c r="O96" s="55"/>
      <c r="P96" s="55"/>
      <c r="Q96" s="6">
        <v>1.0</v>
      </c>
      <c r="R96" s="23">
        <v>45825.0</v>
      </c>
      <c r="S96" s="23">
        <v>45831.0</v>
      </c>
      <c r="T96" s="23">
        <v>45831.0</v>
      </c>
      <c r="U96" s="55"/>
      <c r="V96" s="6" t="s">
        <v>44</v>
      </c>
      <c r="W96" s="55"/>
      <c r="X96" s="6" t="s">
        <v>45</v>
      </c>
      <c r="Y96" s="6" t="s">
        <v>46</v>
      </c>
      <c r="Z96" s="6">
        <v>3.040313122E9</v>
      </c>
      <c r="AA96" s="6" t="s">
        <v>66</v>
      </c>
      <c r="AB96" s="6" t="s">
        <v>394</v>
      </c>
      <c r="AC96" s="6" t="s">
        <v>395</v>
      </c>
      <c r="AD96" s="55"/>
      <c r="AE96" s="55"/>
      <c r="AF96" s="55"/>
      <c r="AG96" s="55"/>
    </row>
    <row r="97">
      <c r="A97" s="21">
        <f>COUNTIF('Divulgação'!$B:$B,B97)</f>
        <v>1</v>
      </c>
      <c r="B97" s="62" t="s">
        <v>397</v>
      </c>
      <c r="C97" s="55"/>
      <c r="D97" s="6" t="s">
        <v>39</v>
      </c>
      <c r="E97" s="6" t="s">
        <v>40</v>
      </c>
      <c r="F97" s="63" t="s">
        <v>1505</v>
      </c>
      <c r="G97" s="6" t="s">
        <v>41</v>
      </c>
      <c r="H97" s="63" t="s">
        <v>1505</v>
      </c>
      <c r="I97" s="21" t="s">
        <v>90</v>
      </c>
      <c r="J97" s="63" t="s">
        <v>1398</v>
      </c>
      <c r="K97" s="6" t="s">
        <v>91</v>
      </c>
      <c r="L97" s="63" t="s">
        <v>1514</v>
      </c>
      <c r="M97" s="55"/>
      <c r="N97" s="55"/>
      <c r="O97" s="55"/>
      <c r="P97" s="55"/>
      <c r="Q97" s="6">
        <v>1.0</v>
      </c>
      <c r="R97" s="23">
        <v>45825.0</v>
      </c>
      <c r="S97" s="23">
        <v>45831.0</v>
      </c>
      <c r="T97" s="23">
        <v>45831.0</v>
      </c>
      <c r="U97" s="55"/>
      <c r="V97" s="6" t="s">
        <v>103</v>
      </c>
      <c r="W97" s="6">
        <v>3.13250016762E11</v>
      </c>
      <c r="X97" s="6" t="s">
        <v>45</v>
      </c>
      <c r="Y97" s="6" t="s">
        <v>46</v>
      </c>
      <c r="Z97" s="6">
        <v>3.040314952E9</v>
      </c>
      <c r="AA97" s="6" t="s">
        <v>64</v>
      </c>
      <c r="AB97" s="6" t="s">
        <v>399</v>
      </c>
      <c r="AC97" s="6" t="s">
        <v>400</v>
      </c>
      <c r="AD97" s="55"/>
      <c r="AE97" s="55"/>
      <c r="AF97" s="55"/>
      <c r="AG97" s="55"/>
    </row>
    <row r="98">
      <c r="A98" s="21">
        <f>COUNTIF('Divulgação'!$B:$B,B98)</f>
        <v>1</v>
      </c>
      <c r="B98" s="62" t="s">
        <v>405</v>
      </c>
      <c r="C98" s="55"/>
      <c r="D98" s="6" t="s">
        <v>39</v>
      </c>
      <c r="E98" s="6" t="s">
        <v>40</v>
      </c>
      <c r="F98" s="63" t="s">
        <v>1516</v>
      </c>
      <c r="G98" s="6" t="s">
        <v>41</v>
      </c>
      <c r="H98" s="63" t="s">
        <v>1516</v>
      </c>
      <c r="I98" s="21" t="s">
        <v>406</v>
      </c>
      <c r="J98" s="63" t="s">
        <v>1517</v>
      </c>
      <c r="K98" s="6" t="s">
        <v>407</v>
      </c>
      <c r="L98" s="63" t="s">
        <v>1518</v>
      </c>
      <c r="M98" s="55"/>
      <c r="N98" s="55"/>
      <c r="O98" s="55"/>
      <c r="P98" s="55"/>
      <c r="Q98" s="6">
        <v>1.0</v>
      </c>
      <c r="R98" s="23">
        <v>45838.0</v>
      </c>
      <c r="S98" s="23">
        <v>45965.0</v>
      </c>
      <c r="T98" s="23">
        <v>45840.0</v>
      </c>
      <c r="U98" s="55"/>
      <c r="V98" s="6" t="s">
        <v>103</v>
      </c>
      <c r="W98" s="6">
        <v>3.04250073783E11</v>
      </c>
      <c r="X98" s="6" t="s">
        <v>45</v>
      </c>
      <c r="Y98" s="6" t="s">
        <v>46</v>
      </c>
      <c r="Z98" s="6">
        <v>3.040308014E9</v>
      </c>
      <c r="AA98" s="6" t="s">
        <v>57</v>
      </c>
      <c r="AB98" s="6" t="s">
        <v>410</v>
      </c>
      <c r="AC98" s="6" t="s">
        <v>411</v>
      </c>
      <c r="AD98" s="55"/>
      <c r="AE98" s="55"/>
      <c r="AF98" s="55"/>
      <c r="AG98" s="55"/>
    </row>
    <row r="99">
      <c r="A99" s="21">
        <f>COUNTIF('Divulgação'!$B:$B,B99)</f>
        <v>1</v>
      </c>
      <c r="B99" s="62" t="s">
        <v>401</v>
      </c>
      <c r="C99" s="55"/>
      <c r="D99" s="6" t="s">
        <v>39</v>
      </c>
      <c r="E99" s="6" t="s">
        <v>40</v>
      </c>
      <c r="F99" s="63" t="s">
        <v>1516</v>
      </c>
      <c r="G99" s="6" t="s">
        <v>41</v>
      </c>
      <c r="H99" s="63" t="s">
        <v>1516</v>
      </c>
      <c r="I99" s="21" t="s">
        <v>216</v>
      </c>
      <c r="J99" s="63" t="s">
        <v>1387</v>
      </c>
      <c r="K99" s="6" t="s">
        <v>217</v>
      </c>
      <c r="L99" s="63" t="s">
        <v>1519</v>
      </c>
      <c r="M99" s="55"/>
      <c r="N99" s="55"/>
      <c r="O99" s="55"/>
      <c r="P99" s="55"/>
      <c r="Q99" s="6">
        <v>1.0</v>
      </c>
      <c r="R99" s="23">
        <v>45838.0</v>
      </c>
      <c r="S99" s="23">
        <v>45842.0</v>
      </c>
      <c r="T99" s="23">
        <v>45840.0</v>
      </c>
      <c r="U99" s="55"/>
      <c r="V99" s="6" t="s">
        <v>44</v>
      </c>
      <c r="W99" s="55"/>
      <c r="X99" s="6" t="s">
        <v>45</v>
      </c>
      <c r="Y99" s="6" t="s">
        <v>46</v>
      </c>
      <c r="Z99" s="6">
        <v>3.040233408E9</v>
      </c>
      <c r="AA99" s="6" t="s">
        <v>188</v>
      </c>
      <c r="AB99" s="6" t="s">
        <v>194</v>
      </c>
      <c r="AC99" s="6" t="s">
        <v>404</v>
      </c>
      <c r="AD99" s="55"/>
      <c r="AE99" s="55"/>
      <c r="AF99" s="55"/>
      <c r="AG99" s="55"/>
    </row>
    <row r="100">
      <c r="A100" s="21">
        <f>COUNTIF('Divulgação'!$B:$B,B100)</f>
        <v>1</v>
      </c>
      <c r="B100" s="62" t="s">
        <v>1520</v>
      </c>
      <c r="C100" s="55"/>
      <c r="D100" s="6" t="s">
        <v>39</v>
      </c>
      <c r="E100" s="6" t="s">
        <v>40</v>
      </c>
      <c r="F100" s="63" t="s">
        <v>1516</v>
      </c>
      <c r="G100" s="6" t="s">
        <v>41</v>
      </c>
      <c r="H100" s="63" t="s">
        <v>1516</v>
      </c>
      <c r="I100" s="21" t="s">
        <v>82</v>
      </c>
      <c r="J100" s="63" t="s">
        <v>1521</v>
      </c>
      <c r="K100" s="6" t="s">
        <v>1522</v>
      </c>
      <c r="L100" s="63" t="s">
        <v>1523</v>
      </c>
      <c r="M100" s="55"/>
      <c r="N100" s="55"/>
      <c r="O100" s="55"/>
      <c r="P100" s="55"/>
      <c r="Q100" s="6">
        <v>1.0</v>
      </c>
      <c r="R100" s="23">
        <v>45838.0</v>
      </c>
      <c r="S100" s="23">
        <v>45840.0</v>
      </c>
      <c r="T100" s="23">
        <v>45840.0</v>
      </c>
      <c r="U100" s="55"/>
      <c r="V100" s="6" t="s">
        <v>44</v>
      </c>
      <c r="W100" s="55"/>
      <c r="X100" s="6" t="s">
        <v>45</v>
      </c>
      <c r="Y100" s="6" t="s">
        <v>46</v>
      </c>
      <c r="Z100" s="6">
        <v>3.04024931E9</v>
      </c>
      <c r="AA100" s="6" t="s">
        <v>304</v>
      </c>
      <c r="AB100" s="6" t="s">
        <v>306</v>
      </c>
      <c r="AC100" s="6" t="s">
        <v>177</v>
      </c>
      <c r="AD100" s="55"/>
      <c r="AE100" s="55"/>
      <c r="AF100" s="55"/>
      <c r="AG100" s="55"/>
    </row>
    <row r="101">
      <c r="A101" s="21">
        <f>COUNTIF('Divulgação'!$B:$B,B101)</f>
        <v>1</v>
      </c>
      <c r="B101" s="62" t="s">
        <v>425</v>
      </c>
      <c r="C101" s="55"/>
      <c r="D101" s="6" t="s">
        <v>39</v>
      </c>
      <c r="E101" s="6" t="s">
        <v>40</v>
      </c>
      <c r="F101" s="63" t="s">
        <v>1516</v>
      </c>
      <c r="G101" s="6" t="s">
        <v>41</v>
      </c>
      <c r="H101" s="63" t="s">
        <v>1516</v>
      </c>
      <c r="I101" s="21" t="s">
        <v>413</v>
      </c>
      <c r="J101" s="63" t="s">
        <v>1524</v>
      </c>
      <c r="K101" s="6" t="s">
        <v>414</v>
      </c>
      <c r="L101" s="6" t="s">
        <v>428</v>
      </c>
      <c r="M101" s="55"/>
      <c r="N101" s="55"/>
      <c r="O101" s="55"/>
      <c r="P101" s="55"/>
      <c r="Q101" s="6">
        <v>1.0</v>
      </c>
      <c r="R101" s="23">
        <v>45838.0</v>
      </c>
      <c r="S101" s="23">
        <v>45842.0</v>
      </c>
      <c r="T101" s="23">
        <v>45840.0</v>
      </c>
      <c r="U101" s="55"/>
      <c r="V101" s="6" t="s">
        <v>44</v>
      </c>
      <c r="W101" s="55"/>
      <c r="X101" s="6" t="s">
        <v>45</v>
      </c>
      <c r="Y101" s="6" t="s">
        <v>46</v>
      </c>
      <c r="Z101" s="6">
        <v>3.040276452E9</v>
      </c>
      <c r="AA101" s="6" t="s">
        <v>45</v>
      </c>
      <c r="AB101" s="6" t="s">
        <v>46</v>
      </c>
      <c r="AC101" s="6" t="s">
        <v>177</v>
      </c>
      <c r="AD101" s="55"/>
      <c r="AE101" s="55"/>
      <c r="AF101" s="55"/>
      <c r="AG101" s="55"/>
    </row>
    <row r="102">
      <c r="A102" s="21">
        <f>COUNTIF('Divulgação'!$B:$B,B102)</f>
        <v>1</v>
      </c>
      <c r="B102" s="62" t="s">
        <v>1525</v>
      </c>
      <c r="C102" s="55"/>
      <c r="D102" s="6" t="s">
        <v>39</v>
      </c>
      <c r="E102" s="6" t="s">
        <v>40</v>
      </c>
      <c r="F102" s="63" t="s">
        <v>1516</v>
      </c>
      <c r="G102" s="6" t="s">
        <v>41</v>
      </c>
      <c r="H102" s="63" t="s">
        <v>1516</v>
      </c>
      <c r="I102" s="21" t="s">
        <v>413</v>
      </c>
      <c r="J102" s="63" t="s">
        <v>1524</v>
      </c>
      <c r="K102" s="6" t="s">
        <v>414</v>
      </c>
      <c r="L102" s="6" t="s">
        <v>1526</v>
      </c>
      <c r="M102" s="55"/>
      <c r="N102" s="55"/>
      <c r="O102" s="55"/>
      <c r="P102" s="55"/>
      <c r="Q102" s="6">
        <v>1.0</v>
      </c>
      <c r="R102" s="23">
        <v>45838.0</v>
      </c>
      <c r="S102" s="23">
        <v>45842.0</v>
      </c>
      <c r="T102" s="23">
        <v>45840.0</v>
      </c>
      <c r="U102" s="55"/>
      <c r="V102" s="6" t="s">
        <v>44</v>
      </c>
      <c r="W102" s="55"/>
      <c r="X102" s="6" t="s">
        <v>45</v>
      </c>
      <c r="Y102" s="6" t="s">
        <v>46</v>
      </c>
      <c r="Z102" s="6">
        <v>3.040276451E9</v>
      </c>
      <c r="AA102" s="6" t="s">
        <v>45</v>
      </c>
      <c r="AB102" s="6" t="s">
        <v>46</v>
      </c>
      <c r="AC102" s="6" t="s">
        <v>177</v>
      </c>
      <c r="AD102" s="55"/>
      <c r="AE102" s="55"/>
      <c r="AF102" s="55"/>
      <c r="AG102" s="55"/>
    </row>
    <row r="103">
      <c r="A103" s="21">
        <f>COUNTIF('Divulgação'!$B:$B,B103)</f>
        <v>1</v>
      </c>
      <c r="B103" s="62" t="s">
        <v>1527</v>
      </c>
      <c r="C103" s="55"/>
      <c r="D103" s="6" t="s">
        <v>39</v>
      </c>
      <c r="E103" s="6" t="s">
        <v>40</v>
      </c>
      <c r="F103" s="63" t="s">
        <v>1516</v>
      </c>
      <c r="G103" s="6" t="s">
        <v>41</v>
      </c>
      <c r="H103" s="63" t="s">
        <v>1516</v>
      </c>
      <c r="I103" s="21" t="s">
        <v>413</v>
      </c>
      <c r="J103" s="63" t="s">
        <v>1524</v>
      </c>
      <c r="K103" s="6" t="s">
        <v>414</v>
      </c>
      <c r="L103" s="6" t="s">
        <v>1528</v>
      </c>
      <c r="M103" s="55"/>
      <c r="N103" s="55"/>
      <c r="O103" s="55"/>
      <c r="P103" s="55"/>
      <c r="Q103" s="6">
        <v>1.0</v>
      </c>
      <c r="R103" s="23">
        <v>45838.0</v>
      </c>
      <c r="S103" s="23">
        <v>45842.0</v>
      </c>
      <c r="T103" s="23">
        <v>45840.0</v>
      </c>
      <c r="U103" s="55"/>
      <c r="V103" s="6" t="s">
        <v>103</v>
      </c>
      <c r="W103" s="6">
        <v>3.13250017118E11</v>
      </c>
      <c r="X103" s="6" t="s">
        <v>45</v>
      </c>
      <c r="Y103" s="6" t="s">
        <v>46</v>
      </c>
      <c r="Z103" s="6">
        <v>3.040294323E9</v>
      </c>
      <c r="AA103" s="6" t="s">
        <v>45</v>
      </c>
      <c r="AB103" s="6" t="s">
        <v>203</v>
      </c>
      <c r="AC103" s="6" t="s">
        <v>1529</v>
      </c>
      <c r="AD103" s="55"/>
      <c r="AE103" s="55"/>
      <c r="AF103" s="55"/>
      <c r="AG103" s="55"/>
    </row>
    <row r="104">
      <c r="A104" s="21">
        <f>COUNTIF('Divulgação'!$B:$B,B104)</f>
        <v>1</v>
      </c>
      <c r="B104" s="62" t="s">
        <v>1530</v>
      </c>
      <c r="C104" s="55"/>
      <c r="D104" s="6" t="s">
        <v>39</v>
      </c>
      <c r="E104" s="6" t="s">
        <v>40</v>
      </c>
      <c r="F104" s="63" t="s">
        <v>1516</v>
      </c>
      <c r="G104" s="6" t="s">
        <v>41</v>
      </c>
      <c r="H104" s="63" t="s">
        <v>1516</v>
      </c>
      <c r="I104" s="21" t="s">
        <v>413</v>
      </c>
      <c r="J104" s="63" t="s">
        <v>1524</v>
      </c>
      <c r="K104" s="6" t="s">
        <v>414</v>
      </c>
      <c r="L104" s="6" t="s">
        <v>1531</v>
      </c>
      <c r="M104" s="55"/>
      <c r="N104" s="55"/>
      <c r="O104" s="55"/>
      <c r="P104" s="55"/>
      <c r="Q104" s="6">
        <v>1.0</v>
      </c>
      <c r="R104" s="23">
        <v>45838.0</v>
      </c>
      <c r="S104" s="23">
        <v>45838.0</v>
      </c>
      <c r="T104" s="23">
        <v>45840.0</v>
      </c>
      <c r="U104" s="55"/>
      <c r="V104" s="6" t="s">
        <v>103</v>
      </c>
      <c r="W104" s="6">
        <v>3.13260017717E11</v>
      </c>
      <c r="X104" s="6" t="s">
        <v>45</v>
      </c>
      <c r="Y104" s="6" t="s">
        <v>46</v>
      </c>
      <c r="Z104" s="6">
        <v>3.040281943E9</v>
      </c>
      <c r="AA104" s="6" t="s">
        <v>1532</v>
      </c>
      <c r="AB104" s="6" t="s">
        <v>306</v>
      </c>
      <c r="AC104" s="6" t="s">
        <v>1533</v>
      </c>
      <c r="AD104" s="55"/>
      <c r="AE104" s="55"/>
      <c r="AF104" s="55"/>
      <c r="AG104" s="55"/>
    </row>
    <row r="105">
      <c r="A105" s="21">
        <f>COUNTIF('Divulgação'!$B:$B,B105)</f>
        <v>1</v>
      </c>
      <c r="B105" s="62" t="s">
        <v>420</v>
      </c>
      <c r="C105" s="55"/>
      <c r="D105" s="6" t="s">
        <v>39</v>
      </c>
      <c r="E105" s="6" t="s">
        <v>40</v>
      </c>
      <c r="F105" s="63" t="s">
        <v>1516</v>
      </c>
      <c r="G105" s="6" t="s">
        <v>41</v>
      </c>
      <c r="H105" s="63" t="s">
        <v>1516</v>
      </c>
      <c r="I105" s="21" t="s">
        <v>413</v>
      </c>
      <c r="J105" s="63" t="s">
        <v>1524</v>
      </c>
      <c r="K105" s="6" t="s">
        <v>414</v>
      </c>
      <c r="L105" s="6" t="s">
        <v>421</v>
      </c>
      <c r="M105" s="55"/>
      <c r="N105" s="55"/>
      <c r="O105" s="55"/>
      <c r="P105" s="55"/>
      <c r="Q105" s="6">
        <v>1.0</v>
      </c>
      <c r="R105" s="23">
        <v>45838.0</v>
      </c>
      <c r="S105" s="23">
        <v>45842.0</v>
      </c>
      <c r="T105" s="23">
        <v>45840.0</v>
      </c>
      <c r="U105" s="55"/>
      <c r="V105" s="6" t="s">
        <v>44</v>
      </c>
      <c r="W105" s="55"/>
      <c r="X105" s="6" t="s">
        <v>45</v>
      </c>
      <c r="Y105" s="6" t="s">
        <v>46</v>
      </c>
      <c r="Z105" s="6">
        <v>3.040216411E9</v>
      </c>
      <c r="AA105" s="6" t="s">
        <v>422</v>
      </c>
      <c r="AB105" s="6" t="s">
        <v>423</v>
      </c>
      <c r="AC105" s="6" t="s">
        <v>424</v>
      </c>
      <c r="AD105" s="55"/>
      <c r="AE105" s="55"/>
      <c r="AF105" s="55"/>
      <c r="AG105" s="55"/>
    </row>
    <row r="106">
      <c r="A106" s="21">
        <f>COUNTIF('Divulgação'!$B:$B,B106)</f>
        <v>1</v>
      </c>
      <c r="B106" s="62" t="s">
        <v>412</v>
      </c>
      <c r="C106" s="55"/>
      <c r="D106" s="6" t="s">
        <v>39</v>
      </c>
      <c r="E106" s="6" t="s">
        <v>40</v>
      </c>
      <c r="F106" s="63" t="s">
        <v>1516</v>
      </c>
      <c r="G106" s="6" t="s">
        <v>41</v>
      </c>
      <c r="H106" s="63" t="s">
        <v>1516</v>
      </c>
      <c r="I106" s="21" t="s">
        <v>413</v>
      </c>
      <c r="J106" s="63" t="s">
        <v>1524</v>
      </c>
      <c r="K106" s="6" t="s">
        <v>414</v>
      </c>
      <c r="L106" s="6" t="s">
        <v>415</v>
      </c>
      <c r="M106" s="55"/>
      <c r="N106" s="55"/>
      <c r="O106" s="55"/>
      <c r="P106" s="55"/>
      <c r="Q106" s="6">
        <v>1.0</v>
      </c>
      <c r="R106" s="23">
        <v>45838.0</v>
      </c>
      <c r="S106" s="23">
        <v>45842.0</v>
      </c>
      <c r="T106" s="23">
        <v>45840.0</v>
      </c>
      <c r="U106" s="55"/>
      <c r="V106" s="6" t="s">
        <v>44</v>
      </c>
      <c r="W106" s="55"/>
      <c r="X106" s="6" t="s">
        <v>45</v>
      </c>
      <c r="Y106" s="6" t="s">
        <v>46</v>
      </c>
      <c r="Z106" s="6">
        <v>3.040280488E9</v>
      </c>
      <c r="AA106" s="6" t="s">
        <v>57</v>
      </c>
      <c r="AB106" s="6" t="s">
        <v>416</v>
      </c>
      <c r="AC106" s="6" t="s">
        <v>417</v>
      </c>
      <c r="AD106" s="55"/>
      <c r="AE106" s="55"/>
      <c r="AF106" s="55"/>
      <c r="AG106" s="55"/>
    </row>
    <row r="107">
      <c r="A107" s="21">
        <f>COUNTIF('Divulgação'!$B:$B,B107)</f>
        <v>1</v>
      </c>
      <c r="B107" s="62" t="s">
        <v>445</v>
      </c>
      <c r="C107" s="55"/>
      <c r="D107" s="6" t="s">
        <v>39</v>
      </c>
      <c r="E107" s="6" t="s">
        <v>40</v>
      </c>
      <c r="F107" s="63" t="s">
        <v>1516</v>
      </c>
      <c r="G107" s="6" t="s">
        <v>41</v>
      </c>
      <c r="H107" s="63" t="s">
        <v>1516</v>
      </c>
      <c r="I107" s="21" t="s">
        <v>440</v>
      </c>
      <c r="J107" s="6" t="s">
        <v>156</v>
      </c>
      <c r="K107" s="6" t="s">
        <v>441</v>
      </c>
      <c r="L107" s="63" t="s">
        <v>1534</v>
      </c>
      <c r="M107" s="55"/>
      <c r="N107" s="55"/>
      <c r="O107" s="55"/>
      <c r="P107" s="55"/>
      <c r="Q107" s="6">
        <v>1.0</v>
      </c>
      <c r="R107" s="23">
        <v>45838.0</v>
      </c>
      <c r="S107" s="23">
        <v>45965.0</v>
      </c>
      <c r="T107" s="23">
        <v>45840.0</v>
      </c>
      <c r="U107" s="55"/>
      <c r="V107" s="6" t="s">
        <v>103</v>
      </c>
      <c r="W107" s="6">
        <v>3.13250016775E11</v>
      </c>
      <c r="X107" s="6" t="s">
        <v>45</v>
      </c>
      <c r="Y107" s="6" t="s">
        <v>46</v>
      </c>
      <c r="Z107" s="6">
        <v>3.040279379E9</v>
      </c>
      <c r="AA107" s="6" t="s">
        <v>60</v>
      </c>
      <c r="AB107" s="6" t="s">
        <v>189</v>
      </c>
      <c r="AC107" s="6" t="s">
        <v>448</v>
      </c>
      <c r="AD107" s="55"/>
      <c r="AE107" s="55"/>
      <c r="AF107" s="55"/>
      <c r="AG107" s="55"/>
    </row>
    <row r="108">
      <c r="A108" s="21">
        <f>COUNTIF('Divulgação'!$B:$B,B108)</f>
        <v>1</v>
      </c>
      <c r="B108" s="62" t="s">
        <v>439</v>
      </c>
      <c r="C108" s="55"/>
      <c r="D108" s="6" t="s">
        <v>39</v>
      </c>
      <c r="E108" s="6" t="s">
        <v>40</v>
      </c>
      <c r="F108" s="63" t="s">
        <v>1516</v>
      </c>
      <c r="G108" s="6" t="s">
        <v>41</v>
      </c>
      <c r="H108" s="63" t="s">
        <v>1516</v>
      </c>
      <c r="I108" s="21" t="s">
        <v>440</v>
      </c>
      <c r="J108" s="6" t="s">
        <v>156</v>
      </c>
      <c r="K108" s="6" t="s">
        <v>441</v>
      </c>
      <c r="L108" s="63" t="s">
        <v>1535</v>
      </c>
      <c r="M108" s="55"/>
      <c r="N108" s="55"/>
      <c r="O108" s="55"/>
      <c r="P108" s="55"/>
      <c r="Q108" s="6">
        <v>1.0</v>
      </c>
      <c r="R108" s="23">
        <v>45838.0</v>
      </c>
      <c r="S108" s="23">
        <v>45965.0</v>
      </c>
      <c r="T108" s="23">
        <v>45840.0</v>
      </c>
      <c r="U108" s="55"/>
      <c r="V108" s="6" t="s">
        <v>44</v>
      </c>
      <c r="W108" s="55"/>
      <c r="X108" s="6" t="s">
        <v>45</v>
      </c>
      <c r="Y108" s="6" t="s">
        <v>46</v>
      </c>
      <c r="Z108" s="6">
        <v>3.040145273E9</v>
      </c>
      <c r="AA108" s="6" t="s">
        <v>45</v>
      </c>
      <c r="AB108" s="6" t="s">
        <v>46</v>
      </c>
      <c r="AC108" s="6" t="s">
        <v>444</v>
      </c>
      <c r="AD108" s="55"/>
      <c r="AE108" s="55"/>
      <c r="AF108" s="55"/>
      <c r="AG108" s="55"/>
    </row>
    <row r="109">
      <c r="A109" s="21">
        <f>COUNTIF('Divulgação'!$B:$B,B109)</f>
        <v>1</v>
      </c>
      <c r="B109" s="62" t="s">
        <v>435</v>
      </c>
      <c r="C109" s="55"/>
      <c r="D109" s="6" t="s">
        <v>39</v>
      </c>
      <c r="E109" s="6" t="s">
        <v>40</v>
      </c>
      <c r="F109" s="63" t="s">
        <v>1516</v>
      </c>
      <c r="G109" s="6" t="s">
        <v>41</v>
      </c>
      <c r="H109" s="63" t="s">
        <v>1516</v>
      </c>
      <c r="I109" s="21" t="s">
        <v>244</v>
      </c>
      <c r="J109" s="6" t="s">
        <v>156</v>
      </c>
      <c r="K109" s="6" t="s">
        <v>430</v>
      </c>
      <c r="L109" s="6" t="s">
        <v>438</v>
      </c>
      <c r="M109" s="55"/>
      <c r="N109" s="55"/>
      <c r="O109" s="55"/>
      <c r="P109" s="55"/>
      <c r="Q109" s="6">
        <v>1.0</v>
      </c>
      <c r="R109" s="23">
        <v>45838.0</v>
      </c>
      <c r="S109" s="23">
        <v>45965.0</v>
      </c>
      <c r="T109" s="23">
        <v>45840.0</v>
      </c>
      <c r="U109" s="55"/>
      <c r="V109" s="6" t="s">
        <v>103</v>
      </c>
      <c r="W109" s="6">
        <v>3.132600176E11</v>
      </c>
      <c r="X109" s="6" t="s">
        <v>45</v>
      </c>
      <c r="Y109" s="6" t="s">
        <v>46</v>
      </c>
      <c r="Z109" s="6">
        <v>3.040220402E9</v>
      </c>
      <c r="AA109" s="6" t="s">
        <v>45</v>
      </c>
      <c r="AB109" s="6" t="s">
        <v>434</v>
      </c>
      <c r="AC109" s="6" t="s">
        <v>221</v>
      </c>
      <c r="AD109" s="55"/>
      <c r="AE109" s="55"/>
      <c r="AF109" s="55"/>
      <c r="AG109" s="55"/>
    </row>
    <row r="110">
      <c r="A110" s="21">
        <f>COUNTIF('Divulgação'!$B:$B,B110)</f>
        <v>1</v>
      </c>
      <c r="B110" s="62" t="s">
        <v>429</v>
      </c>
      <c r="C110" s="55"/>
      <c r="D110" s="6" t="s">
        <v>39</v>
      </c>
      <c r="E110" s="6" t="s">
        <v>40</v>
      </c>
      <c r="F110" s="63" t="s">
        <v>1516</v>
      </c>
      <c r="G110" s="6" t="s">
        <v>41</v>
      </c>
      <c r="H110" s="63" t="s">
        <v>1516</v>
      </c>
      <c r="I110" s="21" t="s">
        <v>244</v>
      </c>
      <c r="J110" s="6" t="s">
        <v>156</v>
      </c>
      <c r="K110" s="6" t="s">
        <v>430</v>
      </c>
      <c r="L110" s="6" t="s">
        <v>431</v>
      </c>
      <c r="M110" s="55"/>
      <c r="N110" s="55"/>
      <c r="O110" s="55"/>
      <c r="P110" s="55"/>
      <c r="Q110" s="6">
        <v>1.0</v>
      </c>
      <c r="R110" s="23">
        <v>45838.0</v>
      </c>
      <c r="S110" s="23">
        <v>45965.0</v>
      </c>
      <c r="T110" s="23">
        <v>45840.0</v>
      </c>
      <c r="U110" s="55"/>
      <c r="V110" s="6" t="s">
        <v>103</v>
      </c>
      <c r="W110" s="6">
        <v>3.04250073773E11</v>
      </c>
      <c r="X110" s="6" t="s">
        <v>45</v>
      </c>
      <c r="Y110" s="6" t="s">
        <v>46</v>
      </c>
      <c r="Z110" s="6">
        <v>3.040220403E9</v>
      </c>
      <c r="AA110" s="6" t="s">
        <v>45</v>
      </c>
      <c r="AB110" s="6" t="s">
        <v>434</v>
      </c>
      <c r="AC110" s="6" t="s">
        <v>221</v>
      </c>
      <c r="AD110" s="55"/>
      <c r="AE110" s="55"/>
      <c r="AF110" s="55"/>
      <c r="AG110" s="55"/>
    </row>
    <row r="111">
      <c r="A111" s="21">
        <f>COUNTIF('Divulgação'!$B:$B,B111)</f>
        <v>1</v>
      </c>
      <c r="B111" s="62" t="s">
        <v>1536</v>
      </c>
      <c r="C111" s="55"/>
      <c r="D111" s="6" t="s">
        <v>39</v>
      </c>
      <c r="E111" s="6" t="s">
        <v>40</v>
      </c>
      <c r="F111" s="63" t="s">
        <v>1537</v>
      </c>
      <c r="G111" s="6" t="s">
        <v>41</v>
      </c>
      <c r="H111" s="63" t="s">
        <v>1516</v>
      </c>
      <c r="I111" s="21" t="s">
        <v>823</v>
      </c>
      <c r="J111" s="63" t="s">
        <v>1539</v>
      </c>
      <c r="K111" s="6" t="s">
        <v>1540</v>
      </c>
      <c r="L111" s="63" t="s">
        <v>1541</v>
      </c>
      <c r="M111" s="55"/>
      <c r="N111" s="55"/>
      <c r="O111" s="55"/>
      <c r="P111" s="55"/>
      <c r="Q111" s="6">
        <v>1.0</v>
      </c>
      <c r="R111" s="23">
        <v>45838.0</v>
      </c>
      <c r="S111" s="23">
        <v>45965.0</v>
      </c>
      <c r="T111" s="55"/>
      <c r="U111" s="55"/>
      <c r="V111" s="6" t="s">
        <v>44</v>
      </c>
      <c r="W111" s="55"/>
      <c r="X111" s="6" t="s">
        <v>45</v>
      </c>
      <c r="Y111" s="6" t="s">
        <v>46</v>
      </c>
      <c r="Z111" s="6">
        <v>3.040145274E9</v>
      </c>
      <c r="AA111" s="6" t="s">
        <v>45</v>
      </c>
      <c r="AB111" s="6" t="s">
        <v>46</v>
      </c>
      <c r="AC111" s="6" t="s">
        <v>444</v>
      </c>
      <c r="AD111" s="55"/>
      <c r="AE111" s="55"/>
      <c r="AF111" s="55"/>
      <c r="AG111" s="55"/>
    </row>
    <row r="112">
      <c r="A112" s="21">
        <f>COUNTIF('Divulgação'!$B:$B,B112)</f>
        <v>1</v>
      </c>
      <c r="B112" s="62" t="s">
        <v>1542</v>
      </c>
      <c r="C112" s="55"/>
      <c r="D112" s="6" t="s">
        <v>39</v>
      </c>
      <c r="E112" s="6" t="s">
        <v>40</v>
      </c>
      <c r="F112" s="63" t="s">
        <v>1516</v>
      </c>
      <c r="G112" s="6" t="s">
        <v>41</v>
      </c>
      <c r="H112" s="63" t="s">
        <v>1516</v>
      </c>
      <c r="I112" s="21" t="s">
        <v>949</v>
      </c>
      <c r="J112" s="6" t="s">
        <v>156</v>
      </c>
      <c r="K112" s="6" t="s">
        <v>950</v>
      </c>
      <c r="L112" s="63" t="s">
        <v>1543</v>
      </c>
      <c r="M112" s="55"/>
      <c r="N112" s="55"/>
      <c r="O112" s="55"/>
      <c r="P112" s="55"/>
      <c r="Q112" s="6">
        <v>1.0</v>
      </c>
      <c r="R112" s="23">
        <v>45838.0</v>
      </c>
      <c r="S112" s="23">
        <v>45842.0</v>
      </c>
      <c r="T112" s="23">
        <v>45840.0</v>
      </c>
      <c r="U112" s="55"/>
      <c r="V112" s="6" t="s">
        <v>103</v>
      </c>
      <c r="W112" s="6">
        <v>3.04250073749E11</v>
      </c>
      <c r="X112" s="6" t="s">
        <v>45</v>
      </c>
      <c r="Y112" s="6" t="s">
        <v>46</v>
      </c>
      <c r="Z112" s="6">
        <v>3.040311758E9</v>
      </c>
      <c r="AA112" s="6" t="s">
        <v>63</v>
      </c>
      <c r="AB112" s="6" t="s">
        <v>241</v>
      </c>
      <c r="AC112" s="6" t="s">
        <v>583</v>
      </c>
      <c r="AD112" s="55"/>
      <c r="AE112" s="55"/>
      <c r="AF112" s="55"/>
      <c r="AG112" s="55"/>
    </row>
    <row r="113">
      <c r="A113" s="21">
        <f>COUNTIF('Divulgação'!$B:$B,B113)</f>
        <v>1</v>
      </c>
      <c r="B113" s="62" t="s">
        <v>1544</v>
      </c>
      <c r="C113" s="55"/>
      <c r="D113" s="6" t="s">
        <v>39</v>
      </c>
      <c r="E113" s="6" t="s">
        <v>40</v>
      </c>
      <c r="F113" s="63" t="s">
        <v>1516</v>
      </c>
      <c r="G113" s="6" t="s">
        <v>41</v>
      </c>
      <c r="H113" s="63" t="s">
        <v>1516</v>
      </c>
      <c r="I113" s="21" t="s">
        <v>949</v>
      </c>
      <c r="J113" s="6" t="s">
        <v>156</v>
      </c>
      <c r="K113" s="6" t="s">
        <v>950</v>
      </c>
      <c r="L113" s="63" t="s">
        <v>1545</v>
      </c>
      <c r="M113" s="55"/>
      <c r="N113" s="55"/>
      <c r="O113" s="55"/>
      <c r="P113" s="55"/>
      <c r="Q113" s="6">
        <v>1.0</v>
      </c>
      <c r="R113" s="23">
        <v>45838.0</v>
      </c>
      <c r="S113" s="23">
        <v>45842.0</v>
      </c>
      <c r="T113" s="23">
        <v>45840.0</v>
      </c>
      <c r="U113" s="55"/>
      <c r="V113" s="6" t="s">
        <v>44</v>
      </c>
      <c r="W113" s="55"/>
      <c r="X113" s="6" t="s">
        <v>45</v>
      </c>
      <c r="Y113" s="6" t="s">
        <v>46</v>
      </c>
      <c r="Z113" s="6">
        <v>3.040311295E9</v>
      </c>
      <c r="AA113" s="6" t="s">
        <v>60</v>
      </c>
      <c r="AB113" s="6" t="s">
        <v>367</v>
      </c>
      <c r="AC113" s="6" t="s">
        <v>1430</v>
      </c>
      <c r="AD113" s="55"/>
      <c r="AE113" s="55"/>
      <c r="AF113" s="55"/>
      <c r="AG113" s="55"/>
    </row>
    <row r="114">
      <c r="A114" s="21">
        <f>COUNTIF('Divulgação'!$B:$B,B114)</f>
        <v>1</v>
      </c>
      <c r="B114" s="62" t="s">
        <v>1546</v>
      </c>
      <c r="C114" s="55"/>
      <c r="D114" s="6" t="s">
        <v>39</v>
      </c>
      <c r="E114" s="6" t="s">
        <v>40</v>
      </c>
      <c r="F114" s="63" t="s">
        <v>1516</v>
      </c>
      <c r="G114" s="6" t="s">
        <v>41</v>
      </c>
      <c r="H114" s="63" t="s">
        <v>1516</v>
      </c>
      <c r="I114" s="21" t="s">
        <v>949</v>
      </c>
      <c r="J114" s="6" t="s">
        <v>156</v>
      </c>
      <c r="K114" s="6" t="s">
        <v>950</v>
      </c>
      <c r="L114" s="63" t="s">
        <v>1547</v>
      </c>
      <c r="M114" s="55"/>
      <c r="N114" s="55"/>
      <c r="O114" s="55"/>
      <c r="P114" s="55"/>
      <c r="Q114" s="6">
        <v>1.0</v>
      </c>
      <c r="R114" s="23">
        <v>45838.0</v>
      </c>
      <c r="S114" s="23">
        <v>45842.0</v>
      </c>
      <c r="T114" s="23">
        <v>45840.0</v>
      </c>
      <c r="U114" s="55"/>
      <c r="V114" s="6" t="s">
        <v>44</v>
      </c>
      <c r="W114" s="55"/>
      <c r="X114" s="6" t="s">
        <v>45</v>
      </c>
      <c r="Y114" s="6" t="s">
        <v>46</v>
      </c>
      <c r="Z114" s="6">
        <v>3.040311296E9</v>
      </c>
      <c r="AA114" s="6" t="s">
        <v>60</v>
      </c>
      <c r="AB114" s="6" t="s">
        <v>367</v>
      </c>
      <c r="AC114" s="6" t="s">
        <v>1430</v>
      </c>
      <c r="AD114" s="55"/>
      <c r="AE114" s="55"/>
      <c r="AF114" s="55"/>
      <c r="AG114" s="55"/>
    </row>
    <row r="115">
      <c r="A115" s="21">
        <f>COUNTIF('Divulgação'!$B:$B,B115)</f>
        <v>1</v>
      </c>
      <c r="B115" s="62" t="s">
        <v>1548</v>
      </c>
      <c r="C115" s="55"/>
      <c r="D115" s="6" t="s">
        <v>39</v>
      </c>
      <c r="E115" s="6" t="s">
        <v>40</v>
      </c>
      <c r="F115" s="63" t="s">
        <v>1516</v>
      </c>
      <c r="G115" s="6" t="s">
        <v>41</v>
      </c>
      <c r="H115" s="63" t="s">
        <v>1516</v>
      </c>
      <c r="I115" s="21" t="s">
        <v>949</v>
      </c>
      <c r="J115" s="6" t="s">
        <v>156</v>
      </c>
      <c r="K115" s="6" t="s">
        <v>950</v>
      </c>
      <c r="L115" s="63" t="s">
        <v>1549</v>
      </c>
      <c r="M115" s="55"/>
      <c r="N115" s="55"/>
      <c r="O115" s="55"/>
      <c r="P115" s="55"/>
      <c r="Q115" s="6">
        <v>1.0</v>
      </c>
      <c r="R115" s="23">
        <v>45838.0</v>
      </c>
      <c r="S115" s="23">
        <v>45842.0</v>
      </c>
      <c r="T115" s="23">
        <v>45840.0</v>
      </c>
      <c r="U115" s="55"/>
      <c r="V115" s="6" t="s">
        <v>103</v>
      </c>
      <c r="W115" s="6">
        <v>6.85260010874E11</v>
      </c>
      <c r="X115" s="6" t="s">
        <v>45</v>
      </c>
      <c r="Y115" s="6" t="s">
        <v>46</v>
      </c>
      <c r="Z115" s="6">
        <v>3.040311695E9</v>
      </c>
      <c r="AA115" s="6" t="s">
        <v>64</v>
      </c>
      <c r="AB115" s="6" t="s">
        <v>588</v>
      </c>
      <c r="AC115" s="6" t="s">
        <v>589</v>
      </c>
      <c r="AD115" s="55"/>
      <c r="AE115" s="55"/>
      <c r="AF115" s="55"/>
      <c r="AG115" s="55"/>
    </row>
    <row r="116">
      <c r="A116" s="21">
        <f>COUNTIF('Divulgação'!$B:$B,B116)</f>
        <v>1</v>
      </c>
      <c r="B116" s="62" t="s">
        <v>1550</v>
      </c>
      <c r="C116" s="55"/>
      <c r="D116" s="6" t="s">
        <v>39</v>
      </c>
      <c r="E116" s="6" t="s">
        <v>40</v>
      </c>
      <c r="F116" s="63" t="s">
        <v>1516</v>
      </c>
      <c r="G116" s="6" t="s">
        <v>41</v>
      </c>
      <c r="H116" s="63" t="s">
        <v>1516</v>
      </c>
      <c r="I116" s="21" t="s">
        <v>1278</v>
      </c>
      <c r="J116" s="63" t="s">
        <v>1447</v>
      </c>
      <c r="K116" s="6" t="s">
        <v>1279</v>
      </c>
      <c r="L116" s="63" t="s">
        <v>1551</v>
      </c>
      <c r="M116" s="55"/>
      <c r="N116" s="55"/>
      <c r="O116" s="55"/>
      <c r="P116" s="55"/>
      <c r="Q116" s="6">
        <v>1.0</v>
      </c>
      <c r="R116" s="23">
        <v>45838.0</v>
      </c>
      <c r="S116" s="23">
        <v>45965.0</v>
      </c>
      <c r="T116" s="23">
        <v>45840.0</v>
      </c>
      <c r="U116" s="55"/>
      <c r="V116" s="6" t="s">
        <v>44</v>
      </c>
      <c r="W116" s="55"/>
      <c r="X116" s="6" t="s">
        <v>45</v>
      </c>
      <c r="Y116" s="6" t="s">
        <v>46</v>
      </c>
      <c r="Z116" s="6">
        <v>3.040315223E9</v>
      </c>
      <c r="AA116" s="6" t="s">
        <v>63</v>
      </c>
      <c r="AB116" s="6" t="s">
        <v>1552</v>
      </c>
      <c r="AC116" s="6" t="s">
        <v>451</v>
      </c>
      <c r="AD116" s="55"/>
      <c r="AE116" s="55"/>
      <c r="AF116" s="55"/>
      <c r="AG116" s="55"/>
    </row>
    <row r="117">
      <c r="A117" s="21">
        <f>COUNTIF('Divulgação'!$B:$B,B117)</f>
        <v>1</v>
      </c>
      <c r="B117" s="62" t="s">
        <v>454</v>
      </c>
      <c r="C117" s="55"/>
      <c r="D117" s="6" t="s">
        <v>39</v>
      </c>
      <c r="E117" s="6" t="s">
        <v>40</v>
      </c>
      <c r="F117" s="63" t="s">
        <v>1516</v>
      </c>
      <c r="G117" s="6" t="s">
        <v>41</v>
      </c>
      <c r="H117" s="63" t="s">
        <v>1516</v>
      </c>
      <c r="I117" s="21" t="s">
        <v>51</v>
      </c>
      <c r="J117" s="63" t="s">
        <v>1521</v>
      </c>
      <c r="K117" s="6" t="s">
        <v>54</v>
      </c>
      <c r="L117" s="6" t="s">
        <v>455</v>
      </c>
      <c r="M117" s="55"/>
      <c r="N117" s="55"/>
      <c r="O117" s="55"/>
      <c r="P117" s="55"/>
      <c r="Q117" s="6">
        <v>1.0</v>
      </c>
      <c r="R117" s="23">
        <v>45838.0</v>
      </c>
      <c r="S117" s="23">
        <v>45965.0</v>
      </c>
      <c r="T117" s="23">
        <v>45840.0</v>
      </c>
      <c r="U117" s="55"/>
      <c r="V117" s="6" t="s">
        <v>44</v>
      </c>
      <c r="W117" s="55"/>
      <c r="X117" s="6" t="s">
        <v>45</v>
      </c>
      <c r="Y117" s="6" t="s">
        <v>46</v>
      </c>
      <c r="Z117" s="6">
        <v>3.040287605E9</v>
      </c>
      <c r="AA117" s="6" t="s">
        <v>63</v>
      </c>
      <c r="AB117" s="6" t="s">
        <v>72</v>
      </c>
      <c r="AC117" s="6" t="s">
        <v>451</v>
      </c>
      <c r="AD117" s="55"/>
      <c r="AE117" s="55"/>
      <c r="AF117" s="55"/>
      <c r="AG117" s="55"/>
    </row>
    <row r="118">
      <c r="A118" s="21">
        <f>COUNTIF('Divulgação'!$B:$B,B118)</f>
        <v>1</v>
      </c>
      <c r="B118" s="62" t="s">
        <v>458</v>
      </c>
      <c r="C118" s="55"/>
      <c r="D118" s="6" t="s">
        <v>39</v>
      </c>
      <c r="E118" s="6" t="s">
        <v>40</v>
      </c>
      <c r="F118" s="63" t="s">
        <v>1516</v>
      </c>
      <c r="G118" s="6" t="s">
        <v>41</v>
      </c>
      <c r="H118" s="63" t="s">
        <v>1516</v>
      </c>
      <c r="I118" s="21" t="s">
        <v>51</v>
      </c>
      <c r="J118" s="63" t="s">
        <v>1390</v>
      </c>
      <c r="K118" s="6" t="s">
        <v>54</v>
      </c>
      <c r="L118" s="6" t="s">
        <v>459</v>
      </c>
      <c r="M118" s="55"/>
      <c r="N118" s="55"/>
      <c r="O118" s="55"/>
      <c r="P118" s="55"/>
      <c r="Q118" s="6">
        <v>1.0</v>
      </c>
      <c r="R118" s="23">
        <v>45838.0</v>
      </c>
      <c r="S118" s="23">
        <v>45842.0</v>
      </c>
      <c r="T118" s="23">
        <v>45840.0</v>
      </c>
      <c r="U118" s="55"/>
      <c r="V118" s="6" t="s">
        <v>44</v>
      </c>
      <c r="W118" s="55"/>
      <c r="X118" s="6" t="s">
        <v>45</v>
      </c>
      <c r="Y118" s="6" t="s">
        <v>46</v>
      </c>
      <c r="Z118" s="6">
        <v>3.040302697E9</v>
      </c>
      <c r="AA118" s="6" t="s">
        <v>63</v>
      </c>
      <c r="AB118" s="6" t="s">
        <v>72</v>
      </c>
      <c r="AC118" s="6" t="s">
        <v>451</v>
      </c>
      <c r="AD118" s="55"/>
      <c r="AE118" s="55"/>
      <c r="AF118" s="55"/>
      <c r="AG118" s="55"/>
    </row>
    <row r="119">
      <c r="A119" s="21">
        <f>COUNTIF('Divulgação'!$B:$B,B119)</f>
        <v>1</v>
      </c>
      <c r="B119" s="62" t="s">
        <v>460</v>
      </c>
      <c r="C119" s="55"/>
      <c r="D119" s="6" t="s">
        <v>39</v>
      </c>
      <c r="E119" s="6" t="s">
        <v>40</v>
      </c>
      <c r="F119" s="63" t="s">
        <v>1516</v>
      </c>
      <c r="G119" s="6" t="s">
        <v>41</v>
      </c>
      <c r="H119" s="63" t="s">
        <v>1516</v>
      </c>
      <c r="I119" s="21" t="s">
        <v>51</v>
      </c>
      <c r="J119" s="63" t="s">
        <v>1553</v>
      </c>
      <c r="K119" s="6" t="s">
        <v>463</v>
      </c>
      <c r="L119" s="6" t="s">
        <v>464</v>
      </c>
      <c r="M119" s="55"/>
      <c r="N119" s="55"/>
      <c r="O119" s="55"/>
      <c r="P119" s="55"/>
      <c r="Q119" s="6">
        <v>1.0</v>
      </c>
      <c r="R119" s="23">
        <v>45838.0</v>
      </c>
      <c r="S119" s="23">
        <v>45965.0</v>
      </c>
      <c r="T119" s="23">
        <v>45840.0</v>
      </c>
      <c r="U119" s="55"/>
      <c r="V119" s="6" t="s">
        <v>44</v>
      </c>
      <c r="W119" s="55"/>
      <c r="X119" s="6" t="s">
        <v>45</v>
      </c>
      <c r="Y119" s="6" t="s">
        <v>46</v>
      </c>
      <c r="Z119" s="6">
        <v>3.040292325E9</v>
      </c>
      <c r="AA119" s="6" t="s">
        <v>465</v>
      </c>
      <c r="AB119" s="6" t="s">
        <v>466</v>
      </c>
      <c r="AC119" s="6" t="s">
        <v>308</v>
      </c>
      <c r="AD119" s="55"/>
      <c r="AE119" s="55"/>
      <c r="AF119" s="55"/>
      <c r="AG119" s="55"/>
    </row>
    <row r="120">
      <c r="A120" s="21">
        <f>COUNTIF('Divulgação'!$B:$B,B120)</f>
        <v>1</v>
      </c>
      <c r="B120" s="62" t="s">
        <v>467</v>
      </c>
      <c r="C120" s="55"/>
      <c r="D120" s="6" t="s">
        <v>39</v>
      </c>
      <c r="E120" s="6" t="s">
        <v>40</v>
      </c>
      <c r="F120" s="63" t="s">
        <v>1516</v>
      </c>
      <c r="G120" s="6" t="s">
        <v>41</v>
      </c>
      <c r="H120" s="63" t="s">
        <v>1516</v>
      </c>
      <c r="I120" s="21" t="s">
        <v>51</v>
      </c>
      <c r="J120" s="63" t="s">
        <v>1553</v>
      </c>
      <c r="K120" s="6" t="s">
        <v>463</v>
      </c>
      <c r="L120" s="6" t="s">
        <v>468</v>
      </c>
      <c r="M120" s="55"/>
      <c r="N120" s="55"/>
      <c r="O120" s="55"/>
      <c r="P120" s="55"/>
      <c r="Q120" s="6">
        <v>1.0</v>
      </c>
      <c r="R120" s="23">
        <v>45838.0</v>
      </c>
      <c r="S120" s="23">
        <v>45965.0</v>
      </c>
      <c r="T120" s="23">
        <v>45840.0</v>
      </c>
      <c r="U120" s="55"/>
      <c r="V120" s="6" t="s">
        <v>44</v>
      </c>
      <c r="W120" s="55"/>
      <c r="X120" s="6" t="s">
        <v>45</v>
      </c>
      <c r="Y120" s="6" t="s">
        <v>46</v>
      </c>
      <c r="Z120" s="6">
        <v>3.040288467E9</v>
      </c>
      <c r="AA120" s="6" t="s">
        <v>63</v>
      </c>
      <c r="AB120" s="6" t="s">
        <v>72</v>
      </c>
      <c r="AC120" s="6" t="s">
        <v>279</v>
      </c>
      <c r="AD120" s="55"/>
      <c r="AE120" s="55"/>
      <c r="AF120" s="55"/>
      <c r="AG120" s="55"/>
    </row>
    <row r="121">
      <c r="A121" s="21">
        <f>COUNTIF('Divulgação'!$B:$B,B121)</f>
        <v>1</v>
      </c>
      <c r="B121" s="62" t="s">
        <v>449</v>
      </c>
      <c r="C121" s="55"/>
      <c r="D121" s="6" t="s">
        <v>39</v>
      </c>
      <c r="E121" s="6" t="s">
        <v>40</v>
      </c>
      <c r="F121" s="63" t="s">
        <v>1516</v>
      </c>
      <c r="G121" s="6" t="s">
        <v>41</v>
      </c>
      <c r="H121" s="63" t="s">
        <v>1516</v>
      </c>
      <c r="I121" s="21" t="s">
        <v>51</v>
      </c>
      <c r="J121" s="63" t="s">
        <v>1390</v>
      </c>
      <c r="K121" s="6" t="s">
        <v>54</v>
      </c>
      <c r="L121" s="6" t="s">
        <v>450</v>
      </c>
      <c r="M121" s="55"/>
      <c r="N121" s="55"/>
      <c r="O121" s="55"/>
      <c r="P121" s="55"/>
      <c r="Q121" s="6">
        <v>1.0</v>
      </c>
      <c r="R121" s="23">
        <v>45838.0</v>
      </c>
      <c r="S121" s="23">
        <v>45842.0</v>
      </c>
      <c r="T121" s="23">
        <v>45840.0</v>
      </c>
      <c r="U121" s="55"/>
      <c r="V121" s="6" t="s">
        <v>44</v>
      </c>
      <c r="W121" s="55"/>
      <c r="X121" s="6" t="s">
        <v>45</v>
      </c>
      <c r="Y121" s="6" t="s">
        <v>46</v>
      </c>
      <c r="Z121" s="6">
        <v>3.040287606E9</v>
      </c>
      <c r="AA121" s="6" t="s">
        <v>63</v>
      </c>
      <c r="AB121" s="6" t="s">
        <v>72</v>
      </c>
      <c r="AC121" s="6" t="s">
        <v>451</v>
      </c>
      <c r="AD121" s="55"/>
      <c r="AE121" s="55"/>
      <c r="AF121" s="55"/>
      <c r="AG121" s="55"/>
    </row>
    <row r="122">
      <c r="A122" s="21">
        <f>COUNTIF('Divulgação'!$B:$B,B122)</f>
        <v>1</v>
      </c>
      <c r="B122" s="62" t="s">
        <v>472</v>
      </c>
      <c r="C122" s="55"/>
      <c r="D122" s="6" t="s">
        <v>39</v>
      </c>
      <c r="E122" s="6" t="s">
        <v>40</v>
      </c>
      <c r="F122" s="63" t="s">
        <v>1516</v>
      </c>
      <c r="G122" s="6" t="s">
        <v>41</v>
      </c>
      <c r="H122" s="63" t="s">
        <v>1516</v>
      </c>
      <c r="I122" s="21" t="s">
        <v>51</v>
      </c>
      <c r="J122" s="63" t="s">
        <v>1390</v>
      </c>
      <c r="K122" s="6" t="s">
        <v>54</v>
      </c>
      <c r="L122" s="6" t="s">
        <v>473</v>
      </c>
      <c r="M122" s="55"/>
      <c r="N122" s="55"/>
      <c r="O122" s="55"/>
      <c r="P122" s="55"/>
      <c r="Q122" s="6">
        <v>1.0</v>
      </c>
      <c r="R122" s="23">
        <v>45838.0</v>
      </c>
      <c r="S122" s="23">
        <v>45842.0</v>
      </c>
      <c r="T122" s="23">
        <v>45840.0</v>
      </c>
      <c r="U122" s="55"/>
      <c r="V122" s="6" t="s">
        <v>44</v>
      </c>
      <c r="W122" s="55"/>
      <c r="X122" s="6" t="s">
        <v>45</v>
      </c>
      <c r="Y122" s="6" t="s">
        <v>46</v>
      </c>
      <c r="Z122" s="6">
        <v>3.040285494E9</v>
      </c>
      <c r="AA122" s="6" t="s">
        <v>465</v>
      </c>
      <c r="AB122" s="6" t="s">
        <v>466</v>
      </c>
      <c r="AC122" s="6" t="s">
        <v>308</v>
      </c>
      <c r="AD122" s="55"/>
      <c r="AE122" s="55"/>
      <c r="AF122" s="55"/>
      <c r="AG122" s="55"/>
    </row>
    <row r="123">
      <c r="A123" s="21">
        <f>COUNTIF('Divulgação'!$B:$B,B123)</f>
        <v>1</v>
      </c>
      <c r="B123" s="62" t="s">
        <v>476</v>
      </c>
      <c r="C123" s="55"/>
      <c r="D123" s="6" t="s">
        <v>39</v>
      </c>
      <c r="E123" s="6" t="s">
        <v>40</v>
      </c>
      <c r="F123" s="63" t="s">
        <v>1555</v>
      </c>
      <c r="G123" s="6" t="s">
        <v>41</v>
      </c>
      <c r="H123" s="63" t="s">
        <v>1555</v>
      </c>
      <c r="I123" s="21" t="s">
        <v>274</v>
      </c>
      <c r="J123" s="6" t="s">
        <v>275</v>
      </c>
      <c r="K123" s="6" t="s">
        <v>276</v>
      </c>
      <c r="L123" s="63" t="s">
        <v>1556</v>
      </c>
      <c r="M123" s="55"/>
      <c r="N123" s="55"/>
      <c r="O123" s="55"/>
      <c r="P123" s="55"/>
      <c r="Q123" s="6">
        <v>1.0</v>
      </c>
      <c r="R123" s="23">
        <v>45848.0</v>
      </c>
      <c r="S123" s="50">
        <v>45977.0</v>
      </c>
      <c r="T123" s="23">
        <v>45849.0</v>
      </c>
      <c r="U123" s="55"/>
      <c r="V123" s="6" t="s">
        <v>44</v>
      </c>
      <c r="W123" s="55"/>
      <c r="X123" s="6" t="s">
        <v>45</v>
      </c>
      <c r="Y123" s="6" t="s">
        <v>46</v>
      </c>
      <c r="Z123" s="6">
        <v>3.040299343E9</v>
      </c>
      <c r="AA123" s="6" t="s">
        <v>63</v>
      </c>
      <c r="AB123" s="6" t="s">
        <v>72</v>
      </c>
      <c r="AC123" s="6" t="s">
        <v>451</v>
      </c>
      <c r="AD123" s="55"/>
      <c r="AE123" s="55"/>
      <c r="AF123" s="55"/>
      <c r="AG123" s="55"/>
    </row>
    <row r="124">
      <c r="A124" s="21">
        <f>COUNTIF('Divulgação'!$B:$B,B124)</f>
        <v>1</v>
      </c>
      <c r="B124" s="62" t="s">
        <v>479</v>
      </c>
      <c r="C124" s="55"/>
      <c r="D124" s="6" t="s">
        <v>39</v>
      </c>
      <c r="E124" s="6" t="s">
        <v>40</v>
      </c>
      <c r="F124" s="63" t="s">
        <v>1555</v>
      </c>
      <c r="G124" s="6" t="s">
        <v>41</v>
      </c>
      <c r="H124" s="63" t="s">
        <v>1555</v>
      </c>
      <c r="I124" s="21" t="s">
        <v>442</v>
      </c>
      <c r="J124" s="63" t="s">
        <v>1557</v>
      </c>
      <c r="K124" s="6" t="s">
        <v>443</v>
      </c>
      <c r="L124" s="63" t="s">
        <v>1558</v>
      </c>
      <c r="M124" s="55"/>
      <c r="N124" s="55"/>
      <c r="O124" s="55"/>
      <c r="P124" s="55"/>
      <c r="Q124" s="6">
        <v>1.0</v>
      </c>
      <c r="R124" s="23">
        <v>45848.0</v>
      </c>
      <c r="S124" s="23">
        <v>45938.0</v>
      </c>
      <c r="T124" s="23">
        <v>45849.0</v>
      </c>
      <c r="U124" s="55"/>
      <c r="V124" s="6" t="s">
        <v>44</v>
      </c>
      <c r="W124" s="55"/>
      <c r="X124" s="6" t="s">
        <v>45</v>
      </c>
      <c r="Y124" s="6" t="s">
        <v>46</v>
      </c>
      <c r="Z124" s="6">
        <v>3.04031272E9</v>
      </c>
      <c r="AA124" s="6" t="s">
        <v>304</v>
      </c>
      <c r="AB124" s="6" t="s">
        <v>480</v>
      </c>
      <c r="AC124" s="6" t="s">
        <v>481</v>
      </c>
      <c r="AD124" s="55"/>
      <c r="AE124" s="55"/>
      <c r="AF124" s="55"/>
      <c r="AG124" s="55"/>
    </row>
    <row r="125">
      <c r="A125" s="21">
        <f>COUNTIF('Divulgação'!$B:$B,B125)</f>
        <v>1</v>
      </c>
      <c r="B125" s="62" t="s">
        <v>1559</v>
      </c>
      <c r="C125" s="55"/>
      <c r="D125" s="6" t="s">
        <v>39</v>
      </c>
      <c r="E125" s="6" t="s">
        <v>40</v>
      </c>
      <c r="F125" s="63" t="s">
        <v>1555</v>
      </c>
      <c r="G125" s="6" t="s">
        <v>41</v>
      </c>
      <c r="H125" s="63" t="s">
        <v>1555</v>
      </c>
      <c r="I125" s="21" t="s">
        <v>533</v>
      </c>
      <c r="J125" s="63" t="s">
        <v>1560</v>
      </c>
      <c r="K125" s="6" t="s">
        <v>1160</v>
      </c>
      <c r="L125" s="63" t="s">
        <v>1561</v>
      </c>
      <c r="M125" s="55"/>
      <c r="N125" s="55"/>
      <c r="O125" s="55"/>
      <c r="P125" s="55"/>
      <c r="Q125" s="6">
        <v>1.0</v>
      </c>
      <c r="R125" s="23">
        <v>45848.0</v>
      </c>
      <c r="S125" s="23">
        <v>45854.0</v>
      </c>
      <c r="T125" s="23">
        <v>45849.0</v>
      </c>
      <c r="U125" s="55"/>
      <c r="V125" s="6" t="s">
        <v>103</v>
      </c>
      <c r="W125" s="6">
        <v>3.04250073788E11</v>
      </c>
      <c r="X125" s="6" t="s">
        <v>45</v>
      </c>
      <c r="Y125" s="6" t="s">
        <v>46</v>
      </c>
      <c r="Z125" s="6">
        <v>3.040313667E9</v>
      </c>
      <c r="AA125" s="6" t="s">
        <v>45</v>
      </c>
      <c r="AB125" s="6" t="s">
        <v>46</v>
      </c>
      <c r="AC125" s="6" t="s">
        <v>177</v>
      </c>
      <c r="AD125" s="55"/>
      <c r="AE125" s="55"/>
      <c r="AF125" s="55"/>
      <c r="AG125" s="55"/>
    </row>
    <row r="126">
      <c r="A126" s="21">
        <f>COUNTIF('Divulgação'!$B:$B,B126)</f>
        <v>1</v>
      </c>
      <c r="B126" s="62" t="s">
        <v>484</v>
      </c>
      <c r="C126" s="55"/>
      <c r="D126" s="6" t="s">
        <v>39</v>
      </c>
      <c r="E126" s="6" t="s">
        <v>40</v>
      </c>
      <c r="F126" s="63" t="s">
        <v>1562</v>
      </c>
      <c r="G126" s="6" t="s">
        <v>41</v>
      </c>
      <c r="H126" s="63" t="s">
        <v>1562</v>
      </c>
      <c r="I126" s="21" t="s">
        <v>271</v>
      </c>
      <c r="J126" s="6" t="s">
        <v>485</v>
      </c>
      <c r="K126" s="6" t="s">
        <v>486</v>
      </c>
      <c r="L126" s="63" t="s">
        <v>1563</v>
      </c>
      <c r="M126" s="55"/>
      <c r="N126" s="55"/>
      <c r="O126" s="55"/>
      <c r="P126" s="55"/>
      <c r="Q126" s="6">
        <v>1.0</v>
      </c>
      <c r="R126" s="23">
        <v>45852.0</v>
      </c>
      <c r="S126" s="50">
        <v>45979.0</v>
      </c>
      <c r="T126" s="23">
        <v>45853.0</v>
      </c>
      <c r="U126" s="55"/>
      <c r="V126" s="6" t="s">
        <v>103</v>
      </c>
      <c r="W126" s="6">
        <v>3.13250016635E11</v>
      </c>
      <c r="X126" s="6" t="s">
        <v>45</v>
      </c>
      <c r="Y126" s="6" t="s">
        <v>46</v>
      </c>
      <c r="Z126" s="6">
        <v>3.040315236E9</v>
      </c>
      <c r="AA126" s="6" t="s">
        <v>45</v>
      </c>
      <c r="AB126" s="6" t="s">
        <v>46</v>
      </c>
      <c r="AC126" s="6" t="s">
        <v>177</v>
      </c>
      <c r="AD126" s="55"/>
      <c r="AE126" s="55"/>
      <c r="AF126" s="55"/>
      <c r="AG126" s="55"/>
    </row>
    <row r="127">
      <c r="A127" s="21">
        <f>COUNTIF('Divulgação'!$B:$B,B127)</f>
        <v>1</v>
      </c>
      <c r="B127" s="62" t="s">
        <v>489</v>
      </c>
      <c r="C127" s="55"/>
      <c r="D127" s="6" t="s">
        <v>39</v>
      </c>
      <c r="E127" s="6" t="s">
        <v>40</v>
      </c>
      <c r="F127" s="63" t="s">
        <v>1564</v>
      </c>
      <c r="G127" s="6" t="s">
        <v>41</v>
      </c>
      <c r="H127" s="63" t="s">
        <v>1564</v>
      </c>
      <c r="I127" s="21" t="s">
        <v>375</v>
      </c>
      <c r="J127" s="6" t="s">
        <v>490</v>
      </c>
      <c r="K127" s="6" t="s">
        <v>491</v>
      </c>
      <c r="L127" s="63" t="s">
        <v>1565</v>
      </c>
      <c r="M127" s="55"/>
      <c r="N127" s="55"/>
      <c r="O127" s="55"/>
      <c r="P127" s="55"/>
      <c r="Q127" s="6">
        <v>1.0</v>
      </c>
      <c r="R127" s="23">
        <v>45854.0</v>
      </c>
      <c r="S127" s="23">
        <v>45860.0</v>
      </c>
      <c r="T127" s="23">
        <v>45855.0</v>
      </c>
      <c r="U127" s="55"/>
      <c r="V127" s="6" t="s">
        <v>44</v>
      </c>
      <c r="W127" s="55"/>
      <c r="X127" s="6" t="s">
        <v>45</v>
      </c>
      <c r="Y127" s="6" t="s">
        <v>46</v>
      </c>
      <c r="Z127" s="6">
        <v>3.040290764E9</v>
      </c>
      <c r="AA127" s="6" t="s">
        <v>64</v>
      </c>
      <c r="AB127" s="6" t="s">
        <v>94</v>
      </c>
      <c r="AC127" s="6" t="s">
        <v>492</v>
      </c>
      <c r="AD127" s="55"/>
      <c r="AE127" s="55"/>
      <c r="AF127" s="55"/>
      <c r="AG127" s="55"/>
    </row>
    <row r="128">
      <c r="A128" s="21">
        <f>COUNTIF('Divulgação'!$B:$B,B128)</f>
        <v>1</v>
      </c>
      <c r="B128" s="62" t="s">
        <v>1566</v>
      </c>
      <c r="C128" s="55"/>
      <c r="D128" s="6" t="s">
        <v>39</v>
      </c>
      <c r="E128" s="6" t="s">
        <v>40</v>
      </c>
      <c r="F128" s="63" t="s">
        <v>1564</v>
      </c>
      <c r="G128" s="6" t="s">
        <v>41</v>
      </c>
      <c r="H128" s="63" t="s">
        <v>1564</v>
      </c>
      <c r="I128" s="21" t="s">
        <v>375</v>
      </c>
      <c r="J128" s="63" t="s">
        <v>1387</v>
      </c>
      <c r="K128" s="6" t="s">
        <v>491</v>
      </c>
      <c r="L128" s="6" t="s">
        <v>1567</v>
      </c>
      <c r="M128" s="55"/>
      <c r="N128" s="55"/>
      <c r="O128" s="55"/>
      <c r="P128" s="55"/>
      <c r="Q128" s="6">
        <v>1.0</v>
      </c>
      <c r="R128" s="23">
        <v>45854.0</v>
      </c>
      <c r="S128" s="23">
        <v>45860.0</v>
      </c>
      <c r="T128" s="23">
        <v>45855.0</v>
      </c>
      <c r="U128" s="55"/>
      <c r="V128" s="6" t="s">
        <v>44</v>
      </c>
      <c r="W128" s="55"/>
      <c r="X128" s="6" t="s">
        <v>45</v>
      </c>
      <c r="Y128" s="6" t="s">
        <v>46</v>
      </c>
      <c r="Z128" s="6">
        <v>3.040300504E9</v>
      </c>
      <c r="AA128" s="6" t="s">
        <v>45</v>
      </c>
      <c r="AB128" s="6" t="s">
        <v>46</v>
      </c>
      <c r="AC128" s="6" t="s">
        <v>177</v>
      </c>
      <c r="AD128" s="55"/>
      <c r="AE128" s="55"/>
      <c r="AF128" s="55"/>
      <c r="AG128" s="55"/>
    </row>
    <row r="129">
      <c r="A129" s="21">
        <f>COUNTIF('Divulgação'!$B:$B,B129)</f>
        <v>1</v>
      </c>
      <c r="B129" s="62" t="s">
        <v>1568</v>
      </c>
      <c r="C129" s="55"/>
      <c r="D129" s="6" t="s">
        <v>39</v>
      </c>
      <c r="E129" s="6" t="s">
        <v>40</v>
      </c>
      <c r="F129" s="63" t="s">
        <v>1569</v>
      </c>
      <c r="G129" s="6" t="s">
        <v>41</v>
      </c>
      <c r="H129" s="63" t="s">
        <v>1569</v>
      </c>
      <c r="I129" s="21" t="s">
        <v>1008</v>
      </c>
      <c r="J129" s="6" t="s">
        <v>156</v>
      </c>
      <c r="K129" s="6" t="s">
        <v>292</v>
      </c>
      <c r="L129" s="6" t="s">
        <v>1009</v>
      </c>
      <c r="M129" s="55"/>
      <c r="N129" s="55"/>
      <c r="O129" s="55"/>
      <c r="P129" s="55"/>
      <c r="Q129" s="6">
        <v>1.0</v>
      </c>
      <c r="R129" s="23">
        <v>45855.0</v>
      </c>
      <c r="S129" s="23">
        <v>45861.0</v>
      </c>
      <c r="T129" s="23">
        <v>45856.0</v>
      </c>
      <c r="U129" s="55"/>
      <c r="V129" s="6" t="s">
        <v>44</v>
      </c>
      <c r="W129" s="55"/>
      <c r="X129" s="6" t="s">
        <v>45</v>
      </c>
      <c r="Y129" s="6" t="s">
        <v>46</v>
      </c>
      <c r="Z129" s="6">
        <v>3.040299945E9</v>
      </c>
      <c r="AA129" s="6" t="s">
        <v>63</v>
      </c>
      <c r="AB129" s="6" t="s">
        <v>72</v>
      </c>
      <c r="AC129" s="6" t="s">
        <v>1570</v>
      </c>
      <c r="AD129" s="55"/>
      <c r="AE129" s="55"/>
      <c r="AF129" s="55"/>
      <c r="AG129" s="55"/>
    </row>
    <row r="130">
      <c r="A130" s="21">
        <f>COUNTIF('Divulgação'!$B:$B,B130)</f>
        <v>1</v>
      </c>
      <c r="B130" s="62" t="s">
        <v>495</v>
      </c>
      <c r="C130" s="55"/>
      <c r="D130" s="6" t="s">
        <v>39</v>
      </c>
      <c r="E130" s="6" t="s">
        <v>40</v>
      </c>
      <c r="F130" s="63" t="s">
        <v>1571</v>
      </c>
      <c r="G130" s="6" t="s">
        <v>41</v>
      </c>
      <c r="H130" s="63" t="s">
        <v>1571</v>
      </c>
      <c r="I130" s="21" t="s">
        <v>487</v>
      </c>
      <c r="J130" s="63" t="s">
        <v>1572</v>
      </c>
      <c r="K130" s="6" t="s">
        <v>496</v>
      </c>
      <c r="L130" s="6" t="s">
        <v>497</v>
      </c>
      <c r="M130" s="55"/>
      <c r="N130" s="55"/>
      <c r="O130" s="55"/>
      <c r="P130" s="55"/>
      <c r="Q130" s="6">
        <v>1.0</v>
      </c>
      <c r="R130" s="23">
        <v>45868.0</v>
      </c>
      <c r="S130" s="23">
        <v>45966.0</v>
      </c>
      <c r="T130" s="23">
        <v>45869.0</v>
      </c>
      <c r="U130" s="55"/>
      <c r="V130" s="6" t="s">
        <v>44</v>
      </c>
      <c r="W130" s="55"/>
      <c r="X130" s="6" t="s">
        <v>45</v>
      </c>
      <c r="Y130" s="6" t="s">
        <v>46</v>
      </c>
      <c r="Z130" s="6">
        <v>3.040309896E9</v>
      </c>
      <c r="AA130" s="6" t="s">
        <v>45</v>
      </c>
      <c r="AB130" s="6" t="s">
        <v>46</v>
      </c>
      <c r="AC130" s="6" t="s">
        <v>177</v>
      </c>
      <c r="AD130" s="55"/>
      <c r="AE130" s="55"/>
      <c r="AF130" s="55"/>
      <c r="AG130" s="55"/>
    </row>
    <row r="131">
      <c r="A131" s="21">
        <f>COUNTIF('Divulgação'!$B:$B,B131)</f>
        <v>1</v>
      </c>
      <c r="B131" s="62" t="s">
        <v>498</v>
      </c>
      <c r="C131" s="55"/>
      <c r="D131" s="6" t="s">
        <v>39</v>
      </c>
      <c r="E131" s="6" t="s">
        <v>40</v>
      </c>
      <c r="F131" s="63" t="s">
        <v>1571</v>
      </c>
      <c r="G131" s="6" t="s">
        <v>41</v>
      </c>
      <c r="H131" s="63" t="s">
        <v>1571</v>
      </c>
      <c r="I131" s="21" t="s">
        <v>499</v>
      </c>
      <c r="J131" s="6" t="s">
        <v>275</v>
      </c>
      <c r="K131" s="6" t="s">
        <v>500</v>
      </c>
      <c r="L131" s="63" t="s">
        <v>1574</v>
      </c>
      <c r="M131" s="55"/>
      <c r="N131" s="55"/>
      <c r="O131" s="55"/>
      <c r="P131" s="55"/>
      <c r="Q131" s="6">
        <v>1.0</v>
      </c>
      <c r="R131" s="23">
        <v>45658.0</v>
      </c>
      <c r="S131" s="23">
        <v>45962.0</v>
      </c>
      <c r="T131" s="23">
        <v>45869.0</v>
      </c>
      <c r="U131" s="55"/>
      <c r="V131" s="6" t="s">
        <v>103</v>
      </c>
      <c r="W131" s="6">
        <v>3.13250017121E11</v>
      </c>
      <c r="X131" s="6" t="s">
        <v>45</v>
      </c>
      <c r="Y131" s="6" t="s">
        <v>46</v>
      </c>
      <c r="Z131" s="6">
        <v>3.040302771E9</v>
      </c>
      <c r="AA131" s="6" t="s">
        <v>68</v>
      </c>
      <c r="AB131" s="6" t="s">
        <v>501</v>
      </c>
      <c r="AC131" s="6" t="s">
        <v>502</v>
      </c>
      <c r="AD131" s="55"/>
      <c r="AE131" s="55"/>
      <c r="AF131" s="55"/>
      <c r="AG131" s="55"/>
    </row>
    <row r="132">
      <c r="A132" s="21">
        <f>COUNTIF('Divulgação'!$B:$B,B132)</f>
        <v>1</v>
      </c>
      <c r="B132" s="62" t="s">
        <v>507</v>
      </c>
      <c r="C132" s="55"/>
      <c r="D132" s="6" t="s">
        <v>39</v>
      </c>
      <c r="E132" s="6" t="s">
        <v>40</v>
      </c>
      <c r="F132" s="63" t="s">
        <v>1571</v>
      </c>
      <c r="G132" s="6" t="s">
        <v>41</v>
      </c>
      <c r="H132" s="63" t="s">
        <v>1571</v>
      </c>
      <c r="I132" s="21" t="s">
        <v>482</v>
      </c>
      <c r="J132" s="6" t="s">
        <v>275</v>
      </c>
      <c r="K132" s="6" t="s">
        <v>483</v>
      </c>
      <c r="L132" s="63" t="s">
        <v>1578</v>
      </c>
      <c r="M132" s="55"/>
      <c r="N132" s="55"/>
      <c r="O132" s="55"/>
      <c r="P132" s="55"/>
      <c r="Q132" s="6">
        <v>1.0</v>
      </c>
      <c r="R132" s="23">
        <v>45868.0</v>
      </c>
      <c r="S132" s="23">
        <v>45874.0</v>
      </c>
      <c r="T132" s="23">
        <v>45869.0</v>
      </c>
      <c r="U132" s="55"/>
      <c r="V132" s="6" t="s">
        <v>44</v>
      </c>
      <c r="W132" s="55"/>
      <c r="X132" s="6" t="s">
        <v>45</v>
      </c>
      <c r="Y132" s="6" t="s">
        <v>46</v>
      </c>
      <c r="Z132" s="6">
        <v>3.040301262E9</v>
      </c>
      <c r="AA132" s="6" t="s">
        <v>60</v>
      </c>
      <c r="AB132" s="6" t="s">
        <v>194</v>
      </c>
      <c r="AC132" s="6" t="s">
        <v>508</v>
      </c>
      <c r="AD132" s="55"/>
      <c r="AE132" s="55"/>
      <c r="AF132" s="55"/>
      <c r="AG132" s="55"/>
    </row>
    <row r="133">
      <c r="A133" s="21">
        <f>COUNTIF('Divulgação'!$B:$B,B133)</f>
        <v>1</v>
      </c>
      <c r="B133" s="62" t="s">
        <v>1579</v>
      </c>
      <c r="C133" s="55"/>
      <c r="D133" s="6" t="s">
        <v>39</v>
      </c>
      <c r="E133" s="6" t="s">
        <v>40</v>
      </c>
      <c r="F133" s="63" t="s">
        <v>1571</v>
      </c>
      <c r="G133" s="6" t="s">
        <v>41</v>
      </c>
      <c r="H133" s="63" t="s">
        <v>1571</v>
      </c>
      <c r="I133" s="21" t="s">
        <v>487</v>
      </c>
      <c r="J133" s="63" t="s">
        <v>1572</v>
      </c>
      <c r="K133" s="6" t="s">
        <v>496</v>
      </c>
      <c r="L133" s="63" t="s">
        <v>1580</v>
      </c>
      <c r="M133" s="55"/>
      <c r="N133" s="55"/>
      <c r="O133" s="55"/>
      <c r="P133" s="55"/>
      <c r="Q133" s="6">
        <v>1.0</v>
      </c>
      <c r="R133" s="23">
        <v>45868.0</v>
      </c>
      <c r="S133" s="23">
        <v>45966.0</v>
      </c>
      <c r="T133" s="23">
        <v>45869.0</v>
      </c>
      <c r="U133" s="55"/>
      <c r="V133" s="6" t="s">
        <v>44</v>
      </c>
      <c r="W133" s="55"/>
      <c r="X133" s="6" t="s">
        <v>45</v>
      </c>
      <c r="Y133" s="6" t="s">
        <v>46</v>
      </c>
      <c r="Z133" s="6">
        <v>3.040313666E9</v>
      </c>
      <c r="AA133" s="6" t="s">
        <v>45</v>
      </c>
      <c r="AB133" s="6" t="s">
        <v>46</v>
      </c>
      <c r="AC133" s="6" t="s">
        <v>177</v>
      </c>
      <c r="AD133" s="55"/>
      <c r="AE133" s="55"/>
      <c r="AF133" s="55"/>
      <c r="AG133" s="55"/>
    </row>
    <row r="134">
      <c r="A134" s="21">
        <f>COUNTIF('Divulgação'!$B:$B,B134)</f>
        <v>1</v>
      </c>
      <c r="B134" s="62" t="s">
        <v>503</v>
      </c>
      <c r="C134" s="55"/>
      <c r="D134" s="6" t="s">
        <v>39</v>
      </c>
      <c r="E134" s="6" t="s">
        <v>40</v>
      </c>
      <c r="F134" s="63" t="s">
        <v>1571</v>
      </c>
      <c r="G134" s="6" t="s">
        <v>41</v>
      </c>
      <c r="H134" s="63" t="s">
        <v>1571</v>
      </c>
      <c r="I134" s="21" t="s">
        <v>499</v>
      </c>
      <c r="J134" s="6" t="s">
        <v>275</v>
      </c>
      <c r="K134" s="6" t="s">
        <v>500</v>
      </c>
      <c r="L134" s="63" t="s">
        <v>1583</v>
      </c>
      <c r="M134" s="55"/>
      <c r="N134" s="55"/>
      <c r="O134" s="55"/>
      <c r="P134" s="55"/>
      <c r="Q134" s="6">
        <v>1.0</v>
      </c>
      <c r="R134" s="23">
        <v>45658.0</v>
      </c>
      <c r="S134" s="23">
        <v>45962.0</v>
      </c>
      <c r="T134" s="23">
        <v>45869.0</v>
      </c>
      <c r="U134" s="55"/>
      <c r="V134" s="6" t="s">
        <v>44</v>
      </c>
      <c r="W134" s="55"/>
      <c r="X134" s="6" t="s">
        <v>45</v>
      </c>
      <c r="Y134" s="6" t="s">
        <v>46</v>
      </c>
      <c r="Z134" s="6">
        <v>3.04030277E9</v>
      </c>
      <c r="AA134" s="6" t="s">
        <v>68</v>
      </c>
      <c r="AB134" s="6" t="s">
        <v>501</v>
      </c>
      <c r="AC134" s="6" t="s">
        <v>506</v>
      </c>
      <c r="AD134" s="55"/>
      <c r="AE134" s="55"/>
      <c r="AF134" s="55"/>
      <c r="AG134" s="55"/>
    </row>
    <row r="135">
      <c r="A135" s="21">
        <f>COUNTIF('Divulgação'!$B:$B,B135)</f>
        <v>1</v>
      </c>
      <c r="B135" s="62" t="s">
        <v>1586</v>
      </c>
      <c r="C135" s="55"/>
      <c r="D135" s="6" t="s">
        <v>39</v>
      </c>
      <c r="E135" s="6" t="s">
        <v>40</v>
      </c>
      <c r="F135" s="63" t="s">
        <v>1571</v>
      </c>
      <c r="G135" s="6" t="s">
        <v>41</v>
      </c>
      <c r="H135" s="63" t="s">
        <v>1571</v>
      </c>
      <c r="I135" s="21" t="s">
        <v>1011</v>
      </c>
      <c r="J135" s="6" t="s">
        <v>275</v>
      </c>
      <c r="K135" s="6" t="s">
        <v>1012</v>
      </c>
      <c r="L135" s="63" t="s">
        <v>1587</v>
      </c>
      <c r="M135" s="55"/>
      <c r="N135" s="55"/>
      <c r="O135" s="55"/>
      <c r="P135" s="55"/>
      <c r="Q135" s="6">
        <v>1.0</v>
      </c>
      <c r="R135" s="23">
        <v>45868.0</v>
      </c>
      <c r="S135" s="23">
        <v>45874.0</v>
      </c>
      <c r="T135" s="23">
        <v>45869.0</v>
      </c>
      <c r="U135" s="55"/>
      <c r="V135" s="6" t="s">
        <v>44</v>
      </c>
      <c r="W135" s="55"/>
      <c r="X135" s="6" t="s">
        <v>45</v>
      </c>
      <c r="Y135" s="6" t="s">
        <v>46</v>
      </c>
      <c r="Z135" s="6">
        <v>3.040287735E9</v>
      </c>
      <c r="AA135" s="6" t="s">
        <v>63</v>
      </c>
      <c r="AB135" s="6" t="s">
        <v>72</v>
      </c>
      <c r="AC135" s="6" t="s">
        <v>451</v>
      </c>
      <c r="AD135" s="55"/>
      <c r="AE135" s="55"/>
      <c r="AF135" s="55"/>
      <c r="AG135" s="55"/>
    </row>
    <row r="136">
      <c r="A136" s="21">
        <f>COUNTIF('Divulgação'!$B:$B,B136)</f>
        <v>1</v>
      </c>
      <c r="B136" s="62" t="s">
        <v>509</v>
      </c>
      <c r="C136" s="55"/>
      <c r="D136" s="6" t="s">
        <v>39</v>
      </c>
      <c r="E136" s="6" t="s">
        <v>40</v>
      </c>
      <c r="F136" s="63" t="s">
        <v>1591</v>
      </c>
      <c r="G136" s="6" t="s">
        <v>41</v>
      </c>
      <c r="H136" s="63" t="s">
        <v>1591</v>
      </c>
      <c r="I136" s="21" t="s">
        <v>510</v>
      </c>
      <c r="J136" s="63" t="s">
        <v>1387</v>
      </c>
      <c r="K136" s="6" t="s">
        <v>512</v>
      </c>
      <c r="L136" s="63" t="s">
        <v>1592</v>
      </c>
      <c r="M136" s="55"/>
      <c r="N136" s="55"/>
      <c r="O136" s="55"/>
      <c r="P136" s="55"/>
      <c r="Q136" s="6">
        <v>1.0</v>
      </c>
      <c r="R136" s="23">
        <v>45876.0</v>
      </c>
      <c r="S136" s="50">
        <v>45974.0</v>
      </c>
      <c r="T136" s="23">
        <v>45882.0</v>
      </c>
      <c r="U136" s="55"/>
      <c r="V136" s="6" t="s">
        <v>44</v>
      </c>
      <c r="W136" s="55"/>
      <c r="X136" s="6" t="s">
        <v>45</v>
      </c>
      <c r="Y136" s="6" t="s">
        <v>46</v>
      </c>
      <c r="Z136" s="6">
        <v>3.040179095E9</v>
      </c>
      <c r="AA136" s="6" t="s">
        <v>75</v>
      </c>
      <c r="AB136" s="6" t="s">
        <v>152</v>
      </c>
      <c r="AC136" s="6" t="s">
        <v>513</v>
      </c>
      <c r="AD136" s="55"/>
      <c r="AE136" s="55"/>
      <c r="AF136" s="55"/>
      <c r="AG136" s="55"/>
    </row>
    <row r="137">
      <c r="A137" s="21">
        <f>COUNTIF('Divulgação'!$B:$B,B137)</f>
        <v>1</v>
      </c>
      <c r="B137" s="62" t="s">
        <v>1595</v>
      </c>
      <c r="C137" s="55"/>
      <c r="D137" s="6" t="s">
        <v>39</v>
      </c>
      <c r="E137" s="6" t="s">
        <v>40</v>
      </c>
      <c r="F137" s="63" t="s">
        <v>1591</v>
      </c>
      <c r="G137" s="6" t="s">
        <v>41</v>
      </c>
      <c r="H137" s="63" t="s">
        <v>1591</v>
      </c>
      <c r="I137" s="21" t="s">
        <v>547</v>
      </c>
      <c r="J137" s="63" t="s">
        <v>1393</v>
      </c>
      <c r="K137" s="6" t="s">
        <v>548</v>
      </c>
      <c r="L137" s="6" t="s">
        <v>1596</v>
      </c>
      <c r="M137" s="55"/>
      <c r="N137" s="55"/>
      <c r="O137" s="55"/>
      <c r="P137" s="55"/>
      <c r="Q137" s="6">
        <v>1.0</v>
      </c>
      <c r="R137" s="23">
        <v>45876.0</v>
      </c>
      <c r="S137" s="50">
        <v>45974.0</v>
      </c>
      <c r="T137" s="23">
        <v>45882.0</v>
      </c>
      <c r="U137" s="55"/>
      <c r="V137" s="6" t="s">
        <v>44</v>
      </c>
      <c r="W137" s="55"/>
      <c r="X137" s="6" t="s">
        <v>45</v>
      </c>
      <c r="Y137" s="6" t="s">
        <v>46</v>
      </c>
      <c r="Z137" s="6">
        <v>3.040313463E9</v>
      </c>
      <c r="AA137" s="6" t="s">
        <v>45</v>
      </c>
      <c r="AB137" s="6" t="s">
        <v>46</v>
      </c>
      <c r="AC137" s="6" t="s">
        <v>177</v>
      </c>
      <c r="AD137" s="55"/>
      <c r="AE137" s="55"/>
      <c r="AF137" s="55"/>
      <c r="AG137" s="55"/>
    </row>
    <row r="138">
      <c r="A138" s="21">
        <f>COUNTIF('Divulgação'!$B:$B,B138)</f>
        <v>1</v>
      </c>
      <c r="B138" s="62" t="s">
        <v>1600</v>
      </c>
      <c r="C138" s="55"/>
      <c r="D138" s="6" t="s">
        <v>39</v>
      </c>
      <c r="E138" s="6" t="s">
        <v>40</v>
      </c>
      <c r="F138" s="63" t="s">
        <v>1601</v>
      </c>
      <c r="G138" s="6" t="s">
        <v>41</v>
      </c>
      <c r="H138" s="63" t="s">
        <v>1601</v>
      </c>
      <c r="I138" s="21" t="s">
        <v>1008</v>
      </c>
      <c r="J138" s="6" t="s">
        <v>156</v>
      </c>
      <c r="K138" s="6" t="s">
        <v>292</v>
      </c>
      <c r="L138" s="6" t="s">
        <v>1015</v>
      </c>
      <c r="M138" s="55"/>
      <c r="N138" s="55"/>
      <c r="O138" s="55"/>
      <c r="P138" s="55"/>
      <c r="Q138" s="6">
        <v>1.0</v>
      </c>
      <c r="R138" s="23">
        <v>45888.0</v>
      </c>
      <c r="S138" s="23">
        <v>45894.0</v>
      </c>
      <c r="T138" s="23">
        <v>45891.0</v>
      </c>
      <c r="U138" s="55"/>
      <c r="V138" s="6" t="s">
        <v>44</v>
      </c>
      <c r="W138" s="55"/>
      <c r="X138" s="6" t="s">
        <v>45</v>
      </c>
      <c r="Y138" s="6" t="s">
        <v>46</v>
      </c>
      <c r="Z138" s="6">
        <v>3.040315815E9</v>
      </c>
      <c r="AA138" s="6" t="s">
        <v>45</v>
      </c>
      <c r="AB138" s="6" t="s">
        <v>203</v>
      </c>
      <c r="AC138" s="6" t="s">
        <v>1604</v>
      </c>
      <c r="AD138" s="55"/>
      <c r="AE138" s="55"/>
      <c r="AF138" s="55"/>
      <c r="AG138" s="55"/>
    </row>
    <row r="139">
      <c r="A139" s="21">
        <f>COUNTIF('Divulgação'!$B:$B,B139)</f>
        <v>1</v>
      </c>
      <c r="B139" s="62" t="s">
        <v>1607</v>
      </c>
      <c r="C139" s="55"/>
      <c r="D139" s="6" t="s">
        <v>39</v>
      </c>
      <c r="E139" s="6" t="s">
        <v>40</v>
      </c>
      <c r="F139" s="63" t="s">
        <v>1601</v>
      </c>
      <c r="G139" s="6" t="s">
        <v>41</v>
      </c>
      <c r="H139" s="63" t="s">
        <v>1601</v>
      </c>
      <c r="I139" s="21" t="s">
        <v>515</v>
      </c>
      <c r="J139" s="63" t="s">
        <v>1560</v>
      </c>
      <c r="K139" s="6" t="s">
        <v>516</v>
      </c>
      <c r="L139" s="63" t="s">
        <v>1609</v>
      </c>
      <c r="M139" s="55"/>
      <c r="N139" s="55"/>
      <c r="O139" s="55"/>
      <c r="P139" s="55"/>
      <c r="Q139" s="6">
        <v>1.0</v>
      </c>
      <c r="R139" s="23">
        <v>45888.0</v>
      </c>
      <c r="S139" s="50">
        <v>45986.0</v>
      </c>
      <c r="T139" s="23">
        <v>45891.0</v>
      </c>
      <c r="U139" s="55"/>
      <c r="V139" s="6" t="s">
        <v>44</v>
      </c>
      <c r="W139" s="55"/>
      <c r="X139" s="6" t="s">
        <v>45</v>
      </c>
      <c r="Y139" s="6" t="s">
        <v>46</v>
      </c>
      <c r="Z139" s="6">
        <v>3.040316752E9</v>
      </c>
      <c r="AA139" s="6" t="s">
        <v>45</v>
      </c>
      <c r="AB139" s="6" t="s">
        <v>46</v>
      </c>
      <c r="AC139" s="6" t="s">
        <v>177</v>
      </c>
      <c r="AD139" s="55"/>
      <c r="AE139" s="55"/>
      <c r="AF139" s="55"/>
      <c r="AG139" s="55"/>
    </row>
    <row r="140">
      <c r="A140" s="21">
        <f>COUNTIF('Divulgação'!$B:$B,B140)</f>
        <v>1</v>
      </c>
      <c r="B140" s="62" t="s">
        <v>514</v>
      </c>
      <c r="C140" s="55"/>
      <c r="D140" s="6" t="s">
        <v>39</v>
      </c>
      <c r="E140" s="6" t="s">
        <v>40</v>
      </c>
      <c r="F140" s="63" t="s">
        <v>1601</v>
      </c>
      <c r="G140" s="6" t="s">
        <v>41</v>
      </c>
      <c r="H140" s="63" t="s">
        <v>1601</v>
      </c>
      <c r="I140" s="21" t="s">
        <v>515</v>
      </c>
      <c r="J140" s="63" t="s">
        <v>1560</v>
      </c>
      <c r="K140" s="6" t="s">
        <v>516</v>
      </c>
      <c r="L140" s="63" t="s">
        <v>1612</v>
      </c>
      <c r="M140" s="55"/>
      <c r="N140" s="55"/>
      <c r="O140" s="55"/>
      <c r="P140" s="55"/>
      <c r="Q140" s="6">
        <v>1.0</v>
      </c>
      <c r="R140" s="23">
        <v>45888.0</v>
      </c>
      <c r="S140" s="50">
        <v>45986.0</v>
      </c>
      <c r="T140" s="23">
        <v>45891.0</v>
      </c>
      <c r="U140" s="55"/>
      <c r="V140" s="6" t="s">
        <v>44</v>
      </c>
      <c r="W140" s="55"/>
      <c r="X140" s="6" t="s">
        <v>45</v>
      </c>
      <c r="Y140" s="6" t="s">
        <v>46</v>
      </c>
      <c r="Z140" s="6">
        <v>3.040316753E9</v>
      </c>
      <c r="AA140" s="6" t="s">
        <v>45</v>
      </c>
      <c r="AB140" s="6" t="s">
        <v>46</v>
      </c>
      <c r="AC140" s="6" t="s">
        <v>177</v>
      </c>
      <c r="AD140" s="55"/>
      <c r="AE140" s="55"/>
      <c r="AF140" s="55"/>
      <c r="AG140" s="55"/>
    </row>
    <row r="141">
      <c r="A141" s="21">
        <f>COUNTIF('Divulgação'!$B:$B,B141)</f>
        <v>1</v>
      </c>
      <c r="B141" s="62" t="s">
        <v>1615</v>
      </c>
      <c r="C141" s="55"/>
      <c r="D141" s="6" t="s">
        <v>39</v>
      </c>
      <c r="E141" s="6" t="s">
        <v>40</v>
      </c>
      <c r="F141" s="63" t="s">
        <v>1601</v>
      </c>
      <c r="G141" s="6" t="s">
        <v>41</v>
      </c>
      <c r="H141" s="63" t="s">
        <v>1601</v>
      </c>
      <c r="I141" s="21" t="s">
        <v>1008</v>
      </c>
      <c r="J141" s="6" t="s">
        <v>156</v>
      </c>
      <c r="K141" s="6" t="s">
        <v>292</v>
      </c>
      <c r="L141" s="6" t="s">
        <v>1017</v>
      </c>
      <c r="M141" s="55"/>
      <c r="N141" s="55"/>
      <c r="O141" s="55"/>
      <c r="P141" s="55"/>
      <c r="Q141" s="6">
        <v>1.0</v>
      </c>
      <c r="R141" s="23">
        <v>45888.0</v>
      </c>
      <c r="S141" s="23">
        <v>45894.0</v>
      </c>
      <c r="T141" s="23">
        <v>45891.0</v>
      </c>
      <c r="U141" s="55"/>
      <c r="V141" s="6" t="s">
        <v>44</v>
      </c>
      <c r="W141" s="55"/>
      <c r="X141" s="6" t="s">
        <v>45</v>
      </c>
      <c r="Y141" s="6" t="s">
        <v>46</v>
      </c>
      <c r="Z141" s="6">
        <v>3.040308086E9</v>
      </c>
      <c r="AA141" s="6" t="s">
        <v>57</v>
      </c>
      <c r="AB141" s="6" t="s">
        <v>410</v>
      </c>
      <c r="AC141" s="6" t="s">
        <v>411</v>
      </c>
      <c r="AD141" s="55"/>
      <c r="AE141" s="55"/>
      <c r="AF141" s="55"/>
      <c r="AG141" s="55"/>
    </row>
    <row r="142">
      <c r="A142" s="21">
        <f>COUNTIF('Divulgação'!$B:$B,B142)</f>
        <v>1</v>
      </c>
      <c r="B142" s="62" t="s">
        <v>1618</v>
      </c>
      <c r="C142" s="55"/>
      <c r="D142" s="6" t="s">
        <v>39</v>
      </c>
      <c r="E142" s="6" t="s">
        <v>40</v>
      </c>
      <c r="F142" s="63" t="s">
        <v>1601</v>
      </c>
      <c r="G142" s="6" t="s">
        <v>41</v>
      </c>
      <c r="H142" s="63" t="s">
        <v>1601</v>
      </c>
      <c r="I142" s="21" t="s">
        <v>1008</v>
      </c>
      <c r="J142" s="6" t="s">
        <v>156</v>
      </c>
      <c r="K142" s="6" t="s">
        <v>292</v>
      </c>
      <c r="L142" s="6" t="s">
        <v>1619</v>
      </c>
      <c r="M142" s="55"/>
      <c r="N142" s="55"/>
      <c r="O142" s="55"/>
      <c r="P142" s="55"/>
      <c r="Q142" s="6">
        <v>1.0</v>
      </c>
      <c r="R142" s="23">
        <v>45888.0</v>
      </c>
      <c r="S142" s="23">
        <v>45894.0</v>
      </c>
      <c r="T142" s="23">
        <v>45891.0</v>
      </c>
      <c r="U142" s="55"/>
      <c r="V142" s="6" t="s">
        <v>44</v>
      </c>
      <c r="W142" s="55"/>
      <c r="X142" s="6" t="s">
        <v>45</v>
      </c>
      <c r="Y142" s="6" t="s">
        <v>46</v>
      </c>
      <c r="Z142" s="6">
        <v>3.040313104E9</v>
      </c>
      <c r="AA142" s="6" t="s">
        <v>45</v>
      </c>
      <c r="AB142" s="6" t="s">
        <v>46</v>
      </c>
      <c r="AC142" s="6" t="s">
        <v>80</v>
      </c>
      <c r="AD142" s="55"/>
      <c r="AE142" s="55"/>
      <c r="AF142" s="55"/>
      <c r="AG142" s="55"/>
    </row>
    <row r="143">
      <c r="A143" s="21">
        <f>COUNTIF('Divulgação'!$B:$B,B143)</f>
        <v>1</v>
      </c>
      <c r="B143" s="62" t="s">
        <v>1622</v>
      </c>
      <c r="C143" s="55"/>
      <c r="D143" s="6" t="s">
        <v>39</v>
      </c>
      <c r="E143" s="6" t="s">
        <v>40</v>
      </c>
      <c r="F143" s="63" t="s">
        <v>1601</v>
      </c>
      <c r="G143" s="6" t="s">
        <v>41</v>
      </c>
      <c r="H143" s="63" t="s">
        <v>1601</v>
      </c>
      <c r="I143" s="21" t="s">
        <v>223</v>
      </c>
      <c r="J143" s="63" t="s">
        <v>1431</v>
      </c>
      <c r="K143" s="6" t="s">
        <v>224</v>
      </c>
      <c r="L143" s="63" t="s">
        <v>1624</v>
      </c>
      <c r="M143" s="55"/>
      <c r="N143" s="55"/>
      <c r="O143" s="55"/>
      <c r="P143" s="55"/>
      <c r="Q143" s="6">
        <v>1.0</v>
      </c>
      <c r="R143" s="23">
        <v>45658.0</v>
      </c>
      <c r="S143" s="50">
        <v>45991.0</v>
      </c>
      <c r="T143" s="23">
        <v>45891.0</v>
      </c>
      <c r="U143" s="55"/>
      <c r="V143" s="6" t="s">
        <v>44</v>
      </c>
      <c r="W143" s="55"/>
      <c r="X143" s="6" t="s">
        <v>45</v>
      </c>
      <c r="Y143" s="6" t="s">
        <v>46</v>
      </c>
      <c r="Z143" s="6">
        <v>3.040317351E9</v>
      </c>
      <c r="AA143" s="6" t="s">
        <v>71</v>
      </c>
      <c r="AB143" s="6" t="s">
        <v>1625</v>
      </c>
      <c r="AC143" s="6" t="s">
        <v>329</v>
      </c>
      <c r="AD143" s="55"/>
      <c r="AE143" s="55"/>
      <c r="AF143" s="55"/>
      <c r="AG143" s="55"/>
    </row>
    <row r="144">
      <c r="A144" s="21">
        <f>COUNTIF('Divulgação'!$B:$B,B144)</f>
        <v>1</v>
      </c>
      <c r="B144" s="62" t="s">
        <v>1627</v>
      </c>
      <c r="C144" s="55"/>
      <c r="D144" s="6" t="s">
        <v>39</v>
      </c>
      <c r="E144" s="6" t="s">
        <v>40</v>
      </c>
      <c r="F144" s="63" t="s">
        <v>1601</v>
      </c>
      <c r="G144" s="6" t="s">
        <v>41</v>
      </c>
      <c r="H144" s="63" t="s">
        <v>1601</v>
      </c>
      <c r="I144" s="21" t="s">
        <v>231</v>
      </c>
      <c r="J144" s="63" t="s">
        <v>1428</v>
      </c>
      <c r="K144" s="6" t="s">
        <v>232</v>
      </c>
      <c r="L144" s="63" t="s">
        <v>1628</v>
      </c>
      <c r="M144" s="55"/>
      <c r="N144" s="55"/>
      <c r="O144" s="55"/>
      <c r="P144" s="55"/>
      <c r="Q144" s="6">
        <v>1.0</v>
      </c>
      <c r="R144" s="23">
        <v>45888.0</v>
      </c>
      <c r="S144" s="50">
        <v>45986.0</v>
      </c>
      <c r="T144" s="23">
        <v>45891.0</v>
      </c>
      <c r="U144" s="55"/>
      <c r="V144" s="6" t="s">
        <v>44</v>
      </c>
      <c r="W144" s="55"/>
      <c r="X144" s="6" t="s">
        <v>45</v>
      </c>
      <c r="Y144" s="6" t="s">
        <v>46</v>
      </c>
      <c r="Z144" s="6">
        <v>3.040313023E9</v>
      </c>
      <c r="AA144" s="6" t="s">
        <v>66</v>
      </c>
      <c r="AB144" s="6" t="s">
        <v>339</v>
      </c>
      <c r="AC144" s="6" t="s">
        <v>229</v>
      </c>
      <c r="AD144" s="55"/>
      <c r="AE144" s="55"/>
      <c r="AF144" s="55"/>
      <c r="AG144" s="55"/>
    </row>
    <row r="145">
      <c r="A145" s="21">
        <f>COUNTIF('Divulgação'!$B:$B,B145)</f>
        <v>1</v>
      </c>
      <c r="B145" s="62" t="s">
        <v>1631</v>
      </c>
      <c r="C145" s="55"/>
      <c r="D145" s="6" t="s">
        <v>39</v>
      </c>
      <c r="E145" s="6" t="s">
        <v>40</v>
      </c>
      <c r="F145" s="63" t="s">
        <v>1601</v>
      </c>
      <c r="G145" s="6" t="s">
        <v>41</v>
      </c>
      <c r="H145" s="63" t="s">
        <v>1601</v>
      </c>
      <c r="I145" s="21" t="s">
        <v>231</v>
      </c>
      <c r="J145" s="63" t="s">
        <v>1428</v>
      </c>
      <c r="K145" s="6" t="s">
        <v>232</v>
      </c>
      <c r="L145" s="63" t="s">
        <v>1632</v>
      </c>
      <c r="M145" s="55"/>
      <c r="N145" s="55"/>
      <c r="O145" s="55"/>
      <c r="P145" s="55"/>
      <c r="Q145" s="6">
        <v>1.0</v>
      </c>
      <c r="R145" s="23">
        <v>45888.0</v>
      </c>
      <c r="S145" s="50">
        <v>45986.0</v>
      </c>
      <c r="T145" s="23">
        <v>45891.0</v>
      </c>
      <c r="U145" s="55"/>
      <c r="V145" s="6" t="s">
        <v>44</v>
      </c>
      <c r="W145" s="55"/>
      <c r="X145" s="6" t="s">
        <v>45</v>
      </c>
      <c r="Y145" s="6" t="s">
        <v>46</v>
      </c>
      <c r="Z145" s="6">
        <v>3.040313089E9</v>
      </c>
      <c r="AA145" s="6" t="s">
        <v>45</v>
      </c>
      <c r="AB145" s="6" t="s">
        <v>46</v>
      </c>
      <c r="AC145" s="6" t="s">
        <v>324</v>
      </c>
      <c r="AD145" s="55"/>
      <c r="AE145" s="55"/>
      <c r="AF145" s="55"/>
      <c r="AG145" s="55"/>
    </row>
    <row r="146">
      <c r="A146" s="21">
        <f>COUNTIF('Divulgação'!$B:$B,B146)</f>
        <v>1</v>
      </c>
      <c r="B146" s="62" t="s">
        <v>1635</v>
      </c>
      <c r="C146" s="55"/>
      <c r="D146" s="6" t="s">
        <v>39</v>
      </c>
      <c r="E146" s="6" t="s">
        <v>40</v>
      </c>
      <c r="F146" s="63" t="s">
        <v>1601</v>
      </c>
      <c r="G146" s="6" t="s">
        <v>41</v>
      </c>
      <c r="H146" s="63" t="s">
        <v>1601</v>
      </c>
      <c r="I146" s="21" t="s">
        <v>231</v>
      </c>
      <c r="J146" s="63" t="s">
        <v>1428</v>
      </c>
      <c r="K146" s="6" t="s">
        <v>232</v>
      </c>
      <c r="L146" s="63" t="s">
        <v>1205</v>
      </c>
      <c r="M146" s="55"/>
      <c r="N146" s="55"/>
      <c r="O146" s="55"/>
      <c r="P146" s="55"/>
      <c r="Q146" s="6">
        <v>1.0</v>
      </c>
      <c r="R146" s="23">
        <v>45888.0</v>
      </c>
      <c r="S146" s="50">
        <v>45986.0</v>
      </c>
      <c r="T146" s="23">
        <v>45891.0</v>
      </c>
      <c r="U146" s="55"/>
      <c r="V146" s="6" t="s">
        <v>44</v>
      </c>
      <c r="W146" s="55"/>
      <c r="X146" s="6" t="s">
        <v>45</v>
      </c>
      <c r="Y146" s="6" t="s">
        <v>46</v>
      </c>
      <c r="Z146" s="6">
        <v>3.040313473E9</v>
      </c>
      <c r="AA146" s="6" t="s">
        <v>45</v>
      </c>
      <c r="AB146" s="6" t="s">
        <v>46</v>
      </c>
      <c r="AC146" s="6" t="s">
        <v>324</v>
      </c>
      <c r="AD146" s="55"/>
      <c r="AE146" s="55"/>
      <c r="AF146" s="55"/>
      <c r="AG146" s="55"/>
    </row>
    <row r="147">
      <c r="A147" s="21">
        <f>COUNTIF('Divulgação'!$B:$B,B147)</f>
        <v>1</v>
      </c>
      <c r="B147" s="62" t="s">
        <v>1636</v>
      </c>
      <c r="C147" s="55"/>
      <c r="D147" s="6" t="s">
        <v>39</v>
      </c>
      <c r="E147" s="6" t="s">
        <v>40</v>
      </c>
      <c r="F147" s="63" t="s">
        <v>1601</v>
      </c>
      <c r="G147" s="6" t="s">
        <v>41</v>
      </c>
      <c r="H147" s="63" t="s">
        <v>1601</v>
      </c>
      <c r="I147" s="21" t="s">
        <v>231</v>
      </c>
      <c r="J147" s="63" t="s">
        <v>1428</v>
      </c>
      <c r="K147" s="6" t="s">
        <v>232</v>
      </c>
      <c r="L147" s="6" t="s">
        <v>1638</v>
      </c>
      <c r="M147" s="55"/>
      <c r="N147" s="55"/>
      <c r="O147" s="55"/>
      <c r="P147" s="55"/>
      <c r="Q147" s="6">
        <v>1.0</v>
      </c>
      <c r="R147" s="23">
        <v>45888.0</v>
      </c>
      <c r="S147" s="50">
        <v>45986.0</v>
      </c>
      <c r="T147" s="23">
        <v>45891.0</v>
      </c>
      <c r="U147" s="55"/>
      <c r="V147" s="6" t="s">
        <v>44</v>
      </c>
      <c r="W147" s="55"/>
      <c r="X147" s="6" t="s">
        <v>45</v>
      </c>
      <c r="Y147" s="6" t="s">
        <v>46</v>
      </c>
      <c r="Z147" s="6">
        <v>3.040316745E9</v>
      </c>
      <c r="AA147" s="6" t="s">
        <v>45</v>
      </c>
      <c r="AB147" s="6" t="s">
        <v>46</v>
      </c>
      <c r="AC147" s="6" t="s">
        <v>177</v>
      </c>
      <c r="AD147" s="55"/>
      <c r="AE147" s="55"/>
      <c r="AF147" s="55"/>
      <c r="AG147" s="55"/>
    </row>
    <row r="148">
      <c r="A148" s="21">
        <f>COUNTIF('Divulgação'!$B:$B,B148)</f>
        <v>1</v>
      </c>
      <c r="B148" s="62" t="s">
        <v>1640</v>
      </c>
      <c r="C148" s="55"/>
      <c r="D148" s="6" t="s">
        <v>39</v>
      </c>
      <c r="E148" s="6" t="s">
        <v>40</v>
      </c>
      <c r="F148" s="63" t="s">
        <v>1601</v>
      </c>
      <c r="G148" s="6" t="s">
        <v>41</v>
      </c>
      <c r="H148" s="63" t="s">
        <v>1601</v>
      </c>
      <c r="I148" s="21" t="s">
        <v>231</v>
      </c>
      <c r="J148" s="63" t="s">
        <v>1428</v>
      </c>
      <c r="K148" s="6" t="s">
        <v>232</v>
      </c>
      <c r="L148" s="63" t="s">
        <v>1642</v>
      </c>
      <c r="M148" s="55"/>
      <c r="N148" s="55"/>
      <c r="O148" s="55"/>
      <c r="P148" s="55"/>
      <c r="Q148" s="6">
        <v>1.0</v>
      </c>
      <c r="R148" s="23">
        <v>45888.0</v>
      </c>
      <c r="S148" s="50">
        <v>45986.0</v>
      </c>
      <c r="T148" s="23">
        <v>45891.0</v>
      </c>
      <c r="U148" s="55"/>
      <c r="V148" s="6" t="s">
        <v>44</v>
      </c>
      <c r="W148" s="55"/>
      <c r="X148" s="6" t="s">
        <v>45</v>
      </c>
      <c r="Y148" s="6" t="s">
        <v>46</v>
      </c>
      <c r="Z148" s="6">
        <v>3.040316794E9</v>
      </c>
      <c r="AA148" s="6" t="s">
        <v>45</v>
      </c>
      <c r="AB148" s="6" t="s">
        <v>46</v>
      </c>
      <c r="AC148" s="6" t="s">
        <v>177</v>
      </c>
      <c r="AD148" s="55"/>
      <c r="AE148" s="55"/>
      <c r="AF148" s="55"/>
      <c r="AG148" s="55"/>
    </row>
    <row r="149">
      <c r="A149" s="21">
        <f>COUNTIF('Divulgação'!$B:$B,B149)</f>
        <v>1</v>
      </c>
      <c r="B149" s="62" t="s">
        <v>1644</v>
      </c>
      <c r="C149" s="55"/>
      <c r="D149" s="6" t="s">
        <v>39</v>
      </c>
      <c r="E149" s="6" t="s">
        <v>40</v>
      </c>
      <c r="F149" s="63" t="s">
        <v>1601</v>
      </c>
      <c r="G149" s="6" t="s">
        <v>41</v>
      </c>
      <c r="H149" s="63" t="s">
        <v>1601</v>
      </c>
      <c r="I149" s="21" t="s">
        <v>231</v>
      </c>
      <c r="J149" s="63" t="s">
        <v>1428</v>
      </c>
      <c r="K149" s="6" t="s">
        <v>232</v>
      </c>
      <c r="L149" s="6" t="s">
        <v>1645</v>
      </c>
      <c r="M149" s="55"/>
      <c r="N149" s="55"/>
      <c r="O149" s="55"/>
      <c r="P149" s="55"/>
      <c r="Q149" s="6">
        <v>1.0</v>
      </c>
      <c r="R149" s="23">
        <v>45888.0</v>
      </c>
      <c r="S149" s="50">
        <v>45986.0</v>
      </c>
      <c r="T149" s="23">
        <v>45891.0</v>
      </c>
      <c r="U149" s="55"/>
      <c r="V149" s="6" t="s">
        <v>103</v>
      </c>
      <c r="W149" s="6">
        <v>6.85260010876E11</v>
      </c>
      <c r="X149" s="6" t="s">
        <v>45</v>
      </c>
      <c r="Y149" s="6" t="s">
        <v>46</v>
      </c>
      <c r="Z149" s="6">
        <v>3.040317192E9</v>
      </c>
      <c r="AA149" s="6" t="s">
        <v>45</v>
      </c>
      <c r="AB149" s="6" t="s">
        <v>46</v>
      </c>
      <c r="AC149" s="6" t="s">
        <v>324</v>
      </c>
      <c r="AD149" s="55"/>
      <c r="AE149" s="55"/>
      <c r="AF149" s="55"/>
      <c r="AG149" s="55"/>
    </row>
    <row r="150">
      <c r="A150" s="21">
        <f>COUNTIF('Divulgação'!$B:$B,B150)</f>
        <v>1</v>
      </c>
      <c r="B150" s="62" t="s">
        <v>523</v>
      </c>
      <c r="C150" s="55"/>
      <c r="D150" s="6" t="s">
        <v>39</v>
      </c>
      <c r="E150" s="6" t="s">
        <v>40</v>
      </c>
      <c r="F150" s="63" t="s">
        <v>1601</v>
      </c>
      <c r="G150" s="6" t="s">
        <v>41</v>
      </c>
      <c r="H150" s="63" t="s">
        <v>1601</v>
      </c>
      <c r="I150" s="21" t="s">
        <v>231</v>
      </c>
      <c r="J150" s="63" t="s">
        <v>1428</v>
      </c>
      <c r="K150" s="6" t="s">
        <v>232</v>
      </c>
      <c r="L150" s="6" t="s">
        <v>525</v>
      </c>
      <c r="M150" s="55"/>
      <c r="N150" s="55"/>
      <c r="O150" s="55"/>
      <c r="P150" s="55"/>
      <c r="Q150" s="6">
        <v>1.0</v>
      </c>
      <c r="R150" s="23">
        <v>45888.0</v>
      </c>
      <c r="S150" s="50">
        <v>45986.0</v>
      </c>
      <c r="T150" s="23">
        <v>45891.0</v>
      </c>
      <c r="U150" s="55"/>
      <c r="V150" s="6" t="s">
        <v>44</v>
      </c>
      <c r="W150" s="55"/>
      <c r="X150" s="6" t="s">
        <v>45</v>
      </c>
      <c r="Y150" s="6" t="s">
        <v>46</v>
      </c>
      <c r="Z150" s="6">
        <v>3.040317193E9</v>
      </c>
      <c r="AA150" s="6" t="s">
        <v>45</v>
      </c>
      <c r="AB150" s="6" t="s">
        <v>46</v>
      </c>
      <c r="AC150" s="6" t="s">
        <v>324</v>
      </c>
      <c r="AD150" s="55"/>
      <c r="AE150" s="55"/>
      <c r="AF150" s="55"/>
      <c r="AG150" s="55"/>
    </row>
    <row r="151">
      <c r="A151" s="21">
        <f>COUNTIF('Divulgação'!$B:$B,B151)</f>
        <v>1</v>
      </c>
      <c r="B151" s="62" t="s">
        <v>519</v>
      </c>
      <c r="C151" s="55"/>
      <c r="D151" s="6" t="s">
        <v>39</v>
      </c>
      <c r="E151" s="6" t="s">
        <v>40</v>
      </c>
      <c r="F151" s="63" t="s">
        <v>1601</v>
      </c>
      <c r="G151" s="6" t="s">
        <v>41</v>
      </c>
      <c r="H151" s="63" t="s">
        <v>1601</v>
      </c>
      <c r="I151" s="21" t="s">
        <v>223</v>
      </c>
      <c r="J151" s="63" t="s">
        <v>1431</v>
      </c>
      <c r="K151" s="6" t="s">
        <v>224</v>
      </c>
      <c r="L151" s="6" t="s">
        <v>520</v>
      </c>
      <c r="M151" s="55"/>
      <c r="N151" s="55"/>
      <c r="O151" s="55"/>
      <c r="P151" s="55"/>
      <c r="Q151" s="6">
        <v>1.0</v>
      </c>
      <c r="R151" s="23">
        <v>45658.0</v>
      </c>
      <c r="S151" s="50">
        <v>45991.0</v>
      </c>
      <c r="T151" s="23">
        <v>45891.0</v>
      </c>
      <c r="U151" s="55"/>
      <c r="V151" s="6" t="s">
        <v>44</v>
      </c>
      <c r="W151" s="55"/>
      <c r="X151" s="6" t="s">
        <v>45</v>
      </c>
      <c r="Y151" s="6" t="s">
        <v>46</v>
      </c>
      <c r="Z151" s="6">
        <v>3.040236792E9</v>
      </c>
      <c r="AA151" s="6" t="s">
        <v>304</v>
      </c>
      <c r="AB151" s="6" t="s">
        <v>306</v>
      </c>
      <c r="AC151" s="6" t="s">
        <v>522</v>
      </c>
      <c r="AD151" s="55"/>
      <c r="AE151" s="55"/>
      <c r="AF151" s="55"/>
      <c r="AG151" s="55"/>
    </row>
    <row r="152">
      <c r="A152" s="21">
        <f>COUNTIF('Divulgação'!$B:$B,B152)</f>
        <v>1</v>
      </c>
      <c r="B152" s="62" t="s">
        <v>526</v>
      </c>
      <c r="C152" s="55"/>
      <c r="D152" s="6" t="s">
        <v>39</v>
      </c>
      <c r="E152" s="6" t="s">
        <v>40</v>
      </c>
      <c r="F152" s="63" t="s">
        <v>1601</v>
      </c>
      <c r="G152" s="6" t="s">
        <v>41</v>
      </c>
      <c r="H152" s="63" t="s">
        <v>1601</v>
      </c>
      <c r="I152" s="21" t="s">
        <v>223</v>
      </c>
      <c r="J152" s="63" t="s">
        <v>1431</v>
      </c>
      <c r="K152" s="6" t="s">
        <v>224</v>
      </c>
      <c r="L152" s="6" t="s">
        <v>528</v>
      </c>
      <c r="M152" s="55"/>
      <c r="N152" s="55"/>
      <c r="O152" s="55"/>
      <c r="P152" s="55"/>
      <c r="Q152" s="6">
        <v>1.0</v>
      </c>
      <c r="R152" s="23">
        <v>45658.0</v>
      </c>
      <c r="S152" s="50">
        <v>45991.0</v>
      </c>
      <c r="T152" s="23">
        <v>45891.0</v>
      </c>
      <c r="U152" s="55"/>
      <c r="V152" s="6" t="s">
        <v>44</v>
      </c>
      <c r="W152" s="55"/>
      <c r="X152" s="6" t="s">
        <v>45</v>
      </c>
      <c r="Y152" s="6" t="s">
        <v>46</v>
      </c>
      <c r="Z152" s="6">
        <v>3.04024507E9</v>
      </c>
      <c r="AA152" s="6" t="s">
        <v>160</v>
      </c>
      <c r="AB152" s="6" t="s">
        <v>530</v>
      </c>
      <c r="AC152" s="6" t="s">
        <v>531</v>
      </c>
      <c r="AD152" s="55"/>
      <c r="AE152" s="55"/>
      <c r="AF152" s="55"/>
      <c r="AG152" s="55"/>
    </row>
    <row r="153">
      <c r="A153" s="21">
        <f>COUNTIF('Divulgação'!$B:$B,B153)</f>
        <v>1</v>
      </c>
      <c r="B153" s="62" t="s">
        <v>1649</v>
      </c>
      <c r="C153" s="55"/>
      <c r="D153" s="6" t="s">
        <v>39</v>
      </c>
      <c r="E153" s="6" t="s">
        <v>40</v>
      </c>
      <c r="F153" s="63" t="s">
        <v>1601</v>
      </c>
      <c r="G153" s="6" t="s">
        <v>41</v>
      </c>
      <c r="H153" s="63" t="s">
        <v>1601</v>
      </c>
      <c r="I153" s="21" t="s">
        <v>218</v>
      </c>
      <c r="J153" s="63" t="s">
        <v>1431</v>
      </c>
      <c r="K153" s="6" t="s">
        <v>343</v>
      </c>
      <c r="L153" s="63" t="s">
        <v>1651</v>
      </c>
      <c r="M153" s="55"/>
      <c r="N153" s="55"/>
      <c r="O153" s="55"/>
      <c r="P153" s="55"/>
      <c r="Q153" s="6">
        <v>1.0</v>
      </c>
      <c r="R153" s="23">
        <v>45888.0</v>
      </c>
      <c r="S153" s="50">
        <v>45986.0</v>
      </c>
      <c r="T153" s="23">
        <v>45891.0</v>
      </c>
      <c r="U153" s="55"/>
      <c r="V153" s="6" t="s">
        <v>103</v>
      </c>
      <c r="W153" s="6">
        <v>3.1325001714E11</v>
      </c>
      <c r="X153" s="6" t="s">
        <v>45</v>
      </c>
      <c r="Y153" s="6" t="s">
        <v>46</v>
      </c>
      <c r="Z153" s="6">
        <v>3.040316001E9</v>
      </c>
      <c r="AA153" s="6" t="s">
        <v>64</v>
      </c>
      <c r="AB153" s="6" t="s">
        <v>588</v>
      </c>
      <c r="AC153" s="6" t="s">
        <v>589</v>
      </c>
      <c r="AD153" s="55"/>
      <c r="AE153" s="55"/>
      <c r="AF153" s="55"/>
      <c r="AG153" s="55"/>
    </row>
    <row r="154">
      <c r="A154" s="21">
        <f>COUNTIF('Divulgação'!$B:$B,B154)</f>
        <v>1</v>
      </c>
      <c r="B154" s="62" t="s">
        <v>536</v>
      </c>
      <c r="C154" s="55"/>
      <c r="D154" s="6" t="s">
        <v>39</v>
      </c>
      <c r="E154" s="6" t="s">
        <v>40</v>
      </c>
      <c r="F154" s="63" t="s">
        <v>1601</v>
      </c>
      <c r="G154" s="6" t="s">
        <v>41</v>
      </c>
      <c r="H154" s="63" t="s">
        <v>1601</v>
      </c>
      <c r="I154" s="21" t="s">
        <v>218</v>
      </c>
      <c r="J154" s="63" t="s">
        <v>1431</v>
      </c>
      <c r="K154" s="6" t="s">
        <v>343</v>
      </c>
      <c r="L154" s="63" t="s">
        <v>1624</v>
      </c>
      <c r="M154" s="55"/>
      <c r="N154" s="55"/>
      <c r="O154" s="55"/>
      <c r="P154" s="55"/>
      <c r="Q154" s="6">
        <v>1.0</v>
      </c>
      <c r="R154" s="23">
        <v>45888.0</v>
      </c>
      <c r="S154" s="50">
        <v>45986.0</v>
      </c>
      <c r="T154" s="23">
        <v>45891.0</v>
      </c>
      <c r="U154" s="55"/>
      <c r="V154" s="6" t="s">
        <v>103</v>
      </c>
      <c r="W154" s="6">
        <v>3.0425007375E11</v>
      </c>
      <c r="X154" s="6" t="s">
        <v>45</v>
      </c>
      <c r="Y154" s="6" t="s">
        <v>46</v>
      </c>
      <c r="Z154" s="6">
        <v>3.040317198E9</v>
      </c>
      <c r="AA154" s="6" t="s">
        <v>45</v>
      </c>
      <c r="AB154" s="6" t="s">
        <v>46</v>
      </c>
      <c r="AC154" s="6" t="s">
        <v>324</v>
      </c>
      <c r="AD154" s="55"/>
      <c r="AE154" s="55"/>
      <c r="AF154" s="55"/>
      <c r="AG154" s="55"/>
    </row>
    <row r="155">
      <c r="A155" s="21">
        <f>COUNTIF('Divulgação'!$B:$B,B155)</f>
        <v>1</v>
      </c>
      <c r="B155" s="62" t="s">
        <v>532</v>
      </c>
      <c r="C155" s="55"/>
      <c r="D155" s="6" t="s">
        <v>39</v>
      </c>
      <c r="E155" s="6" t="s">
        <v>40</v>
      </c>
      <c r="F155" s="63" t="s">
        <v>1601</v>
      </c>
      <c r="G155" s="6" t="s">
        <v>41</v>
      </c>
      <c r="H155" s="63" t="s">
        <v>1601</v>
      </c>
      <c r="I155" s="21" t="s">
        <v>226</v>
      </c>
      <c r="J155" s="63" t="s">
        <v>1428</v>
      </c>
      <c r="K155" s="6" t="s">
        <v>320</v>
      </c>
      <c r="L155" s="6" t="s">
        <v>534</v>
      </c>
      <c r="M155" s="55"/>
      <c r="N155" s="55"/>
      <c r="O155" s="55"/>
      <c r="P155" s="55"/>
      <c r="Q155" s="6">
        <v>1.0</v>
      </c>
      <c r="R155" s="23">
        <v>45888.0</v>
      </c>
      <c r="S155" s="50">
        <v>45986.0</v>
      </c>
      <c r="T155" s="23">
        <v>45891.0</v>
      </c>
      <c r="U155" s="55"/>
      <c r="V155" s="6" t="s">
        <v>44</v>
      </c>
      <c r="W155" s="55"/>
      <c r="X155" s="6" t="s">
        <v>45</v>
      </c>
      <c r="Y155" s="6" t="s">
        <v>46</v>
      </c>
      <c r="Z155" s="6">
        <v>3.040317194E9</v>
      </c>
      <c r="AA155" s="6" t="s">
        <v>45</v>
      </c>
      <c r="AB155" s="6" t="s">
        <v>46</v>
      </c>
      <c r="AC155" s="6" t="s">
        <v>324</v>
      </c>
      <c r="AD155" s="55"/>
      <c r="AE155" s="55"/>
      <c r="AF155" s="55"/>
      <c r="AG155" s="55"/>
    </row>
    <row r="156">
      <c r="A156" s="21">
        <f>COUNTIF('Divulgação'!$B:$B,B156)</f>
        <v>1</v>
      </c>
      <c r="B156" s="62" t="s">
        <v>1656</v>
      </c>
      <c r="C156" s="55"/>
      <c r="D156" s="6" t="s">
        <v>39</v>
      </c>
      <c r="E156" s="6" t="s">
        <v>40</v>
      </c>
      <c r="F156" s="63" t="s">
        <v>1601</v>
      </c>
      <c r="G156" s="6" t="s">
        <v>41</v>
      </c>
      <c r="H156" s="63" t="s">
        <v>1601</v>
      </c>
      <c r="I156" s="21" t="s">
        <v>226</v>
      </c>
      <c r="J156" s="63" t="s">
        <v>1428</v>
      </c>
      <c r="K156" s="6" t="s">
        <v>320</v>
      </c>
      <c r="L156" s="63" t="s">
        <v>1657</v>
      </c>
      <c r="M156" s="55"/>
      <c r="N156" s="55"/>
      <c r="O156" s="55"/>
      <c r="P156" s="55"/>
      <c r="Q156" s="6">
        <v>1.0</v>
      </c>
      <c r="R156" s="23">
        <v>45888.0</v>
      </c>
      <c r="S156" s="50">
        <v>45986.0</v>
      </c>
      <c r="T156" s="23">
        <v>45891.0</v>
      </c>
      <c r="U156" s="55"/>
      <c r="V156" s="6" t="s">
        <v>103</v>
      </c>
      <c r="W156" s="6">
        <v>3.13260017653E11</v>
      </c>
      <c r="X156" s="6" t="s">
        <v>45</v>
      </c>
      <c r="Y156" s="6" t="s">
        <v>46</v>
      </c>
      <c r="Z156" s="6">
        <v>3.040318073E9</v>
      </c>
      <c r="AA156" s="6" t="s">
        <v>64</v>
      </c>
      <c r="AB156" s="6" t="s">
        <v>588</v>
      </c>
      <c r="AC156" s="6" t="s">
        <v>589</v>
      </c>
      <c r="AD156" s="55"/>
      <c r="AE156" s="55"/>
      <c r="AF156" s="55"/>
      <c r="AG156" s="55"/>
    </row>
    <row r="157">
      <c r="A157" s="21">
        <f>COUNTIF('Divulgação'!$B:$B,B157)</f>
        <v>1</v>
      </c>
      <c r="B157" s="62" t="s">
        <v>539</v>
      </c>
      <c r="C157" s="55"/>
      <c r="D157" s="6" t="s">
        <v>39</v>
      </c>
      <c r="E157" s="6" t="s">
        <v>40</v>
      </c>
      <c r="F157" s="63" t="s">
        <v>1601</v>
      </c>
      <c r="G157" s="6" t="s">
        <v>41</v>
      </c>
      <c r="H157" s="63" t="s">
        <v>1601</v>
      </c>
      <c r="I157" s="21" t="s">
        <v>537</v>
      </c>
      <c r="J157" s="6" t="s">
        <v>275</v>
      </c>
      <c r="K157" s="6" t="s">
        <v>541</v>
      </c>
      <c r="L157" s="63" t="s">
        <v>1661</v>
      </c>
      <c r="M157" s="55"/>
      <c r="N157" s="55"/>
      <c r="O157" s="55"/>
      <c r="P157" s="55"/>
      <c r="Q157" s="6">
        <v>1.0</v>
      </c>
      <c r="R157" s="23">
        <v>45890.0</v>
      </c>
      <c r="S157" s="23">
        <v>45896.0</v>
      </c>
      <c r="T157" s="23">
        <v>45891.0</v>
      </c>
      <c r="U157" s="55"/>
      <c r="V157" s="6" t="s">
        <v>44</v>
      </c>
      <c r="W157" s="55"/>
      <c r="X157" s="6" t="s">
        <v>45</v>
      </c>
      <c r="Y157" s="6" t="s">
        <v>46</v>
      </c>
      <c r="Z157" s="6">
        <v>3.040281704E9</v>
      </c>
      <c r="AA157" s="6" t="s">
        <v>63</v>
      </c>
      <c r="AB157" s="6" t="s">
        <v>72</v>
      </c>
      <c r="AC157" s="6" t="s">
        <v>451</v>
      </c>
      <c r="AD157" s="55"/>
      <c r="AE157" s="55"/>
      <c r="AF157" s="55"/>
      <c r="AG157" s="55"/>
    </row>
    <row r="158">
      <c r="A158" s="21">
        <f>COUNTIF('Divulgação'!$B:$B,B158)</f>
        <v>1</v>
      </c>
      <c r="B158" s="62" t="s">
        <v>543</v>
      </c>
      <c r="C158" s="55"/>
      <c r="D158" s="6" t="s">
        <v>39</v>
      </c>
      <c r="E158" s="6" t="s">
        <v>40</v>
      </c>
      <c r="F158" s="63" t="s">
        <v>1601</v>
      </c>
      <c r="G158" s="6" t="s">
        <v>41</v>
      </c>
      <c r="H158" s="63" t="s">
        <v>1601</v>
      </c>
      <c r="I158" s="21" t="s">
        <v>537</v>
      </c>
      <c r="J158" s="6" t="s">
        <v>275</v>
      </c>
      <c r="K158" s="6" t="s">
        <v>541</v>
      </c>
      <c r="L158" s="63" t="s">
        <v>1664</v>
      </c>
      <c r="M158" s="55"/>
      <c r="N158" s="55"/>
      <c r="O158" s="55"/>
      <c r="P158" s="55"/>
      <c r="Q158" s="6">
        <v>1.0</v>
      </c>
      <c r="R158" s="23">
        <v>45890.0</v>
      </c>
      <c r="S158" s="23">
        <v>45896.0</v>
      </c>
      <c r="T158" s="23">
        <v>45891.0</v>
      </c>
      <c r="U158" s="55"/>
      <c r="V158" s="6" t="s">
        <v>44</v>
      </c>
      <c r="W158" s="55"/>
      <c r="X158" s="6" t="s">
        <v>45</v>
      </c>
      <c r="Y158" s="6" t="s">
        <v>46</v>
      </c>
      <c r="Z158" s="6">
        <v>3.040272872E9</v>
      </c>
      <c r="AA158" s="6" t="s">
        <v>45</v>
      </c>
      <c r="AB158" s="6" t="s">
        <v>46</v>
      </c>
      <c r="AC158" s="6" t="s">
        <v>47</v>
      </c>
      <c r="AD158" s="55"/>
      <c r="AE158" s="55"/>
      <c r="AF158" s="55"/>
      <c r="AG158" s="55"/>
    </row>
    <row r="159">
      <c r="A159" s="21">
        <f>COUNTIF('Divulgação'!$B:$B,B159)</f>
        <v>1</v>
      </c>
      <c r="B159" s="62" t="s">
        <v>542</v>
      </c>
      <c r="C159" s="55"/>
      <c r="D159" s="6" t="s">
        <v>39</v>
      </c>
      <c r="E159" s="6" t="s">
        <v>40</v>
      </c>
      <c r="F159" s="63" t="s">
        <v>1601</v>
      </c>
      <c r="G159" s="6" t="s">
        <v>41</v>
      </c>
      <c r="H159" s="63" t="s">
        <v>1601</v>
      </c>
      <c r="I159" s="21" t="s">
        <v>482</v>
      </c>
      <c r="J159" s="6" t="s">
        <v>275</v>
      </c>
      <c r="K159" s="6" t="s">
        <v>483</v>
      </c>
      <c r="L159" s="63" t="s">
        <v>1665</v>
      </c>
      <c r="M159" s="55"/>
      <c r="N159" s="55"/>
      <c r="O159" s="55"/>
      <c r="P159" s="55"/>
      <c r="Q159" s="6">
        <v>1.0</v>
      </c>
      <c r="R159" s="23">
        <v>45890.0</v>
      </c>
      <c r="S159" s="23">
        <v>45890.0</v>
      </c>
      <c r="T159" s="23">
        <v>45891.0</v>
      </c>
      <c r="U159" s="55"/>
      <c r="V159" s="6" t="s">
        <v>44</v>
      </c>
      <c r="W159" s="55"/>
      <c r="X159" s="6" t="s">
        <v>45</v>
      </c>
      <c r="Y159" s="6" t="s">
        <v>46</v>
      </c>
      <c r="Z159" s="6">
        <v>3.04031055E9</v>
      </c>
      <c r="AA159" s="6" t="s">
        <v>45</v>
      </c>
      <c r="AB159" s="6" t="s">
        <v>46</v>
      </c>
      <c r="AC159" s="6" t="s">
        <v>80</v>
      </c>
      <c r="AD159" s="55"/>
      <c r="AE159" s="55"/>
      <c r="AF159" s="55"/>
      <c r="AG159" s="55"/>
    </row>
    <row r="160">
      <c r="A160" s="21">
        <f>COUNTIF('Divulgação'!$B:$B,B160)</f>
        <v>1</v>
      </c>
      <c r="B160" s="62" t="s">
        <v>546</v>
      </c>
      <c r="C160" s="55"/>
      <c r="D160" s="6" t="s">
        <v>39</v>
      </c>
      <c r="E160" s="6" t="s">
        <v>40</v>
      </c>
      <c r="F160" s="63" t="s">
        <v>1666</v>
      </c>
      <c r="G160" s="6" t="s">
        <v>41</v>
      </c>
      <c r="H160" s="63" t="s">
        <v>1666</v>
      </c>
      <c r="I160" s="21" t="s">
        <v>547</v>
      </c>
      <c r="J160" s="63" t="s">
        <v>1393</v>
      </c>
      <c r="K160" s="6" t="s">
        <v>548</v>
      </c>
      <c r="L160" s="6" t="s">
        <v>549</v>
      </c>
      <c r="M160" s="55"/>
      <c r="N160" s="55"/>
      <c r="O160" s="55"/>
      <c r="P160" s="55"/>
      <c r="Q160" s="6">
        <v>1.0</v>
      </c>
      <c r="R160" s="23">
        <v>45888.0</v>
      </c>
      <c r="S160" s="50">
        <v>45986.0</v>
      </c>
      <c r="T160" s="23">
        <v>45894.0</v>
      </c>
      <c r="U160" s="55"/>
      <c r="V160" s="6" t="s">
        <v>44</v>
      </c>
      <c r="W160" s="55"/>
      <c r="X160" s="6" t="s">
        <v>45</v>
      </c>
      <c r="Y160" s="6" t="s">
        <v>46</v>
      </c>
      <c r="Z160" s="6">
        <v>3.040317809E9</v>
      </c>
      <c r="AA160" s="6" t="s">
        <v>304</v>
      </c>
      <c r="AB160" s="6" t="s">
        <v>306</v>
      </c>
      <c r="AC160" s="6" t="s">
        <v>550</v>
      </c>
      <c r="AD160" s="55"/>
      <c r="AE160" s="55"/>
      <c r="AF160" s="55"/>
      <c r="AG160" s="55"/>
    </row>
    <row r="161">
      <c r="A161" s="21">
        <f>COUNTIF('Divulgação'!$B:$B,B161)</f>
        <v>1</v>
      </c>
      <c r="B161" s="62" t="s">
        <v>553</v>
      </c>
      <c r="C161" s="55"/>
      <c r="D161" s="6" t="s">
        <v>39</v>
      </c>
      <c r="E161" s="6" t="s">
        <v>40</v>
      </c>
      <c r="F161" s="63" t="s">
        <v>1666</v>
      </c>
      <c r="G161" s="6" t="s">
        <v>41</v>
      </c>
      <c r="H161" s="63" t="s">
        <v>1666</v>
      </c>
      <c r="I161" s="21" t="s">
        <v>226</v>
      </c>
      <c r="J161" s="63" t="s">
        <v>1428</v>
      </c>
      <c r="K161" s="6" t="s">
        <v>320</v>
      </c>
      <c r="L161" s="63" t="s">
        <v>1667</v>
      </c>
      <c r="M161" s="55"/>
      <c r="N161" s="55"/>
      <c r="O161" s="55"/>
      <c r="P161" s="55"/>
      <c r="Q161" s="6">
        <v>1.0</v>
      </c>
      <c r="R161" s="23">
        <v>45888.0</v>
      </c>
      <c r="S161" s="50">
        <v>45986.0</v>
      </c>
      <c r="T161" s="23">
        <v>45894.0</v>
      </c>
      <c r="U161" s="55"/>
      <c r="V161" s="6" t="s">
        <v>103</v>
      </c>
      <c r="W161" s="6">
        <v>3.13250017138E11</v>
      </c>
      <c r="X161" s="6" t="s">
        <v>45</v>
      </c>
      <c r="Y161" s="6" t="s">
        <v>46</v>
      </c>
      <c r="Z161" s="6">
        <v>3.040317305E9</v>
      </c>
      <c r="AA161" s="6" t="s">
        <v>45</v>
      </c>
      <c r="AB161" s="6" t="s">
        <v>46</v>
      </c>
      <c r="AC161" s="6" t="s">
        <v>324</v>
      </c>
      <c r="AD161" s="55"/>
      <c r="AE161" s="55"/>
      <c r="AF161" s="55"/>
      <c r="AG161" s="55"/>
    </row>
    <row r="162">
      <c r="A162" s="21">
        <f>COUNTIF('Divulgação'!$B:$B,B162)</f>
        <v>1</v>
      </c>
      <c r="B162" s="62" t="s">
        <v>554</v>
      </c>
      <c r="C162" s="55"/>
      <c r="D162" s="6" t="s">
        <v>39</v>
      </c>
      <c r="E162" s="6" t="s">
        <v>40</v>
      </c>
      <c r="F162" s="63" t="s">
        <v>1668</v>
      </c>
      <c r="G162" s="6" t="s">
        <v>41</v>
      </c>
      <c r="H162" s="63" t="s">
        <v>1668</v>
      </c>
      <c r="I162" s="21" t="s">
        <v>469</v>
      </c>
      <c r="J162" s="6" t="s">
        <v>275</v>
      </c>
      <c r="K162" s="6" t="s">
        <v>470</v>
      </c>
      <c r="L162" s="6" t="s">
        <v>555</v>
      </c>
      <c r="M162" s="55"/>
      <c r="N162" s="55"/>
      <c r="O162" s="55"/>
      <c r="P162" s="55"/>
      <c r="Q162" s="6">
        <v>1.0</v>
      </c>
      <c r="R162" s="23">
        <v>45898.0</v>
      </c>
      <c r="S162" s="23">
        <v>45965.0</v>
      </c>
      <c r="T162" s="23">
        <v>45898.0</v>
      </c>
      <c r="U162" s="55"/>
      <c r="V162" s="6" t="s">
        <v>44</v>
      </c>
      <c r="W162" s="55"/>
      <c r="X162" s="6" t="s">
        <v>45</v>
      </c>
      <c r="Y162" s="6" t="s">
        <v>46</v>
      </c>
      <c r="Z162" s="6">
        <v>3.040295438E9</v>
      </c>
      <c r="AA162" s="6" t="s">
        <v>60</v>
      </c>
      <c r="AB162" s="6" t="s">
        <v>194</v>
      </c>
      <c r="AC162" s="6" t="s">
        <v>558</v>
      </c>
      <c r="AD162" s="55"/>
      <c r="AE162" s="55"/>
      <c r="AF162" s="55"/>
      <c r="AG162" s="55"/>
    </row>
    <row r="163">
      <c r="A163" s="21">
        <f>COUNTIF('Divulgação'!$B:$B,B163)</f>
        <v>1</v>
      </c>
      <c r="B163" s="62" t="s">
        <v>559</v>
      </c>
      <c r="C163" s="55"/>
      <c r="D163" s="6" t="s">
        <v>39</v>
      </c>
      <c r="E163" s="6" t="s">
        <v>40</v>
      </c>
      <c r="F163" s="63" t="s">
        <v>1668</v>
      </c>
      <c r="G163" s="6" t="s">
        <v>41</v>
      </c>
      <c r="H163" s="63" t="s">
        <v>1668</v>
      </c>
      <c r="I163" s="21" t="s">
        <v>469</v>
      </c>
      <c r="J163" s="6" t="s">
        <v>275</v>
      </c>
      <c r="K163" s="6" t="s">
        <v>470</v>
      </c>
      <c r="L163" s="6" t="s">
        <v>560</v>
      </c>
      <c r="M163" s="55"/>
      <c r="N163" s="55"/>
      <c r="O163" s="55"/>
      <c r="P163" s="55"/>
      <c r="Q163" s="6">
        <v>1.0</v>
      </c>
      <c r="R163" s="23">
        <v>45898.0</v>
      </c>
      <c r="S163" s="23">
        <v>45965.0</v>
      </c>
      <c r="T163" s="23">
        <v>45898.0</v>
      </c>
      <c r="U163" s="55"/>
      <c r="V163" s="6" t="s">
        <v>103</v>
      </c>
      <c r="W163" s="6">
        <v>3.1325001663E11</v>
      </c>
      <c r="X163" s="6" t="s">
        <v>45</v>
      </c>
      <c r="Y163" s="6" t="s">
        <v>46</v>
      </c>
      <c r="Z163" s="6">
        <v>3.040297381E9</v>
      </c>
      <c r="AA163" s="6" t="s">
        <v>60</v>
      </c>
      <c r="AB163" s="6" t="s">
        <v>194</v>
      </c>
      <c r="AC163" s="6" t="s">
        <v>561</v>
      </c>
      <c r="AD163" s="55"/>
      <c r="AE163" s="55"/>
      <c r="AF163" s="55"/>
      <c r="AG163" s="55"/>
    </row>
    <row r="164">
      <c r="A164" s="21">
        <f>COUNTIF('Divulgação'!$B:$B,B164)</f>
        <v>1</v>
      </c>
      <c r="B164" s="62" t="s">
        <v>562</v>
      </c>
      <c r="C164" s="55"/>
      <c r="D164" s="6" t="s">
        <v>39</v>
      </c>
      <c r="E164" s="6" t="s">
        <v>40</v>
      </c>
      <c r="F164" s="63" t="s">
        <v>1668</v>
      </c>
      <c r="G164" s="6" t="s">
        <v>41</v>
      </c>
      <c r="H164" s="63" t="s">
        <v>1668</v>
      </c>
      <c r="I164" s="21" t="s">
        <v>564</v>
      </c>
      <c r="J164" s="63" t="s">
        <v>1387</v>
      </c>
      <c r="K164" s="6" t="s">
        <v>566</v>
      </c>
      <c r="L164" s="63" t="s">
        <v>1671</v>
      </c>
      <c r="M164" s="55"/>
      <c r="N164" s="55"/>
      <c r="O164" s="55"/>
      <c r="P164" s="55"/>
      <c r="Q164" s="6">
        <v>1.0</v>
      </c>
      <c r="R164" s="23">
        <v>45898.0</v>
      </c>
      <c r="S164" s="23">
        <v>45904.0</v>
      </c>
      <c r="T164" s="23">
        <v>45898.0</v>
      </c>
      <c r="U164" s="55"/>
      <c r="V164" s="6" t="s">
        <v>44</v>
      </c>
      <c r="W164" s="55"/>
      <c r="X164" s="6" t="s">
        <v>45</v>
      </c>
      <c r="Y164" s="6" t="s">
        <v>46</v>
      </c>
      <c r="Z164" s="6">
        <v>3.040282568E9</v>
      </c>
      <c r="AA164" s="6" t="s">
        <v>60</v>
      </c>
      <c r="AB164" s="6" t="s">
        <v>194</v>
      </c>
      <c r="AC164" s="6" t="s">
        <v>558</v>
      </c>
      <c r="AD164" s="55"/>
      <c r="AE164" s="55"/>
      <c r="AF164" s="55"/>
      <c r="AG164" s="55"/>
    </row>
    <row r="165">
      <c r="A165" s="21">
        <f>COUNTIF('Divulgação'!$B:$B,B165)</f>
        <v>1</v>
      </c>
      <c r="B165" s="62" t="s">
        <v>567</v>
      </c>
      <c r="C165" s="55"/>
      <c r="D165" s="6" t="s">
        <v>39</v>
      </c>
      <c r="E165" s="6" t="s">
        <v>40</v>
      </c>
      <c r="F165" s="63" t="s">
        <v>1668</v>
      </c>
      <c r="G165" s="6" t="s">
        <v>41</v>
      </c>
      <c r="H165" s="63" t="s">
        <v>1668</v>
      </c>
      <c r="I165" s="21" t="s">
        <v>564</v>
      </c>
      <c r="J165" s="63" t="s">
        <v>1387</v>
      </c>
      <c r="K165" s="6" t="s">
        <v>566</v>
      </c>
      <c r="L165" s="63" t="s">
        <v>1673</v>
      </c>
      <c r="M165" s="55"/>
      <c r="N165" s="55"/>
      <c r="O165" s="55"/>
      <c r="P165" s="55"/>
      <c r="Q165" s="6">
        <v>1.0</v>
      </c>
      <c r="R165" s="23">
        <v>45898.0</v>
      </c>
      <c r="S165" s="23">
        <v>45904.0</v>
      </c>
      <c r="T165" s="23">
        <v>45898.0</v>
      </c>
      <c r="U165" s="55"/>
      <c r="V165" s="6" t="s">
        <v>44</v>
      </c>
      <c r="W165" s="55"/>
      <c r="X165" s="6" t="s">
        <v>45</v>
      </c>
      <c r="Y165" s="6" t="s">
        <v>46</v>
      </c>
      <c r="Z165" s="6">
        <v>3.0402848E9</v>
      </c>
      <c r="AA165" s="6" t="s">
        <v>60</v>
      </c>
      <c r="AB165" s="6" t="s">
        <v>194</v>
      </c>
      <c r="AC165" s="6" t="s">
        <v>558</v>
      </c>
      <c r="AD165" s="55"/>
      <c r="AE165" s="55"/>
      <c r="AF165" s="55"/>
      <c r="AG165" s="55"/>
    </row>
    <row r="166">
      <c r="A166" s="21">
        <f>COUNTIF('Divulgação'!$B:$B,B166)</f>
        <v>1</v>
      </c>
      <c r="B166" s="62" t="s">
        <v>1674</v>
      </c>
      <c r="C166" s="55"/>
      <c r="D166" s="6" t="s">
        <v>39</v>
      </c>
      <c r="E166" s="6" t="s">
        <v>40</v>
      </c>
      <c r="F166" s="63" t="s">
        <v>1675</v>
      </c>
      <c r="G166" s="6" t="s">
        <v>41</v>
      </c>
      <c r="H166" s="63" t="s">
        <v>1675</v>
      </c>
      <c r="I166" s="21" t="s">
        <v>310</v>
      </c>
      <c r="J166" s="6" t="s">
        <v>156</v>
      </c>
      <c r="K166" s="6" t="s">
        <v>311</v>
      </c>
      <c r="L166" s="6" t="s">
        <v>1676</v>
      </c>
      <c r="M166" s="55"/>
      <c r="N166" s="55"/>
      <c r="O166" s="55"/>
      <c r="P166" s="55"/>
      <c r="Q166" s="6">
        <v>1.0</v>
      </c>
      <c r="R166" s="23">
        <v>45910.0</v>
      </c>
      <c r="S166" s="50">
        <v>45977.0</v>
      </c>
      <c r="T166" s="23">
        <v>45917.0</v>
      </c>
      <c r="U166" s="55"/>
      <c r="V166" s="6" t="s">
        <v>44</v>
      </c>
      <c r="W166" s="55"/>
      <c r="X166" s="6" t="s">
        <v>45</v>
      </c>
      <c r="Y166" s="6" t="s">
        <v>46</v>
      </c>
      <c r="Z166" s="6">
        <v>3.040318559E9</v>
      </c>
      <c r="AA166" s="6" t="s">
        <v>63</v>
      </c>
      <c r="AB166" s="6" t="s">
        <v>241</v>
      </c>
      <c r="AC166" s="6" t="s">
        <v>583</v>
      </c>
      <c r="AD166" s="55"/>
      <c r="AE166" s="55"/>
      <c r="AF166" s="55"/>
      <c r="AG166" s="55"/>
    </row>
    <row r="167">
      <c r="A167" s="21">
        <f>COUNTIF('Divulgação'!$B:$B,B167)</f>
        <v>1</v>
      </c>
      <c r="B167" s="62" t="s">
        <v>1677</v>
      </c>
      <c r="C167" s="55"/>
      <c r="D167" s="6" t="s">
        <v>39</v>
      </c>
      <c r="E167" s="6" t="s">
        <v>40</v>
      </c>
      <c r="F167" s="63" t="s">
        <v>1675</v>
      </c>
      <c r="G167" s="6" t="s">
        <v>41</v>
      </c>
      <c r="H167" s="63" t="s">
        <v>1675</v>
      </c>
      <c r="I167" s="21" t="s">
        <v>1179</v>
      </c>
      <c r="J167" s="63" t="s">
        <v>1678</v>
      </c>
      <c r="K167" s="6" t="s">
        <v>577</v>
      </c>
      <c r="L167" s="6" t="s">
        <v>1679</v>
      </c>
      <c r="M167" s="55"/>
      <c r="N167" s="55"/>
      <c r="O167" s="55"/>
      <c r="P167" s="55"/>
      <c r="Q167" s="6">
        <v>1.0</v>
      </c>
      <c r="R167" s="23">
        <v>45910.0</v>
      </c>
      <c r="S167" s="23">
        <v>45916.0</v>
      </c>
      <c r="T167" s="23">
        <v>45917.0</v>
      </c>
      <c r="U167" s="55"/>
      <c r="V167" s="6" t="s">
        <v>44</v>
      </c>
      <c r="W167" s="55"/>
      <c r="X167" s="6" t="s">
        <v>45</v>
      </c>
      <c r="Y167" s="6" t="s">
        <v>46</v>
      </c>
      <c r="Z167" s="6">
        <v>3.040319125E9</v>
      </c>
      <c r="AA167" s="6" t="s">
        <v>68</v>
      </c>
      <c r="AB167" s="6" t="s">
        <v>799</v>
      </c>
      <c r="AC167" s="6" t="s">
        <v>1680</v>
      </c>
      <c r="AD167" s="55"/>
      <c r="AE167" s="55"/>
      <c r="AF167" s="55"/>
      <c r="AG167" s="55"/>
    </row>
    <row r="168">
      <c r="A168" s="21">
        <f>COUNTIF('Divulgação'!$B:$B,B168)</f>
        <v>1</v>
      </c>
      <c r="B168" s="62" t="s">
        <v>1681</v>
      </c>
      <c r="C168" s="55"/>
      <c r="D168" s="6" t="s">
        <v>39</v>
      </c>
      <c r="E168" s="6" t="s">
        <v>40</v>
      </c>
      <c r="F168" s="63" t="s">
        <v>1675</v>
      </c>
      <c r="G168" s="6" t="s">
        <v>41</v>
      </c>
      <c r="H168" s="63" t="s">
        <v>1675</v>
      </c>
      <c r="I168" s="21" t="s">
        <v>571</v>
      </c>
      <c r="J168" s="6" t="s">
        <v>156</v>
      </c>
      <c r="K168" s="6" t="s">
        <v>572</v>
      </c>
      <c r="L168" s="6" t="s">
        <v>1683</v>
      </c>
      <c r="M168" s="55"/>
      <c r="N168" s="55"/>
      <c r="O168" s="55"/>
      <c r="P168" s="55"/>
      <c r="Q168" s="6">
        <v>1.0</v>
      </c>
      <c r="R168" s="23">
        <v>45910.0</v>
      </c>
      <c r="S168" s="23">
        <v>45916.0</v>
      </c>
      <c r="T168" s="23">
        <v>45917.0</v>
      </c>
      <c r="U168" s="55"/>
      <c r="V168" s="6" t="s">
        <v>44</v>
      </c>
      <c r="W168" s="55"/>
      <c r="X168" s="6" t="s">
        <v>45</v>
      </c>
      <c r="Y168" s="6" t="s">
        <v>46</v>
      </c>
      <c r="Z168" s="6">
        <v>3.040309231E9</v>
      </c>
      <c r="AA168" s="6" t="s">
        <v>62</v>
      </c>
      <c r="AB168" s="6" t="s">
        <v>1091</v>
      </c>
      <c r="AC168" s="6" t="s">
        <v>1684</v>
      </c>
      <c r="AD168" s="55"/>
      <c r="AE168" s="55"/>
      <c r="AF168" s="55"/>
      <c r="AG168" s="55"/>
    </row>
    <row r="169">
      <c r="A169" s="21">
        <f>COUNTIF('Divulgação'!$B:$B,B169)</f>
        <v>1</v>
      </c>
      <c r="B169" s="62" t="s">
        <v>570</v>
      </c>
      <c r="C169" s="55"/>
      <c r="D169" s="6" t="s">
        <v>39</v>
      </c>
      <c r="E169" s="6" t="s">
        <v>40</v>
      </c>
      <c r="F169" s="63" t="s">
        <v>1675</v>
      </c>
      <c r="G169" s="6" t="s">
        <v>41</v>
      </c>
      <c r="H169" s="63" t="s">
        <v>1675</v>
      </c>
      <c r="I169" s="21" t="s">
        <v>571</v>
      </c>
      <c r="J169" s="6" t="s">
        <v>156</v>
      </c>
      <c r="K169" s="6" t="s">
        <v>572</v>
      </c>
      <c r="L169" s="6" t="s">
        <v>573</v>
      </c>
      <c r="M169" s="55"/>
      <c r="N169" s="55"/>
      <c r="O169" s="55"/>
      <c r="P169" s="55"/>
      <c r="Q169" s="6">
        <v>1.0</v>
      </c>
      <c r="R169" s="23">
        <v>45910.0</v>
      </c>
      <c r="S169" s="23">
        <v>45916.0</v>
      </c>
      <c r="T169" s="23">
        <v>45917.0</v>
      </c>
      <c r="U169" s="55"/>
      <c r="V169" s="6" t="s">
        <v>44</v>
      </c>
      <c r="W169" s="55"/>
      <c r="X169" s="6" t="s">
        <v>45</v>
      </c>
      <c r="Y169" s="6" t="s">
        <v>46</v>
      </c>
      <c r="Z169" s="6">
        <v>3.040270437E9</v>
      </c>
      <c r="AA169" s="6" t="s">
        <v>294</v>
      </c>
      <c r="AB169" s="6" t="s">
        <v>574</v>
      </c>
      <c r="AC169" s="6" t="s">
        <v>296</v>
      </c>
      <c r="AD169" s="55"/>
      <c r="AE169" s="55"/>
      <c r="AF169" s="55"/>
      <c r="AG169" s="55"/>
    </row>
    <row r="170">
      <c r="A170" s="21">
        <f>COUNTIF('Divulgação'!$B:$B,B170)</f>
        <v>1</v>
      </c>
      <c r="B170" s="62" t="s">
        <v>575</v>
      </c>
      <c r="C170" s="55"/>
      <c r="D170" s="6" t="s">
        <v>39</v>
      </c>
      <c r="E170" s="6" t="s">
        <v>40</v>
      </c>
      <c r="F170" s="63" t="s">
        <v>1675</v>
      </c>
      <c r="G170" s="6" t="s">
        <v>41</v>
      </c>
      <c r="H170" s="63" t="s">
        <v>1675</v>
      </c>
      <c r="I170" s="21" t="s">
        <v>576</v>
      </c>
      <c r="J170" s="63" t="s">
        <v>1685</v>
      </c>
      <c r="K170" s="6" t="s">
        <v>577</v>
      </c>
      <c r="L170" s="6" t="s">
        <v>578</v>
      </c>
      <c r="M170" s="55"/>
      <c r="N170" s="55"/>
      <c r="O170" s="55"/>
      <c r="P170" s="55"/>
      <c r="Q170" s="6">
        <v>1.0</v>
      </c>
      <c r="R170" s="23">
        <v>45910.0</v>
      </c>
      <c r="S170" s="23">
        <v>45916.0</v>
      </c>
      <c r="T170" s="23">
        <v>45917.0</v>
      </c>
      <c r="U170" s="55"/>
      <c r="V170" s="6" t="s">
        <v>44</v>
      </c>
      <c r="W170" s="55"/>
      <c r="X170" s="6" t="s">
        <v>45</v>
      </c>
      <c r="Y170" s="6" t="s">
        <v>46</v>
      </c>
      <c r="Z170" s="6">
        <v>3.040315167E9</v>
      </c>
      <c r="AA170" s="6" t="s">
        <v>304</v>
      </c>
      <c r="AB170" s="6" t="s">
        <v>306</v>
      </c>
      <c r="AC170" s="6" t="s">
        <v>581</v>
      </c>
      <c r="AD170" s="55"/>
      <c r="AE170" s="55"/>
      <c r="AF170" s="55"/>
      <c r="AG170" s="55"/>
    </row>
    <row r="171">
      <c r="A171" s="21">
        <f>COUNTIF('Divulgação'!$B:$B,B171)</f>
        <v>1</v>
      </c>
      <c r="B171" s="62" t="s">
        <v>1689</v>
      </c>
      <c r="C171" s="55"/>
      <c r="D171" s="6" t="s">
        <v>39</v>
      </c>
      <c r="E171" s="6" t="s">
        <v>40</v>
      </c>
      <c r="F171" s="63" t="s">
        <v>1675</v>
      </c>
      <c r="G171" s="6" t="s">
        <v>41</v>
      </c>
      <c r="H171" s="63" t="s">
        <v>1675</v>
      </c>
      <c r="I171" s="21" t="s">
        <v>1690</v>
      </c>
      <c r="J171" s="63" t="s">
        <v>1685</v>
      </c>
      <c r="K171" s="6" t="s">
        <v>577</v>
      </c>
      <c r="L171" s="6" t="s">
        <v>1691</v>
      </c>
      <c r="M171" s="55"/>
      <c r="N171" s="55"/>
      <c r="O171" s="55"/>
      <c r="P171" s="55"/>
      <c r="Q171" s="6">
        <v>1.0</v>
      </c>
      <c r="R171" s="23">
        <v>45910.0</v>
      </c>
      <c r="S171" s="23">
        <v>46060.0</v>
      </c>
      <c r="T171" s="23">
        <v>45917.0</v>
      </c>
      <c r="U171" s="55"/>
      <c r="V171" s="6" t="s">
        <v>44</v>
      </c>
      <c r="W171" s="55"/>
      <c r="X171" s="6" t="s">
        <v>45</v>
      </c>
      <c r="Y171" s="6" t="s">
        <v>46</v>
      </c>
      <c r="Z171" s="6">
        <v>3.040315165E9</v>
      </c>
      <c r="AA171" s="6" t="s">
        <v>304</v>
      </c>
      <c r="AB171" s="6" t="s">
        <v>306</v>
      </c>
      <c r="AC171" s="6" t="s">
        <v>1693</v>
      </c>
      <c r="AD171" s="55"/>
      <c r="AE171" s="55"/>
      <c r="AF171" s="55"/>
      <c r="AG171" s="55"/>
    </row>
    <row r="172">
      <c r="A172" s="21">
        <f>COUNTIF('Divulgação'!$B:$B,B172)</f>
        <v>1</v>
      </c>
      <c r="B172" s="62" t="s">
        <v>582</v>
      </c>
      <c r="C172" s="55"/>
      <c r="D172" s="6" t="s">
        <v>39</v>
      </c>
      <c r="E172" s="6" t="s">
        <v>40</v>
      </c>
      <c r="F172" s="63" t="s">
        <v>1675</v>
      </c>
      <c r="G172" s="6" t="s">
        <v>41</v>
      </c>
      <c r="H172" s="63" t="s">
        <v>1675</v>
      </c>
      <c r="I172" s="21" t="s">
        <v>223</v>
      </c>
      <c r="J172" s="63" t="s">
        <v>1431</v>
      </c>
      <c r="K172" s="6" t="s">
        <v>224</v>
      </c>
      <c r="L172" s="63" t="s">
        <v>1695</v>
      </c>
      <c r="M172" s="55"/>
      <c r="N172" s="55"/>
      <c r="O172" s="55"/>
      <c r="P172" s="55"/>
      <c r="Q172" s="6">
        <v>1.0</v>
      </c>
      <c r="R172" s="23">
        <v>45658.0</v>
      </c>
      <c r="S172" s="50">
        <v>45991.0</v>
      </c>
      <c r="T172" s="23">
        <v>45917.0</v>
      </c>
      <c r="U172" s="55"/>
      <c r="V172" s="6" t="s">
        <v>44</v>
      </c>
      <c r="W172" s="55"/>
      <c r="X172" s="6" t="s">
        <v>45</v>
      </c>
      <c r="Y172" s="6" t="s">
        <v>46</v>
      </c>
      <c r="Z172" s="6">
        <v>3.04031856E9</v>
      </c>
      <c r="AA172" s="6" t="s">
        <v>63</v>
      </c>
      <c r="AB172" s="6" t="s">
        <v>241</v>
      </c>
      <c r="AC172" s="6" t="s">
        <v>583</v>
      </c>
      <c r="AD172" s="55"/>
      <c r="AE172" s="55"/>
      <c r="AF172" s="55"/>
      <c r="AG172" s="55"/>
    </row>
    <row r="173">
      <c r="A173" s="21">
        <f>COUNTIF('Divulgação'!$B:$B,B173)</f>
        <v>1</v>
      </c>
      <c r="B173" s="62" t="s">
        <v>1699</v>
      </c>
      <c r="C173" s="55"/>
      <c r="D173" s="6" t="s">
        <v>39</v>
      </c>
      <c r="E173" s="6" t="s">
        <v>40</v>
      </c>
      <c r="F173" s="63" t="s">
        <v>1675</v>
      </c>
      <c r="G173" s="6" t="s">
        <v>41</v>
      </c>
      <c r="H173" s="63" t="s">
        <v>1675</v>
      </c>
      <c r="I173" s="21" t="s">
        <v>335</v>
      </c>
      <c r="J173" s="63" t="s">
        <v>1428</v>
      </c>
      <c r="K173" s="6" t="s">
        <v>336</v>
      </c>
      <c r="L173" s="63" t="s">
        <v>1701</v>
      </c>
      <c r="M173" s="55"/>
      <c r="N173" s="55"/>
      <c r="O173" s="55"/>
      <c r="P173" s="55"/>
      <c r="Q173" s="6">
        <v>1.0</v>
      </c>
      <c r="R173" s="23">
        <v>45910.0</v>
      </c>
      <c r="S173" s="50">
        <v>45977.0</v>
      </c>
      <c r="T173" s="23">
        <v>45917.0</v>
      </c>
      <c r="U173" s="55"/>
      <c r="V173" s="6" t="s">
        <v>44</v>
      </c>
      <c r="W173" s="55"/>
      <c r="X173" s="6" t="s">
        <v>45</v>
      </c>
      <c r="Y173" s="6" t="s">
        <v>46</v>
      </c>
      <c r="Z173" s="6">
        <v>3.040316673E9</v>
      </c>
      <c r="AA173" s="6" t="s">
        <v>45</v>
      </c>
      <c r="AB173" s="6" t="s">
        <v>46</v>
      </c>
      <c r="AC173" s="6" t="s">
        <v>324</v>
      </c>
      <c r="AD173" s="55"/>
      <c r="AE173" s="55"/>
      <c r="AF173" s="55"/>
      <c r="AG173" s="55"/>
    </row>
    <row r="174">
      <c r="A174" s="21">
        <f>COUNTIF('Divulgação'!$B:$B,B174)</f>
        <v>1</v>
      </c>
      <c r="B174" s="62" t="s">
        <v>1703</v>
      </c>
      <c r="C174" s="55"/>
      <c r="D174" s="6" t="s">
        <v>39</v>
      </c>
      <c r="E174" s="6" t="s">
        <v>40</v>
      </c>
      <c r="F174" s="63" t="s">
        <v>1675</v>
      </c>
      <c r="G174" s="6" t="s">
        <v>41</v>
      </c>
      <c r="H174" s="63" t="s">
        <v>1675</v>
      </c>
      <c r="I174" s="21" t="s">
        <v>335</v>
      </c>
      <c r="J174" s="63" t="s">
        <v>1428</v>
      </c>
      <c r="K174" s="6" t="s">
        <v>336</v>
      </c>
      <c r="L174" s="6" t="s">
        <v>1704</v>
      </c>
      <c r="M174" s="55"/>
      <c r="N174" s="55"/>
      <c r="O174" s="55"/>
      <c r="P174" s="55"/>
      <c r="Q174" s="6">
        <v>1.0</v>
      </c>
      <c r="R174" s="23">
        <v>45910.0</v>
      </c>
      <c r="S174" s="50">
        <v>45977.0</v>
      </c>
      <c r="T174" s="23">
        <v>45917.0</v>
      </c>
      <c r="U174" s="55"/>
      <c r="V174" s="6" t="s">
        <v>44</v>
      </c>
      <c r="W174" s="55"/>
      <c r="X174" s="6" t="s">
        <v>45</v>
      </c>
      <c r="Y174" s="6" t="s">
        <v>46</v>
      </c>
      <c r="Z174" s="6">
        <v>3.040317304E9</v>
      </c>
      <c r="AA174" s="6" t="s">
        <v>45</v>
      </c>
      <c r="AB174" s="6" t="s">
        <v>46</v>
      </c>
      <c r="AC174" s="6" t="s">
        <v>324</v>
      </c>
      <c r="AD174" s="55"/>
      <c r="AE174" s="55"/>
      <c r="AF174" s="55"/>
      <c r="AG174" s="55"/>
    </row>
    <row r="175">
      <c r="A175" s="21">
        <f>COUNTIF('Divulgação'!$B:$B,B175)</f>
        <v>1</v>
      </c>
      <c r="B175" s="62" t="s">
        <v>1697</v>
      </c>
      <c r="C175" s="55"/>
      <c r="D175" s="6" t="s">
        <v>39</v>
      </c>
      <c r="E175" s="6" t="s">
        <v>40</v>
      </c>
      <c r="F175" s="63" t="s">
        <v>1675</v>
      </c>
      <c r="G175" s="6" t="s">
        <v>41</v>
      </c>
      <c r="H175" s="63" t="s">
        <v>1675</v>
      </c>
      <c r="I175" s="21" t="s">
        <v>1278</v>
      </c>
      <c r="J175" s="63" t="s">
        <v>1447</v>
      </c>
      <c r="K175" s="6" t="s">
        <v>1279</v>
      </c>
      <c r="L175" s="63" t="s">
        <v>1707</v>
      </c>
      <c r="M175" s="55"/>
      <c r="N175" s="55"/>
      <c r="O175" s="55"/>
      <c r="P175" s="55"/>
      <c r="Q175" s="6">
        <v>1.0</v>
      </c>
      <c r="R175" s="23">
        <v>45910.0</v>
      </c>
      <c r="S175" s="50">
        <v>45977.0</v>
      </c>
      <c r="T175" s="23">
        <v>45917.0</v>
      </c>
      <c r="U175" s="55"/>
      <c r="V175" s="6" t="s">
        <v>44</v>
      </c>
      <c r="W175" s="55"/>
      <c r="X175" s="6" t="s">
        <v>45</v>
      </c>
      <c r="Y175" s="6" t="s">
        <v>46</v>
      </c>
      <c r="Z175" s="6">
        <v>3.040317197E9</v>
      </c>
      <c r="AA175" s="6" t="s">
        <v>45</v>
      </c>
      <c r="AB175" s="6" t="s">
        <v>46</v>
      </c>
      <c r="AC175" s="6" t="s">
        <v>324</v>
      </c>
      <c r="AD175" s="55"/>
      <c r="AE175" s="55"/>
      <c r="AF175" s="55"/>
      <c r="AG175" s="55"/>
    </row>
    <row r="176">
      <c r="A176" s="21">
        <f>COUNTIF('Divulgação'!$B:$B,B176)</f>
        <v>1</v>
      </c>
      <c r="B176" s="62" t="s">
        <v>590</v>
      </c>
      <c r="C176" s="55"/>
      <c r="D176" s="6" t="s">
        <v>39</v>
      </c>
      <c r="E176" s="6" t="s">
        <v>40</v>
      </c>
      <c r="F176" s="63" t="s">
        <v>1675</v>
      </c>
      <c r="G176" s="6" t="s">
        <v>41</v>
      </c>
      <c r="H176" s="63" t="s">
        <v>1675</v>
      </c>
      <c r="I176" s="21" t="s">
        <v>223</v>
      </c>
      <c r="J176" s="63" t="s">
        <v>1431</v>
      </c>
      <c r="K176" s="6" t="s">
        <v>224</v>
      </c>
      <c r="L176" s="6" t="s">
        <v>592</v>
      </c>
      <c r="M176" s="55"/>
      <c r="N176" s="55"/>
      <c r="O176" s="55"/>
      <c r="P176" s="55"/>
      <c r="Q176" s="6">
        <v>1.0</v>
      </c>
      <c r="R176" s="23">
        <v>45658.0</v>
      </c>
      <c r="S176" s="50">
        <v>45991.0</v>
      </c>
      <c r="T176" s="23">
        <v>45917.0</v>
      </c>
      <c r="U176" s="55"/>
      <c r="V176" s="6" t="s">
        <v>44</v>
      </c>
      <c r="W176" s="55"/>
      <c r="X176" s="6" t="s">
        <v>45</v>
      </c>
      <c r="Y176" s="6" t="s">
        <v>46</v>
      </c>
      <c r="Z176" s="6">
        <v>3.040318928E9</v>
      </c>
      <c r="AA176" s="6" t="s">
        <v>68</v>
      </c>
      <c r="AB176" s="6" t="s">
        <v>328</v>
      </c>
      <c r="AC176" s="6" t="s">
        <v>594</v>
      </c>
      <c r="AD176" s="55"/>
      <c r="AE176" s="55"/>
      <c r="AF176" s="55"/>
      <c r="AG176" s="55"/>
    </row>
    <row r="177">
      <c r="A177" s="21">
        <f>COUNTIF('Divulgação'!$B:$B,B177)</f>
        <v>1</v>
      </c>
      <c r="B177" s="62" t="s">
        <v>587</v>
      </c>
      <c r="C177" s="55"/>
      <c r="D177" s="6" t="s">
        <v>39</v>
      </c>
      <c r="E177" s="6" t="s">
        <v>40</v>
      </c>
      <c r="F177" s="63" t="s">
        <v>1675</v>
      </c>
      <c r="G177" s="6" t="s">
        <v>41</v>
      </c>
      <c r="H177" s="63" t="s">
        <v>1675</v>
      </c>
      <c r="I177" s="21" t="s">
        <v>223</v>
      </c>
      <c r="J177" s="63" t="s">
        <v>1431</v>
      </c>
      <c r="K177" s="6" t="s">
        <v>224</v>
      </c>
      <c r="L177" s="63" t="s">
        <v>1488</v>
      </c>
      <c r="M177" s="55"/>
      <c r="N177" s="55"/>
      <c r="O177" s="55"/>
      <c r="P177" s="55"/>
      <c r="Q177" s="6">
        <v>1.0</v>
      </c>
      <c r="R177" s="23">
        <v>45658.0</v>
      </c>
      <c r="S177" s="50">
        <v>45991.0</v>
      </c>
      <c r="T177" s="23">
        <v>45917.0</v>
      </c>
      <c r="U177" s="55"/>
      <c r="V177" s="6" t="s">
        <v>44</v>
      </c>
      <c r="W177" s="55"/>
      <c r="X177" s="6" t="s">
        <v>45</v>
      </c>
      <c r="Y177" s="6" t="s">
        <v>46</v>
      </c>
      <c r="Z177" s="6">
        <v>3.040318877E9</v>
      </c>
      <c r="AA177" s="6" t="s">
        <v>64</v>
      </c>
      <c r="AB177" s="6" t="s">
        <v>588</v>
      </c>
      <c r="AC177" s="6" t="s">
        <v>589</v>
      </c>
      <c r="AD177" s="55"/>
      <c r="AE177" s="55"/>
      <c r="AF177" s="55"/>
      <c r="AG177" s="55"/>
    </row>
    <row r="178">
      <c r="A178" s="21">
        <f>COUNTIF('Divulgação'!$B:$B,B178)</f>
        <v>1</v>
      </c>
      <c r="B178" s="62" t="s">
        <v>584</v>
      </c>
      <c r="C178" s="55"/>
      <c r="D178" s="6" t="s">
        <v>39</v>
      </c>
      <c r="E178" s="6" t="s">
        <v>40</v>
      </c>
      <c r="F178" s="63" t="s">
        <v>1675</v>
      </c>
      <c r="G178" s="6" t="s">
        <v>41</v>
      </c>
      <c r="H178" s="63" t="s">
        <v>1675</v>
      </c>
      <c r="I178" s="21" t="s">
        <v>223</v>
      </c>
      <c r="J178" s="63" t="s">
        <v>1431</v>
      </c>
      <c r="K178" s="6" t="s">
        <v>224</v>
      </c>
      <c r="L178" s="63" t="s">
        <v>1711</v>
      </c>
      <c r="M178" s="55"/>
      <c r="N178" s="55"/>
      <c r="O178" s="55"/>
      <c r="P178" s="55"/>
      <c r="Q178" s="6">
        <v>1.0</v>
      </c>
      <c r="R178" s="23">
        <v>45658.0</v>
      </c>
      <c r="S178" s="50">
        <v>45991.0</v>
      </c>
      <c r="T178" s="23">
        <v>45917.0</v>
      </c>
      <c r="U178" s="55"/>
      <c r="V178" s="6" t="s">
        <v>103</v>
      </c>
      <c r="W178" s="6">
        <v>3.1326001768E11</v>
      </c>
      <c r="X178" s="6" t="s">
        <v>45</v>
      </c>
      <c r="Y178" s="6" t="s">
        <v>46</v>
      </c>
      <c r="Z178" s="6">
        <v>3.040318561E9</v>
      </c>
      <c r="AA178" s="6" t="s">
        <v>63</v>
      </c>
      <c r="AB178" s="6" t="s">
        <v>241</v>
      </c>
      <c r="AC178" s="6" t="s">
        <v>583</v>
      </c>
      <c r="AD178" s="55"/>
      <c r="AE178" s="55"/>
      <c r="AF178" s="55"/>
      <c r="AG178" s="55"/>
    </row>
    <row r="179">
      <c r="A179" s="21">
        <f>COUNTIF('Divulgação'!$B:$B,B179)</f>
        <v>1</v>
      </c>
      <c r="B179" s="62" t="s">
        <v>598</v>
      </c>
      <c r="C179" s="55"/>
      <c r="D179" s="6" t="s">
        <v>39</v>
      </c>
      <c r="E179" s="6" t="s">
        <v>40</v>
      </c>
      <c r="F179" s="63" t="s">
        <v>1714</v>
      </c>
      <c r="G179" s="6" t="s">
        <v>41</v>
      </c>
      <c r="H179" s="63" t="s">
        <v>1714</v>
      </c>
      <c r="I179" s="21" t="s">
        <v>515</v>
      </c>
      <c r="J179" s="63" t="s">
        <v>1560</v>
      </c>
      <c r="K179" s="6" t="s">
        <v>516</v>
      </c>
      <c r="L179" s="63" t="s">
        <v>1715</v>
      </c>
      <c r="M179" s="55"/>
      <c r="N179" s="55"/>
      <c r="O179" s="55"/>
      <c r="P179" s="55"/>
      <c r="Q179" s="6">
        <v>1.0</v>
      </c>
      <c r="R179" s="23">
        <v>45936.0</v>
      </c>
      <c r="S179" s="50">
        <v>45971.0</v>
      </c>
      <c r="T179" s="23">
        <v>45937.0</v>
      </c>
      <c r="U179" s="55"/>
      <c r="V179" s="6" t="s">
        <v>44</v>
      </c>
      <c r="W179" s="55"/>
      <c r="X179" s="6" t="s">
        <v>45</v>
      </c>
      <c r="Y179" s="6" t="s">
        <v>46</v>
      </c>
      <c r="Z179" s="6">
        <v>3.040253457E9</v>
      </c>
      <c r="AA179" s="6" t="s">
        <v>45</v>
      </c>
      <c r="AB179" s="6" t="s">
        <v>203</v>
      </c>
      <c r="AC179" s="6" t="s">
        <v>601</v>
      </c>
      <c r="AD179" s="55"/>
      <c r="AE179" s="55"/>
      <c r="AF179" s="55"/>
      <c r="AG179" s="55"/>
    </row>
    <row r="180">
      <c r="A180" s="21">
        <f>COUNTIF('Divulgação'!$B:$B,B180)</f>
        <v>1</v>
      </c>
      <c r="B180" s="62" t="s">
        <v>1716</v>
      </c>
      <c r="C180" s="55"/>
      <c r="D180" s="6" t="s">
        <v>39</v>
      </c>
      <c r="E180" s="6" t="s">
        <v>40</v>
      </c>
      <c r="F180" s="63" t="s">
        <v>1714</v>
      </c>
      <c r="G180" s="6" t="s">
        <v>41</v>
      </c>
      <c r="H180" s="63" t="s">
        <v>1714</v>
      </c>
      <c r="I180" s="21" t="s">
        <v>515</v>
      </c>
      <c r="J180" s="63" t="s">
        <v>1560</v>
      </c>
      <c r="K180" s="6" t="s">
        <v>516</v>
      </c>
      <c r="L180" s="63" t="s">
        <v>1717</v>
      </c>
      <c r="M180" s="55"/>
      <c r="N180" s="55"/>
      <c r="O180" s="55"/>
      <c r="P180" s="55"/>
      <c r="Q180" s="6">
        <v>1.0</v>
      </c>
      <c r="R180" s="23">
        <v>45936.0</v>
      </c>
      <c r="S180" s="50">
        <v>45971.0</v>
      </c>
      <c r="T180" s="23">
        <v>45937.0</v>
      </c>
      <c r="U180" s="55"/>
      <c r="V180" s="6" t="s">
        <v>44</v>
      </c>
      <c r="W180" s="55"/>
      <c r="X180" s="6" t="s">
        <v>45</v>
      </c>
      <c r="Y180" s="6" t="s">
        <v>46</v>
      </c>
      <c r="Z180" s="6">
        <v>3.040294972E9</v>
      </c>
      <c r="AA180" s="6" t="s">
        <v>143</v>
      </c>
      <c r="AB180" s="6" t="s">
        <v>1719</v>
      </c>
      <c r="AC180" s="6" t="s">
        <v>1720</v>
      </c>
      <c r="AD180" s="55"/>
      <c r="AE180" s="55"/>
      <c r="AF180" s="55"/>
      <c r="AG180" s="55"/>
    </row>
    <row r="181">
      <c r="A181" s="21">
        <f>COUNTIF('Divulgação'!$B:$B,B181)</f>
        <v>1</v>
      </c>
      <c r="B181" s="62" t="s">
        <v>604</v>
      </c>
      <c r="C181" s="55"/>
      <c r="D181" s="6" t="s">
        <v>39</v>
      </c>
      <c r="E181" s="6" t="s">
        <v>40</v>
      </c>
      <c r="F181" s="63" t="s">
        <v>1714</v>
      </c>
      <c r="G181" s="6" t="s">
        <v>41</v>
      </c>
      <c r="H181" s="63" t="s">
        <v>1714</v>
      </c>
      <c r="I181" s="21" t="s">
        <v>515</v>
      </c>
      <c r="J181" s="63" t="s">
        <v>1560</v>
      </c>
      <c r="K181" s="6" t="s">
        <v>516</v>
      </c>
      <c r="L181" s="6" t="s">
        <v>605</v>
      </c>
      <c r="M181" s="55"/>
      <c r="N181" s="55"/>
      <c r="O181" s="55"/>
      <c r="P181" s="55"/>
      <c r="Q181" s="6">
        <v>1.0</v>
      </c>
      <c r="R181" s="23">
        <v>45936.0</v>
      </c>
      <c r="S181" s="50">
        <v>45971.0</v>
      </c>
      <c r="T181" s="23">
        <v>45937.0</v>
      </c>
      <c r="U181" s="55"/>
      <c r="V181" s="6" t="s">
        <v>44</v>
      </c>
      <c r="W181" s="55"/>
      <c r="X181" s="6" t="s">
        <v>45</v>
      </c>
      <c r="Y181" s="6" t="s">
        <v>46</v>
      </c>
      <c r="Z181" s="6">
        <v>3.040278924E9</v>
      </c>
      <c r="AA181" s="6" t="s">
        <v>63</v>
      </c>
      <c r="AB181" s="6" t="s">
        <v>228</v>
      </c>
      <c r="AC181" s="6" t="s">
        <v>608</v>
      </c>
      <c r="AD181" s="55"/>
      <c r="AE181" s="55"/>
      <c r="AF181" s="55"/>
      <c r="AG181" s="55"/>
    </row>
    <row r="182">
      <c r="A182" s="21">
        <f>COUNTIF('Divulgação'!$B:$B,B182)</f>
        <v>1</v>
      </c>
      <c r="B182" s="62" t="s">
        <v>1723</v>
      </c>
      <c r="C182" s="55"/>
      <c r="D182" s="6" t="s">
        <v>39</v>
      </c>
      <c r="E182" s="6" t="s">
        <v>40</v>
      </c>
      <c r="F182" s="63" t="s">
        <v>1714</v>
      </c>
      <c r="G182" s="6" t="s">
        <v>41</v>
      </c>
      <c r="H182" s="63" t="s">
        <v>1714</v>
      </c>
      <c r="I182" s="21" t="s">
        <v>515</v>
      </c>
      <c r="J182" s="63" t="s">
        <v>1560</v>
      </c>
      <c r="K182" s="6" t="s">
        <v>516</v>
      </c>
      <c r="L182" s="6" t="s">
        <v>1724</v>
      </c>
      <c r="M182" s="55"/>
      <c r="N182" s="55"/>
      <c r="O182" s="55"/>
      <c r="P182" s="55"/>
      <c r="Q182" s="6">
        <v>1.0</v>
      </c>
      <c r="R182" s="23">
        <v>45936.0</v>
      </c>
      <c r="S182" s="50">
        <v>45971.0</v>
      </c>
      <c r="T182" s="23">
        <v>45937.0</v>
      </c>
      <c r="U182" s="55"/>
      <c r="V182" s="6" t="s">
        <v>44</v>
      </c>
      <c r="W182" s="55"/>
      <c r="X182" s="6" t="s">
        <v>45</v>
      </c>
      <c r="Y182" s="6" t="s">
        <v>46</v>
      </c>
      <c r="Z182" s="6">
        <v>3.040278922E9</v>
      </c>
      <c r="AA182" s="6" t="s">
        <v>63</v>
      </c>
      <c r="AB182" s="6" t="s">
        <v>1162</v>
      </c>
      <c r="AC182" s="6" t="s">
        <v>780</v>
      </c>
      <c r="AD182" s="55"/>
      <c r="AE182" s="55"/>
      <c r="AF182" s="55"/>
      <c r="AG182" s="55"/>
    </row>
    <row r="183">
      <c r="A183" s="21">
        <f>COUNTIF('Divulgação'!$B:$B,B183)</f>
        <v>1</v>
      </c>
      <c r="B183" s="62" t="s">
        <v>1725</v>
      </c>
      <c r="C183" s="55"/>
      <c r="D183" s="6" t="s">
        <v>39</v>
      </c>
      <c r="E183" s="6" t="s">
        <v>40</v>
      </c>
      <c r="F183" s="63" t="s">
        <v>1714</v>
      </c>
      <c r="G183" s="6" t="s">
        <v>41</v>
      </c>
      <c r="H183" s="63" t="s">
        <v>1714</v>
      </c>
      <c r="I183" s="21" t="s">
        <v>515</v>
      </c>
      <c r="J183" s="63" t="s">
        <v>1560</v>
      </c>
      <c r="K183" s="6" t="s">
        <v>516</v>
      </c>
      <c r="L183" s="63" t="s">
        <v>1726</v>
      </c>
      <c r="M183" s="55"/>
      <c r="N183" s="55"/>
      <c r="O183" s="55"/>
      <c r="P183" s="55"/>
      <c r="Q183" s="6">
        <v>1.0</v>
      </c>
      <c r="R183" s="23">
        <v>45936.0</v>
      </c>
      <c r="S183" s="50">
        <v>45971.0</v>
      </c>
      <c r="T183" s="23">
        <v>45937.0</v>
      </c>
      <c r="U183" s="55"/>
      <c r="V183" s="6" t="s">
        <v>44</v>
      </c>
      <c r="W183" s="55"/>
      <c r="X183" s="6" t="s">
        <v>45</v>
      </c>
      <c r="Y183" s="6" t="s">
        <v>46</v>
      </c>
      <c r="Z183" s="6">
        <v>3.040269411E9</v>
      </c>
      <c r="AA183" s="6" t="s">
        <v>169</v>
      </c>
      <c r="AB183" s="6" t="s">
        <v>799</v>
      </c>
      <c r="AC183" s="6" t="s">
        <v>1727</v>
      </c>
      <c r="AD183" s="55"/>
      <c r="AE183" s="55"/>
      <c r="AF183" s="55"/>
      <c r="AG183" s="55"/>
    </row>
    <row r="184">
      <c r="A184" s="21">
        <f>COUNTIF('Divulgação'!$B:$B,B184)</f>
        <v>1</v>
      </c>
      <c r="B184" s="62" t="s">
        <v>595</v>
      </c>
      <c r="C184" s="55"/>
      <c r="D184" s="6" t="s">
        <v>39</v>
      </c>
      <c r="E184" s="6" t="s">
        <v>40</v>
      </c>
      <c r="F184" s="63" t="s">
        <v>1714</v>
      </c>
      <c r="G184" s="6" t="s">
        <v>41</v>
      </c>
      <c r="H184" s="63" t="s">
        <v>1714</v>
      </c>
      <c r="I184" s="21" t="s">
        <v>537</v>
      </c>
      <c r="J184" s="6" t="s">
        <v>275</v>
      </c>
      <c r="K184" s="6" t="s">
        <v>541</v>
      </c>
      <c r="L184" s="63" t="s">
        <v>1730</v>
      </c>
      <c r="M184" s="55"/>
      <c r="N184" s="55"/>
      <c r="O184" s="55"/>
      <c r="P184" s="55"/>
      <c r="Q184" s="6">
        <v>1.0</v>
      </c>
      <c r="R184" s="23">
        <v>45936.0</v>
      </c>
      <c r="S184" s="50">
        <v>45940.0</v>
      </c>
      <c r="T184" s="23">
        <v>45937.0</v>
      </c>
      <c r="U184" s="55"/>
      <c r="V184" s="6" t="s">
        <v>44</v>
      </c>
      <c r="W184" s="55"/>
      <c r="X184" s="6" t="s">
        <v>45</v>
      </c>
      <c r="Y184" s="6" t="s">
        <v>46</v>
      </c>
      <c r="Z184" s="6">
        <v>3.040285493E9</v>
      </c>
      <c r="AA184" s="6" t="s">
        <v>465</v>
      </c>
      <c r="AB184" s="6" t="s">
        <v>466</v>
      </c>
      <c r="AC184" s="6" t="s">
        <v>308</v>
      </c>
      <c r="AD184" s="55"/>
      <c r="AE184" s="55"/>
      <c r="AF184" s="55"/>
      <c r="AG184" s="55"/>
    </row>
    <row r="185">
      <c r="A185" s="21">
        <f>COUNTIF('Divulgação'!$B:$B,B185)</f>
        <v>1</v>
      </c>
      <c r="B185" s="62" t="s">
        <v>609</v>
      </c>
      <c r="C185" s="55"/>
      <c r="D185" s="6" t="s">
        <v>39</v>
      </c>
      <c r="E185" s="6" t="s">
        <v>40</v>
      </c>
      <c r="F185" s="63" t="s">
        <v>1733</v>
      </c>
      <c r="G185" s="6" t="s">
        <v>41</v>
      </c>
      <c r="H185" s="63" t="s">
        <v>1733</v>
      </c>
      <c r="I185" s="21" t="s">
        <v>610</v>
      </c>
      <c r="J185" s="6" t="s">
        <v>156</v>
      </c>
      <c r="K185" s="6" t="s">
        <v>611</v>
      </c>
      <c r="L185" s="59"/>
      <c r="M185" s="55"/>
      <c r="N185" s="55"/>
      <c r="O185" s="55"/>
      <c r="P185" s="55"/>
      <c r="Q185" s="6">
        <v>1.0</v>
      </c>
      <c r="R185" s="23">
        <v>45938.0</v>
      </c>
      <c r="S185" s="50">
        <v>45944.0</v>
      </c>
      <c r="T185" s="23">
        <v>45939.0</v>
      </c>
      <c r="U185" s="55"/>
      <c r="V185" s="6" t="s">
        <v>44</v>
      </c>
      <c r="W185" s="55"/>
      <c r="X185" s="6" t="s">
        <v>45</v>
      </c>
      <c r="Y185" s="6" t="s">
        <v>46</v>
      </c>
      <c r="Z185" s="6">
        <v>3.04031824E9</v>
      </c>
      <c r="AA185" s="6" t="s">
        <v>304</v>
      </c>
      <c r="AB185" s="6" t="s">
        <v>306</v>
      </c>
      <c r="AC185" s="6" t="s">
        <v>612</v>
      </c>
      <c r="AD185" s="55"/>
      <c r="AE185" s="55"/>
      <c r="AF185" s="55"/>
      <c r="AG185" s="55"/>
    </row>
    <row r="186">
      <c r="A186" s="21">
        <f>COUNTIF('Divulgação'!$B:$B,B186)</f>
        <v>1</v>
      </c>
      <c r="B186" s="62" t="s">
        <v>617</v>
      </c>
      <c r="C186" s="55"/>
      <c r="D186" s="6" t="s">
        <v>39</v>
      </c>
      <c r="E186" s="6" t="s">
        <v>40</v>
      </c>
      <c r="F186" s="63" t="s">
        <v>1733</v>
      </c>
      <c r="G186" s="6" t="s">
        <v>41</v>
      </c>
      <c r="H186" s="63" t="s">
        <v>1733</v>
      </c>
      <c r="I186" s="21" t="s">
        <v>537</v>
      </c>
      <c r="J186" s="6" t="s">
        <v>275</v>
      </c>
      <c r="K186" s="6" t="s">
        <v>541</v>
      </c>
      <c r="L186" s="63" t="s">
        <v>1735</v>
      </c>
      <c r="M186" s="55"/>
      <c r="N186" s="55"/>
      <c r="O186" s="55"/>
      <c r="P186" s="55"/>
      <c r="Q186" s="6">
        <v>1.0</v>
      </c>
      <c r="R186" s="23">
        <v>45938.0</v>
      </c>
      <c r="S186" s="50">
        <v>45944.0</v>
      </c>
      <c r="T186" s="23">
        <v>45939.0</v>
      </c>
      <c r="U186" s="55"/>
      <c r="V186" s="6" t="s">
        <v>44</v>
      </c>
      <c r="W186" s="55"/>
      <c r="X186" s="6" t="s">
        <v>45</v>
      </c>
      <c r="Y186" s="6" t="s">
        <v>46</v>
      </c>
      <c r="Z186" s="6">
        <v>3.040295895E9</v>
      </c>
      <c r="AA186" s="6" t="s">
        <v>465</v>
      </c>
      <c r="AB186" s="6" t="s">
        <v>466</v>
      </c>
      <c r="AC186" s="6" t="s">
        <v>308</v>
      </c>
      <c r="AD186" s="55"/>
      <c r="AE186" s="55"/>
      <c r="AF186" s="55"/>
      <c r="AG186" s="55"/>
    </row>
    <row r="187">
      <c r="A187" s="21">
        <f>COUNTIF('Divulgação'!$B:$B,B187)</f>
        <v>1</v>
      </c>
      <c r="B187" s="62" t="s">
        <v>620</v>
      </c>
      <c r="C187" s="55"/>
      <c r="D187" s="6" t="s">
        <v>39</v>
      </c>
      <c r="E187" s="6" t="s">
        <v>40</v>
      </c>
      <c r="F187" s="63" t="s">
        <v>1733</v>
      </c>
      <c r="G187" s="6" t="s">
        <v>41</v>
      </c>
      <c r="H187" s="63" t="s">
        <v>1733</v>
      </c>
      <c r="I187" s="21" t="s">
        <v>537</v>
      </c>
      <c r="J187" s="6" t="s">
        <v>275</v>
      </c>
      <c r="K187" s="6" t="s">
        <v>541</v>
      </c>
      <c r="L187" s="63" t="s">
        <v>1737</v>
      </c>
      <c r="M187" s="55"/>
      <c r="N187" s="55"/>
      <c r="O187" s="55"/>
      <c r="P187" s="55"/>
      <c r="Q187" s="6">
        <v>1.0</v>
      </c>
      <c r="R187" s="23">
        <v>45938.0</v>
      </c>
      <c r="S187" s="50">
        <v>45944.0</v>
      </c>
      <c r="T187" s="23">
        <v>45939.0</v>
      </c>
      <c r="U187" s="55"/>
      <c r="V187" s="6" t="s">
        <v>44</v>
      </c>
      <c r="W187" s="55"/>
      <c r="X187" s="6" t="s">
        <v>45</v>
      </c>
      <c r="Y187" s="6" t="s">
        <v>46</v>
      </c>
      <c r="Z187" s="6">
        <v>3.040303444E9</v>
      </c>
      <c r="AA187" s="6" t="s">
        <v>143</v>
      </c>
      <c r="AB187" s="6" t="s">
        <v>144</v>
      </c>
      <c r="AC187" s="6" t="s">
        <v>621</v>
      </c>
      <c r="AD187" s="55"/>
      <c r="AE187" s="55"/>
      <c r="AF187" s="55"/>
      <c r="AG187" s="55"/>
    </row>
    <row r="188">
      <c r="A188" s="21">
        <f>COUNTIF('Divulgação'!$B:$B,B188)</f>
        <v>1</v>
      </c>
      <c r="B188" s="62" t="s">
        <v>613</v>
      </c>
      <c r="C188" s="55"/>
      <c r="D188" s="6" t="s">
        <v>39</v>
      </c>
      <c r="E188" s="6" t="s">
        <v>40</v>
      </c>
      <c r="F188" s="63" t="s">
        <v>1733</v>
      </c>
      <c r="G188" s="6" t="s">
        <v>41</v>
      </c>
      <c r="H188" s="63" t="s">
        <v>1733</v>
      </c>
      <c r="I188" s="21" t="s">
        <v>537</v>
      </c>
      <c r="J188" s="6" t="s">
        <v>275</v>
      </c>
      <c r="K188" s="6" t="s">
        <v>541</v>
      </c>
      <c r="L188" s="63" t="s">
        <v>1741</v>
      </c>
      <c r="M188" s="55"/>
      <c r="N188" s="55"/>
      <c r="O188" s="55"/>
      <c r="P188" s="55"/>
      <c r="Q188" s="6">
        <v>1.0</v>
      </c>
      <c r="R188" s="23">
        <v>45938.0</v>
      </c>
      <c r="S188" s="50">
        <v>45944.0</v>
      </c>
      <c r="T188" s="23">
        <v>45939.0</v>
      </c>
      <c r="U188" s="55"/>
      <c r="V188" s="6" t="s">
        <v>103</v>
      </c>
      <c r="W188" s="6">
        <v>3.13250017124E11</v>
      </c>
      <c r="X188" s="6" t="s">
        <v>45</v>
      </c>
      <c r="Y188" s="6" t="s">
        <v>46</v>
      </c>
      <c r="Z188" s="6">
        <v>3.040317799E9</v>
      </c>
      <c r="AA188" s="6" t="s">
        <v>60</v>
      </c>
      <c r="AB188" s="6" t="s">
        <v>194</v>
      </c>
      <c r="AC188" s="6" t="s">
        <v>616</v>
      </c>
      <c r="AD188" s="55"/>
      <c r="AE188" s="55"/>
      <c r="AF188" s="55"/>
      <c r="AG188" s="55"/>
    </row>
    <row r="189">
      <c r="A189" s="21">
        <f>COUNTIF('Divulgação'!$B:$B,B189)</f>
        <v>1</v>
      </c>
      <c r="B189" s="62" t="s">
        <v>624</v>
      </c>
      <c r="C189" s="55"/>
      <c r="D189" s="6" t="s">
        <v>39</v>
      </c>
      <c r="E189" s="6" t="s">
        <v>40</v>
      </c>
      <c r="F189" s="63" t="s">
        <v>1745</v>
      </c>
      <c r="G189" s="6" t="s">
        <v>41</v>
      </c>
      <c r="H189" s="63" t="s">
        <v>1745</v>
      </c>
      <c r="I189" s="21" t="s">
        <v>618</v>
      </c>
      <c r="J189" s="63" t="s">
        <v>1387</v>
      </c>
      <c r="K189" s="6" t="s">
        <v>625</v>
      </c>
      <c r="L189" s="63" t="s">
        <v>1746</v>
      </c>
      <c r="M189" s="55"/>
      <c r="N189" s="55"/>
      <c r="O189" s="55"/>
      <c r="P189" s="55"/>
      <c r="Q189" s="6">
        <v>1.0</v>
      </c>
      <c r="R189" s="50">
        <v>45946.0</v>
      </c>
      <c r="S189" s="50">
        <v>45952.0</v>
      </c>
      <c r="T189" s="50">
        <v>45946.0</v>
      </c>
      <c r="U189" s="55"/>
      <c r="V189" s="6" t="s">
        <v>44</v>
      </c>
      <c r="W189" s="55"/>
      <c r="X189" s="6" t="s">
        <v>45</v>
      </c>
      <c r="Y189" s="6" t="s">
        <v>46</v>
      </c>
      <c r="Z189" s="6">
        <v>3.040312898E9</v>
      </c>
      <c r="AA189" s="6" t="s">
        <v>45</v>
      </c>
      <c r="AB189" s="6" t="s">
        <v>46</v>
      </c>
      <c r="AC189" s="6" t="s">
        <v>324</v>
      </c>
      <c r="AD189" s="55"/>
      <c r="AE189" s="55"/>
      <c r="AF189" s="55"/>
      <c r="AG189" s="55"/>
    </row>
    <row r="190">
      <c r="A190" s="21">
        <f>COUNTIF('Divulgação'!$B:$B,B190)</f>
        <v>1</v>
      </c>
      <c r="B190" s="62" t="s">
        <v>632</v>
      </c>
      <c r="C190" s="55"/>
      <c r="D190" s="6" t="s">
        <v>39</v>
      </c>
      <c r="E190" s="6" t="s">
        <v>40</v>
      </c>
      <c r="F190" s="63" t="s">
        <v>1748</v>
      </c>
      <c r="G190" s="6" t="s">
        <v>41</v>
      </c>
      <c r="H190" s="63" t="s">
        <v>1748</v>
      </c>
      <c r="I190" s="21" t="s">
        <v>42</v>
      </c>
      <c r="J190" s="6" t="s">
        <v>630</v>
      </c>
      <c r="K190" s="6" t="s">
        <v>631</v>
      </c>
      <c r="L190" s="63" t="s">
        <v>1749</v>
      </c>
      <c r="M190" s="55"/>
      <c r="N190" s="55"/>
      <c r="O190" s="55"/>
      <c r="P190" s="55"/>
      <c r="Q190" s="6">
        <v>1.0</v>
      </c>
      <c r="R190" s="23">
        <v>45965.0</v>
      </c>
      <c r="S190" s="50">
        <v>45971.0</v>
      </c>
      <c r="T190" s="23">
        <v>45965.0</v>
      </c>
      <c r="U190" s="55"/>
      <c r="V190" s="6" t="s">
        <v>44</v>
      </c>
      <c r="W190" s="55"/>
      <c r="X190" s="6" t="s">
        <v>45</v>
      </c>
      <c r="Y190" s="6" t="s">
        <v>46</v>
      </c>
      <c r="Z190" s="6">
        <v>3.040311489E9</v>
      </c>
      <c r="AA190" s="6" t="s">
        <v>60</v>
      </c>
      <c r="AB190" s="6" t="s">
        <v>194</v>
      </c>
      <c r="AC190" s="6" t="s">
        <v>635</v>
      </c>
      <c r="AD190" s="55"/>
      <c r="AE190" s="55"/>
      <c r="AF190" s="55"/>
      <c r="AG190" s="55"/>
    </row>
    <row r="191">
      <c r="A191" s="21">
        <f>COUNTIF('Divulgação'!$B:$B,B191)</f>
        <v>1</v>
      </c>
      <c r="B191" s="62" t="s">
        <v>629</v>
      </c>
      <c r="C191" s="55"/>
      <c r="D191" s="6" t="s">
        <v>39</v>
      </c>
      <c r="E191" s="6" t="s">
        <v>40</v>
      </c>
      <c r="F191" s="63" t="s">
        <v>1748</v>
      </c>
      <c r="G191" s="6" t="s">
        <v>41</v>
      </c>
      <c r="H191" s="63" t="s">
        <v>1748</v>
      </c>
      <c r="I191" s="21" t="s">
        <v>42</v>
      </c>
      <c r="J191" s="6" t="s">
        <v>630</v>
      </c>
      <c r="K191" s="6" t="s">
        <v>631</v>
      </c>
      <c r="L191" s="63" t="s">
        <v>1750</v>
      </c>
      <c r="M191" s="55"/>
      <c r="N191" s="55"/>
      <c r="O191" s="55"/>
      <c r="P191" s="55"/>
      <c r="Q191" s="6">
        <v>1.0</v>
      </c>
      <c r="R191" s="23">
        <v>45965.0</v>
      </c>
      <c r="S191" s="50">
        <v>45971.0</v>
      </c>
      <c r="T191" s="23">
        <v>45965.0</v>
      </c>
      <c r="U191" s="55"/>
      <c r="V191" s="6" t="s">
        <v>44</v>
      </c>
      <c r="W191" s="55"/>
      <c r="X191" s="6" t="s">
        <v>45</v>
      </c>
      <c r="Y191" s="6" t="s">
        <v>46</v>
      </c>
      <c r="Z191" s="6">
        <v>3.04029076E9</v>
      </c>
      <c r="AA191" s="6" t="s">
        <v>64</v>
      </c>
      <c r="AB191" s="6" t="s">
        <v>94</v>
      </c>
      <c r="AC191" s="6" t="s">
        <v>492</v>
      </c>
      <c r="AD191" s="55"/>
      <c r="AE191" s="55"/>
      <c r="AF191" s="55"/>
      <c r="AG191" s="55"/>
    </row>
    <row r="192">
      <c r="A192" s="21">
        <f>COUNTIF('Divulgação'!$B:$B,B192)</f>
        <v>1</v>
      </c>
      <c r="B192" s="62" t="s">
        <v>636</v>
      </c>
      <c r="C192" s="55"/>
      <c r="D192" s="6" t="s">
        <v>39</v>
      </c>
      <c r="E192" s="6" t="s">
        <v>40</v>
      </c>
      <c r="F192" s="63" t="s">
        <v>1752</v>
      </c>
      <c r="G192" s="6" t="s">
        <v>41</v>
      </c>
      <c r="H192" s="63" t="s">
        <v>1752</v>
      </c>
      <c r="I192" s="21" t="s">
        <v>337</v>
      </c>
      <c r="J192" s="63" t="s">
        <v>1387</v>
      </c>
      <c r="K192" s="6" t="s">
        <v>338</v>
      </c>
      <c r="L192" s="63" t="s">
        <v>1753</v>
      </c>
      <c r="M192" s="55"/>
      <c r="N192" s="55"/>
      <c r="O192" s="55"/>
      <c r="P192" s="55"/>
      <c r="Q192" s="6">
        <v>1.0</v>
      </c>
      <c r="R192" s="23">
        <v>45967.0</v>
      </c>
      <c r="S192" s="50">
        <v>45973.0</v>
      </c>
      <c r="T192" s="23">
        <v>45967.0</v>
      </c>
      <c r="U192" s="55"/>
      <c r="V192" s="6" t="s">
        <v>44</v>
      </c>
      <c r="W192" s="55"/>
      <c r="X192" s="6" t="s">
        <v>45</v>
      </c>
      <c r="Y192" s="6" t="s">
        <v>46</v>
      </c>
      <c r="Z192" s="6">
        <v>3.040308555E9</v>
      </c>
      <c r="AA192" s="6" t="s">
        <v>75</v>
      </c>
      <c r="AB192" s="6" t="s">
        <v>152</v>
      </c>
      <c r="AC192" s="6" t="s">
        <v>153</v>
      </c>
      <c r="AD192" s="55"/>
      <c r="AE192" s="55"/>
      <c r="AF192" s="55"/>
      <c r="AG192" s="55"/>
    </row>
    <row r="193">
      <c r="A193" s="21">
        <f>COUNTIF('Divulgação'!$B:$B,B193)</f>
        <v>1</v>
      </c>
      <c r="B193" s="62" t="s">
        <v>639</v>
      </c>
      <c r="C193" s="55"/>
      <c r="D193" s="6" t="s">
        <v>39</v>
      </c>
      <c r="E193" s="6" t="s">
        <v>40</v>
      </c>
      <c r="F193" s="63" t="s">
        <v>1756</v>
      </c>
      <c r="G193" s="6" t="s">
        <v>41</v>
      </c>
      <c r="H193" s="63" t="s">
        <v>1756</v>
      </c>
      <c r="I193" s="21" t="s">
        <v>642</v>
      </c>
      <c r="J193" s="63" t="s">
        <v>1757</v>
      </c>
      <c r="K193" s="6" t="s">
        <v>643</v>
      </c>
      <c r="L193" s="6" t="s">
        <v>644</v>
      </c>
      <c r="M193" s="55"/>
      <c r="N193" s="55"/>
      <c r="O193" s="55"/>
      <c r="P193" s="55"/>
      <c r="Q193" s="6">
        <v>1.0</v>
      </c>
      <c r="R193" s="23">
        <v>45965.0</v>
      </c>
      <c r="S193" s="50">
        <v>45971.0</v>
      </c>
      <c r="T193" s="23">
        <v>45968.0</v>
      </c>
      <c r="U193" s="55"/>
      <c r="V193" s="6" t="s">
        <v>44</v>
      </c>
      <c r="W193" s="55"/>
      <c r="X193" s="6" t="s">
        <v>45</v>
      </c>
      <c r="Y193" s="6" t="s">
        <v>46</v>
      </c>
      <c r="Z193" s="6">
        <v>3.040310543E9</v>
      </c>
      <c r="AA193" s="6" t="s">
        <v>45</v>
      </c>
      <c r="AB193" s="6" t="s">
        <v>46</v>
      </c>
      <c r="AC193" s="6" t="s">
        <v>80</v>
      </c>
      <c r="AD193" s="55"/>
      <c r="AE193" s="55"/>
      <c r="AF193" s="55"/>
      <c r="AG193" s="55"/>
    </row>
    <row r="194">
      <c r="A194" s="21">
        <f>COUNTIF('Divulgação'!$B:$B,B194)</f>
        <v>1</v>
      </c>
      <c r="B194" s="62" t="s">
        <v>645</v>
      </c>
      <c r="C194" s="55"/>
      <c r="D194" s="6" t="s">
        <v>39</v>
      </c>
      <c r="E194" s="6" t="s">
        <v>40</v>
      </c>
      <c r="F194" s="63" t="s">
        <v>1756</v>
      </c>
      <c r="G194" s="6" t="s">
        <v>41</v>
      </c>
      <c r="H194" s="63" t="s">
        <v>1756</v>
      </c>
      <c r="I194" s="21" t="s">
        <v>335</v>
      </c>
      <c r="J194" s="63" t="s">
        <v>1428</v>
      </c>
      <c r="K194" s="6" t="s">
        <v>336</v>
      </c>
      <c r="L194" s="63" t="s">
        <v>1759</v>
      </c>
      <c r="M194" s="55"/>
      <c r="N194" s="55"/>
      <c r="O194" s="55"/>
      <c r="P194" s="55"/>
      <c r="Q194" s="6">
        <v>1.0</v>
      </c>
      <c r="R194" s="23">
        <v>45965.0</v>
      </c>
      <c r="S194" s="50">
        <v>45971.0</v>
      </c>
      <c r="T194" s="23">
        <v>45968.0</v>
      </c>
      <c r="U194" s="55"/>
      <c r="V194" s="6" t="s">
        <v>44</v>
      </c>
      <c r="W194" s="55"/>
      <c r="X194" s="6" t="s">
        <v>45</v>
      </c>
      <c r="Y194" s="6" t="s">
        <v>46</v>
      </c>
      <c r="Z194" s="6">
        <v>3.040319447E9</v>
      </c>
      <c r="AA194" s="6" t="s">
        <v>64</v>
      </c>
      <c r="AB194" s="6" t="s">
        <v>588</v>
      </c>
      <c r="AC194" s="6" t="s">
        <v>589</v>
      </c>
      <c r="AD194" s="55"/>
      <c r="AE194" s="55"/>
      <c r="AF194" s="55"/>
      <c r="AG194" s="55"/>
    </row>
    <row r="195">
      <c r="A195" s="21">
        <f>COUNTIF('Divulgação'!$B:$B,B195)</f>
        <v>1</v>
      </c>
      <c r="B195" s="62" t="s">
        <v>1761</v>
      </c>
      <c r="C195" s="55"/>
      <c r="D195" s="6" t="s">
        <v>39</v>
      </c>
      <c r="E195" s="6" t="s">
        <v>40</v>
      </c>
      <c r="F195" s="63" t="s">
        <v>1756</v>
      </c>
      <c r="G195" s="6" t="s">
        <v>41</v>
      </c>
      <c r="H195" s="63" t="s">
        <v>1756</v>
      </c>
      <c r="I195" s="21" t="s">
        <v>663</v>
      </c>
      <c r="J195" s="63" t="s">
        <v>1393</v>
      </c>
      <c r="K195" s="6" t="s">
        <v>1762</v>
      </c>
      <c r="L195" s="63" t="s">
        <v>1763</v>
      </c>
      <c r="M195" s="55"/>
      <c r="N195" s="55"/>
      <c r="O195" s="55"/>
      <c r="P195" s="55"/>
      <c r="Q195" s="6">
        <v>1.0</v>
      </c>
      <c r="R195" s="23">
        <v>45965.0</v>
      </c>
      <c r="S195" s="50">
        <v>45971.0</v>
      </c>
      <c r="T195" s="23">
        <v>45968.0</v>
      </c>
      <c r="U195" s="55"/>
      <c r="V195" s="6" t="s">
        <v>103</v>
      </c>
      <c r="W195" s="6">
        <v>3.13260017605E11</v>
      </c>
      <c r="X195" s="6" t="s">
        <v>45</v>
      </c>
      <c r="Y195" s="6" t="s">
        <v>46</v>
      </c>
      <c r="Z195" s="6">
        <v>3.040319891E9</v>
      </c>
      <c r="AA195" s="6" t="s">
        <v>64</v>
      </c>
      <c r="AB195" s="6" t="s">
        <v>1766</v>
      </c>
      <c r="AC195" s="6" t="s">
        <v>1767</v>
      </c>
      <c r="AD195" s="55"/>
      <c r="AE195" s="55"/>
      <c r="AF195" s="55"/>
      <c r="AG195" s="55"/>
    </row>
    <row r="196">
      <c r="A196" s="21">
        <f>COUNTIF('Divulgação'!$B:$B,B196)</f>
        <v>1</v>
      </c>
      <c r="B196" s="62" t="s">
        <v>648</v>
      </c>
      <c r="C196" s="55"/>
      <c r="D196" s="6" t="s">
        <v>39</v>
      </c>
      <c r="E196" s="6" t="s">
        <v>40</v>
      </c>
      <c r="F196" s="63" t="s">
        <v>1768</v>
      </c>
      <c r="G196" s="6" t="s">
        <v>41</v>
      </c>
      <c r="H196" s="63" t="s">
        <v>1768</v>
      </c>
      <c r="I196" s="21" t="s">
        <v>649</v>
      </c>
      <c r="J196" s="6" t="s">
        <v>650</v>
      </c>
      <c r="K196" s="6" t="s">
        <v>651</v>
      </c>
      <c r="L196" s="6" t="s">
        <v>652</v>
      </c>
      <c r="M196" s="55"/>
      <c r="N196" s="55"/>
      <c r="O196" s="55"/>
      <c r="P196" s="55"/>
      <c r="Q196" s="6">
        <v>1.0</v>
      </c>
      <c r="R196" s="23">
        <v>45968.0</v>
      </c>
      <c r="S196" s="50">
        <v>45974.0</v>
      </c>
      <c r="T196" s="50">
        <v>45971.0</v>
      </c>
      <c r="U196" s="55"/>
      <c r="V196" s="6" t="s">
        <v>44</v>
      </c>
      <c r="W196" s="55"/>
      <c r="X196" s="6" t="s">
        <v>45</v>
      </c>
      <c r="Y196" s="6" t="s">
        <v>46</v>
      </c>
      <c r="Z196" s="6">
        <v>3.040302335E9</v>
      </c>
      <c r="AA196" s="6" t="s">
        <v>62</v>
      </c>
      <c r="AB196" s="6" t="s">
        <v>120</v>
      </c>
      <c r="AC196" s="6" t="s">
        <v>655</v>
      </c>
      <c r="AD196" s="55"/>
      <c r="AE196" s="55"/>
      <c r="AF196" s="55"/>
      <c r="AG196" s="55"/>
    </row>
    <row r="197">
      <c r="A197" s="21">
        <f>COUNTIF('Divulgação'!$B:$B,B197)</f>
        <v>1</v>
      </c>
      <c r="B197" s="62" t="s">
        <v>1769</v>
      </c>
      <c r="C197" s="55"/>
      <c r="D197" s="6" t="s">
        <v>39</v>
      </c>
      <c r="E197" s="6" t="s">
        <v>40</v>
      </c>
      <c r="F197" s="63" t="s">
        <v>1770</v>
      </c>
      <c r="G197" s="6" t="s">
        <v>41</v>
      </c>
      <c r="H197" s="63" t="s">
        <v>1770</v>
      </c>
      <c r="I197" s="21" t="s">
        <v>402</v>
      </c>
      <c r="J197" s="6" t="s">
        <v>156</v>
      </c>
      <c r="K197" s="6" t="s">
        <v>403</v>
      </c>
      <c r="L197" s="6" t="s">
        <v>1771</v>
      </c>
      <c r="M197" s="55"/>
      <c r="N197" s="55"/>
      <c r="O197" s="55"/>
      <c r="P197" s="55"/>
      <c r="Q197" s="6">
        <v>1.0</v>
      </c>
      <c r="R197" s="50">
        <v>45973.0</v>
      </c>
      <c r="S197" s="50">
        <v>45979.0</v>
      </c>
      <c r="T197" s="50">
        <v>45978.0</v>
      </c>
      <c r="U197" s="55"/>
      <c r="V197" s="6" t="s">
        <v>44</v>
      </c>
      <c r="W197" s="55"/>
      <c r="X197" s="6" t="s">
        <v>45</v>
      </c>
      <c r="Y197" s="6" t="s">
        <v>46</v>
      </c>
      <c r="Z197" s="6">
        <v>3.040105344E9</v>
      </c>
      <c r="AA197" s="6" t="s">
        <v>45</v>
      </c>
      <c r="AB197" s="6" t="s">
        <v>46</v>
      </c>
      <c r="AC197" s="6" t="s">
        <v>444</v>
      </c>
      <c r="AD197" s="55"/>
      <c r="AE197" s="55"/>
      <c r="AF197" s="55"/>
      <c r="AG197" s="55"/>
    </row>
    <row r="198">
      <c r="A198" s="21">
        <f>COUNTIF('Divulgação'!$B:$B,B198)</f>
        <v>1</v>
      </c>
      <c r="B198" s="62" t="s">
        <v>1773</v>
      </c>
      <c r="C198" s="55"/>
      <c r="D198" s="6" t="s">
        <v>39</v>
      </c>
      <c r="E198" s="6" t="s">
        <v>40</v>
      </c>
      <c r="F198" s="63" t="s">
        <v>1770</v>
      </c>
      <c r="G198" s="6" t="s">
        <v>41</v>
      </c>
      <c r="H198" s="63" t="s">
        <v>1770</v>
      </c>
      <c r="I198" s="21" t="s">
        <v>402</v>
      </c>
      <c r="J198" s="6" t="s">
        <v>156</v>
      </c>
      <c r="K198" s="6" t="s">
        <v>403</v>
      </c>
      <c r="L198" s="6" t="s">
        <v>1774</v>
      </c>
      <c r="M198" s="55"/>
      <c r="N198" s="55"/>
      <c r="O198" s="55"/>
      <c r="P198" s="55"/>
      <c r="Q198" s="6">
        <v>1.0</v>
      </c>
      <c r="R198" s="50">
        <v>45973.0</v>
      </c>
      <c r="S198" s="50">
        <v>45979.0</v>
      </c>
      <c r="T198" s="50">
        <v>45978.0</v>
      </c>
      <c r="U198" s="55"/>
      <c r="V198" s="6" t="s">
        <v>44</v>
      </c>
      <c r="W198" s="55"/>
      <c r="X198" s="6" t="s">
        <v>45</v>
      </c>
      <c r="Y198" s="6" t="s">
        <v>46</v>
      </c>
      <c r="Z198" s="6">
        <v>3.0402127E9</v>
      </c>
      <c r="AA198" s="6" t="s">
        <v>262</v>
      </c>
      <c r="AB198" s="6" t="s">
        <v>1775</v>
      </c>
      <c r="AC198" s="6" t="s">
        <v>1776</v>
      </c>
      <c r="AD198" s="55"/>
      <c r="AE198" s="55"/>
      <c r="AF198" s="55"/>
      <c r="AG198" s="55"/>
    </row>
    <row r="199">
      <c r="A199" s="21">
        <f>COUNTIF('Divulgação'!$B:$B,B199)</f>
        <v>1</v>
      </c>
      <c r="B199" s="62" t="s">
        <v>1777</v>
      </c>
      <c r="C199" s="55"/>
      <c r="D199" s="6" t="s">
        <v>39</v>
      </c>
      <c r="E199" s="6" t="s">
        <v>40</v>
      </c>
      <c r="F199" s="63" t="s">
        <v>1770</v>
      </c>
      <c r="G199" s="6" t="s">
        <v>41</v>
      </c>
      <c r="H199" s="63" t="s">
        <v>1770</v>
      </c>
      <c r="I199" s="21" t="s">
        <v>402</v>
      </c>
      <c r="J199" s="6" t="s">
        <v>156</v>
      </c>
      <c r="K199" s="6" t="s">
        <v>403</v>
      </c>
      <c r="L199" s="63" t="s">
        <v>1778</v>
      </c>
      <c r="M199" s="55"/>
      <c r="N199" s="55"/>
      <c r="O199" s="55"/>
      <c r="P199" s="55"/>
      <c r="Q199" s="6">
        <v>1.0</v>
      </c>
      <c r="R199" s="50">
        <v>45973.0</v>
      </c>
      <c r="S199" s="50">
        <v>45979.0</v>
      </c>
      <c r="T199" s="50">
        <v>45978.0</v>
      </c>
      <c r="U199" s="55"/>
      <c r="V199" s="6" t="s">
        <v>44</v>
      </c>
      <c r="W199" s="55"/>
      <c r="X199" s="6" t="s">
        <v>45</v>
      </c>
      <c r="Y199" s="6" t="s">
        <v>46</v>
      </c>
      <c r="Z199" s="6">
        <v>3.040248741E9</v>
      </c>
      <c r="AA199" s="6" t="s">
        <v>262</v>
      </c>
      <c r="AB199" s="6" t="s">
        <v>263</v>
      </c>
      <c r="AC199" s="6" t="s">
        <v>670</v>
      </c>
      <c r="AD199" s="55"/>
      <c r="AE199" s="55"/>
      <c r="AF199" s="55"/>
      <c r="AG199" s="55"/>
    </row>
    <row r="200">
      <c r="A200" s="21">
        <f>COUNTIF('Divulgação'!$B:$B,B200)</f>
        <v>1</v>
      </c>
      <c r="B200" s="62" t="s">
        <v>656</v>
      </c>
      <c r="C200" s="55"/>
      <c r="D200" s="6" t="s">
        <v>39</v>
      </c>
      <c r="E200" s="6" t="s">
        <v>40</v>
      </c>
      <c r="F200" s="63" t="s">
        <v>1780</v>
      </c>
      <c r="G200" s="6" t="s">
        <v>41</v>
      </c>
      <c r="H200" s="63" t="s">
        <v>1780</v>
      </c>
      <c r="I200" s="21" t="s">
        <v>657</v>
      </c>
      <c r="J200" s="63" t="s">
        <v>1781</v>
      </c>
      <c r="K200" s="6" t="s">
        <v>443</v>
      </c>
      <c r="L200" s="63" t="s">
        <v>1782</v>
      </c>
      <c r="M200" s="55"/>
      <c r="N200" s="55"/>
      <c r="O200" s="55"/>
      <c r="P200" s="55"/>
      <c r="Q200" s="6">
        <v>1.0</v>
      </c>
      <c r="R200" s="50">
        <v>45978.0</v>
      </c>
      <c r="S200" s="23">
        <v>46128.0</v>
      </c>
      <c r="T200" s="50">
        <v>45979.0</v>
      </c>
      <c r="U200" s="55"/>
      <c r="V200" s="6" t="s">
        <v>44</v>
      </c>
      <c r="W200" s="55"/>
      <c r="X200" s="6" t="s">
        <v>45</v>
      </c>
      <c r="Y200" s="6" t="s">
        <v>46</v>
      </c>
      <c r="Z200" s="6">
        <v>3.040301307E9</v>
      </c>
      <c r="AA200" s="6" t="s">
        <v>304</v>
      </c>
      <c r="AB200" s="6" t="s">
        <v>480</v>
      </c>
      <c r="AC200" s="6" t="s">
        <v>481</v>
      </c>
      <c r="AD200" s="55"/>
      <c r="AE200" s="55"/>
      <c r="AF200" s="55"/>
      <c r="AG200" s="55"/>
    </row>
    <row r="201">
      <c r="A201" s="21">
        <f>COUNTIF('Divulgação'!$B:$B,B201)</f>
        <v>1</v>
      </c>
      <c r="B201" s="62" t="s">
        <v>669</v>
      </c>
      <c r="C201" s="55"/>
      <c r="D201" s="6" t="s">
        <v>39</v>
      </c>
      <c r="E201" s="6" t="s">
        <v>40</v>
      </c>
      <c r="F201" s="63" t="s">
        <v>1783</v>
      </c>
      <c r="G201" s="6" t="s">
        <v>41</v>
      </c>
      <c r="H201" s="63" t="s">
        <v>1783</v>
      </c>
      <c r="I201" s="21" t="s">
        <v>402</v>
      </c>
      <c r="J201" s="6" t="s">
        <v>156</v>
      </c>
      <c r="K201" s="6" t="s">
        <v>403</v>
      </c>
      <c r="L201" s="63" t="s">
        <v>1784</v>
      </c>
      <c r="M201" s="55"/>
      <c r="N201" s="55"/>
      <c r="O201" s="55"/>
      <c r="P201" s="55"/>
      <c r="Q201" s="6">
        <v>1.0</v>
      </c>
      <c r="R201" s="50">
        <v>45986.0</v>
      </c>
      <c r="S201" s="23">
        <v>45992.0</v>
      </c>
      <c r="T201" s="50">
        <v>45986.0</v>
      </c>
      <c r="U201" s="55"/>
      <c r="V201" s="6" t="s">
        <v>44</v>
      </c>
      <c r="W201" s="55"/>
      <c r="X201" s="6" t="s">
        <v>45</v>
      </c>
      <c r="Y201" s="6" t="s">
        <v>46</v>
      </c>
      <c r="Z201" s="6">
        <v>3.040278353E9</v>
      </c>
      <c r="AA201" s="6" t="s">
        <v>64</v>
      </c>
      <c r="AB201" s="6" t="s">
        <v>94</v>
      </c>
      <c r="AC201" s="6" t="s">
        <v>670</v>
      </c>
      <c r="AD201" s="55"/>
      <c r="AE201" s="55"/>
      <c r="AF201" s="55"/>
      <c r="AG201" s="55"/>
    </row>
    <row r="202">
      <c r="A202" s="21">
        <f>COUNTIF('Divulgação'!$B:$B,B202)</f>
        <v>1</v>
      </c>
      <c r="B202" s="62" t="s">
        <v>665</v>
      </c>
      <c r="C202" s="55"/>
      <c r="D202" s="6" t="s">
        <v>39</v>
      </c>
      <c r="E202" s="6" t="s">
        <v>40</v>
      </c>
      <c r="F202" s="63" t="s">
        <v>1783</v>
      </c>
      <c r="G202" s="6" t="s">
        <v>41</v>
      </c>
      <c r="H202" s="63" t="s">
        <v>1783</v>
      </c>
      <c r="I202" s="21" t="s">
        <v>402</v>
      </c>
      <c r="J202" s="6" t="s">
        <v>156</v>
      </c>
      <c r="K202" s="6" t="s">
        <v>403</v>
      </c>
      <c r="L202" s="6" t="s">
        <v>666</v>
      </c>
      <c r="M202" s="55"/>
      <c r="N202" s="55"/>
      <c r="O202" s="55"/>
      <c r="P202" s="55"/>
      <c r="Q202" s="6">
        <v>1.0</v>
      </c>
      <c r="R202" s="50">
        <v>45986.0</v>
      </c>
      <c r="S202" s="23">
        <v>45992.0</v>
      </c>
      <c r="T202" s="50">
        <v>45986.0</v>
      </c>
      <c r="U202" s="55"/>
      <c r="V202" s="6" t="s">
        <v>44</v>
      </c>
      <c r="W202" s="55"/>
      <c r="X202" s="6" t="s">
        <v>45</v>
      </c>
      <c r="Y202" s="6" t="s">
        <v>46</v>
      </c>
      <c r="Z202" s="6">
        <v>3.040312875E9</v>
      </c>
      <c r="AA202" s="6" t="s">
        <v>45</v>
      </c>
      <c r="AB202" s="6" t="s">
        <v>46</v>
      </c>
      <c r="AC202" s="6" t="s">
        <v>324</v>
      </c>
      <c r="AD202" s="55"/>
      <c r="AE202" s="55"/>
      <c r="AF202" s="55"/>
      <c r="AG202" s="55"/>
    </row>
    <row r="203">
      <c r="A203" s="21">
        <f>COUNTIF('Divulgação'!$B:$B,B203)</f>
        <v>1</v>
      </c>
      <c r="B203" s="62" t="s">
        <v>660</v>
      </c>
      <c r="C203" s="55"/>
      <c r="D203" s="6" t="s">
        <v>39</v>
      </c>
      <c r="E203" s="6" t="s">
        <v>40</v>
      </c>
      <c r="F203" s="63" t="s">
        <v>1783</v>
      </c>
      <c r="G203" s="6" t="s">
        <v>41</v>
      </c>
      <c r="H203" s="63" t="s">
        <v>1783</v>
      </c>
      <c r="I203" s="21" t="s">
        <v>402</v>
      </c>
      <c r="J203" s="6" t="s">
        <v>156</v>
      </c>
      <c r="K203" s="6" t="s">
        <v>403</v>
      </c>
      <c r="L203" s="6" t="s">
        <v>661</v>
      </c>
      <c r="M203" s="55"/>
      <c r="N203" s="55"/>
      <c r="O203" s="55"/>
      <c r="P203" s="55"/>
      <c r="Q203" s="6">
        <v>1.0</v>
      </c>
      <c r="R203" s="50">
        <v>45986.0</v>
      </c>
      <c r="S203" s="23">
        <v>45992.0</v>
      </c>
      <c r="T203" s="50">
        <v>45986.0</v>
      </c>
      <c r="U203" s="55"/>
      <c r="V203" s="6" t="s">
        <v>44</v>
      </c>
      <c r="W203" s="55"/>
      <c r="X203" s="6" t="s">
        <v>45</v>
      </c>
      <c r="Y203" s="6" t="s">
        <v>46</v>
      </c>
      <c r="Z203" s="6">
        <v>3.040285255E9</v>
      </c>
      <c r="AA203" s="6" t="s">
        <v>62</v>
      </c>
      <c r="AB203" s="6" t="s">
        <v>120</v>
      </c>
      <c r="AC203" s="6" t="s">
        <v>662</v>
      </c>
      <c r="AD203" s="55"/>
      <c r="AE203" s="55"/>
      <c r="AF203" s="55"/>
      <c r="AG203" s="55"/>
    </row>
    <row r="204">
      <c r="A204" s="21">
        <f>COUNTIF('Divulgação'!$B:$B,B204)</f>
        <v>1</v>
      </c>
      <c r="B204" s="62" t="s">
        <v>672</v>
      </c>
      <c r="C204" s="55"/>
      <c r="D204" s="6" t="s">
        <v>39</v>
      </c>
      <c r="E204" s="6" t="s">
        <v>40</v>
      </c>
      <c r="F204" s="63" t="s">
        <v>1783</v>
      </c>
      <c r="G204" s="6" t="s">
        <v>41</v>
      </c>
      <c r="H204" s="63" t="s">
        <v>1783</v>
      </c>
      <c r="I204" s="21" t="s">
        <v>402</v>
      </c>
      <c r="J204" s="6" t="s">
        <v>156</v>
      </c>
      <c r="K204" s="6" t="s">
        <v>403</v>
      </c>
      <c r="L204" s="6" t="s">
        <v>674</v>
      </c>
      <c r="M204" s="55"/>
      <c r="N204" s="55"/>
      <c r="O204" s="55"/>
      <c r="P204" s="55"/>
      <c r="Q204" s="6">
        <v>1.0</v>
      </c>
      <c r="R204" s="50">
        <v>45986.0</v>
      </c>
      <c r="S204" s="23">
        <v>45992.0</v>
      </c>
      <c r="T204" s="50">
        <v>45986.0</v>
      </c>
      <c r="U204" s="55"/>
      <c r="V204" s="6" t="s">
        <v>44</v>
      </c>
      <c r="W204" s="55"/>
      <c r="X204" s="6" t="s">
        <v>45</v>
      </c>
      <c r="Y204" s="6" t="s">
        <v>46</v>
      </c>
      <c r="Z204" s="6">
        <v>3.040262758E9</v>
      </c>
      <c r="AA204" s="6" t="s">
        <v>262</v>
      </c>
      <c r="AB204" s="6" t="s">
        <v>263</v>
      </c>
      <c r="AC204" s="6" t="s">
        <v>675</v>
      </c>
      <c r="AD204" s="55"/>
      <c r="AE204" s="55"/>
      <c r="AF204" s="55"/>
      <c r="AG204" s="55"/>
    </row>
    <row r="205">
      <c r="A205" s="21">
        <f>COUNTIF('Divulgação'!$B:$B,B205)</f>
        <v>1</v>
      </c>
      <c r="B205" s="62" t="s">
        <v>682</v>
      </c>
      <c r="C205" s="55"/>
      <c r="D205" s="6" t="s">
        <v>39</v>
      </c>
      <c r="E205" s="6" t="s">
        <v>40</v>
      </c>
      <c r="F205" s="63" t="s">
        <v>1783</v>
      </c>
      <c r="G205" s="6" t="s">
        <v>41</v>
      </c>
      <c r="H205" s="63" t="s">
        <v>1783</v>
      </c>
      <c r="I205" s="21" t="s">
        <v>678</v>
      </c>
      <c r="J205" s="63" t="s">
        <v>1387</v>
      </c>
      <c r="K205" s="6" t="s">
        <v>680</v>
      </c>
      <c r="L205" s="63" t="s">
        <v>1791</v>
      </c>
      <c r="M205" s="55"/>
      <c r="N205" s="55"/>
      <c r="O205" s="55"/>
      <c r="P205" s="55"/>
      <c r="Q205" s="6">
        <v>1.0</v>
      </c>
      <c r="R205" s="50">
        <v>45986.0</v>
      </c>
      <c r="S205" s="23">
        <v>45992.0</v>
      </c>
      <c r="T205" s="50">
        <v>45986.0</v>
      </c>
      <c r="U205" s="55"/>
      <c r="V205" s="6" t="s">
        <v>44</v>
      </c>
      <c r="W205" s="55"/>
      <c r="X205" s="6" t="s">
        <v>45</v>
      </c>
      <c r="Y205" s="6" t="s">
        <v>46</v>
      </c>
      <c r="Z205" s="6">
        <v>3.040316668E9</v>
      </c>
      <c r="AA205" s="6" t="s">
        <v>45</v>
      </c>
      <c r="AB205" s="6" t="s">
        <v>46</v>
      </c>
      <c r="AC205" s="6" t="s">
        <v>177</v>
      </c>
      <c r="AD205" s="55"/>
      <c r="AE205" s="55"/>
      <c r="AF205" s="55"/>
      <c r="AG205" s="55"/>
    </row>
    <row r="206">
      <c r="A206" s="21">
        <f>COUNTIF('Divulgação'!$B:$B,B206)</f>
        <v>1</v>
      </c>
      <c r="B206" s="62" t="s">
        <v>676</v>
      </c>
      <c r="C206" s="55"/>
      <c r="D206" s="6" t="s">
        <v>39</v>
      </c>
      <c r="E206" s="6" t="s">
        <v>40</v>
      </c>
      <c r="F206" s="63" t="s">
        <v>1783</v>
      </c>
      <c r="G206" s="6" t="s">
        <v>41</v>
      </c>
      <c r="H206" s="63" t="s">
        <v>1783</v>
      </c>
      <c r="I206" s="21" t="s">
        <v>678</v>
      </c>
      <c r="J206" s="63" t="s">
        <v>1387</v>
      </c>
      <c r="K206" s="6" t="s">
        <v>680</v>
      </c>
      <c r="L206" s="63" t="s">
        <v>1792</v>
      </c>
      <c r="M206" s="55"/>
      <c r="N206" s="55"/>
      <c r="O206" s="55"/>
      <c r="P206" s="55"/>
      <c r="Q206" s="6">
        <v>1.0</v>
      </c>
      <c r="R206" s="50">
        <v>45986.0</v>
      </c>
      <c r="S206" s="23">
        <v>45992.0</v>
      </c>
      <c r="T206" s="50">
        <v>45986.0</v>
      </c>
      <c r="U206" s="55"/>
      <c r="V206" s="6" t="s">
        <v>44</v>
      </c>
      <c r="W206" s="55"/>
      <c r="X206" s="6" t="s">
        <v>45</v>
      </c>
      <c r="Y206" s="6" t="s">
        <v>46</v>
      </c>
      <c r="Z206" s="6">
        <v>3.04030424E9</v>
      </c>
      <c r="AA206" s="6" t="s">
        <v>45</v>
      </c>
      <c r="AB206" s="6" t="s">
        <v>203</v>
      </c>
      <c r="AC206" s="6" t="s">
        <v>681</v>
      </c>
      <c r="AD206" s="55"/>
      <c r="AE206" s="55"/>
      <c r="AF206" s="55"/>
      <c r="AG206" s="55"/>
    </row>
    <row r="207">
      <c r="A207" s="21">
        <f>COUNTIF('Divulgação'!$B:$B,B207)</f>
        <v>1</v>
      </c>
      <c r="B207" s="62" t="s">
        <v>1793</v>
      </c>
      <c r="C207" s="55"/>
      <c r="D207" s="6" t="s">
        <v>39</v>
      </c>
      <c r="E207" s="6" t="s">
        <v>40</v>
      </c>
      <c r="F207" s="63" t="s">
        <v>1783</v>
      </c>
      <c r="G207" s="6" t="s">
        <v>41</v>
      </c>
      <c r="H207" s="63" t="s">
        <v>1783</v>
      </c>
      <c r="I207" s="21" t="s">
        <v>684</v>
      </c>
      <c r="J207" s="63" t="s">
        <v>1387</v>
      </c>
      <c r="K207" s="6" t="s">
        <v>685</v>
      </c>
      <c r="L207" s="63" t="s">
        <v>1794</v>
      </c>
      <c r="M207" s="55"/>
      <c r="N207" s="55"/>
      <c r="O207" s="55"/>
      <c r="P207" s="55"/>
      <c r="Q207" s="6">
        <v>1.0</v>
      </c>
      <c r="R207" s="50">
        <v>45986.0</v>
      </c>
      <c r="S207" s="23">
        <v>45992.0</v>
      </c>
      <c r="T207" s="50">
        <v>45986.0</v>
      </c>
      <c r="U207" s="55"/>
      <c r="V207" s="6" t="s">
        <v>44</v>
      </c>
      <c r="W207" s="55"/>
      <c r="X207" s="6" t="s">
        <v>45</v>
      </c>
      <c r="Y207" s="6" t="s">
        <v>46</v>
      </c>
      <c r="Z207" s="6">
        <v>3.040308558E9</v>
      </c>
      <c r="AA207" s="6" t="s">
        <v>75</v>
      </c>
      <c r="AB207" s="6" t="s">
        <v>152</v>
      </c>
      <c r="AC207" s="6" t="s">
        <v>153</v>
      </c>
      <c r="AD207" s="55"/>
      <c r="AE207" s="55"/>
      <c r="AF207" s="55"/>
      <c r="AG207" s="55"/>
    </row>
    <row r="208">
      <c r="A208" s="21">
        <f>COUNTIF('Divulgação'!$B:$B,B208)</f>
        <v>1</v>
      </c>
      <c r="B208" s="62" t="s">
        <v>683</v>
      </c>
      <c r="C208" s="55"/>
      <c r="D208" s="6" t="s">
        <v>39</v>
      </c>
      <c r="E208" s="6" t="s">
        <v>40</v>
      </c>
      <c r="F208" s="63" t="s">
        <v>1783</v>
      </c>
      <c r="G208" s="6" t="s">
        <v>41</v>
      </c>
      <c r="H208" s="63" t="s">
        <v>1783</v>
      </c>
      <c r="I208" s="21" t="s">
        <v>684</v>
      </c>
      <c r="J208" s="63" t="s">
        <v>1387</v>
      </c>
      <c r="K208" s="6" t="s">
        <v>685</v>
      </c>
      <c r="L208" s="63" t="s">
        <v>1798</v>
      </c>
      <c r="M208" s="55"/>
      <c r="N208" s="55"/>
      <c r="O208" s="55"/>
      <c r="P208" s="55"/>
      <c r="Q208" s="6">
        <v>1.0</v>
      </c>
      <c r="R208" s="50">
        <v>45986.0</v>
      </c>
      <c r="S208" s="23">
        <v>45992.0</v>
      </c>
      <c r="T208" s="50">
        <v>45986.0</v>
      </c>
      <c r="U208" s="55"/>
      <c r="V208" s="6" t="s">
        <v>44</v>
      </c>
      <c r="W208" s="55"/>
      <c r="X208" s="6" t="s">
        <v>45</v>
      </c>
      <c r="Y208" s="6" t="s">
        <v>46</v>
      </c>
      <c r="Z208" s="6">
        <v>3.040289327E9</v>
      </c>
      <c r="AA208" s="6" t="s">
        <v>64</v>
      </c>
      <c r="AB208" s="6" t="s">
        <v>94</v>
      </c>
      <c r="AC208" s="6" t="s">
        <v>688</v>
      </c>
      <c r="AD208" s="55"/>
      <c r="AE208" s="55"/>
      <c r="AF208" s="55"/>
      <c r="AG208" s="55"/>
    </row>
    <row r="209">
      <c r="A209" s="21">
        <f>COUNTIF('Divulgação'!$B:$B,B209)</f>
        <v>1</v>
      </c>
      <c r="B209" s="62" t="s">
        <v>689</v>
      </c>
      <c r="C209" s="55"/>
      <c r="D209" s="6" t="s">
        <v>39</v>
      </c>
      <c r="E209" s="6" t="s">
        <v>40</v>
      </c>
      <c r="F209" s="63" t="s">
        <v>1783</v>
      </c>
      <c r="G209" s="6" t="s">
        <v>41</v>
      </c>
      <c r="H209" s="63" t="s">
        <v>1783</v>
      </c>
      <c r="I209" s="21" t="s">
        <v>684</v>
      </c>
      <c r="J209" s="63" t="s">
        <v>1387</v>
      </c>
      <c r="K209" s="6" t="s">
        <v>685</v>
      </c>
      <c r="L209" s="63" t="s">
        <v>1799</v>
      </c>
      <c r="M209" s="55"/>
      <c r="N209" s="55"/>
      <c r="O209" s="55"/>
      <c r="P209" s="55"/>
      <c r="Q209" s="6">
        <v>1.0</v>
      </c>
      <c r="R209" s="50">
        <v>45986.0</v>
      </c>
      <c r="S209" s="23">
        <v>45992.0</v>
      </c>
      <c r="T209" s="50">
        <v>45986.0</v>
      </c>
      <c r="U209" s="55"/>
      <c r="V209" s="6" t="s">
        <v>44</v>
      </c>
      <c r="W209" s="55"/>
      <c r="X209" s="6" t="s">
        <v>45</v>
      </c>
      <c r="Y209" s="6" t="s">
        <v>46</v>
      </c>
      <c r="Z209" s="6">
        <v>3.040288563E9</v>
      </c>
      <c r="AA209" s="6" t="s">
        <v>75</v>
      </c>
      <c r="AB209" s="6" t="s">
        <v>152</v>
      </c>
      <c r="AC209" s="6" t="s">
        <v>153</v>
      </c>
      <c r="AD209" s="55"/>
      <c r="AE209" s="55"/>
      <c r="AF209" s="55"/>
      <c r="AG209" s="55"/>
    </row>
    <row r="210">
      <c r="A210" s="21">
        <f>COUNTIF('Divulgação'!$B:$B,B210)</f>
        <v>1</v>
      </c>
      <c r="B210" s="62" t="s">
        <v>693</v>
      </c>
      <c r="C210" s="55"/>
      <c r="D210" s="6" t="s">
        <v>39</v>
      </c>
      <c r="E210" s="6" t="s">
        <v>40</v>
      </c>
      <c r="F210" s="63" t="s">
        <v>1800</v>
      </c>
      <c r="G210" s="6" t="s">
        <v>41</v>
      </c>
      <c r="H210" s="63" t="s">
        <v>1800</v>
      </c>
      <c r="I210" s="21" t="s">
        <v>274</v>
      </c>
      <c r="J210" s="6" t="s">
        <v>275</v>
      </c>
      <c r="K210" s="6" t="s">
        <v>276</v>
      </c>
      <c r="L210" s="63" t="s">
        <v>1801</v>
      </c>
      <c r="M210" s="55"/>
      <c r="N210" s="55"/>
      <c r="O210" s="55"/>
      <c r="P210" s="55"/>
      <c r="Q210" s="6">
        <v>1.0</v>
      </c>
      <c r="R210" s="23">
        <v>45996.0</v>
      </c>
      <c r="S210" s="50">
        <v>46002.0</v>
      </c>
      <c r="T210" s="23">
        <v>46000.0</v>
      </c>
      <c r="U210" s="55"/>
      <c r="V210" s="6" t="s">
        <v>44</v>
      </c>
      <c r="W210" s="55"/>
      <c r="X210" s="6" t="s">
        <v>45</v>
      </c>
      <c r="Y210" s="6" t="s">
        <v>46</v>
      </c>
      <c r="Z210" s="6">
        <v>3.040312886E9</v>
      </c>
      <c r="AA210" s="6" t="s">
        <v>45</v>
      </c>
      <c r="AB210" s="6" t="s">
        <v>46</v>
      </c>
      <c r="AC210" s="6" t="s">
        <v>324</v>
      </c>
      <c r="AD210" s="55"/>
      <c r="AE210" s="55"/>
      <c r="AF210" s="55"/>
      <c r="AG210" s="55"/>
    </row>
    <row r="211">
      <c r="A211" s="21">
        <f>COUNTIF('Divulgação'!$B:$B,B211)</f>
        <v>1</v>
      </c>
      <c r="B211" s="62" t="s">
        <v>696</v>
      </c>
      <c r="C211" s="55"/>
      <c r="D211" s="6" t="s">
        <v>39</v>
      </c>
      <c r="E211" s="6" t="s">
        <v>40</v>
      </c>
      <c r="F211" s="63" t="s">
        <v>1800</v>
      </c>
      <c r="G211" s="6" t="s">
        <v>41</v>
      </c>
      <c r="H211" s="63" t="s">
        <v>1800</v>
      </c>
      <c r="I211" s="21" t="s">
        <v>697</v>
      </c>
      <c r="J211" s="63" t="s">
        <v>1806</v>
      </c>
      <c r="K211" s="6" t="s">
        <v>698</v>
      </c>
      <c r="L211" s="6" t="s">
        <v>699</v>
      </c>
      <c r="M211" s="55"/>
      <c r="N211" s="55"/>
      <c r="O211" s="55"/>
      <c r="P211" s="55"/>
      <c r="Q211" s="6">
        <v>1.0</v>
      </c>
      <c r="R211" s="23">
        <v>45996.0</v>
      </c>
      <c r="S211" s="50">
        <v>46002.0</v>
      </c>
      <c r="T211" s="23">
        <v>46000.0</v>
      </c>
      <c r="U211" s="55"/>
      <c r="V211" s="6" t="s">
        <v>44</v>
      </c>
      <c r="W211" s="55"/>
      <c r="X211" s="6" t="s">
        <v>45</v>
      </c>
      <c r="Y211" s="6" t="s">
        <v>46</v>
      </c>
      <c r="Z211" s="6">
        <v>3.040317039E9</v>
      </c>
      <c r="AA211" s="6" t="s">
        <v>45</v>
      </c>
      <c r="AB211" s="6" t="s">
        <v>46</v>
      </c>
      <c r="AC211" s="6" t="s">
        <v>177</v>
      </c>
      <c r="AD211" s="55"/>
      <c r="AE211" s="55"/>
      <c r="AF211" s="55"/>
      <c r="AG211" s="55"/>
    </row>
    <row r="212">
      <c r="A212" s="21">
        <f>COUNTIF('Divulgação'!$B:$B,B212)</f>
        <v>1</v>
      </c>
      <c r="B212" s="62" t="s">
        <v>1808</v>
      </c>
      <c r="C212" s="55"/>
      <c r="D212" s="6" t="s">
        <v>39</v>
      </c>
      <c r="E212" s="6" t="s">
        <v>40</v>
      </c>
      <c r="F212" s="63" t="s">
        <v>1800</v>
      </c>
      <c r="G212" s="6" t="s">
        <v>41</v>
      </c>
      <c r="H212" s="63" t="s">
        <v>1800</v>
      </c>
      <c r="I212" s="21" t="s">
        <v>697</v>
      </c>
      <c r="J212" s="63" t="s">
        <v>1806</v>
      </c>
      <c r="K212" s="6" t="s">
        <v>698</v>
      </c>
      <c r="L212" s="6" t="s">
        <v>1809</v>
      </c>
      <c r="M212" s="55"/>
      <c r="N212" s="55"/>
      <c r="O212" s="55"/>
      <c r="P212" s="55"/>
      <c r="Q212" s="6">
        <v>1.0</v>
      </c>
      <c r="R212" s="23">
        <v>45996.0</v>
      </c>
      <c r="S212" s="50">
        <v>46002.0</v>
      </c>
      <c r="T212" s="23">
        <v>46000.0</v>
      </c>
      <c r="U212" s="55"/>
      <c r="V212" s="6" t="s">
        <v>44</v>
      </c>
      <c r="W212" s="55"/>
      <c r="X212" s="6" t="s">
        <v>45</v>
      </c>
      <c r="Y212" s="6" t="s">
        <v>46</v>
      </c>
      <c r="Z212" s="6">
        <v>3.040315526E9</v>
      </c>
      <c r="AA212" s="6" t="s">
        <v>45</v>
      </c>
      <c r="AB212" s="6" t="s">
        <v>46</v>
      </c>
      <c r="AC212" s="6" t="s">
        <v>324</v>
      </c>
      <c r="AD212" s="55"/>
      <c r="AE212" s="55"/>
      <c r="AF212" s="55"/>
      <c r="AG212" s="55"/>
    </row>
    <row r="213">
      <c r="A213" s="21">
        <f>COUNTIF('Divulgação'!$B:$B,B213)</f>
        <v>1</v>
      </c>
      <c r="B213" s="62" t="s">
        <v>1810</v>
      </c>
      <c r="C213" s="55"/>
      <c r="D213" s="6" t="s">
        <v>39</v>
      </c>
      <c r="E213" s="6" t="s">
        <v>40</v>
      </c>
      <c r="F213" s="63" t="s">
        <v>1800</v>
      </c>
      <c r="G213" s="6" t="s">
        <v>41</v>
      </c>
      <c r="H213" s="63" t="s">
        <v>1800</v>
      </c>
      <c r="I213" s="21" t="s">
        <v>697</v>
      </c>
      <c r="J213" s="63" t="s">
        <v>1806</v>
      </c>
      <c r="K213" s="6" t="s">
        <v>698</v>
      </c>
      <c r="L213" s="6" t="s">
        <v>1811</v>
      </c>
      <c r="M213" s="55"/>
      <c r="N213" s="55"/>
      <c r="O213" s="55"/>
      <c r="P213" s="55"/>
      <c r="Q213" s="6">
        <v>1.0</v>
      </c>
      <c r="R213" s="23">
        <v>45996.0</v>
      </c>
      <c r="S213" s="50">
        <v>46002.0</v>
      </c>
      <c r="T213" s="23">
        <v>46000.0</v>
      </c>
      <c r="U213" s="55"/>
      <c r="V213" s="6" t="s">
        <v>44</v>
      </c>
      <c r="W213" s="55"/>
      <c r="X213" s="6" t="s">
        <v>45</v>
      </c>
      <c r="Y213" s="6" t="s">
        <v>46</v>
      </c>
      <c r="Z213" s="6">
        <v>3.040316189E9</v>
      </c>
      <c r="AA213" s="6" t="s">
        <v>45</v>
      </c>
      <c r="AB213" s="6" t="s">
        <v>46</v>
      </c>
      <c r="AC213" s="6" t="s">
        <v>324</v>
      </c>
      <c r="AD213" s="55"/>
      <c r="AE213" s="55"/>
      <c r="AF213" s="55"/>
      <c r="AG213" s="55"/>
    </row>
    <row r="214">
      <c r="A214" s="21">
        <f>COUNTIF('Divulgação'!$B:$B,B214)</f>
        <v>1</v>
      </c>
      <c r="B214" s="62" t="s">
        <v>705</v>
      </c>
      <c r="C214" s="55"/>
      <c r="D214" s="6" t="s">
        <v>39</v>
      </c>
      <c r="E214" s="6" t="s">
        <v>40</v>
      </c>
      <c r="F214" s="63" t="s">
        <v>1814</v>
      </c>
      <c r="G214" s="6" t="s">
        <v>41</v>
      </c>
      <c r="H214" s="63" t="s">
        <v>1814</v>
      </c>
      <c r="I214" s="21" t="s">
        <v>702</v>
      </c>
      <c r="J214" s="6" t="s">
        <v>156</v>
      </c>
      <c r="K214" s="6" t="s">
        <v>703</v>
      </c>
      <c r="L214" s="63" t="s">
        <v>1815</v>
      </c>
      <c r="M214" s="55"/>
      <c r="N214" s="55"/>
      <c r="O214" s="55"/>
      <c r="P214" s="55"/>
      <c r="Q214" s="6">
        <v>1.0</v>
      </c>
      <c r="R214" s="23">
        <v>46000.0</v>
      </c>
      <c r="S214" s="50">
        <v>46006.0</v>
      </c>
      <c r="T214" s="50">
        <v>46007.0</v>
      </c>
      <c r="U214" s="55"/>
      <c r="V214" s="6" t="s">
        <v>44</v>
      </c>
      <c r="W214" s="55"/>
      <c r="X214" s="6" t="s">
        <v>45</v>
      </c>
      <c r="Y214" s="6" t="s">
        <v>46</v>
      </c>
      <c r="Z214" s="6">
        <v>3.040310548E9</v>
      </c>
      <c r="AA214" s="6" t="s">
        <v>45</v>
      </c>
      <c r="AB214" s="6" t="s">
        <v>46</v>
      </c>
      <c r="AC214" s="6" t="s">
        <v>80</v>
      </c>
      <c r="AD214" s="55"/>
      <c r="AE214" s="55"/>
      <c r="AF214" s="55"/>
      <c r="AG214" s="55"/>
    </row>
    <row r="215">
      <c r="A215" s="21">
        <f>COUNTIF('Divulgação'!$B:$B,B215)</f>
        <v>1</v>
      </c>
      <c r="B215" s="62" t="s">
        <v>708</v>
      </c>
      <c r="C215" s="55"/>
      <c r="D215" s="6" t="s">
        <v>39</v>
      </c>
      <c r="E215" s="6" t="s">
        <v>40</v>
      </c>
      <c r="F215" s="63" t="s">
        <v>1814</v>
      </c>
      <c r="G215" s="6" t="s">
        <v>41</v>
      </c>
      <c r="H215" s="63" t="s">
        <v>1814</v>
      </c>
      <c r="I215" s="21" t="s">
        <v>564</v>
      </c>
      <c r="J215" s="63" t="s">
        <v>1387</v>
      </c>
      <c r="K215" s="6" t="s">
        <v>566</v>
      </c>
      <c r="L215" s="6" t="s">
        <v>709</v>
      </c>
      <c r="M215" s="55"/>
      <c r="N215" s="55"/>
      <c r="O215" s="55"/>
      <c r="P215" s="55"/>
      <c r="Q215" s="6">
        <v>1.0</v>
      </c>
      <c r="R215" s="23">
        <v>46000.0</v>
      </c>
      <c r="S215" s="50">
        <v>46006.0</v>
      </c>
      <c r="T215" s="50">
        <v>46007.0</v>
      </c>
      <c r="U215" s="55"/>
      <c r="V215" s="6" t="s">
        <v>44</v>
      </c>
      <c r="W215" s="55"/>
      <c r="X215" s="6" t="s">
        <v>45</v>
      </c>
      <c r="Y215" s="6" t="s">
        <v>46</v>
      </c>
      <c r="Z215" s="6">
        <v>3.040320858E9</v>
      </c>
      <c r="AA215" s="6" t="s">
        <v>64</v>
      </c>
      <c r="AB215" s="6" t="s">
        <v>399</v>
      </c>
      <c r="AC215" s="6" t="s">
        <v>710</v>
      </c>
      <c r="AD215" s="55"/>
      <c r="AE215" s="55"/>
      <c r="AF215" s="55"/>
      <c r="AG215" s="55"/>
    </row>
    <row r="216">
      <c r="A216" s="21">
        <f>COUNTIF('Divulgação'!$B:$B,B216)</f>
        <v>1</v>
      </c>
      <c r="B216" s="62" t="s">
        <v>700</v>
      </c>
      <c r="C216" s="55"/>
      <c r="D216" s="6" t="s">
        <v>39</v>
      </c>
      <c r="E216" s="6" t="s">
        <v>40</v>
      </c>
      <c r="F216" s="63" t="s">
        <v>1814</v>
      </c>
      <c r="G216" s="6" t="s">
        <v>41</v>
      </c>
      <c r="H216" s="63" t="s">
        <v>1814</v>
      </c>
      <c r="I216" s="21" t="s">
        <v>702</v>
      </c>
      <c r="J216" s="6" t="s">
        <v>156</v>
      </c>
      <c r="K216" s="6" t="s">
        <v>703</v>
      </c>
      <c r="L216" s="63" t="s">
        <v>1816</v>
      </c>
      <c r="M216" s="55"/>
      <c r="N216" s="55"/>
      <c r="O216" s="55"/>
      <c r="P216" s="55"/>
      <c r="Q216" s="6">
        <v>1.0</v>
      </c>
      <c r="R216" s="23">
        <v>46000.0</v>
      </c>
      <c r="S216" s="50">
        <v>46006.0</v>
      </c>
      <c r="T216" s="50">
        <v>46007.0</v>
      </c>
      <c r="U216" s="55"/>
      <c r="V216" s="6" t="s">
        <v>44</v>
      </c>
      <c r="W216" s="55"/>
      <c r="X216" s="6" t="s">
        <v>45</v>
      </c>
      <c r="Y216" s="6" t="s">
        <v>46</v>
      </c>
      <c r="Z216" s="6">
        <v>3.040310549E9</v>
      </c>
      <c r="AA216" s="6" t="s">
        <v>45</v>
      </c>
      <c r="AB216" s="6" t="s">
        <v>46</v>
      </c>
      <c r="AC216" s="6" t="s">
        <v>80</v>
      </c>
      <c r="AD216" s="55"/>
      <c r="AE216" s="55"/>
      <c r="AF216" s="55"/>
      <c r="AG216" s="55"/>
    </row>
    <row r="217">
      <c r="A217" s="21">
        <f>COUNTIF('Divulgação'!$B:$B,B217)</f>
        <v>1</v>
      </c>
      <c r="B217" s="62" t="s">
        <v>1817</v>
      </c>
      <c r="C217" s="55"/>
      <c r="D217" s="6" t="s">
        <v>39</v>
      </c>
      <c r="E217" s="6" t="s">
        <v>40</v>
      </c>
      <c r="F217" s="63" t="s">
        <v>1818</v>
      </c>
      <c r="G217" s="6" t="s">
        <v>41</v>
      </c>
      <c r="H217" s="63" t="s">
        <v>1818</v>
      </c>
      <c r="I217" s="21" t="s">
        <v>164</v>
      </c>
      <c r="J217" s="63" t="s">
        <v>1409</v>
      </c>
      <c r="K217" s="6" t="s">
        <v>165</v>
      </c>
      <c r="L217" s="6" t="s">
        <v>1192</v>
      </c>
      <c r="M217" s="55"/>
      <c r="N217" s="55"/>
      <c r="O217" s="55"/>
      <c r="P217" s="55"/>
      <c r="Q217" s="6">
        <v>1.0</v>
      </c>
      <c r="R217" s="50">
        <v>46010.0</v>
      </c>
      <c r="S217" s="23">
        <v>46029.0</v>
      </c>
      <c r="T217" s="50">
        <v>46010.0</v>
      </c>
      <c r="U217" s="55"/>
      <c r="V217" s="6" t="s">
        <v>44</v>
      </c>
      <c r="W217" s="55"/>
      <c r="X217" s="6" t="s">
        <v>45</v>
      </c>
      <c r="Y217" s="6" t="s">
        <v>46</v>
      </c>
      <c r="Z217" s="6">
        <v>3.040319287E9</v>
      </c>
      <c r="AA217" s="6" t="s">
        <v>45</v>
      </c>
      <c r="AB217" s="6" t="s">
        <v>46</v>
      </c>
      <c r="AC217" s="6" t="s">
        <v>324</v>
      </c>
      <c r="AD217" s="55"/>
      <c r="AE217" s="55"/>
      <c r="AF217" s="55"/>
      <c r="AG217" s="55"/>
    </row>
    <row r="218">
      <c r="A218" s="21">
        <f>COUNTIF('Divulgação'!$B:$B,B218)</f>
        <v>1</v>
      </c>
      <c r="B218" s="62" t="s">
        <v>716</v>
      </c>
      <c r="C218" s="55"/>
      <c r="D218" s="6" t="s">
        <v>39</v>
      </c>
      <c r="E218" s="6" t="s">
        <v>40</v>
      </c>
      <c r="F218" s="63" t="s">
        <v>1818</v>
      </c>
      <c r="G218" s="6" t="s">
        <v>41</v>
      </c>
      <c r="H218" s="63" t="s">
        <v>1818</v>
      </c>
      <c r="I218" s="21" t="s">
        <v>717</v>
      </c>
      <c r="J218" s="6" t="s">
        <v>156</v>
      </c>
      <c r="K218" s="6" t="s">
        <v>101</v>
      </c>
      <c r="L218" s="63" t="s">
        <v>1819</v>
      </c>
      <c r="M218" s="55"/>
      <c r="N218" s="55"/>
      <c r="O218" s="55"/>
      <c r="P218" s="55"/>
      <c r="Q218" s="6">
        <v>1.0</v>
      </c>
      <c r="R218" s="50">
        <v>46010.0</v>
      </c>
      <c r="S218" s="23">
        <v>46029.0</v>
      </c>
      <c r="T218" s="50">
        <v>46010.0</v>
      </c>
      <c r="U218" s="55"/>
      <c r="V218" s="6" t="s">
        <v>44</v>
      </c>
      <c r="W218" s="55"/>
      <c r="X218" s="6" t="s">
        <v>45</v>
      </c>
      <c r="Y218" s="6" t="s">
        <v>46</v>
      </c>
      <c r="Z218" s="6">
        <v>3.040297631E9</v>
      </c>
      <c r="AA218" s="6" t="s">
        <v>64</v>
      </c>
      <c r="AB218" s="6" t="s">
        <v>94</v>
      </c>
      <c r="AC218" s="6" t="s">
        <v>95</v>
      </c>
      <c r="AD218" s="55"/>
      <c r="AE218" s="55"/>
      <c r="AF218" s="55"/>
      <c r="AG218" s="55"/>
    </row>
    <row r="219">
      <c r="A219" s="21">
        <f>COUNTIF('Divulgação'!$B:$B,B219)</f>
        <v>1</v>
      </c>
      <c r="B219" s="62" t="s">
        <v>712</v>
      </c>
      <c r="C219" s="55"/>
      <c r="D219" s="6" t="s">
        <v>39</v>
      </c>
      <c r="E219" s="6" t="s">
        <v>40</v>
      </c>
      <c r="F219" s="63" t="s">
        <v>1818</v>
      </c>
      <c r="G219" s="6" t="s">
        <v>41</v>
      </c>
      <c r="H219" s="63" t="s">
        <v>1818</v>
      </c>
      <c r="I219" s="21" t="s">
        <v>164</v>
      </c>
      <c r="J219" s="63" t="s">
        <v>1409</v>
      </c>
      <c r="K219" s="6" t="s">
        <v>165</v>
      </c>
      <c r="L219" s="6" t="s">
        <v>713</v>
      </c>
      <c r="M219" s="55"/>
      <c r="N219" s="55"/>
      <c r="O219" s="55"/>
      <c r="P219" s="55"/>
      <c r="Q219" s="6">
        <v>1.0</v>
      </c>
      <c r="R219" s="50">
        <v>46010.0</v>
      </c>
      <c r="S219" s="23">
        <v>46029.0</v>
      </c>
      <c r="T219" s="50">
        <v>46010.0</v>
      </c>
      <c r="U219" s="55"/>
      <c r="V219" s="6" t="s">
        <v>44</v>
      </c>
      <c r="W219" s="55"/>
      <c r="X219" s="6" t="s">
        <v>45</v>
      </c>
      <c r="Y219" s="6" t="s">
        <v>46</v>
      </c>
      <c r="Z219" s="6">
        <v>3.040316656E9</v>
      </c>
      <c r="AA219" s="6" t="s">
        <v>45</v>
      </c>
      <c r="AB219" s="6" t="s">
        <v>46</v>
      </c>
      <c r="AC219" s="6" t="s">
        <v>324</v>
      </c>
      <c r="AD219" s="55"/>
      <c r="AE219" s="55"/>
      <c r="AF219" s="55"/>
      <c r="AG219" s="55"/>
    </row>
    <row r="220">
      <c r="A220" s="21">
        <f>COUNTIF('Divulgação'!$B:$B,B220)</f>
        <v>1</v>
      </c>
      <c r="B220" s="62" t="s">
        <v>725</v>
      </c>
      <c r="C220" s="55"/>
      <c r="D220" s="6" t="s">
        <v>39</v>
      </c>
      <c r="E220" s="6" t="s">
        <v>40</v>
      </c>
      <c r="F220" s="63" t="s">
        <v>1818</v>
      </c>
      <c r="G220" s="6" t="s">
        <v>41</v>
      </c>
      <c r="H220" s="63" t="s">
        <v>1818</v>
      </c>
      <c r="I220" s="21" t="s">
        <v>721</v>
      </c>
      <c r="J220" s="6" t="s">
        <v>156</v>
      </c>
      <c r="K220" s="6" t="s">
        <v>722</v>
      </c>
      <c r="L220" s="6" t="s">
        <v>727</v>
      </c>
      <c r="M220" s="55"/>
      <c r="N220" s="55"/>
      <c r="O220" s="55"/>
      <c r="P220" s="55"/>
      <c r="Q220" s="6">
        <v>1.0</v>
      </c>
      <c r="R220" s="50">
        <v>46010.0</v>
      </c>
      <c r="S220" s="23">
        <v>46029.0</v>
      </c>
      <c r="T220" s="50">
        <v>46010.0</v>
      </c>
      <c r="U220" s="55"/>
      <c r="V220" s="6" t="s">
        <v>103</v>
      </c>
      <c r="W220" s="6">
        <v>3.13250017309E11</v>
      </c>
      <c r="X220" s="6" t="s">
        <v>45</v>
      </c>
      <c r="Y220" s="6" t="s">
        <v>46</v>
      </c>
      <c r="Z220" s="6">
        <v>3.040309457E9</v>
      </c>
      <c r="AA220" s="6" t="s">
        <v>63</v>
      </c>
      <c r="AB220" s="6" t="s">
        <v>72</v>
      </c>
      <c r="AC220" s="6" t="s">
        <v>355</v>
      </c>
      <c r="AD220" s="55"/>
      <c r="AE220" s="55"/>
      <c r="AF220" s="55"/>
      <c r="AG220" s="55"/>
    </row>
    <row r="221">
      <c r="A221" s="21">
        <f>COUNTIF('Divulgação'!$B:$B,B221)</f>
        <v>1</v>
      </c>
      <c r="B221" s="62" t="s">
        <v>718</v>
      </c>
      <c r="C221" s="55"/>
      <c r="D221" s="6" t="s">
        <v>39</v>
      </c>
      <c r="E221" s="6" t="s">
        <v>40</v>
      </c>
      <c r="F221" s="63" t="s">
        <v>1818</v>
      </c>
      <c r="G221" s="6" t="s">
        <v>41</v>
      </c>
      <c r="H221" s="63" t="s">
        <v>1818</v>
      </c>
      <c r="I221" s="21" t="s">
        <v>721</v>
      </c>
      <c r="J221" s="6" t="s">
        <v>156</v>
      </c>
      <c r="K221" s="6" t="s">
        <v>722</v>
      </c>
      <c r="L221" s="6" t="s">
        <v>723</v>
      </c>
      <c r="M221" s="55"/>
      <c r="N221" s="55"/>
      <c r="O221" s="55"/>
      <c r="P221" s="55"/>
      <c r="Q221" s="6">
        <v>1.0</v>
      </c>
      <c r="R221" s="23">
        <v>45962.0</v>
      </c>
      <c r="S221" s="23">
        <v>46054.0</v>
      </c>
      <c r="T221" s="50">
        <v>46010.0</v>
      </c>
      <c r="U221" s="55"/>
      <c r="V221" s="6" t="s">
        <v>44</v>
      </c>
      <c r="W221" s="55"/>
      <c r="X221" s="6" t="s">
        <v>45</v>
      </c>
      <c r="Y221" s="6" t="s">
        <v>46</v>
      </c>
      <c r="Z221" s="6">
        <v>3.040309287E9</v>
      </c>
      <c r="AA221" s="6" t="s">
        <v>63</v>
      </c>
      <c r="AB221" s="6" t="s">
        <v>72</v>
      </c>
      <c r="AC221" s="6" t="s">
        <v>724</v>
      </c>
      <c r="AD221" s="55"/>
      <c r="AE221" s="55"/>
      <c r="AF221" s="55"/>
      <c r="AG221" s="55"/>
    </row>
    <row r="222">
      <c r="A222" s="21">
        <f>COUNTIF('Divulgação'!$B:$B,B222)</f>
        <v>1</v>
      </c>
      <c r="B222" s="62" t="s">
        <v>1744</v>
      </c>
      <c r="C222" s="55"/>
      <c r="D222" s="6" t="s">
        <v>39</v>
      </c>
      <c r="E222" s="6" t="s">
        <v>40</v>
      </c>
      <c r="F222" s="63" t="s">
        <v>1824</v>
      </c>
      <c r="G222" s="6" t="s">
        <v>41</v>
      </c>
      <c r="H222" s="63" t="s">
        <v>1824</v>
      </c>
      <c r="I222" s="21" t="s">
        <v>226</v>
      </c>
      <c r="J222" s="63" t="s">
        <v>1428</v>
      </c>
      <c r="K222" s="6" t="s">
        <v>320</v>
      </c>
      <c r="L222" s="63" t="s">
        <v>1825</v>
      </c>
      <c r="M222" s="55"/>
      <c r="N222" s="55"/>
      <c r="O222" s="55"/>
      <c r="P222" s="55"/>
      <c r="Q222" s="6">
        <v>1.0</v>
      </c>
      <c r="R222" s="50">
        <v>46014.0</v>
      </c>
      <c r="S222" s="23">
        <v>46030.0</v>
      </c>
      <c r="T222" s="23">
        <v>46028.0</v>
      </c>
      <c r="U222" s="55"/>
      <c r="V222" s="6" t="s">
        <v>103</v>
      </c>
      <c r="W222" s="6">
        <v>3.96250015728E11</v>
      </c>
      <c r="X222" s="6" t="s">
        <v>45</v>
      </c>
      <c r="Y222" s="6" t="s">
        <v>46</v>
      </c>
      <c r="Z222" s="6">
        <v>3.040322748E9</v>
      </c>
      <c r="AA222" s="6" t="s">
        <v>76</v>
      </c>
      <c r="AB222" s="6" t="s">
        <v>152</v>
      </c>
      <c r="AC222" s="6" t="s">
        <v>790</v>
      </c>
      <c r="AD222" s="55"/>
      <c r="AE222" s="55"/>
      <c r="AF222" s="55"/>
      <c r="AG222" s="55"/>
    </row>
    <row r="223">
      <c r="A223" s="21">
        <f>COUNTIF('Divulgação'!$B:$B,B223)</f>
        <v>1</v>
      </c>
      <c r="B223" s="62" t="s">
        <v>728</v>
      </c>
      <c r="C223" s="55"/>
      <c r="D223" s="6" t="s">
        <v>39</v>
      </c>
      <c r="E223" s="6" t="s">
        <v>40</v>
      </c>
      <c r="F223" s="63" t="s">
        <v>1824</v>
      </c>
      <c r="G223" s="6" t="s">
        <v>41</v>
      </c>
      <c r="H223" s="63" t="s">
        <v>1824</v>
      </c>
      <c r="I223" s="21" t="s">
        <v>231</v>
      </c>
      <c r="J223" s="63" t="s">
        <v>1428</v>
      </c>
      <c r="K223" s="6" t="s">
        <v>232</v>
      </c>
      <c r="L223" s="63" t="s">
        <v>1828</v>
      </c>
      <c r="M223" s="55"/>
      <c r="N223" s="55"/>
      <c r="O223" s="55"/>
      <c r="P223" s="55"/>
      <c r="Q223" s="6">
        <v>1.0</v>
      </c>
      <c r="R223" s="50">
        <v>46014.0</v>
      </c>
      <c r="S223" s="23">
        <v>46030.0</v>
      </c>
      <c r="T223" s="23">
        <v>46028.0</v>
      </c>
      <c r="U223" s="55"/>
      <c r="V223" s="6" t="s">
        <v>44</v>
      </c>
      <c r="W223" s="55"/>
      <c r="X223" s="6" t="s">
        <v>45</v>
      </c>
      <c r="Y223" s="6" t="s">
        <v>46</v>
      </c>
      <c r="Z223" s="6">
        <v>3.040321817E9</v>
      </c>
      <c r="AA223" s="6" t="s">
        <v>62</v>
      </c>
      <c r="AB223" s="6" t="s">
        <v>328</v>
      </c>
      <c r="AC223" s="6" t="s">
        <v>731</v>
      </c>
      <c r="AD223" s="55"/>
      <c r="AE223" s="55"/>
      <c r="AF223" s="55"/>
      <c r="AG223" s="55"/>
    </row>
    <row r="224">
      <c r="A224" s="21">
        <f>COUNTIF('Divulgação'!$B:$B,B224)</f>
        <v>1</v>
      </c>
      <c r="B224" s="62" t="s">
        <v>732</v>
      </c>
      <c r="C224" s="55"/>
      <c r="D224" s="6" t="s">
        <v>39</v>
      </c>
      <c r="E224" s="6" t="s">
        <v>40</v>
      </c>
      <c r="F224" s="63" t="s">
        <v>1824</v>
      </c>
      <c r="G224" s="6" t="s">
        <v>41</v>
      </c>
      <c r="H224" s="63" t="s">
        <v>1824</v>
      </c>
      <c r="I224" s="21" t="s">
        <v>231</v>
      </c>
      <c r="J224" s="63" t="s">
        <v>1428</v>
      </c>
      <c r="K224" s="6" t="s">
        <v>232</v>
      </c>
      <c r="L224" s="63" t="s">
        <v>1831</v>
      </c>
      <c r="M224" s="55"/>
      <c r="N224" s="55"/>
      <c r="O224" s="55"/>
      <c r="P224" s="55"/>
      <c r="Q224" s="6">
        <v>1.0</v>
      </c>
      <c r="R224" s="50">
        <v>46014.0</v>
      </c>
      <c r="S224" s="23">
        <v>46030.0</v>
      </c>
      <c r="T224" s="23">
        <v>46028.0</v>
      </c>
      <c r="U224" s="55"/>
      <c r="V224" s="6" t="s">
        <v>103</v>
      </c>
      <c r="W224" s="6">
        <v>6.85260010884E11</v>
      </c>
      <c r="X224" s="6" t="s">
        <v>45</v>
      </c>
      <c r="Y224" s="6" t="s">
        <v>46</v>
      </c>
      <c r="Z224" s="6">
        <v>3.040319446E9</v>
      </c>
      <c r="AA224" s="6" t="s">
        <v>64</v>
      </c>
      <c r="AB224" s="6" t="s">
        <v>588</v>
      </c>
      <c r="AC224" s="6" t="s">
        <v>589</v>
      </c>
      <c r="AD224" s="55"/>
      <c r="AE224" s="55"/>
      <c r="AF224" s="55"/>
      <c r="AG224" s="55"/>
    </row>
    <row r="225">
      <c r="A225" s="21">
        <f>COUNTIF('Divulgação'!$B:$B,B225)</f>
        <v>1</v>
      </c>
      <c r="B225" s="62" t="s">
        <v>739</v>
      </c>
      <c r="C225" s="55"/>
      <c r="D225" s="6" t="s">
        <v>39</v>
      </c>
      <c r="E225" s="6" t="s">
        <v>40</v>
      </c>
      <c r="F225" s="63" t="s">
        <v>1824</v>
      </c>
      <c r="G225" s="6" t="s">
        <v>41</v>
      </c>
      <c r="H225" s="63" t="s">
        <v>1824</v>
      </c>
      <c r="I225" s="21" t="s">
        <v>226</v>
      </c>
      <c r="J225" s="63" t="s">
        <v>1428</v>
      </c>
      <c r="K225" s="6" t="s">
        <v>320</v>
      </c>
      <c r="L225" s="63" t="s">
        <v>1832</v>
      </c>
      <c r="M225" s="55"/>
      <c r="N225" s="55"/>
      <c r="O225" s="55"/>
      <c r="P225" s="55"/>
      <c r="Q225" s="6">
        <v>1.0</v>
      </c>
      <c r="R225" s="50">
        <v>46014.0</v>
      </c>
      <c r="S225" s="23">
        <v>46030.0</v>
      </c>
      <c r="T225" s="23">
        <v>46028.0</v>
      </c>
      <c r="U225" s="55"/>
      <c r="V225" s="6" t="s">
        <v>103</v>
      </c>
      <c r="W225" s="6">
        <v>3.96250015729E11</v>
      </c>
      <c r="X225" s="6" t="s">
        <v>45</v>
      </c>
      <c r="Y225" s="6" t="s">
        <v>46</v>
      </c>
      <c r="Z225" s="6">
        <v>3.040321965E9</v>
      </c>
      <c r="AA225" s="6" t="s">
        <v>45</v>
      </c>
      <c r="AB225" s="6" t="s">
        <v>46</v>
      </c>
      <c r="AC225" s="6" t="s">
        <v>177</v>
      </c>
      <c r="AD225" s="55"/>
      <c r="AE225" s="55"/>
      <c r="AF225" s="55"/>
      <c r="AG225" s="55"/>
    </row>
    <row r="226">
      <c r="A226" s="21">
        <f>COUNTIF('Divulgação'!$B:$B,B226)</f>
        <v>1</v>
      </c>
      <c r="B226" s="62" t="s">
        <v>735</v>
      </c>
      <c r="C226" s="55"/>
      <c r="D226" s="6" t="s">
        <v>39</v>
      </c>
      <c r="E226" s="6" t="s">
        <v>40</v>
      </c>
      <c r="F226" s="63" t="s">
        <v>1824</v>
      </c>
      <c r="G226" s="6" t="s">
        <v>41</v>
      </c>
      <c r="H226" s="63" t="s">
        <v>1824</v>
      </c>
      <c r="I226" s="21" t="s">
        <v>231</v>
      </c>
      <c r="J226" s="63" t="s">
        <v>1428</v>
      </c>
      <c r="K226" s="6" t="s">
        <v>232</v>
      </c>
      <c r="L226" s="6" t="s">
        <v>736</v>
      </c>
      <c r="M226" s="55"/>
      <c r="N226" s="55"/>
      <c r="O226" s="55"/>
      <c r="P226" s="55"/>
      <c r="Q226" s="6">
        <v>1.0</v>
      </c>
      <c r="R226" s="50">
        <v>46014.0</v>
      </c>
      <c r="S226" s="23">
        <v>46030.0</v>
      </c>
      <c r="T226" s="23">
        <v>46028.0</v>
      </c>
      <c r="U226" s="55"/>
      <c r="V226" s="6" t="s">
        <v>44</v>
      </c>
      <c r="W226" s="55"/>
      <c r="X226" s="6" t="s">
        <v>45</v>
      </c>
      <c r="Y226" s="6" t="s">
        <v>46</v>
      </c>
      <c r="Z226" s="6">
        <v>3.040322672E9</v>
      </c>
      <c r="AA226" s="6" t="s">
        <v>70</v>
      </c>
      <c r="AB226" s="6" t="s">
        <v>152</v>
      </c>
      <c r="AC226" s="6" t="s">
        <v>737</v>
      </c>
      <c r="AD226" s="55"/>
      <c r="AE226" s="55"/>
      <c r="AF226" s="55"/>
      <c r="AG226" s="55"/>
    </row>
    <row r="227">
      <c r="A227" s="21">
        <f>COUNTIF('Divulgação'!$B:$B,B227)</f>
        <v>1</v>
      </c>
      <c r="B227" s="62" t="s">
        <v>747</v>
      </c>
      <c r="C227" s="55"/>
      <c r="D227" s="6" t="s">
        <v>39</v>
      </c>
      <c r="E227" s="6" t="s">
        <v>40</v>
      </c>
      <c r="F227" s="63" t="s">
        <v>1824</v>
      </c>
      <c r="G227" s="6" t="s">
        <v>41</v>
      </c>
      <c r="H227" s="63" t="s">
        <v>1824</v>
      </c>
      <c r="I227" s="21" t="s">
        <v>335</v>
      </c>
      <c r="J227" s="63" t="s">
        <v>1428</v>
      </c>
      <c r="K227" s="6" t="s">
        <v>336</v>
      </c>
      <c r="L227" s="63" t="s">
        <v>1340</v>
      </c>
      <c r="M227" s="55"/>
      <c r="N227" s="55"/>
      <c r="O227" s="55"/>
      <c r="P227" s="55"/>
      <c r="Q227" s="6">
        <v>1.0</v>
      </c>
      <c r="R227" s="50">
        <v>46014.0</v>
      </c>
      <c r="S227" s="23">
        <v>46030.0</v>
      </c>
      <c r="T227" s="23">
        <v>46028.0</v>
      </c>
      <c r="U227" s="55"/>
      <c r="V227" s="6" t="s">
        <v>44</v>
      </c>
      <c r="W227" s="55"/>
      <c r="X227" s="6" t="s">
        <v>45</v>
      </c>
      <c r="Y227" s="6" t="s">
        <v>46</v>
      </c>
      <c r="Z227" s="6">
        <v>3.040321818E9</v>
      </c>
      <c r="AA227" s="6" t="s">
        <v>62</v>
      </c>
      <c r="AB227" s="6" t="s">
        <v>328</v>
      </c>
      <c r="AC227" s="6" t="s">
        <v>731</v>
      </c>
      <c r="AD227" s="55"/>
      <c r="AE227" s="55"/>
      <c r="AF227" s="55"/>
      <c r="AG227" s="55"/>
    </row>
    <row r="228">
      <c r="A228" s="21">
        <f>COUNTIF('Divulgação'!$B:$B,B228)</f>
        <v>1</v>
      </c>
      <c r="B228" s="62" t="s">
        <v>745</v>
      </c>
      <c r="C228" s="55"/>
      <c r="D228" s="6" t="s">
        <v>39</v>
      </c>
      <c r="E228" s="6" t="s">
        <v>40</v>
      </c>
      <c r="F228" s="63" t="s">
        <v>1824</v>
      </c>
      <c r="G228" s="6" t="s">
        <v>41</v>
      </c>
      <c r="H228" s="63" t="s">
        <v>1824</v>
      </c>
      <c r="I228" s="21" t="s">
        <v>335</v>
      </c>
      <c r="J228" s="63" t="s">
        <v>1428</v>
      </c>
      <c r="K228" s="6" t="s">
        <v>336</v>
      </c>
      <c r="L228" s="6" t="s">
        <v>746</v>
      </c>
      <c r="M228" s="55"/>
      <c r="N228" s="55"/>
      <c r="O228" s="55"/>
      <c r="P228" s="55"/>
      <c r="Q228" s="6">
        <v>1.0</v>
      </c>
      <c r="R228" s="50">
        <v>46014.0</v>
      </c>
      <c r="S228" s="23">
        <v>46030.0</v>
      </c>
      <c r="T228" s="23">
        <v>46028.0</v>
      </c>
      <c r="U228" s="55"/>
      <c r="V228" s="6" t="s">
        <v>103</v>
      </c>
      <c r="W228" s="6">
        <v>6.85260010883E11</v>
      </c>
      <c r="X228" s="6" t="s">
        <v>45</v>
      </c>
      <c r="Y228" s="6" t="s">
        <v>46</v>
      </c>
      <c r="Z228" s="6">
        <v>3.040322673E9</v>
      </c>
      <c r="AA228" s="6" t="s">
        <v>70</v>
      </c>
      <c r="AB228" s="6" t="s">
        <v>152</v>
      </c>
      <c r="AC228" s="6" t="s">
        <v>737</v>
      </c>
      <c r="AD228" s="55"/>
      <c r="AE228" s="55"/>
      <c r="AF228" s="55"/>
      <c r="AG228" s="55"/>
    </row>
    <row r="229">
      <c r="A229" s="21">
        <f>COUNTIF('Divulgação'!$B:$B,B229)</f>
        <v>1</v>
      </c>
      <c r="B229" s="62" t="s">
        <v>742</v>
      </c>
      <c r="C229" s="55"/>
      <c r="D229" s="6" t="s">
        <v>39</v>
      </c>
      <c r="E229" s="6" t="s">
        <v>40</v>
      </c>
      <c r="F229" s="63" t="s">
        <v>1824</v>
      </c>
      <c r="G229" s="6" t="s">
        <v>41</v>
      </c>
      <c r="H229" s="63" t="s">
        <v>1824</v>
      </c>
      <c r="I229" s="21" t="s">
        <v>218</v>
      </c>
      <c r="J229" s="63" t="s">
        <v>1431</v>
      </c>
      <c r="K229" s="6" t="s">
        <v>343</v>
      </c>
      <c r="L229" s="6" t="s">
        <v>743</v>
      </c>
      <c r="M229" s="55"/>
      <c r="N229" s="55"/>
      <c r="O229" s="55"/>
      <c r="P229" s="55"/>
      <c r="Q229" s="6">
        <v>1.0</v>
      </c>
      <c r="R229" s="50">
        <v>46014.0</v>
      </c>
      <c r="S229" s="23">
        <v>46030.0</v>
      </c>
      <c r="T229" s="23">
        <v>46028.0</v>
      </c>
      <c r="U229" s="55"/>
      <c r="V229" s="6" t="s">
        <v>103</v>
      </c>
      <c r="W229" s="6">
        <v>3.13250017139E11</v>
      </c>
      <c r="X229" s="6" t="s">
        <v>45</v>
      </c>
      <c r="Y229" s="6" t="s">
        <v>46</v>
      </c>
      <c r="Z229" s="6">
        <v>3.040319448E9</v>
      </c>
      <c r="AA229" s="6" t="s">
        <v>64</v>
      </c>
      <c r="AB229" s="6" t="s">
        <v>588</v>
      </c>
      <c r="AC229" s="6" t="s">
        <v>589</v>
      </c>
      <c r="AD229" s="55"/>
      <c r="AE229" s="55"/>
      <c r="AF229" s="55"/>
      <c r="AG229" s="55"/>
    </row>
    <row r="230">
      <c r="A230" s="21">
        <f>COUNTIF('Divulgação'!$B:$B,B230)</f>
        <v>1</v>
      </c>
      <c r="B230" s="62" t="s">
        <v>1736</v>
      </c>
      <c r="C230" s="55"/>
      <c r="D230" s="6" t="s">
        <v>39</v>
      </c>
      <c r="E230" s="6" t="s">
        <v>40</v>
      </c>
      <c r="F230" s="63" t="s">
        <v>1824</v>
      </c>
      <c r="G230" s="6" t="s">
        <v>41</v>
      </c>
      <c r="H230" s="63" t="s">
        <v>1824</v>
      </c>
      <c r="I230" s="21" t="s">
        <v>1278</v>
      </c>
      <c r="J230" s="63" t="s">
        <v>1447</v>
      </c>
      <c r="K230" s="6" t="s">
        <v>1279</v>
      </c>
      <c r="L230" s="6" t="s">
        <v>1286</v>
      </c>
      <c r="M230" s="55"/>
      <c r="N230" s="55"/>
      <c r="O230" s="55"/>
      <c r="P230" s="55"/>
      <c r="Q230" s="6">
        <v>1.0</v>
      </c>
      <c r="R230" s="50">
        <v>46014.0</v>
      </c>
      <c r="S230" s="23">
        <v>46030.0</v>
      </c>
      <c r="T230" s="23">
        <v>46028.0</v>
      </c>
      <c r="U230" s="55"/>
      <c r="V230" s="6" t="s">
        <v>44</v>
      </c>
      <c r="W230" s="55"/>
      <c r="X230" s="6" t="s">
        <v>45</v>
      </c>
      <c r="Y230" s="6" t="s">
        <v>46</v>
      </c>
      <c r="Z230" s="6">
        <v>3.040321794E9</v>
      </c>
      <c r="AA230" s="6" t="s">
        <v>60</v>
      </c>
      <c r="AB230" s="6" t="s">
        <v>189</v>
      </c>
      <c r="AC230" s="6" t="s">
        <v>1834</v>
      </c>
      <c r="AD230" s="55"/>
      <c r="AE230" s="55"/>
      <c r="AF230" s="55"/>
      <c r="AG230" s="55"/>
    </row>
    <row r="231">
      <c r="A231" s="21">
        <f>COUNTIF('Divulgação'!$B:$B,B231)</f>
        <v>1</v>
      </c>
      <c r="B231" s="62" t="s">
        <v>750</v>
      </c>
      <c r="C231" s="55"/>
      <c r="D231" s="6" t="s">
        <v>39</v>
      </c>
      <c r="E231" s="6" t="s">
        <v>40</v>
      </c>
      <c r="F231" s="63" t="s">
        <v>1824</v>
      </c>
      <c r="G231" s="6" t="s">
        <v>41</v>
      </c>
      <c r="H231" s="63" t="s">
        <v>1824</v>
      </c>
      <c r="I231" s="21" t="s">
        <v>697</v>
      </c>
      <c r="J231" s="63" t="s">
        <v>1806</v>
      </c>
      <c r="K231" s="6" t="s">
        <v>698</v>
      </c>
      <c r="L231" s="6" t="s">
        <v>752</v>
      </c>
      <c r="M231" s="55"/>
      <c r="N231" s="55"/>
      <c r="O231" s="55"/>
      <c r="P231" s="55"/>
      <c r="Q231" s="6">
        <v>1.0</v>
      </c>
      <c r="R231" s="50">
        <v>46014.0</v>
      </c>
      <c r="S231" s="23">
        <v>46030.0</v>
      </c>
      <c r="T231" s="23">
        <v>46028.0</v>
      </c>
      <c r="U231" s="55"/>
      <c r="V231" s="6" t="s">
        <v>44</v>
      </c>
      <c r="W231" s="55"/>
      <c r="X231" s="6" t="s">
        <v>45</v>
      </c>
      <c r="Y231" s="6" t="s">
        <v>46</v>
      </c>
      <c r="Z231" s="6">
        <v>3.040317122E9</v>
      </c>
      <c r="AA231" s="6" t="s">
        <v>45</v>
      </c>
      <c r="AB231" s="6" t="s">
        <v>46</v>
      </c>
      <c r="AC231" s="6" t="s">
        <v>177</v>
      </c>
      <c r="AD231" s="55"/>
      <c r="AE231" s="55"/>
      <c r="AF231" s="55"/>
      <c r="AG231" s="55"/>
    </row>
    <row r="232">
      <c r="A232" s="21">
        <f>COUNTIF('Divulgação'!$B:$B,B232)</f>
        <v>1</v>
      </c>
      <c r="B232" s="62" t="s">
        <v>763</v>
      </c>
      <c r="C232" s="55"/>
      <c r="D232" s="6" t="s">
        <v>39</v>
      </c>
      <c r="E232" s="6" t="s">
        <v>40</v>
      </c>
      <c r="F232" s="63" t="s">
        <v>1824</v>
      </c>
      <c r="G232" s="6" t="s">
        <v>41</v>
      </c>
      <c r="H232" s="63" t="s">
        <v>1824</v>
      </c>
      <c r="I232" s="21" t="s">
        <v>697</v>
      </c>
      <c r="J232" s="63" t="s">
        <v>1806</v>
      </c>
      <c r="K232" s="6" t="s">
        <v>698</v>
      </c>
      <c r="L232" s="6" t="s">
        <v>764</v>
      </c>
      <c r="M232" s="55"/>
      <c r="N232" s="55"/>
      <c r="O232" s="55"/>
      <c r="P232" s="55"/>
      <c r="Q232" s="6">
        <v>1.0</v>
      </c>
      <c r="R232" s="50">
        <v>46014.0</v>
      </c>
      <c r="S232" s="23">
        <v>46030.0</v>
      </c>
      <c r="T232" s="23">
        <v>46028.0</v>
      </c>
      <c r="U232" s="55"/>
      <c r="V232" s="6" t="s">
        <v>44</v>
      </c>
      <c r="W232" s="55"/>
      <c r="X232" s="6" t="s">
        <v>45</v>
      </c>
      <c r="Y232" s="6" t="s">
        <v>46</v>
      </c>
      <c r="Z232" s="6">
        <v>3.040317044E9</v>
      </c>
      <c r="AA232" s="6" t="s">
        <v>45</v>
      </c>
      <c r="AB232" s="6" t="s">
        <v>46</v>
      </c>
      <c r="AC232" s="6" t="s">
        <v>177</v>
      </c>
      <c r="AD232" s="55"/>
      <c r="AE232" s="55"/>
      <c r="AF232" s="55"/>
      <c r="AG232" s="55"/>
    </row>
    <row r="233">
      <c r="A233" s="21">
        <f>COUNTIF('Divulgação'!$B:$B,B233)</f>
        <v>1</v>
      </c>
      <c r="B233" s="62" t="s">
        <v>1836</v>
      </c>
      <c r="C233" s="55"/>
      <c r="D233" s="6" t="s">
        <v>39</v>
      </c>
      <c r="E233" s="6" t="s">
        <v>40</v>
      </c>
      <c r="F233" s="63" t="s">
        <v>1824</v>
      </c>
      <c r="G233" s="6" t="s">
        <v>41</v>
      </c>
      <c r="H233" s="63" t="s">
        <v>1824</v>
      </c>
      <c r="I233" s="21" t="s">
        <v>697</v>
      </c>
      <c r="J233" s="63" t="s">
        <v>1806</v>
      </c>
      <c r="K233" s="6" t="s">
        <v>698</v>
      </c>
      <c r="L233" s="6" t="s">
        <v>1837</v>
      </c>
      <c r="M233" s="55"/>
      <c r="N233" s="55"/>
      <c r="O233" s="55"/>
      <c r="P233" s="55"/>
      <c r="Q233" s="6">
        <v>1.0</v>
      </c>
      <c r="R233" s="50">
        <v>46014.0</v>
      </c>
      <c r="S233" s="23">
        <v>46030.0</v>
      </c>
      <c r="T233" s="23">
        <v>46028.0</v>
      </c>
      <c r="U233" s="55"/>
      <c r="V233" s="6" t="s">
        <v>44</v>
      </c>
      <c r="W233" s="55"/>
      <c r="X233" s="6" t="s">
        <v>45</v>
      </c>
      <c r="Y233" s="6" t="s">
        <v>46</v>
      </c>
      <c r="Z233" s="6">
        <v>3.040317043E9</v>
      </c>
      <c r="AA233" s="6" t="s">
        <v>45</v>
      </c>
      <c r="AB233" s="6" t="s">
        <v>46</v>
      </c>
      <c r="AC233" s="6" t="s">
        <v>177</v>
      </c>
      <c r="AD233" s="55"/>
      <c r="AE233" s="55"/>
      <c r="AF233" s="55"/>
      <c r="AG233" s="55"/>
    </row>
    <row r="234">
      <c r="A234" s="21">
        <f>COUNTIF('Divulgação'!$B:$B,B234)</f>
        <v>1</v>
      </c>
      <c r="B234" s="62" t="s">
        <v>1838</v>
      </c>
      <c r="C234" s="55"/>
      <c r="D234" s="6" t="s">
        <v>39</v>
      </c>
      <c r="E234" s="6" t="s">
        <v>40</v>
      </c>
      <c r="F234" s="63" t="s">
        <v>1824</v>
      </c>
      <c r="G234" s="6" t="s">
        <v>41</v>
      </c>
      <c r="H234" s="63" t="s">
        <v>1824</v>
      </c>
      <c r="I234" s="21" t="s">
        <v>697</v>
      </c>
      <c r="J234" s="63" t="s">
        <v>1806</v>
      </c>
      <c r="K234" s="6" t="s">
        <v>698</v>
      </c>
      <c r="L234" s="6" t="s">
        <v>1839</v>
      </c>
      <c r="M234" s="55"/>
      <c r="N234" s="55"/>
      <c r="O234" s="55"/>
      <c r="P234" s="55"/>
      <c r="Q234" s="6">
        <v>1.0</v>
      </c>
      <c r="R234" s="50">
        <v>46014.0</v>
      </c>
      <c r="S234" s="23">
        <v>46030.0</v>
      </c>
      <c r="T234" s="23">
        <v>46028.0</v>
      </c>
      <c r="U234" s="55"/>
      <c r="V234" s="6" t="s">
        <v>44</v>
      </c>
      <c r="W234" s="55"/>
      <c r="X234" s="6" t="s">
        <v>45</v>
      </c>
      <c r="Y234" s="6" t="s">
        <v>46</v>
      </c>
      <c r="Z234" s="6">
        <v>3.040317042E9</v>
      </c>
      <c r="AA234" s="6" t="s">
        <v>45</v>
      </c>
      <c r="AB234" s="6" t="s">
        <v>46</v>
      </c>
      <c r="AC234" s="6" t="s">
        <v>177</v>
      </c>
      <c r="AD234" s="55"/>
      <c r="AE234" s="55"/>
      <c r="AF234" s="55"/>
      <c r="AG234" s="55"/>
    </row>
    <row r="235">
      <c r="A235" s="21">
        <f>COUNTIF('Divulgação'!$B:$B,B235)</f>
        <v>1</v>
      </c>
      <c r="B235" s="62" t="s">
        <v>759</v>
      </c>
      <c r="C235" s="55"/>
      <c r="D235" s="6" t="s">
        <v>39</v>
      </c>
      <c r="E235" s="6" t="s">
        <v>40</v>
      </c>
      <c r="F235" s="63" t="s">
        <v>1824</v>
      </c>
      <c r="G235" s="6" t="s">
        <v>41</v>
      </c>
      <c r="H235" s="63" t="s">
        <v>1824</v>
      </c>
      <c r="I235" s="21" t="s">
        <v>697</v>
      </c>
      <c r="J235" s="63" t="s">
        <v>1806</v>
      </c>
      <c r="K235" s="6" t="s">
        <v>698</v>
      </c>
      <c r="L235" s="6" t="s">
        <v>760</v>
      </c>
      <c r="M235" s="55"/>
      <c r="N235" s="55"/>
      <c r="O235" s="55"/>
      <c r="P235" s="55"/>
      <c r="Q235" s="6">
        <v>1.0</v>
      </c>
      <c r="R235" s="50">
        <v>46014.0</v>
      </c>
      <c r="S235" s="23">
        <v>46030.0</v>
      </c>
      <c r="T235" s="23">
        <v>46028.0</v>
      </c>
      <c r="U235" s="55"/>
      <c r="V235" s="6" t="s">
        <v>44</v>
      </c>
      <c r="W235" s="55"/>
      <c r="X235" s="6" t="s">
        <v>45</v>
      </c>
      <c r="Y235" s="6" t="s">
        <v>46</v>
      </c>
      <c r="Z235" s="6">
        <v>3.04031704E9</v>
      </c>
      <c r="AA235" s="6" t="s">
        <v>45</v>
      </c>
      <c r="AB235" s="6" t="s">
        <v>46</v>
      </c>
      <c r="AC235" s="6" t="s">
        <v>177</v>
      </c>
      <c r="AD235" s="55"/>
      <c r="AE235" s="55"/>
      <c r="AF235" s="55"/>
      <c r="AG235" s="55"/>
    </row>
    <row r="236">
      <c r="A236" s="21">
        <f>COUNTIF('Divulgação'!$B:$B,B236)</f>
        <v>1</v>
      </c>
      <c r="B236" s="62" t="s">
        <v>755</v>
      </c>
      <c r="C236" s="55"/>
      <c r="D236" s="6" t="s">
        <v>39</v>
      </c>
      <c r="E236" s="6" t="s">
        <v>40</v>
      </c>
      <c r="F236" s="63" t="s">
        <v>1824</v>
      </c>
      <c r="G236" s="6" t="s">
        <v>41</v>
      </c>
      <c r="H236" s="63" t="s">
        <v>1824</v>
      </c>
      <c r="I236" s="21" t="s">
        <v>697</v>
      </c>
      <c r="J236" s="63" t="s">
        <v>1806</v>
      </c>
      <c r="K236" s="6" t="s">
        <v>698</v>
      </c>
      <c r="L236" s="6" t="s">
        <v>756</v>
      </c>
      <c r="M236" s="55"/>
      <c r="N236" s="55"/>
      <c r="O236" s="55"/>
      <c r="P236" s="55"/>
      <c r="Q236" s="6">
        <v>1.0</v>
      </c>
      <c r="R236" s="50">
        <v>46014.0</v>
      </c>
      <c r="S236" s="23">
        <v>46030.0</v>
      </c>
      <c r="T236" s="23">
        <v>46028.0</v>
      </c>
      <c r="U236" s="55"/>
      <c r="V236" s="6" t="s">
        <v>44</v>
      </c>
      <c r="W236" s="55"/>
      <c r="X236" s="6" t="s">
        <v>45</v>
      </c>
      <c r="Y236" s="6" t="s">
        <v>46</v>
      </c>
      <c r="Z236" s="6">
        <v>3.040317041E9</v>
      </c>
      <c r="AA236" s="6" t="s">
        <v>45</v>
      </c>
      <c r="AB236" s="6" t="s">
        <v>46</v>
      </c>
      <c r="AC236" s="6" t="s">
        <v>177</v>
      </c>
      <c r="AD236" s="55"/>
      <c r="AE236" s="55"/>
      <c r="AF236" s="55"/>
      <c r="AG236" s="55"/>
    </row>
    <row r="237">
      <c r="A237" s="21">
        <f>COUNTIF('Divulgação'!$B:$B,B237)</f>
        <v>1</v>
      </c>
      <c r="B237" s="62" t="s">
        <v>770</v>
      </c>
      <c r="C237" s="55"/>
      <c r="D237" s="6" t="s">
        <v>39</v>
      </c>
      <c r="E237" s="6" t="s">
        <v>40</v>
      </c>
      <c r="F237" s="63" t="s">
        <v>1824</v>
      </c>
      <c r="G237" s="6" t="s">
        <v>41</v>
      </c>
      <c r="H237" s="63" t="s">
        <v>1824</v>
      </c>
      <c r="I237" s="21" t="s">
        <v>155</v>
      </c>
      <c r="J237" s="6" t="s">
        <v>156</v>
      </c>
      <c r="K237" s="6" t="s">
        <v>157</v>
      </c>
      <c r="L237" s="63" t="s">
        <v>1845</v>
      </c>
      <c r="M237" s="55"/>
      <c r="N237" s="55"/>
      <c r="O237" s="55"/>
      <c r="P237" s="55"/>
      <c r="Q237" s="6">
        <v>1.0</v>
      </c>
      <c r="R237" s="23">
        <v>46028.0</v>
      </c>
      <c r="S237" s="23">
        <v>46034.0</v>
      </c>
      <c r="T237" s="23">
        <v>46028.0</v>
      </c>
      <c r="U237" s="55"/>
      <c r="V237" s="6" t="s">
        <v>44</v>
      </c>
      <c r="W237" s="55"/>
      <c r="X237" s="6" t="s">
        <v>45</v>
      </c>
      <c r="Y237" s="6" t="s">
        <v>46</v>
      </c>
      <c r="Z237" s="6">
        <v>3.040098935E9</v>
      </c>
      <c r="AA237" s="6" t="s">
        <v>773</v>
      </c>
      <c r="AB237" s="6" t="s">
        <v>774</v>
      </c>
      <c r="AC237" s="6" t="s">
        <v>775</v>
      </c>
      <c r="AD237" s="55"/>
      <c r="AE237" s="55"/>
      <c r="AF237" s="55"/>
      <c r="AG237" s="55"/>
    </row>
    <row r="238">
      <c r="A238" s="21">
        <f>COUNTIF('Divulgação'!$B:$B,B238)</f>
        <v>1</v>
      </c>
      <c r="B238" s="62" t="s">
        <v>765</v>
      </c>
      <c r="C238" s="55"/>
      <c r="D238" s="6" t="s">
        <v>39</v>
      </c>
      <c r="E238" s="6" t="s">
        <v>40</v>
      </c>
      <c r="F238" s="63" t="s">
        <v>1824</v>
      </c>
      <c r="G238" s="6" t="s">
        <v>41</v>
      </c>
      <c r="H238" s="63" t="s">
        <v>1824</v>
      </c>
      <c r="I238" s="21" t="s">
        <v>155</v>
      </c>
      <c r="J238" s="6" t="s">
        <v>156</v>
      </c>
      <c r="K238" s="6" t="s">
        <v>157</v>
      </c>
      <c r="L238" s="63" t="s">
        <v>1847</v>
      </c>
      <c r="M238" s="55"/>
      <c r="N238" s="55"/>
      <c r="O238" s="55"/>
      <c r="P238" s="55"/>
      <c r="Q238" s="6">
        <v>1.0</v>
      </c>
      <c r="R238" s="23">
        <v>46028.0</v>
      </c>
      <c r="S238" s="23">
        <v>46028.0</v>
      </c>
      <c r="T238" s="23">
        <v>46028.0</v>
      </c>
      <c r="U238" s="55"/>
      <c r="V238" s="6" t="s">
        <v>44</v>
      </c>
      <c r="W238" s="55"/>
      <c r="X238" s="6" t="s">
        <v>45</v>
      </c>
      <c r="Y238" s="6" t="s">
        <v>46</v>
      </c>
      <c r="Z238" s="6">
        <v>3.040292045E9</v>
      </c>
      <c r="AA238" s="6" t="s">
        <v>68</v>
      </c>
      <c r="AB238" s="6" t="s">
        <v>768</v>
      </c>
      <c r="AC238" s="6" t="s">
        <v>769</v>
      </c>
      <c r="AD238" s="55"/>
      <c r="AE238" s="55"/>
      <c r="AF238" s="55"/>
      <c r="AG238" s="55"/>
    </row>
    <row r="239">
      <c r="A239" s="21">
        <f>COUNTIF('Divulgação'!$B:$B,B239)</f>
        <v>1</v>
      </c>
      <c r="B239" s="62" t="s">
        <v>776</v>
      </c>
      <c r="C239" s="55"/>
      <c r="D239" s="6" t="s">
        <v>39</v>
      </c>
      <c r="E239" s="6" t="s">
        <v>40</v>
      </c>
      <c r="F239" s="63" t="s">
        <v>1851</v>
      </c>
      <c r="G239" s="6" t="s">
        <v>41</v>
      </c>
      <c r="H239" s="63" t="s">
        <v>1851</v>
      </c>
      <c r="I239" s="21" t="s">
        <v>777</v>
      </c>
      <c r="J239" s="63" t="s">
        <v>1685</v>
      </c>
      <c r="K239" s="6" t="s">
        <v>778</v>
      </c>
      <c r="L239" s="6" t="s">
        <v>779</v>
      </c>
      <c r="M239" s="55"/>
      <c r="N239" s="55"/>
      <c r="O239" s="55"/>
      <c r="P239" s="55"/>
      <c r="Q239" s="6">
        <v>1.0</v>
      </c>
      <c r="R239" s="23">
        <v>46035.0</v>
      </c>
      <c r="S239" s="23">
        <v>46041.0</v>
      </c>
      <c r="T239" s="23">
        <v>46036.0</v>
      </c>
      <c r="U239" s="55"/>
      <c r="V239" s="6" t="s">
        <v>44</v>
      </c>
      <c r="W239" s="55"/>
      <c r="X239" s="6" t="s">
        <v>45</v>
      </c>
      <c r="Y239" s="6" t="s">
        <v>46</v>
      </c>
      <c r="Z239" s="6">
        <v>3.04032319E9</v>
      </c>
      <c r="AA239" s="6" t="s">
        <v>304</v>
      </c>
      <c r="AB239" s="6" t="s">
        <v>306</v>
      </c>
      <c r="AC239" s="6" t="s">
        <v>780</v>
      </c>
      <c r="AD239" s="55"/>
      <c r="AE239" s="55"/>
      <c r="AF239" s="55"/>
      <c r="AG239" s="55"/>
    </row>
    <row r="240">
      <c r="A240" s="21">
        <f>COUNTIF('Divulgação'!$B:$B,B240)</f>
        <v>1</v>
      </c>
      <c r="B240" s="62" t="s">
        <v>1852</v>
      </c>
      <c r="C240" s="55"/>
      <c r="D240" s="6" t="s">
        <v>39</v>
      </c>
      <c r="E240" s="6" t="s">
        <v>40</v>
      </c>
      <c r="F240" s="63" t="s">
        <v>1851</v>
      </c>
      <c r="G240" s="6" t="s">
        <v>41</v>
      </c>
      <c r="H240" s="63" t="s">
        <v>1851</v>
      </c>
      <c r="I240" s="21" t="s">
        <v>436</v>
      </c>
      <c r="J240" s="63" t="s">
        <v>1685</v>
      </c>
      <c r="K240" s="6" t="s">
        <v>778</v>
      </c>
      <c r="L240" s="6" t="s">
        <v>1853</v>
      </c>
      <c r="M240" s="55"/>
      <c r="N240" s="55"/>
      <c r="O240" s="55"/>
      <c r="P240" s="55"/>
      <c r="Q240" s="6">
        <v>1.0</v>
      </c>
      <c r="R240" s="23">
        <v>46035.0</v>
      </c>
      <c r="S240" s="23">
        <v>46041.0</v>
      </c>
      <c r="T240" s="23">
        <v>46036.0</v>
      </c>
      <c r="U240" s="55"/>
      <c r="V240" s="6" t="s">
        <v>44</v>
      </c>
      <c r="W240" s="55"/>
      <c r="X240" s="6" t="s">
        <v>45</v>
      </c>
      <c r="Y240" s="6" t="s">
        <v>46</v>
      </c>
      <c r="Z240" s="6">
        <v>3.040323194E9</v>
      </c>
      <c r="AA240" s="6" t="s">
        <v>304</v>
      </c>
      <c r="AB240" s="6" t="s">
        <v>306</v>
      </c>
      <c r="AC240" s="6" t="s">
        <v>1158</v>
      </c>
      <c r="AD240" s="55"/>
      <c r="AE240" s="55"/>
      <c r="AF240" s="55"/>
      <c r="AG240" s="55"/>
    </row>
    <row r="241">
      <c r="A241" s="21">
        <f>COUNTIF('Divulgação'!$B:$B,B241)</f>
        <v>1</v>
      </c>
      <c r="B241" s="62" t="s">
        <v>1854</v>
      </c>
      <c r="C241" s="55"/>
      <c r="D241" s="6" t="s">
        <v>39</v>
      </c>
      <c r="E241" s="6" t="s">
        <v>40</v>
      </c>
      <c r="F241" s="63" t="s">
        <v>1851</v>
      </c>
      <c r="G241" s="6" t="s">
        <v>41</v>
      </c>
      <c r="H241" s="63" t="s">
        <v>1851</v>
      </c>
      <c r="I241" s="21" t="s">
        <v>576</v>
      </c>
      <c r="J241" s="63" t="s">
        <v>1685</v>
      </c>
      <c r="K241" s="6" t="s">
        <v>577</v>
      </c>
      <c r="L241" s="6" t="s">
        <v>1110</v>
      </c>
      <c r="M241" s="55"/>
      <c r="N241" s="55"/>
      <c r="O241" s="55"/>
      <c r="P241" s="55"/>
      <c r="Q241" s="6">
        <v>1.0</v>
      </c>
      <c r="R241" s="23">
        <v>46035.0</v>
      </c>
      <c r="S241" s="23">
        <v>46041.0</v>
      </c>
      <c r="T241" s="23">
        <v>46036.0</v>
      </c>
      <c r="U241" s="55"/>
      <c r="V241" s="6" t="s">
        <v>44</v>
      </c>
      <c r="W241" s="55"/>
      <c r="X241" s="6" t="s">
        <v>45</v>
      </c>
      <c r="Y241" s="6" t="s">
        <v>46</v>
      </c>
      <c r="Z241" s="6">
        <v>3.040323193E9</v>
      </c>
      <c r="AA241" s="6" t="s">
        <v>304</v>
      </c>
      <c r="AB241" s="6" t="s">
        <v>306</v>
      </c>
      <c r="AC241" s="6" t="s">
        <v>1855</v>
      </c>
      <c r="AD241" s="55"/>
      <c r="AE241" s="55"/>
      <c r="AF241" s="55"/>
      <c r="AG241" s="55"/>
    </row>
    <row r="242">
      <c r="A242" s="21">
        <f>COUNTIF('Divulgação'!$B:$B,B242)</f>
        <v>1</v>
      </c>
      <c r="B242" s="62" t="s">
        <v>783</v>
      </c>
      <c r="C242" s="55"/>
      <c r="D242" s="6" t="s">
        <v>39</v>
      </c>
      <c r="E242" s="6" t="s">
        <v>40</v>
      </c>
      <c r="F242" s="63" t="s">
        <v>1851</v>
      </c>
      <c r="G242" s="6" t="s">
        <v>41</v>
      </c>
      <c r="H242" s="63" t="s">
        <v>1851</v>
      </c>
      <c r="I242" s="21" t="s">
        <v>784</v>
      </c>
      <c r="J242" s="63" t="s">
        <v>1685</v>
      </c>
      <c r="K242" s="6" t="s">
        <v>577</v>
      </c>
      <c r="L242" s="6" t="s">
        <v>785</v>
      </c>
      <c r="M242" s="55"/>
      <c r="N242" s="55"/>
      <c r="O242" s="55"/>
      <c r="P242" s="55"/>
      <c r="Q242" s="6">
        <v>1.0</v>
      </c>
      <c r="R242" s="23">
        <v>46035.0</v>
      </c>
      <c r="S242" s="23">
        <v>46041.0</v>
      </c>
      <c r="T242" s="23">
        <v>46036.0</v>
      </c>
      <c r="U242" s="55"/>
      <c r="V242" s="6" t="s">
        <v>44</v>
      </c>
      <c r="W242" s="55"/>
      <c r="X242" s="6" t="s">
        <v>45</v>
      </c>
      <c r="Y242" s="6" t="s">
        <v>46</v>
      </c>
      <c r="Z242" s="6">
        <v>3.040323192E9</v>
      </c>
      <c r="AA242" s="6" t="s">
        <v>304</v>
      </c>
      <c r="AB242" s="6" t="s">
        <v>306</v>
      </c>
      <c r="AC242" s="6" t="s">
        <v>786</v>
      </c>
      <c r="AD242" s="55"/>
      <c r="AE242" s="55"/>
      <c r="AF242" s="55"/>
      <c r="AG242" s="55"/>
    </row>
    <row r="243">
      <c r="A243" s="21">
        <f>COUNTIF('Divulgação'!$B:$B,B243)</f>
        <v>1</v>
      </c>
      <c r="B243" s="62" t="s">
        <v>787</v>
      </c>
      <c r="C243" s="55"/>
      <c r="D243" s="6" t="s">
        <v>39</v>
      </c>
      <c r="E243" s="6" t="s">
        <v>40</v>
      </c>
      <c r="F243" s="63" t="s">
        <v>1537</v>
      </c>
      <c r="G243" s="6" t="s">
        <v>41</v>
      </c>
      <c r="H243" s="63" t="s">
        <v>1537</v>
      </c>
      <c r="I243" s="21" t="s">
        <v>788</v>
      </c>
      <c r="J243" s="63" t="s">
        <v>1387</v>
      </c>
      <c r="K243" s="6" t="s">
        <v>789</v>
      </c>
      <c r="L243" s="63" t="s">
        <v>1857</v>
      </c>
      <c r="M243" s="55"/>
      <c r="N243" s="55"/>
      <c r="O243" s="55"/>
      <c r="P243" s="55"/>
      <c r="Q243" s="6">
        <v>1.0</v>
      </c>
      <c r="R243" s="23">
        <v>46048.0</v>
      </c>
      <c r="S243" s="23">
        <v>46052.0</v>
      </c>
      <c r="T243" s="23">
        <v>46048.0</v>
      </c>
      <c r="U243" s="55"/>
      <c r="V243" s="6" t="s">
        <v>44</v>
      </c>
      <c r="W243" s="55"/>
      <c r="X243" s="6" t="s">
        <v>45</v>
      </c>
      <c r="Y243" s="6" t="s">
        <v>46</v>
      </c>
      <c r="Z243" s="6">
        <v>3.040293522E9</v>
      </c>
      <c r="AA243" s="6" t="s">
        <v>76</v>
      </c>
      <c r="AB243" s="6" t="s">
        <v>152</v>
      </c>
      <c r="AC243" s="6" t="s">
        <v>790</v>
      </c>
      <c r="AD243" s="55"/>
      <c r="AE243" s="55"/>
      <c r="AF243" s="55"/>
      <c r="AG243" s="55"/>
    </row>
    <row r="244">
      <c r="A244" s="21">
        <f>COUNTIF('Divulgação'!$B:$B,B244)</f>
        <v>1</v>
      </c>
      <c r="B244" s="62" t="s">
        <v>791</v>
      </c>
      <c r="C244" s="55"/>
      <c r="D244" s="6" t="s">
        <v>39</v>
      </c>
      <c r="E244" s="6" t="s">
        <v>40</v>
      </c>
      <c r="F244" s="63" t="s">
        <v>1537</v>
      </c>
      <c r="G244" s="6" t="s">
        <v>41</v>
      </c>
      <c r="H244" s="63" t="s">
        <v>1537</v>
      </c>
      <c r="I244" s="21" t="s">
        <v>788</v>
      </c>
      <c r="J244" s="63" t="s">
        <v>1387</v>
      </c>
      <c r="K244" s="6" t="s">
        <v>789</v>
      </c>
      <c r="L244" s="63" t="s">
        <v>1858</v>
      </c>
      <c r="M244" s="55"/>
      <c r="N244" s="55"/>
      <c r="O244" s="55"/>
      <c r="P244" s="55"/>
      <c r="Q244" s="6">
        <v>1.0</v>
      </c>
      <c r="R244" s="23">
        <v>46048.0</v>
      </c>
      <c r="S244" s="23">
        <v>46052.0</v>
      </c>
      <c r="T244" s="23">
        <v>46048.0</v>
      </c>
      <c r="U244" s="55"/>
      <c r="V244" s="6" t="s">
        <v>44</v>
      </c>
      <c r="W244" s="55"/>
      <c r="X244" s="6" t="s">
        <v>45</v>
      </c>
      <c r="Y244" s="6" t="s">
        <v>46</v>
      </c>
      <c r="Z244" s="6">
        <v>3.0403129E9</v>
      </c>
      <c r="AA244" s="6" t="s">
        <v>45</v>
      </c>
      <c r="AB244" s="6" t="s">
        <v>46</v>
      </c>
      <c r="AC244" s="6" t="s">
        <v>324</v>
      </c>
      <c r="AD244" s="55"/>
      <c r="AE244" s="55"/>
      <c r="AF244" s="55"/>
      <c r="AG244" s="55"/>
    </row>
    <row r="245">
      <c r="A245" s="21">
        <f>COUNTIF('Divulgação'!$B:$B,B245)</f>
        <v>1</v>
      </c>
      <c r="B245" s="62" t="s">
        <v>797</v>
      </c>
      <c r="C245" s="55"/>
      <c r="D245" s="6" t="s">
        <v>39</v>
      </c>
      <c r="E245" s="6" t="s">
        <v>40</v>
      </c>
      <c r="F245" s="63" t="s">
        <v>1859</v>
      </c>
      <c r="G245" s="6" t="s">
        <v>41</v>
      </c>
      <c r="H245" s="63" t="s">
        <v>1859</v>
      </c>
      <c r="I245" s="62" t="s">
        <v>1392</v>
      </c>
      <c r="J245" s="63" t="s">
        <v>1393</v>
      </c>
      <c r="K245" s="6" t="s">
        <v>78</v>
      </c>
      <c r="L245" s="63" t="s">
        <v>1860</v>
      </c>
      <c r="M245" s="55"/>
      <c r="N245" s="55"/>
      <c r="O245" s="55"/>
      <c r="P245" s="55"/>
      <c r="Q245" s="6">
        <v>1.0</v>
      </c>
      <c r="R245" s="23">
        <v>46041.0</v>
      </c>
      <c r="S245" s="23">
        <v>46045.0</v>
      </c>
      <c r="T245" s="23">
        <v>46050.0</v>
      </c>
      <c r="U245" s="55"/>
      <c r="V245" s="6" t="s">
        <v>44</v>
      </c>
      <c r="W245" s="55"/>
      <c r="X245" s="6" t="s">
        <v>45</v>
      </c>
      <c r="Y245" s="6" t="s">
        <v>46</v>
      </c>
      <c r="Z245" s="6">
        <v>3.040288169E9</v>
      </c>
      <c r="AA245" s="6" t="s">
        <v>68</v>
      </c>
      <c r="AB245" s="6" t="s">
        <v>799</v>
      </c>
      <c r="AC245" s="6" t="s">
        <v>800</v>
      </c>
      <c r="AD245" s="55"/>
      <c r="AE245" s="55"/>
      <c r="AF245" s="55"/>
      <c r="AG245" s="55"/>
    </row>
    <row r="246">
      <c r="A246" s="21">
        <f>COUNTIF('Divulgação'!$B:$B,B246)</f>
        <v>1</v>
      </c>
      <c r="B246" s="62" t="s">
        <v>1861</v>
      </c>
      <c r="C246" s="55"/>
      <c r="D246" s="6" t="s">
        <v>39</v>
      </c>
      <c r="E246" s="6" t="s">
        <v>40</v>
      </c>
      <c r="F246" s="63" t="s">
        <v>1859</v>
      </c>
      <c r="G246" s="6" t="s">
        <v>41</v>
      </c>
      <c r="H246" s="63" t="s">
        <v>1859</v>
      </c>
      <c r="I246" s="62" t="s">
        <v>1392</v>
      </c>
      <c r="J246" s="63" t="s">
        <v>1393</v>
      </c>
      <c r="K246" s="6" t="s">
        <v>78</v>
      </c>
      <c r="L246" s="63" t="s">
        <v>1862</v>
      </c>
      <c r="M246" s="55"/>
      <c r="N246" s="55"/>
      <c r="O246" s="55"/>
      <c r="P246" s="55"/>
      <c r="Q246" s="6">
        <v>1.0</v>
      </c>
      <c r="R246" s="23">
        <v>46041.0</v>
      </c>
      <c r="S246" s="23">
        <v>46080.0</v>
      </c>
      <c r="T246" s="23">
        <v>46050.0</v>
      </c>
      <c r="U246" s="55"/>
      <c r="V246" s="6" t="s">
        <v>44</v>
      </c>
      <c r="W246" s="55"/>
      <c r="X246" s="6" t="s">
        <v>45</v>
      </c>
      <c r="Y246" s="6" t="s">
        <v>46</v>
      </c>
      <c r="Z246" s="6">
        <v>3.040290022E9</v>
      </c>
      <c r="AA246" s="6" t="s">
        <v>62</v>
      </c>
      <c r="AB246" s="6" t="s">
        <v>799</v>
      </c>
      <c r="AC246" s="6" t="s">
        <v>731</v>
      </c>
      <c r="AD246" s="55"/>
      <c r="AE246" s="55"/>
      <c r="AF246" s="55"/>
      <c r="AG246" s="55"/>
    </row>
    <row r="247">
      <c r="A247" s="21">
        <f>COUNTIF('Divulgação'!$B:$B,B247)</f>
        <v>1</v>
      </c>
      <c r="B247" s="62" t="s">
        <v>1863</v>
      </c>
      <c r="C247" s="55"/>
      <c r="D247" s="6" t="s">
        <v>39</v>
      </c>
      <c r="E247" s="6" t="s">
        <v>40</v>
      </c>
      <c r="F247" s="63" t="s">
        <v>1859</v>
      </c>
      <c r="G247" s="6" t="s">
        <v>41</v>
      </c>
      <c r="H247" s="63" t="s">
        <v>1859</v>
      </c>
      <c r="I247" s="21" t="s">
        <v>218</v>
      </c>
      <c r="J247" s="63" t="s">
        <v>1431</v>
      </c>
      <c r="K247" s="6" t="s">
        <v>343</v>
      </c>
      <c r="L247" s="63" t="s">
        <v>1864</v>
      </c>
      <c r="M247" s="55"/>
      <c r="N247" s="55"/>
      <c r="O247" s="55"/>
      <c r="P247" s="55"/>
      <c r="Q247" s="6">
        <v>1.0</v>
      </c>
      <c r="R247" s="23">
        <v>46023.0</v>
      </c>
      <c r="S247" s="23">
        <v>46053.0</v>
      </c>
      <c r="T247" s="23">
        <v>46050.0</v>
      </c>
      <c r="U247" s="55"/>
      <c r="V247" s="6" t="s">
        <v>103</v>
      </c>
      <c r="W247" s="6">
        <v>3.9625001573E11</v>
      </c>
      <c r="X247" s="6" t="s">
        <v>45</v>
      </c>
      <c r="Y247" s="6" t="s">
        <v>46</v>
      </c>
      <c r="Z247" s="6">
        <v>3.040319706E9</v>
      </c>
      <c r="AA247" s="6" t="s">
        <v>45</v>
      </c>
      <c r="AB247" s="6" t="s">
        <v>46</v>
      </c>
      <c r="AC247" s="6" t="s">
        <v>324</v>
      </c>
      <c r="AD247" s="55"/>
      <c r="AE247" s="55"/>
      <c r="AF247" s="55"/>
      <c r="AG247" s="55"/>
    </row>
    <row r="248">
      <c r="A248" s="21">
        <f>COUNTIF('Divulgação'!$B:$B,B248)</f>
        <v>1</v>
      </c>
      <c r="B248" s="62" t="s">
        <v>793</v>
      </c>
      <c r="C248" s="55"/>
      <c r="D248" s="6" t="s">
        <v>39</v>
      </c>
      <c r="E248" s="6" t="s">
        <v>40</v>
      </c>
      <c r="F248" s="63" t="s">
        <v>1859</v>
      </c>
      <c r="G248" s="6" t="s">
        <v>41</v>
      </c>
      <c r="H248" s="63" t="s">
        <v>1859</v>
      </c>
      <c r="I248" s="21" t="s">
        <v>223</v>
      </c>
      <c r="J248" s="63" t="s">
        <v>1431</v>
      </c>
      <c r="K248" s="6" t="s">
        <v>224</v>
      </c>
      <c r="L248" s="6" t="s">
        <v>794</v>
      </c>
      <c r="M248" s="55"/>
      <c r="N248" s="55"/>
      <c r="O248" s="55"/>
      <c r="P248" s="55"/>
      <c r="Q248" s="6">
        <v>1.0</v>
      </c>
      <c r="R248" s="23">
        <v>45962.0</v>
      </c>
      <c r="S248" s="50">
        <v>45991.0</v>
      </c>
      <c r="T248" s="23">
        <v>46050.0</v>
      </c>
      <c r="U248" s="55"/>
      <c r="V248" s="6" t="s">
        <v>44</v>
      </c>
      <c r="W248" s="55"/>
      <c r="X248" s="6" t="s">
        <v>45</v>
      </c>
      <c r="Y248" s="6" t="s">
        <v>46</v>
      </c>
      <c r="Z248" s="6">
        <v>3.040322989E9</v>
      </c>
      <c r="AA248" s="6" t="s">
        <v>143</v>
      </c>
      <c r="AB248" s="6" t="s">
        <v>316</v>
      </c>
      <c r="AC248" s="6" t="s">
        <v>795</v>
      </c>
      <c r="AD248" s="55"/>
      <c r="AE248" s="55"/>
      <c r="AF248" s="55"/>
      <c r="AG248" s="55"/>
    </row>
    <row r="249">
      <c r="A249" s="21">
        <f>COUNTIF('Divulgação'!$B:$B,B249)</f>
        <v>1</v>
      </c>
      <c r="B249" s="62" t="s">
        <v>801</v>
      </c>
      <c r="C249" s="55"/>
      <c r="D249" s="6" t="s">
        <v>39</v>
      </c>
      <c r="E249" s="6" t="s">
        <v>40</v>
      </c>
      <c r="F249" s="63" t="s">
        <v>1866</v>
      </c>
      <c r="G249" s="6" t="s">
        <v>41</v>
      </c>
      <c r="H249" s="63" t="s">
        <v>1866</v>
      </c>
      <c r="I249" s="62" t="s">
        <v>1392</v>
      </c>
      <c r="J249" s="63" t="s">
        <v>1393</v>
      </c>
      <c r="K249" s="6" t="s">
        <v>78</v>
      </c>
      <c r="L249" s="63" t="s">
        <v>1867</v>
      </c>
      <c r="M249" s="55"/>
      <c r="N249" s="55"/>
      <c r="O249" s="55"/>
      <c r="P249" s="55"/>
      <c r="Q249" s="6">
        <v>1.0</v>
      </c>
      <c r="R249" s="23">
        <v>46062.0</v>
      </c>
      <c r="S249" s="23">
        <v>46066.0</v>
      </c>
      <c r="T249" s="23">
        <v>46063.0</v>
      </c>
      <c r="U249" s="55"/>
      <c r="V249" s="6" t="s">
        <v>44</v>
      </c>
      <c r="W249" s="55"/>
      <c r="X249" s="6" t="s">
        <v>45</v>
      </c>
      <c r="Y249" s="6" t="s">
        <v>46</v>
      </c>
      <c r="Z249" s="6">
        <v>3.040317905E9</v>
      </c>
      <c r="AA249" s="6" t="s">
        <v>304</v>
      </c>
      <c r="AB249" s="6" t="s">
        <v>306</v>
      </c>
      <c r="AC249" s="6" t="s">
        <v>804</v>
      </c>
      <c r="AD249" s="55"/>
      <c r="AE249" s="55"/>
      <c r="AF249" s="55"/>
      <c r="AG249" s="55"/>
    </row>
    <row r="250">
      <c r="A250" s="21">
        <f>COUNTIF('Divulgação'!$B:$B,B250)</f>
        <v>1</v>
      </c>
      <c r="B250" s="62" t="s">
        <v>1868</v>
      </c>
      <c r="C250" s="55"/>
      <c r="D250" s="6" t="s">
        <v>39</v>
      </c>
      <c r="E250" s="6" t="s">
        <v>40</v>
      </c>
      <c r="F250" s="63" t="s">
        <v>1866</v>
      </c>
      <c r="G250" s="6" t="s">
        <v>41</v>
      </c>
      <c r="H250" s="63" t="s">
        <v>1866</v>
      </c>
      <c r="I250" s="62" t="s">
        <v>1392</v>
      </c>
      <c r="J250" s="63" t="s">
        <v>1393</v>
      </c>
      <c r="K250" s="6" t="s">
        <v>78</v>
      </c>
      <c r="L250" s="63" t="s">
        <v>1869</v>
      </c>
      <c r="M250" s="55"/>
      <c r="N250" s="55"/>
      <c r="O250" s="55"/>
      <c r="P250" s="55"/>
      <c r="Q250" s="6">
        <v>1.0</v>
      </c>
      <c r="R250" s="23">
        <v>46062.0</v>
      </c>
      <c r="S250" s="23">
        <v>46092.0</v>
      </c>
      <c r="T250" s="23">
        <v>46063.0</v>
      </c>
      <c r="U250" s="55"/>
      <c r="V250" s="6" t="s">
        <v>44</v>
      </c>
      <c r="W250" s="55"/>
      <c r="X250" s="6" t="s">
        <v>45</v>
      </c>
      <c r="Y250" s="6" t="s">
        <v>46</v>
      </c>
      <c r="Z250" s="6">
        <v>3.040310565E9</v>
      </c>
      <c r="AA250" s="6" t="s">
        <v>57</v>
      </c>
      <c r="AB250" s="6" t="s">
        <v>1201</v>
      </c>
      <c r="AC250" s="6" t="s">
        <v>1870</v>
      </c>
      <c r="AD250" s="55"/>
      <c r="AE250" s="55"/>
      <c r="AF250" s="55"/>
      <c r="AG250" s="55"/>
    </row>
    <row r="251">
      <c r="A251" s="21">
        <f>COUNTIF('Divulgação'!$B:$B,B251)</f>
        <v>1</v>
      </c>
      <c r="B251" s="62" t="s">
        <v>1871</v>
      </c>
      <c r="C251" s="55"/>
      <c r="D251" s="6" t="s">
        <v>39</v>
      </c>
      <c r="E251" s="6" t="s">
        <v>40</v>
      </c>
      <c r="F251" s="63" t="s">
        <v>1866</v>
      </c>
      <c r="G251" s="6" t="s">
        <v>41</v>
      </c>
      <c r="H251" s="63" t="s">
        <v>1866</v>
      </c>
      <c r="I251" s="62" t="s">
        <v>1392</v>
      </c>
      <c r="J251" s="63" t="s">
        <v>1393</v>
      </c>
      <c r="K251" s="6" t="s">
        <v>78</v>
      </c>
      <c r="L251" s="63" t="s">
        <v>1872</v>
      </c>
      <c r="M251" s="55"/>
      <c r="N251" s="55"/>
      <c r="O251" s="55"/>
      <c r="P251" s="55"/>
      <c r="Q251" s="6">
        <v>1.0</v>
      </c>
      <c r="R251" s="23">
        <v>46062.0</v>
      </c>
      <c r="S251" s="23">
        <v>46092.0</v>
      </c>
      <c r="T251" s="23">
        <v>46063.0</v>
      </c>
      <c r="U251" s="55"/>
      <c r="V251" s="6" t="s">
        <v>44</v>
      </c>
      <c r="W251" s="55"/>
      <c r="X251" s="6" t="s">
        <v>45</v>
      </c>
      <c r="Y251" s="6" t="s">
        <v>46</v>
      </c>
      <c r="Z251" s="6">
        <v>3.040310564E9</v>
      </c>
      <c r="AA251" s="6" t="s">
        <v>57</v>
      </c>
      <c r="AB251" s="6" t="s">
        <v>1201</v>
      </c>
      <c r="AC251" s="6" t="s">
        <v>1870</v>
      </c>
      <c r="AD251" s="55"/>
      <c r="AE251" s="55"/>
      <c r="AF251" s="55"/>
      <c r="AG251" s="55"/>
    </row>
    <row r="252">
      <c r="A252" s="21">
        <f>COUNTIF('Divulgação'!$B:$B,B252)</f>
        <v>1</v>
      </c>
      <c r="B252" s="62" t="s">
        <v>811</v>
      </c>
      <c r="C252" s="55"/>
      <c r="D252" s="6" t="s">
        <v>39</v>
      </c>
      <c r="E252" s="6" t="s">
        <v>40</v>
      </c>
      <c r="F252" s="63" t="s">
        <v>1866</v>
      </c>
      <c r="G252" s="6" t="s">
        <v>41</v>
      </c>
      <c r="H252" s="63" t="s">
        <v>1866</v>
      </c>
      <c r="I252" s="21" t="s">
        <v>812</v>
      </c>
      <c r="J252" s="63" t="s">
        <v>1408</v>
      </c>
      <c r="K252" s="6" t="s">
        <v>813</v>
      </c>
      <c r="L252" s="63" t="s">
        <v>1873</v>
      </c>
      <c r="M252" s="55"/>
      <c r="N252" s="55"/>
      <c r="O252" s="55"/>
      <c r="P252" s="55"/>
      <c r="Q252" s="6">
        <v>1.0</v>
      </c>
      <c r="R252" s="23">
        <v>46059.0</v>
      </c>
      <c r="S252" s="23">
        <v>46065.0</v>
      </c>
      <c r="T252" s="23">
        <v>46063.0</v>
      </c>
      <c r="U252" s="55"/>
      <c r="V252" s="6" t="s">
        <v>44</v>
      </c>
      <c r="W252" s="55"/>
      <c r="X252" s="6" t="s">
        <v>45</v>
      </c>
      <c r="Y252" s="6" t="s">
        <v>46</v>
      </c>
      <c r="Z252" s="6">
        <v>3.040236465E9</v>
      </c>
      <c r="AA252" s="6" t="s">
        <v>389</v>
      </c>
      <c r="AB252" s="6" t="s">
        <v>390</v>
      </c>
      <c r="AC252" s="6" t="s">
        <v>814</v>
      </c>
      <c r="AD252" s="55"/>
      <c r="AE252" s="55"/>
      <c r="AF252" s="55"/>
      <c r="AG252" s="55"/>
    </row>
    <row r="253">
      <c r="A253" s="21">
        <f>COUNTIF('Divulgação'!$B:$B,B253)</f>
        <v>1</v>
      </c>
      <c r="B253" s="62" t="s">
        <v>817</v>
      </c>
      <c r="C253" s="55"/>
      <c r="D253" s="6" t="s">
        <v>39</v>
      </c>
      <c r="E253" s="6" t="s">
        <v>40</v>
      </c>
      <c r="F253" s="63" t="s">
        <v>1866</v>
      </c>
      <c r="G253" s="6" t="s">
        <v>41</v>
      </c>
      <c r="H253" s="63" t="s">
        <v>1866</v>
      </c>
      <c r="I253" s="21" t="s">
        <v>818</v>
      </c>
      <c r="J253" s="6" t="s">
        <v>156</v>
      </c>
      <c r="K253" s="6" t="s">
        <v>819</v>
      </c>
      <c r="L253" s="6" t="s">
        <v>820</v>
      </c>
      <c r="M253" s="55"/>
      <c r="N253" s="55"/>
      <c r="O253" s="55"/>
      <c r="P253" s="55"/>
      <c r="Q253" s="6">
        <v>1.0</v>
      </c>
      <c r="R253" s="23">
        <v>46059.0</v>
      </c>
      <c r="S253" s="23">
        <v>46065.0</v>
      </c>
      <c r="T253" s="23">
        <v>46063.0</v>
      </c>
      <c r="U253" s="55"/>
      <c r="V253" s="6" t="s">
        <v>44</v>
      </c>
      <c r="W253" s="55"/>
      <c r="X253" s="6" t="s">
        <v>45</v>
      </c>
      <c r="Y253" s="6" t="s">
        <v>46</v>
      </c>
      <c r="Z253" s="6">
        <v>3.040319124E9</v>
      </c>
      <c r="AA253" s="6" t="s">
        <v>62</v>
      </c>
      <c r="AB253" s="6" t="s">
        <v>120</v>
      </c>
      <c r="AC253" s="6" t="s">
        <v>821</v>
      </c>
      <c r="AD253" s="55"/>
      <c r="AE253" s="55"/>
      <c r="AF253" s="55"/>
      <c r="AG253" s="55"/>
    </row>
    <row r="254">
      <c r="A254" s="21">
        <f>COUNTIF('Divulgação'!$B:$B,B254)</f>
        <v>1</v>
      </c>
      <c r="B254" s="62" t="s">
        <v>805</v>
      </c>
      <c r="C254" s="55"/>
      <c r="D254" s="6" t="s">
        <v>39</v>
      </c>
      <c r="E254" s="6" t="s">
        <v>40</v>
      </c>
      <c r="F254" s="63" t="s">
        <v>1866</v>
      </c>
      <c r="G254" s="6" t="s">
        <v>41</v>
      </c>
      <c r="H254" s="63" t="s">
        <v>1866</v>
      </c>
      <c r="I254" s="21" t="s">
        <v>806</v>
      </c>
      <c r="J254" s="6" t="s">
        <v>156</v>
      </c>
      <c r="K254" s="6" t="s">
        <v>292</v>
      </c>
      <c r="L254" s="6" t="s">
        <v>807</v>
      </c>
      <c r="M254" s="55"/>
      <c r="N254" s="55"/>
      <c r="O254" s="55"/>
      <c r="P254" s="55"/>
      <c r="Q254" s="6">
        <v>1.0</v>
      </c>
      <c r="R254" s="23">
        <v>46059.0</v>
      </c>
      <c r="S254" s="23">
        <v>46065.0</v>
      </c>
      <c r="T254" s="23">
        <v>46063.0</v>
      </c>
      <c r="U254" s="55"/>
      <c r="V254" s="6" t="s">
        <v>44</v>
      </c>
      <c r="W254" s="55"/>
      <c r="X254" s="6" t="s">
        <v>45</v>
      </c>
      <c r="Y254" s="6" t="s">
        <v>46</v>
      </c>
      <c r="Z254" s="6">
        <v>3.040306479E9</v>
      </c>
      <c r="AA254" s="6" t="s">
        <v>60</v>
      </c>
      <c r="AB254" s="6" t="s">
        <v>189</v>
      </c>
      <c r="AC254" s="6" t="s">
        <v>810</v>
      </c>
      <c r="AD254" s="55"/>
      <c r="AE254" s="55"/>
      <c r="AF254" s="55"/>
      <c r="AG254" s="55"/>
    </row>
    <row r="255">
      <c r="A255" s="21">
        <f>COUNTIF('Divulgação'!$B:$B,B255)</f>
        <v>1</v>
      </c>
      <c r="B255" s="62" t="s">
        <v>822</v>
      </c>
      <c r="C255" s="55"/>
      <c r="D255" s="6" t="s">
        <v>39</v>
      </c>
      <c r="E255" s="6" t="s">
        <v>40</v>
      </c>
      <c r="F255" s="63" t="s">
        <v>1866</v>
      </c>
      <c r="G255" s="6" t="s">
        <v>41</v>
      </c>
      <c r="H255" s="63" t="s">
        <v>1866</v>
      </c>
      <c r="I255" s="21" t="s">
        <v>824</v>
      </c>
      <c r="J255" s="6" t="s">
        <v>275</v>
      </c>
      <c r="K255" s="6" t="s">
        <v>826</v>
      </c>
      <c r="L255" s="63" t="s">
        <v>1875</v>
      </c>
      <c r="M255" s="55"/>
      <c r="N255" s="55"/>
      <c r="O255" s="55"/>
      <c r="P255" s="55"/>
      <c r="Q255" s="6">
        <v>1.0</v>
      </c>
      <c r="R255" s="23">
        <v>46059.0</v>
      </c>
      <c r="S255" s="23">
        <v>46065.0</v>
      </c>
      <c r="T255" s="23">
        <v>46063.0</v>
      </c>
      <c r="U255" s="55"/>
      <c r="V255" s="6" t="s">
        <v>44</v>
      </c>
      <c r="W255" s="55"/>
      <c r="X255" s="6" t="s">
        <v>45</v>
      </c>
      <c r="Y255" s="6" t="s">
        <v>46</v>
      </c>
      <c r="Z255" s="6">
        <v>3.0403033E9</v>
      </c>
      <c r="AA255" s="6" t="s">
        <v>68</v>
      </c>
      <c r="AB255" s="6" t="s">
        <v>827</v>
      </c>
      <c r="AC255" s="6" t="s">
        <v>828</v>
      </c>
      <c r="AD255" s="55"/>
      <c r="AE255" s="55"/>
      <c r="AF255" s="55"/>
      <c r="AG255" s="55"/>
    </row>
    <row r="256">
      <c r="A256" s="21">
        <f>COUNTIF('Divulgação'!$B:$B,B256)</f>
        <v>1</v>
      </c>
      <c r="B256" s="62" t="s">
        <v>1876</v>
      </c>
      <c r="C256" s="55"/>
      <c r="D256" s="6" t="s">
        <v>39</v>
      </c>
      <c r="E256" s="6" t="s">
        <v>40</v>
      </c>
      <c r="F256" s="63" t="s">
        <v>1866</v>
      </c>
      <c r="G256" s="6" t="s">
        <v>41</v>
      </c>
      <c r="H256" s="63" t="s">
        <v>1866</v>
      </c>
      <c r="I256" s="21" t="s">
        <v>408</v>
      </c>
      <c r="J256" s="6" t="s">
        <v>275</v>
      </c>
      <c r="K256" s="6" t="s">
        <v>1877</v>
      </c>
      <c r="L256" s="63" t="s">
        <v>1878</v>
      </c>
      <c r="M256" s="55"/>
      <c r="N256" s="55"/>
      <c r="O256" s="55"/>
      <c r="P256" s="55"/>
      <c r="Q256" s="6">
        <v>1.0</v>
      </c>
      <c r="R256" s="23">
        <v>46059.0</v>
      </c>
      <c r="S256" s="23">
        <v>46065.0</v>
      </c>
      <c r="T256" s="23">
        <v>46063.0</v>
      </c>
      <c r="U256" s="55"/>
      <c r="V256" s="6" t="s">
        <v>44</v>
      </c>
      <c r="W256" s="55"/>
      <c r="X256" s="6" t="s">
        <v>45</v>
      </c>
      <c r="Y256" s="6" t="s">
        <v>46</v>
      </c>
      <c r="Z256" s="6">
        <v>3.040299947E9</v>
      </c>
      <c r="AA256" s="6" t="s">
        <v>63</v>
      </c>
      <c r="AB256" s="6" t="s">
        <v>72</v>
      </c>
      <c r="AC256" s="6" t="s">
        <v>1570</v>
      </c>
      <c r="AD256" s="55"/>
      <c r="AE256" s="55"/>
      <c r="AF256" s="55"/>
      <c r="AG256" s="55"/>
    </row>
    <row r="257">
      <c r="A257" s="21">
        <f>COUNTIF('Divulgação'!$B:$B,B257)</f>
        <v>1</v>
      </c>
      <c r="B257" s="62" t="s">
        <v>1879</v>
      </c>
      <c r="C257" s="55"/>
      <c r="D257" s="6" t="s">
        <v>39</v>
      </c>
      <c r="E257" s="6" t="s">
        <v>40</v>
      </c>
      <c r="F257" s="63" t="s">
        <v>1866</v>
      </c>
      <c r="G257" s="6" t="s">
        <v>41</v>
      </c>
      <c r="H257" s="63" t="s">
        <v>1866</v>
      </c>
      <c r="I257" s="21" t="s">
        <v>408</v>
      </c>
      <c r="J257" s="6" t="s">
        <v>275</v>
      </c>
      <c r="K257" s="6" t="s">
        <v>1877</v>
      </c>
      <c r="L257" s="63" t="s">
        <v>1880</v>
      </c>
      <c r="M257" s="55"/>
      <c r="N257" s="55"/>
      <c r="O257" s="55"/>
      <c r="P257" s="55"/>
      <c r="Q257" s="6">
        <v>1.0</v>
      </c>
      <c r="R257" s="23">
        <v>46059.0</v>
      </c>
      <c r="S257" s="23">
        <v>46065.0</v>
      </c>
      <c r="T257" s="23">
        <v>46063.0</v>
      </c>
      <c r="U257" s="55"/>
      <c r="V257" s="6" t="s">
        <v>44</v>
      </c>
      <c r="W257" s="55"/>
      <c r="X257" s="6" t="s">
        <v>45</v>
      </c>
      <c r="Y257" s="6" t="s">
        <v>46</v>
      </c>
      <c r="Z257" s="6">
        <v>3.040302696E9</v>
      </c>
      <c r="AA257" s="6" t="s">
        <v>63</v>
      </c>
      <c r="AB257" s="6" t="s">
        <v>72</v>
      </c>
      <c r="AC257" s="6" t="s">
        <v>1570</v>
      </c>
      <c r="AD257" s="55"/>
      <c r="AE257" s="55"/>
      <c r="AF257" s="55"/>
      <c r="AG257" s="55"/>
    </row>
    <row r="258">
      <c r="A258" s="21">
        <f>COUNTIF('Divulgação'!$B:$B,B258)</f>
        <v>1</v>
      </c>
      <c r="B258" s="62" t="s">
        <v>829</v>
      </c>
      <c r="C258" s="55"/>
      <c r="D258" s="6" t="s">
        <v>39</v>
      </c>
      <c r="E258" s="6" t="s">
        <v>40</v>
      </c>
      <c r="F258" s="63" t="s">
        <v>1866</v>
      </c>
      <c r="G258" s="6" t="s">
        <v>41</v>
      </c>
      <c r="H258" s="63" t="s">
        <v>1866</v>
      </c>
      <c r="I258" s="21" t="s">
        <v>788</v>
      </c>
      <c r="J258" s="63" t="s">
        <v>1387</v>
      </c>
      <c r="K258" s="6" t="s">
        <v>789</v>
      </c>
      <c r="L258" s="63" t="s">
        <v>1881</v>
      </c>
      <c r="M258" s="55"/>
      <c r="N258" s="55"/>
      <c r="O258" s="55"/>
      <c r="P258" s="55"/>
      <c r="Q258" s="6">
        <v>1.0</v>
      </c>
      <c r="R258" s="23">
        <v>46059.0</v>
      </c>
      <c r="S258" s="23">
        <v>46065.0</v>
      </c>
      <c r="T258" s="23">
        <v>46063.0</v>
      </c>
      <c r="U258" s="55"/>
      <c r="V258" s="6" t="s">
        <v>44</v>
      </c>
      <c r="W258" s="55"/>
      <c r="X258" s="6" t="s">
        <v>45</v>
      </c>
      <c r="Y258" s="6" t="s">
        <v>46</v>
      </c>
      <c r="Z258" s="6">
        <v>3.040317899E9</v>
      </c>
      <c r="AA258" s="6" t="s">
        <v>304</v>
      </c>
      <c r="AB258" s="6" t="s">
        <v>306</v>
      </c>
      <c r="AC258" s="6" t="s">
        <v>830</v>
      </c>
      <c r="AD258" s="55"/>
      <c r="AE258" s="55"/>
      <c r="AF258" s="55"/>
      <c r="AG258" s="55"/>
    </row>
    <row r="259">
      <c r="A259" s="21">
        <f>COUNTIF('Divulgação'!$B:$B,B259)</f>
        <v>1</v>
      </c>
      <c r="B259" s="62" t="s">
        <v>836</v>
      </c>
      <c r="C259" s="55"/>
      <c r="D259" s="6" t="s">
        <v>39</v>
      </c>
      <c r="E259" s="6" t="s">
        <v>40</v>
      </c>
      <c r="F259" s="63" t="s">
        <v>1866</v>
      </c>
      <c r="G259" s="6" t="s">
        <v>41</v>
      </c>
      <c r="H259" s="63" t="s">
        <v>1866</v>
      </c>
      <c r="I259" s="21" t="s">
        <v>837</v>
      </c>
      <c r="J259" s="63" t="s">
        <v>1387</v>
      </c>
      <c r="K259" s="6" t="s">
        <v>303</v>
      </c>
      <c r="L259" s="63" t="s">
        <v>1882</v>
      </c>
      <c r="M259" s="55"/>
      <c r="N259" s="55"/>
      <c r="O259" s="55"/>
      <c r="P259" s="55"/>
      <c r="Q259" s="6">
        <v>1.0</v>
      </c>
      <c r="R259" s="23">
        <v>46059.0</v>
      </c>
      <c r="S259" s="23">
        <v>46065.0</v>
      </c>
      <c r="T259" s="23">
        <v>46063.0</v>
      </c>
      <c r="U259" s="55"/>
      <c r="V259" s="6" t="s">
        <v>44</v>
      </c>
      <c r="W259" s="55"/>
      <c r="X259" s="6" t="s">
        <v>45</v>
      </c>
      <c r="Y259" s="6" t="s">
        <v>46</v>
      </c>
      <c r="Z259" s="6">
        <v>3.0403117E9</v>
      </c>
      <c r="AA259" s="6" t="s">
        <v>64</v>
      </c>
      <c r="AB259" s="6" t="s">
        <v>94</v>
      </c>
      <c r="AC259" s="6" t="s">
        <v>492</v>
      </c>
      <c r="AD259" s="55"/>
      <c r="AE259" s="55"/>
      <c r="AF259" s="55"/>
      <c r="AG259" s="55"/>
    </row>
    <row r="260">
      <c r="A260" s="21">
        <f>COUNTIF('Divulgação'!$B:$B,B260)</f>
        <v>1</v>
      </c>
      <c r="B260" s="62" t="s">
        <v>833</v>
      </c>
      <c r="C260" s="55"/>
      <c r="D260" s="6" t="s">
        <v>39</v>
      </c>
      <c r="E260" s="6" t="s">
        <v>40</v>
      </c>
      <c r="F260" s="63" t="s">
        <v>1866</v>
      </c>
      <c r="G260" s="6" t="s">
        <v>41</v>
      </c>
      <c r="H260" s="63" t="s">
        <v>1866</v>
      </c>
      <c r="I260" s="21" t="s">
        <v>362</v>
      </c>
      <c r="J260" s="63" t="s">
        <v>1387</v>
      </c>
      <c r="K260" s="6" t="s">
        <v>363</v>
      </c>
      <c r="L260" s="6" t="s">
        <v>834</v>
      </c>
      <c r="M260" s="55"/>
      <c r="N260" s="55"/>
      <c r="O260" s="55"/>
      <c r="P260" s="55"/>
      <c r="Q260" s="6">
        <v>1.0</v>
      </c>
      <c r="R260" s="23">
        <v>46059.0</v>
      </c>
      <c r="S260" s="23">
        <v>46065.0</v>
      </c>
      <c r="T260" s="23">
        <v>46063.0</v>
      </c>
      <c r="U260" s="55"/>
      <c r="V260" s="6" t="s">
        <v>44</v>
      </c>
      <c r="W260" s="55"/>
      <c r="X260" s="6" t="s">
        <v>45</v>
      </c>
      <c r="Y260" s="6" t="s">
        <v>46</v>
      </c>
      <c r="Z260" s="6">
        <v>3.040318046E9</v>
      </c>
      <c r="AA260" s="6" t="s">
        <v>64</v>
      </c>
      <c r="AB260" s="6" t="s">
        <v>399</v>
      </c>
      <c r="AC260" s="6" t="s">
        <v>710</v>
      </c>
      <c r="AD260" s="55"/>
      <c r="AE260" s="55"/>
      <c r="AF260" s="55"/>
      <c r="AG260" s="55"/>
    </row>
    <row r="261">
      <c r="A261" s="21">
        <f>COUNTIF('Divulgação'!$B:$B,B261)</f>
        <v>1</v>
      </c>
      <c r="B261" s="62" t="s">
        <v>831</v>
      </c>
      <c r="C261" s="55"/>
      <c r="D261" s="6" t="s">
        <v>39</v>
      </c>
      <c r="E261" s="6" t="s">
        <v>40</v>
      </c>
      <c r="F261" s="63" t="s">
        <v>1866</v>
      </c>
      <c r="G261" s="6" t="s">
        <v>41</v>
      </c>
      <c r="H261" s="63" t="s">
        <v>1866</v>
      </c>
      <c r="I261" s="21" t="s">
        <v>283</v>
      </c>
      <c r="J261" s="63" t="s">
        <v>1387</v>
      </c>
      <c r="K261" s="6" t="s">
        <v>284</v>
      </c>
      <c r="L261" s="63" t="s">
        <v>1883</v>
      </c>
      <c r="M261" s="55"/>
      <c r="N261" s="55"/>
      <c r="O261" s="55"/>
      <c r="P261" s="55"/>
      <c r="Q261" s="6">
        <v>1.0</v>
      </c>
      <c r="R261" s="23">
        <v>46059.0</v>
      </c>
      <c r="S261" s="23">
        <v>46065.0</v>
      </c>
      <c r="T261" s="23">
        <v>46063.0</v>
      </c>
      <c r="U261" s="55"/>
      <c r="V261" s="6" t="s">
        <v>44</v>
      </c>
      <c r="W261" s="55"/>
      <c r="X261" s="6" t="s">
        <v>45</v>
      </c>
      <c r="Y261" s="6" t="s">
        <v>46</v>
      </c>
      <c r="Z261" s="6">
        <v>3.040317878E9</v>
      </c>
      <c r="AA261" s="6" t="s">
        <v>304</v>
      </c>
      <c r="AB261" s="6" t="s">
        <v>306</v>
      </c>
      <c r="AC261" s="6" t="s">
        <v>832</v>
      </c>
      <c r="AD261" s="55"/>
      <c r="AE261" s="55"/>
      <c r="AF261" s="55"/>
      <c r="AG261" s="55"/>
    </row>
    <row r="262">
      <c r="A262" s="21">
        <f>COUNTIF('Divulgação'!$B:$B,B262)</f>
        <v>1</v>
      </c>
      <c r="B262" s="62" t="s">
        <v>1884</v>
      </c>
      <c r="C262" s="55"/>
      <c r="D262" s="6" t="s">
        <v>39</v>
      </c>
      <c r="E262" s="6" t="s">
        <v>40</v>
      </c>
      <c r="F262" s="63" t="s">
        <v>1866</v>
      </c>
      <c r="G262" s="6" t="s">
        <v>41</v>
      </c>
      <c r="H262" s="63" t="s">
        <v>1866</v>
      </c>
      <c r="I262" s="21" t="s">
        <v>283</v>
      </c>
      <c r="J262" s="63" t="s">
        <v>1387</v>
      </c>
      <c r="K262" s="6" t="s">
        <v>284</v>
      </c>
      <c r="L262" s="63" t="s">
        <v>1885</v>
      </c>
      <c r="M262" s="55"/>
      <c r="N262" s="55"/>
      <c r="O262" s="55"/>
      <c r="P262" s="55"/>
      <c r="Q262" s="6">
        <v>1.0</v>
      </c>
      <c r="R262" s="23">
        <v>46059.0</v>
      </c>
      <c r="S262" s="23">
        <v>46065.0</v>
      </c>
      <c r="T262" s="23">
        <v>46063.0</v>
      </c>
      <c r="U262" s="55"/>
      <c r="V262" s="6" t="s">
        <v>44</v>
      </c>
      <c r="W262" s="55"/>
      <c r="X262" s="6" t="s">
        <v>45</v>
      </c>
      <c r="Y262" s="6" t="s">
        <v>46</v>
      </c>
      <c r="Z262" s="6">
        <v>3.040263619E9</v>
      </c>
      <c r="AA262" s="6" t="s">
        <v>262</v>
      </c>
      <c r="AB262" s="6" t="s">
        <v>263</v>
      </c>
      <c r="AC262" s="6" t="s">
        <v>264</v>
      </c>
      <c r="AD262" s="55"/>
      <c r="AE262" s="55"/>
      <c r="AF262" s="55"/>
      <c r="AG262" s="55"/>
    </row>
    <row r="263">
      <c r="A263" s="21">
        <f>COUNTIF('Divulgação'!$B:$B,B263)</f>
        <v>1</v>
      </c>
      <c r="B263" s="62" t="s">
        <v>835</v>
      </c>
      <c r="C263" s="55"/>
      <c r="D263" s="6" t="s">
        <v>39</v>
      </c>
      <c r="E263" s="6" t="s">
        <v>40</v>
      </c>
      <c r="F263" s="63" t="s">
        <v>1866</v>
      </c>
      <c r="G263" s="6" t="s">
        <v>41</v>
      </c>
      <c r="H263" s="63" t="s">
        <v>1866</v>
      </c>
      <c r="I263" s="21" t="s">
        <v>362</v>
      </c>
      <c r="J263" s="63" t="s">
        <v>1387</v>
      </c>
      <c r="K263" s="6" t="s">
        <v>363</v>
      </c>
      <c r="L263" s="63" t="s">
        <v>1886</v>
      </c>
      <c r="M263" s="55"/>
      <c r="N263" s="55"/>
      <c r="O263" s="55"/>
      <c r="P263" s="55"/>
      <c r="Q263" s="6">
        <v>1.0</v>
      </c>
      <c r="R263" s="23">
        <v>46059.0</v>
      </c>
      <c r="S263" s="23">
        <v>46065.0</v>
      </c>
      <c r="T263" s="23">
        <v>46063.0</v>
      </c>
      <c r="U263" s="55"/>
      <c r="V263" s="6" t="s">
        <v>44</v>
      </c>
      <c r="W263" s="55"/>
      <c r="X263" s="6" t="s">
        <v>45</v>
      </c>
      <c r="Y263" s="6" t="s">
        <v>46</v>
      </c>
      <c r="Z263" s="6">
        <v>3.040318047E9</v>
      </c>
      <c r="AA263" s="6" t="s">
        <v>64</v>
      </c>
      <c r="AB263" s="6" t="s">
        <v>399</v>
      </c>
      <c r="AC263" s="6" t="s">
        <v>710</v>
      </c>
      <c r="AD263" s="55"/>
      <c r="AE263" s="55"/>
      <c r="AF263" s="55"/>
      <c r="AG263" s="55"/>
    </row>
    <row r="264">
      <c r="A264" s="21">
        <f>COUNTIF('Divulgação'!$B:$B,B264)</f>
        <v>1</v>
      </c>
      <c r="B264" s="62" t="s">
        <v>838</v>
      </c>
      <c r="C264" s="55"/>
      <c r="D264" s="6" t="s">
        <v>39</v>
      </c>
      <c r="E264" s="6" t="s">
        <v>40</v>
      </c>
      <c r="F264" s="63" t="s">
        <v>1866</v>
      </c>
      <c r="G264" s="6" t="s">
        <v>41</v>
      </c>
      <c r="H264" s="63" t="s">
        <v>1866</v>
      </c>
      <c r="I264" s="21" t="s">
        <v>839</v>
      </c>
      <c r="J264" s="63" t="s">
        <v>1387</v>
      </c>
      <c r="K264" s="6" t="s">
        <v>840</v>
      </c>
      <c r="L264" s="63" t="s">
        <v>1887</v>
      </c>
      <c r="M264" s="55"/>
      <c r="N264" s="55"/>
      <c r="O264" s="55"/>
      <c r="P264" s="55"/>
      <c r="Q264" s="6">
        <v>1.0</v>
      </c>
      <c r="R264" s="23">
        <v>46059.0</v>
      </c>
      <c r="S264" s="23">
        <v>46065.0</v>
      </c>
      <c r="T264" s="23">
        <v>46063.0</v>
      </c>
      <c r="U264" s="55"/>
      <c r="V264" s="6" t="s">
        <v>44</v>
      </c>
      <c r="W264" s="55"/>
      <c r="X264" s="6" t="s">
        <v>45</v>
      </c>
      <c r="Y264" s="6" t="s">
        <v>46</v>
      </c>
      <c r="Z264" s="6">
        <v>3.040290696E9</v>
      </c>
      <c r="AA264" s="6" t="s">
        <v>66</v>
      </c>
      <c r="AB264" s="6" t="s">
        <v>228</v>
      </c>
      <c r="AC264" s="6" t="s">
        <v>842</v>
      </c>
      <c r="AD264" s="55"/>
      <c r="AE264" s="55"/>
      <c r="AF264" s="55"/>
      <c r="AG264" s="55"/>
    </row>
    <row r="265">
      <c r="A265" s="21">
        <f>COUNTIF('Divulgação'!$B:$B,B265)</f>
        <v>1</v>
      </c>
      <c r="B265" s="62" t="s">
        <v>843</v>
      </c>
      <c r="C265" s="55"/>
      <c r="D265" s="6" t="s">
        <v>39</v>
      </c>
      <c r="E265" s="6" t="s">
        <v>40</v>
      </c>
      <c r="F265" s="63" t="s">
        <v>1866</v>
      </c>
      <c r="G265" s="6" t="s">
        <v>41</v>
      </c>
      <c r="H265" s="63" t="s">
        <v>1866</v>
      </c>
      <c r="I265" s="21" t="s">
        <v>844</v>
      </c>
      <c r="J265" s="63" t="s">
        <v>1387</v>
      </c>
      <c r="K265" s="6" t="s">
        <v>303</v>
      </c>
      <c r="L265" s="63" t="s">
        <v>1889</v>
      </c>
      <c r="M265" s="55"/>
      <c r="N265" s="55"/>
      <c r="O265" s="55"/>
      <c r="P265" s="55"/>
      <c r="Q265" s="6">
        <v>1.0</v>
      </c>
      <c r="R265" s="23">
        <v>46059.0</v>
      </c>
      <c r="S265" s="23">
        <v>46065.0</v>
      </c>
      <c r="T265" s="23">
        <v>46063.0</v>
      </c>
      <c r="U265" s="55"/>
      <c r="V265" s="6" t="s">
        <v>44</v>
      </c>
      <c r="W265" s="55"/>
      <c r="X265" s="6" t="s">
        <v>45</v>
      </c>
      <c r="Y265" s="6" t="s">
        <v>46</v>
      </c>
      <c r="Z265" s="6">
        <v>3.040285468E9</v>
      </c>
      <c r="AA265" s="6" t="s">
        <v>71</v>
      </c>
      <c r="AB265" s="6" t="s">
        <v>501</v>
      </c>
      <c r="AC265" s="6" t="s">
        <v>845</v>
      </c>
      <c r="AD265" s="55"/>
      <c r="AE265" s="55"/>
      <c r="AF265" s="55"/>
      <c r="AG265" s="55"/>
    </row>
    <row r="266">
      <c r="A266" s="21">
        <f>COUNTIF('Divulgação'!$B:$B,B266)</f>
        <v>1</v>
      </c>
      <c r="B266" s="62" t="s">
        <v>846</v>
      </c>
      <c r="C266" s="55"/>
      <c r="D266" s="6" t="s">
        <v>39</v>
      </c>
      <c r="E266" s="6" t="s">
        <v>40</v>
      </c>
      <c r="F266" s="63" t="s">
        <v>1866</v>
      </c>
      <c r="G266" s="6" t="s">
        <v>41</v>
      </c>
      <c r="H266" s="63" t="s">
        <v>1866</v>
      </c>
      <c r="I266" s="21" t="s">
        <v>591</v>
      </c>
      <c r="J266" s="63" t="s">
        <v>1387</v>
      </c>
      <c r="K266" s="6" t="s">
        <v>593</v>
      </c>
      <c r="L266" s="63" t="s">
        <v>1890</v>
      </c>
      <c r="M266" s="55"/>
      <c r="N266" s="55"/>
      <c r="O266" s="55"/>
      <c r="P266" s="55"/>
      <c r="Q266" s="6">
        <v>1.0</v>
      </c>
      <c r="R266" s="23">
        <v>46059.0</v>
      </c>
      <c r="S266" s="23">
        <v>46065.0</v>
      </c>
      <c r="T266" s="23">
        <v>46063.0</v>
      </c>
      <c r="U266" s="55"/>
      <c r="V266" s="6" t="s">
        <v>44</v>
      </c>
      <c r="W266" s="55"/>
      <c r="X266" s="6" t="s">
        <v>45</v>
      </c>
      <c r="Y266" s="6" t="s">
        <v>46</v>
      </c>
      <c r="Z266" s="6">
        <v>3.040313103E9</v>
      </c>
      <c r="AA266" s="6" t="s">
        <v>45</v>
      </c>
      <c r="AB266" s="6" t="s">
        <v>46</v>
      </c>
      <c r="AC266" s="6" t="s">
        <v>80</v>
      </c>
      <c r="AD266" s="55"/>
      <c r="AE266" s="55"/>
      <c r="AF266" s="55"/>
      <c r="AG266" s="55"/>
    </row>
    <row r="267">
      <c r="A267" s="21">
        <f>COUNTIF('Divulgação'!$B:$B,B267)</f>
        <v>1</v>
      </c>
      <c r="B267" s="62" t="s">
        <v>847</v>
      </c>
      <c r="C267" s="55"/>
      <c r="D267" s="6" t="s">
        <v>39</v>
      </c>
      <c r="E267" s="6" t="s">
        <v>40</v>
      </c>
      <c r="F267" s="63" t="s">
        <v>1866</v>
      </c>
      <c r="G267" s="6" t="s">
        <v>41</v>
      </c>
      <c r="H267" s="63" t="s">
        <v>1866</v>
      </c>
      <c r="I267" s="21" t="s">
        <v>369</v>
      </c>
      <c r="J267" s="63" t="s">
        <v>1387</v>
      </c>
      <c r="K267" s="6" t="s">
        <v>370</v>
      </c>
      <c r="L267" s="63" t="s">
        <v>1891</v>
      </c>
      <c r="M267" s="55"/>
      <c r="N267" s="55"/>
      <c r="O267" s="55"/>
      <c r="P267" s="55"/>
      <c r="Q267" s="6">
        <v>1.0</v>
      </c>
      <c r="R267" s="23">
        <v>46059.0</v>
      </c>
      <c r="S267" s="23">
        <v>46065.0</v>
      </c>
      <c r="T267" s="23">
        <v>46063.0</v>
      </c>
      <c r="U267" s="55"/>
      <c r="V267" s="6" t="s">
        <v>44</v>
      </c>
      <c r="W267" s="55"/>
      <c r="X267" s="6" t="s">
        <v>45</v>
      </c>
      <c r="Y267" s="6" t="s">
        <v>46</v>
      </c>
      <c r="Z267" s="6">
        <v>3.040313099E9</v>
      </c>
      <c r="AA267" s="6" t="s">
        <v>45</v>
      </c>
      <c r="AB267" s="6" t="s">
        <v>46</v>
      </c>
      <c r="AC267" s="6" t="s">
        <v>324</v>
      </c>
      <c r="AD267" s="55"/>
      <c r="AE267" s="55"/>
      <c r="AF267" s="55"/>
      <c r="AG267" s="55"/>
    </row>
    <row r="268">
      <c r="A268" s="21">
        <f>COUNTIF('Divulgação'!$B:$B,B268)</f>
        <v>1</v>
      </c>
      <c r="B268" s="62" t="s">
        <v>859</v>
      </c>
      <c r="C268" s="55"/>
      <c r="D268" s="6" t="s">
        <v>39</v>
      </c>
      <c r="E268" s="6" t="s">
        <v>40</v>
      </c>
      <c r="F268" s="63" t="s">
        <v>1866</v>
      </c>
      <c r="G268" s="6" t="s">
        <v>41</v>
      </c>
      <c r="H268" s="63" t="s">
        <v>1866</v>
      </c>
      <c r="I268" s="21" t="s">
        <v>860</v>
      </c>
      <c r="J268" s="6" t="s">
        <v>861</v>
      </c>
      <c r="K268" s="6" t="s">
        <v>862</v>
      </c>
      <c r="L268" s="59"/>
      <c r="M268" s="55"/>
      <c r="N268" s="55"/>
      <c r="O268" s="55"/>
      <c r="P268" s="55"/>
      <c r="Q268" s="6">
        <v>1.0</v>
      </c>
      <c r="R268" s="23">
        <v>46059.0</v>
      </c>
      <c r="S268" s="23">
        <v>46065.0</v>
      </c>
      <c r="T268" s="23">
        <v>46063.0</v>
      </c>
      <c r="U268" s="55"/>
      <c r="V268" s="6" t="s">
        <v>44</v>
      </c>
      <c r="W268" s="55"/>
      <c r="X268" s="6" t="s">
        <v>45</v>
      </c>
      <c r="Y268" s="6" t="s">
        <v>46</v>
      </c>
      <c r="Z268" s="6">
        <v>3.040290772E9</v>
      </c>
      <c r="AA268" s="6" t="s">
        <v>63</v>
      </c>
      <c r="AB268" s="6" t="s">
        <v>857</v>
      </c>
      <c r="AC268" s="6" t="s">
        <v>863</v>
      </c>
      <c r="AD268" s="55"/>
      <c r="AE268" s="55"/>
      <c r="AF268" s="55"/>
      <c r="AG268" s="55"/>
    </row>
    <row r="269">
      <c r="A269" s="21">
        <f>COUNTIF('Divulgação'!$B:$B,B269)</f>
        <v>1</v>
      </c>
      <c r="B269" s="62" t="s">
        <v>848</v>
      </c>
      <c r="C269" s="55"/>
      <c r="D269" s="6" t="s">
        <v>39</v>
      </c>
      <c r="E269" s="6" t="s">
        <v>40</v>
      </c>
      <c r="F269" s="63" t="s">
        <v>1866</v>
      </c>
      <c r="G269" s="6" t="s">
        <v>41</v>
      </c>
      <c r="H269" s="63" t="s">
        <v>1866</v>
      </c>
      <c r="I269" s="21" t="s">
        <v>849</v>
      </c>
      <c r="J269" s="63" t="s">
        <v>1387</v>
      </c>
      <c r="K269" s="6" t="s">
        <v>298</v>
      </c>
      <c r="L269" s="6" t="s">
        <v>850</v>
      </c>
      <c r="M269" s="55"/>
      <c r="N269" s="55"/>
      <c r="O269" s="55"/>
      <c r="P269" s="55"/>
      <c r="Q269" s="6">
        <v>1.0</v>
      </c>
      <c r="R269" s="23">
        <v>46059.0</v>
      </c>
      <c r="S269" s="23">
        <v>46059.0</v>
      </c>
      <c r="T269" s="23">
        <v>46063.0</v>
      </c>
      <c r="U269" s="55"/>
      <c r="V269" s="6" t="s">
        <v>44</v>
      </c>
      <c r="W269" s="55"/>
      <c r="X269" s="6" t="s">
        <v>45</v>
      </c>
      <c r="Y269" s="6" t="s">
        <v>46</v>
      </c>
      <c r="Z269" s="6">
        <v>3.040235957E9</v>
      </c>
      <c r="AA269" s="6" t="s">
        <v>851</v>
      </c>
      <c r="AB269" s="6" t="s">
        <v>58</v>
      </c>
      <c r="AC269" s="6" t="s">
        <v>852</v>
      </c>
      <c r="AD269" s="55"/>
      <c r="AE269" s="55"/>
      <c r="AF269" s="55"/>
      <c r="AG269" s="55"/>
    </row>
    <row r="270">
      <c r="A270" s="21">
        <f>COUNTIF('Divulgação'!$B:$B,B270)</f>
        <v>1</v>
      </c>
      <c r="B270" s="62" t="s">
        <v>864</v>
      </c>
      <c r="C270" s="55"/>
      <c r="D270" s="6" t="s">
        <v>39</v>
      </c>
      <c r="E270" s="6" t="s">
        <v>40</v>
      </c>
      <c r="F270" s="63" t="s">
        <v>1866</v>
      </c>
      <c r="G270" s="6" t="s">
        <v>41</v>
      </c>
      <c r="H270" s="63" t="s">
        <v>1866</v>
      </c>
      <c r="I270" s="21" t="s">
        <v>510</v>
      </c>
      <c r="J270" s="63" t="s">
        <v>1387</v>
      </c>
      <c r="K270" s="6" t="s">
        <v>512</v>
      </c>
      <c r="L270" s="63" t="s">
        <v>1892</v>
      </c>
      <c r="M270" s="55"/>
      <c r="N270" s="55"/>
      <c r="O270" s="55"/>
      <c r="P270" s="55"/>
      <c r="Q270" s="6">
        <v>1.0</v>
      </c>
      <c r="R270" s="23">
        <v>46059.0</v>
      </c>
      <c r="S270" s="23">
        <v>46065.0</v>
      </c>
      <c r="T270" s="23">
        <v>46063.0</v>
      </c>
      <c r="U270" s="55"/>
      <c r="V270" s="6" t="s">
        <v>44</v>
      </c>
      <c r="W270" s="55"/>
      <c r="X270" s="6" t="s">
        <v>45</v>
      </c>
      <c r="Y270" s="6" t="s">
        <v>46</v>
      </c>
      <c r="Z270" s="6">
        <v>3.040213471E9</v>
      </c>
      <c r="AA270" s="6" t="s">
        <v>262</v>
      </c>
      <c r="AB270" s="6" t="s">
        <v>865</v>
      </c>
      <c r="AC270" s="6" t="s">
        <v>866</v>
      </c>
      <c r="AD270" s="55"/>
      <c r="AE270" s="55"/>
      <c r="AF270" s="55"/>
      <c r="AG270" s="55"/>
    </row>
    <row r="271">
      <c r="A271" s="21">
        <f>COUNTIF('Divulgação'!$B:$B,B271)</f>
        <v>1</v>
      </c>
      <c r="B271" s="62" t="s">
        <v>853</v>
      </c>
      <c r="C271" s="55"/>
      <c r="D271" s="6" t="s">
        <v>39</v>
      </c>
      <c r="E271" s="6" t="s">
        <v>40</v>
      </c>
      <c r="F271" s="63" t="s">
        <v>1866</v>
      </c>
      <c r="G271" s="6" t="s">
        <v>41</v>
      </c>
      <c r="H271" s="63" t="s">
        <v>1866</v>
      </c>
      <c r="I271" s="21" t="s">
        <v>854</v>
      </c>
      <c r="J271" s="6" t="s">
        <v>156</v>
      </c>
      <c r="K271" s="6" t="s">
        <v>855</v>
      </c>
      <c r="L271" s="6" t="s">
        <v>856</v>
      </c>
      <c r="M271" s="55"/>
      <c r="N271" s="55"/>
      <c r="O271" s="55"/>
      <c r="P271" s="55"/>
      <c r="Q271" s="6">
        <v>1.0</v>
      </c>
      <c r="R271" s="23">
        <v>46059.0</v>
      </c>
      <c r="S271" s="23">
        <v>46065.0</v>
      </c>
      <c r="T271" s="23">
        <v>46063.0</v>
      </c>
      <c r="U271" s="55"/>
      <c r="V271" s="6" t="s">
        <v>44</v>
      </c>
      <c r="W271" s="55"/>
      <c r="X271" s="6" t="s">
        <v>45</v>
      </c>
      <c r="Y271" s="6" t="s">
        <v>46</v>
      </c>
      <c r="Z271" s="6">
        <v>3.040322969E9</v>
      </c>
      <c r="AA271" s="6" t="s">
        <v>63</v>
      </c>
      <c r="AB271" s="6" t="s">
        <v>857</v>
      </c>
      <c r="AC271" s="6" t="s">
        <v>858</v>
      </c>
      <c r="AD271" s="55"/>
      <c r="AE271" s="55"/>
      <c r="AF271" s="55"/>
      <c r="AG271" s="55"/>
    </row>
    <row r="272">
      <c r="A272" s="21">
        <f>COUNTIF('Divulgação'!$B:$B,B272)</f>
        <v>1</v>
      </c>
      <c r="B272" s="62" t="s">
        <v>1894</v>
      </c>
      <c r="C272" s="55"/>
      <c r="D272" s="6" t="s">
        <v>39</v>
      </c>
      <c r="E272" s="6" t="s">
        <v>40</v>
      </c>
      <c r="F272" s="63" t="s">
        <v>1866</v>
      </c>
      <c r="G272" s="6" t="s">
        <v>41</v>
      </c>
      <c r="H272" s="63" t="s">
        <v>1866</v>
      </c>
      <c r="I272" s="21" t="s">
        <v>326</v>
      </c>
      <c r="J272" s="6" t="s">
        <v>156</v>
      </c>
      <c r="K272" s="6" t="s">
        <v>327</v>
      </c>
      <c r="L272" s="6" t="s">
        <v>1895</v>
      </c>
      <c r="M272" s="55"/>
      <c r="N272" s="55"/>
      <c r="O272" s="55"/>
      <c r="P272" s="55"/>
      <c r="Q272" s="6">
        <v>1.0</v>
      </c>
      <c r="R272" s="23">
        <v>46059.0</v>
      </c>
      <c r="S272" s="23">
        <v>46065.0</v>
      </c>
      <c r="T272" s="23">
        <v>46063.0</v>
      </c>
      <c r="U272" s="55"/>
      <c r="V272" s="6" t="s">
        <v>44</v>
      </c>
      <c r="W272" s="55"/>
      <c r="X272" s="6" t="s">
        <v>45</v>
      </c>
      <c r="Y272" s="6" t="s">
        <v>46</v>
      </c>
      <c r="Z272" s="6">
        <v>3.040306974E9</v>
      </c>
      <c r="AA272" s="6" t="s">
        <v>60</v>
      </c>
      <c r="AB272" s="6" t="s">
        <v>367</v>
      </c>
      <c r="AC272" s="6" t="s">
        <v>1896</v>
      </c>
      <c r="AD272" s="55"/>
      <c r="AE272" s="55"/>
      <c r="AF272" s="55"/>
      <c r="AG272" s="55"/>
    </row>
    <row r="273">
      <c r="A273" s="21">
        <f>COUNTIF('Divulgação'!$B:$B,B273)</f>
        <v>1</v>
      </c>
      <c r="B273" s="62" t="s">
        <v>871</v>
      </c>
      <c r="C273" s="55"/>
      <c r="D273" s="6" t="s">
        <v>39</v>
      </c>
      <c r="E273" s="6" t="s">
        <v>40</v>
      </c>
      <c r="F273" s="63" t="s">
        <v>1866</v>
      </c>
      <c r="G273" s="6" t="s">
        <v>41</v>
      </c>
      <c r="H273" s="63" t="s">
        <v>1866</v>
      </c>
      <c r="I273" s="21" t="s">
        <v>872</v>
      </c>
      <c r="J273" s="6" t="s">
        <v>156</v>
      </c>
      <c r="K273" s="6" t="s">
        <v>873</v>
      </c>
      <c r="L273" s="63" t="s">
        <v>1897</v>
      </c>
      <c r="M273" s="55"/>
      <c r="N273" s="55"/>
      <c r="O273" s="55"/>
      <c r="P273" s="55"/>
      <c r="Q273" s="6">
        <v>1.0</v>
      </c>
      <c r="R273" s="23">
        <v>46059.0</v>
      </c>
      <c r="S273" s="23">
        <v>46065.0</v>
      </c>
      <c r="T273" s="23">
        <v>46063.0</v>
      </c>
      <c r="U273" s="55"/>
      <c r="V273" s="6" t="s">
        <v>44</v>
      </c>
      <c r="W273" s="55"/>
      <c r="X273" s="6" t="s">
        <v>45</v>
      </c>
      <c r="Y273" s="6" t="s">
        <v>46</v>
      </c>
      <c r="Z273" s="6">
        <v>3.04031672E9</v>
      </c>
      <c r="AA273" s="6" t="s">
        <v>45</v>
      </c>
      <c r="AB273" s="6" t="s">
        <v>46</v>
      </c>
      <c r="AC273" s="6" t="s">
        <v>177</v>
      </c>
      <c r="AD273" s="55"/>
      <c r="AE273" s="55"/>
      <c r="AF273" s="55"/>
      <c r="AG273" s="55"/>
    </row>
    <row r="274">
      <c r="A274" s="21">
        <f>COUNTIF('Divulgação'!$B:$B,B274)</f>
        <v>1</v>
      </c>
      <c r="B274" s="62" t="s">
        <v>1898</v>
      </c>
      <c r="C274" s="55"/>
      <c r="D274" s="6" t="s">
        <v>39</v>
      </c>
      <c r="E274" s="6" t="s">
        <v>40</v>
      </c>
      <c r="F274" s="63" t="s">
        <v>1866</v>
      </c>
      <c r="G274" s="6" t="s">
        <v>41</v>
      </c>
      <c r="H274" s="63" t="s">
        <v>1866</v>
      </c>
      <c r="I274" s="21" t="s">
        <v>868</v>
      </c>
      <c r="J274" s="6" t="s">
        <v>156</v>
      </c>
      <c r="K274" s="6" t="s">
        <v>869</v>
      </c>
      <c r="L274" s="6" t="s">
        <v>1899</v>
      </c>
      <c r="M274" s="55"/>
      <c r="N274" s="55"/>
      <c r="O274" s="55"/>
      <c r="P274" s="55"/>
      <c r="Q274" s="6">
        <v>1.0</v>
      </c>
      <c r="R274" s="23">
        <v>46059.0</v>
      </c>
      <c r="S274" s="23">
        <v>46065.0</v>
      </c>
      <c r="T274" s="23">
        <v>46063.0</v>
      </c>
      <c r="U274" s="55"/>
      <c r="V274" s="6" t="s">
        <v>103</v>
      </c>
      <c r="W274" s="6">
        <v>3.13260017682E11</v>
      </c>
      <c r="X274" s="6" t="s">
        <v>45</v>
      </c>
      <c r="Y274" s="6" t="s">
        <v>46</v>
      </c>
      <c r="Z274" s="6">
        <v>3.040308426E9</v>
      </c>
      <c r="AA274" s="6" t="s">
        <v>57</v>
      </c>
      <c r="AB274" s="6" t="s">
        <v>367</v>
      </c>
      <c r="AC274" s="6" t="s">
        <v>1900</v>
      </c>
      <c r="AD274" s="55"/>
      <c r="AE274" s="55"/>
      <c r="AF274" s="55"/>
      <c r="AG274" s="55"/>
    </row>
    <row r="275">
      <c r="A275" s="21">
        <f>COUNTIF('Divulgação'!$B:$B,B275)</f>
        <v>1</v>
      </c>
      <c r="B275" s="62" t="s">
        <v>867</v>
      </c>
      <c r="C275" s="55"/>
      <c r="D275" s="6" t="s">
        <v>39</v>
      </c>
      <c r="E275" s="6" t="s">
        <v>40</v>
      </c>
      <c r="F275" s="63" t="s">
        <v>1866</v>
      </c>
      <c r="G275" s="6" t="s">
        <v>41</v>
      </c>
      <c r="H275" s="63" t="s">
        <v>1866</v>
      </c>
      <c r="I275" s="21" t="s">
        <v>868</v>
      </c>
      <c r="J275" s="6" t="s">
        <v>156</v>
      </c>
      <c r="K275" s="6" t="s">
        <v>869</v>
      </c>
      <c r="L275" s="6" t="s">
        <v>870</v>
      </c>
      <c r="M275" s="55"/>
      <c r="N275" s="55"/>
      <c r="O275" s="55"/>
      <c r="P275" s="55"/>
      <c r="Q275" s="6">
        <v>1.0</v>
      </c>
      <c r="R275" s="23">
        <v>46059.0</v>
      </c>
      <c r="S275" s="23">
        <v>46065.0</v>
      </c>
      <c r="T275" s="23">
        <v>46063.0</v>
      </c>
      <c r="U275" s="55"/>
      <c r="V275" s="6" t="s">
        <v>44</v>
      </c>
      <c r="W275" s="55"/>
      <c r="X275" s="6" t="s">
        <v>45</v>
      </c>
      <c r="Y275" s="6" t="s">
        <v>46</v>
      </c>
      <c r="Z275" s="6">
        <v>3.040319739E9</v>
      </c>
      <c r="AA275" s="6" t="s">
        <v>64</v>
      </c>
      <c r="AB275" s="6" t="s">
        <v>588</v>
      </c>
      <c r="AC275" s="6" t="s">
        <v>589</v>
      </c>
      <c r="AD275" s="55"/>
      <c r="AE275" s="55"/>
      <c r="AF275" s="55"/>
      <c r="AG275" s="55"/>
    </row>
    <row r="276">
      <c r="A276" s="21">
        <f>COUNTIF('Divulgação'!$B:$B,B276)</f>
        <v>1</v>
      </c>
      <c r="B276" s="62" t="s">
        <v>874</v>
      </c>
      <c r="C276" s="55"/>
      <c r="D276" s="6" t="s">
        <v>39</v>
      </c>
      <c r="E276" s="6" t="s">
        <v>40</v>
      </c>
      <c r="F276" s="63" t="s">
        <v>1866</v>
      </c>
      <c r="G276" s="6" t="s">
        <v>41</v>
      </c>
      <c r="H276" s="63" t="s">
        <v>1866</v>
      </c>
      <c r="I276" s="21" t="s">
        <v>875</v>
      </c>
      <c r="J276" s="63" t="s">
        <v>1560</v>
      </c>
      <c r="K276" s="6" t="s">
        <v>876</v>
      </c>
      <c r="L276" s="63" t="s">
        <v>1902</v>
      </c>
      <c r="M276" s="55"/>
      <c r="N276" s="55"/>
      <c r="O276" s="55"/>
      <c r="P276" s="55"/>
      <c r="Q276" s="6">
        <v>1.0</v>
      </c>
      <c r="R276" s="23">
        <v>46059.0</v>
      </c>
      <c r="S276" s="23">
        <v>46089.0</v>
      </c>
      <c r="T276" s="23">
        <v>46063.0</v>
      </c>
      <c r="U276" s="55"/>
      <c r="V276" s="6" t="s">
        <v>44</v>
      </c>
      <c r="W276" s="55"/>
      <c r="X276" s="6" t="s">
        <v>45</v>
      </c>
      <c r="Y276" s="6" t="s">
        <v>46</v>
      </c>
      <c r="Z276" s="6">
        <v>3.040317907E9</v>
      </c>
      <c r="AA276" s="6" t="s">
        <v>304</v>
      </c>
      <c r="AB276" s="6" t="s">
        <v>306</v>
      </c>
      <c r="AC276" s="6" t="s">
        <v>481</v>
      </c>
      <c r="AD276" s="55"/>
      <c r="AE276" s="55"/>
      <c r="AF276" s="55"/>
      <c r="AG276" s="55"/>
    </row>
    <row r="277">
      <c r="A277" s="21">
        <f>COUNTIF('Divulgação'!$B:$B,B277)</f>
        <v>1</v>
      </c>
      <c r="B277" s="62" t="s">
        <v>881</v>
      </c>
      <c r="C277" s="55"/>
      <c r="D277" s="6" t="s">
        <v>39</v>
      </c>
      <c r="E277" s="6" t="s">
        <v>40</v>
      </c>
      <c r="F277" s="63" t="s">
        <v>1903</v>
      </c>
      <c r="G277" s="6" t="s">
        <v>41</v>
      </c>
      <c r="H277" s="63" t="s">
        <v>1903</v>
      </c>
      <c r="I277" s="21" t="s">
        <v>878</v>
      </c>
      <c r="J277" s="63" t="s">
        <v>1572</v>
      </c>
      <c r="K277" s="6" t="s">
        <v>879</v>
      </c>
      <c r="L277" s="63" t="s">
        <v>1904</v>
      </c>
      <c r="M277" s="55"/>
      <c r="N277" s="55"/>
      <c r="O277" s="55"/>
      <c r="P277" s="55"/>
      <c r="Q277" s="6">
        <v>1.0</v>
      </c>
      <c r="R277" s="23">
        <v>46076.0</v>
      </c>
      <c r="S277" s="23">
        <v>46080.0</v>
      </c>
      <c r="T277" s="23">
        <v>46077.0</v>
      </c>
      <c r="U277" s="55"/>
      <c r="V277" s="6" t="s">
        <v>44</v>
      </c>
      <c r="W277" s="55"/>
      <c r="X277" s="6" t="s">
        <v>45</v>
      </c>
      <c r="Y277" s="6" t="s">
        <v>46</v>
      </c>
      <c r="Z277" s="6">
        <v>3.040295557E9</v>
      </c>
      <c r="AA277" s="6" t="s">
        <v>63</v>
      </c>
      <c r="AB277" s="6" t="s">
        <v>72</v>
      </c>
      <c r="AC277" s="6" t="s">
        <v>882</v>
      </c>
      <c r="AD277" s="55"/>
      <c r="AE277" s="55"/>
      <c r="AF277" s="55"/>
      <c r="AG277" s="55"/>
    </row>
    <row r="278">
      <c r="A278" s="21">
        <f>COUNTIF('Divulgação'!$B:$B,B278)</f>
        <v>1</v>
      </c>
      <c r="B278" s="62" t="s">
        <v>877</v>
      </c>
      <c r="C278" s="55"/>
      <c r="D278" s="6" t="s">
        <v>39</v>
      </c>
      <c r="E278" s="6" t="s">
        <v>40</v>
      </c>
      <c r="F278" s="63" t="s">
        <v>1903</v>
      </c>
      <c r="G278" s="6" t="s">
        <v>41</v>
      </c>
      <c r="H278" s="63" t="s">
        <v>1903</v>
      </c>
      <c r="I278" s="21" t="s">
        <v>878</v>
      </c>
      <c r="J278" s="63" t="s">
        <v>1572</v>
      </c>
      <c r="K278" s="6" t="s">
        <v>879</v>
      </c>
      <c r="L278" s="63" t="s">
        <v>1905</v>
      </c>
      <c r="M278" s="55"/>
      <c r="N278" s="55"/>
      <c r="O278" s="55"/>
      <c r="P278" s="55"/>
      <c r="Q278" s="6">
        <v>1.0</v>
      </c>
      <c r="R278" s="23">
        <v>46076.0</v>
      </c>
      <c r="S278" s="23">
        <v>46080.0</v>
      </c>
      <c r="T278" s="23">
        <v>46077.0</v>
      </c>
      <c r="U278" s="55"/>
      <c r="V278" s="6" t="s">
        <v>44</v>
      </c>
      <c r="W278" s="55"/>
      <c r="X278" s="6" t="s">
        <v>45</v>
      </c>
      <c r="Y278" s="6" t="s">
        <v>46</v>
      </c>
      <c r="Z278" s="6">
        <v>3.040298638E9</v>
      </c>
      <c r="AA278" s="6" t="s">
        <v>60</v>
      </c>
      <c r="AB278" s="6" t="s">
        <v>189</v>
      </c>
      <c r="AC278" s="6" t="s">
        <v>880</v>
      </c>
      <c r="AD278" s="55"/>
      <c r="AE278" s="55"/>
      <c r="AF278" s="55"/>
      <c r="AG278" s="55"/>
    </row>
    <row r="279">
      <c r="A279" s="21">
        <f>COUNTIF('Divulgação'!$B:$B,B279)</f>
        <v>1</v>
      </c>
      <c r="B279" s="62" t="s">
        <v>883</v>
      </c>
      <c r="C279" s="55"/>
      <c r="D279" s="6" t="s">
        <v>39</v>
      </c>
      <c r="E279" s="6" t="s">
        <v>40</v>
      </c>
      <c r="F279" s="63" t="s">
        <v>1906</v>
      </c>
      <c r="G279" s="6" t="s">
        <v>41</v>
      </c>
      <c r="H279" s="63" t="s">
        <v>1906</v>
      </c>
      <c r="I279" s="21" t="s">
        <v>884</v>
      </c>
      <c r="J279" s="6" t="s">
        <v>156</v>
      </c>
      <c r="K279" s="6" t="s">
        <v>101</v>
      </c>
      <c r="L279" s="63" t="s">
        <v>1907</v>
      </c>
      <c r="M279" s="55"/>
      <c r="N279" s="55"/>
      <c r="O279" s="55"/>
      <c r="P279" s="55"/>
      <c r="Q279" s="6">
        <v>1.0</v>
      </c>
      <c r="R279" s="23">
        <v>46084.0</v>
      </c>
      <c r="S279" s="23">
        <v>46090.0</v>
      </c>
      <c r="T279" s="23">
        <v>46085.0</v>
      </c>
      <c r="U279" s="55"/>
      <c r="V279" s="6" t="s">
        <v>44</v>
      </c>
      <c r="W279" s="55"/>
      <c r="X279" s="6" t="s">
        <v>45</v>
      </c>
      <c r="Y279" s="6" t="s">
        <v>46</v>
      </c>
      <c r="Z279" s="6">
        <v>3.040318072E9</v>
      </c>
      <c r="AA279" s="6" t="s">
        <v>60</v>
      </c>
      <c r="AB279" s="6" t="s">
        <v>189</v>
      </c>
      <c r="AC279" s="6" t="s">
        <v>885</v>
      </c>
      <c r="AD279" s="55"/>
      <c r="AE279" s="55"/>
      <c r="AF279" s="55"/>
      <c r="AG279" s="55"/>
    </row>
    <row r="280">
      <c r="A280" s="21">
        <f>COUNTIF('Divulgação'!$B:$B,B280)</f>
        <v>1</v>
      </c>
      <c r="B280" s="62" t="s">
        <v>886</v>
      </c>
      <c r="C280" s="55"/>
      <c r="D280" s="6" t="s">
        <v>39</v>
      </c>
      <c r="E280" s="6" t="s">
        <v>40</v>
      </c>
      <c r="F280" s="63" t="s">
        <v>1906</v>
      </c>
      <c r="G280" s="6" t="s">
        <v>41</v>
      </c>
      <c r="H280" s="63" t="s">
        <v>1906</v>
      </c>
      <c r="I280" s="21" t="s">
        <v>884</v>
      </c>
      <c r="J280" s="6" t="s">
        <v>156</v>
      </c>
      <c r="K280" s="6" t="s">
        <v>101</v>
      </c>
      <c r="L280" s="63" t="s">
        <v>1909</v>
      </c>
      <c r="M280" s="55"/>
      <c r="N280" s="55"/>
      <c r="O280" s="55"/>
      <c r="P280" s="55"/>
      <c r="Q280" s="6">
        <v>1.0</v>
      </c>
      <c r="R280" s="23">
        <v>46084.0</v>
      </c>
      <c r="S280" s="23">
        <v>46090.0</v>
      </c>
      <c r="T280" s="23">
        <v>46085.0</v>
      </c>
      <c r="U280" s="55"/>
      <c r="V280" s="6" t="s">
        <v>44</v>
      </c>
      <c r="W280" s="55"/>
      <c r="X280" s="6" t="s">
        <v>45</v>
      </c>
      <c r="Y280" s="6" t="s">
        <v>46</v>
      </c>
      <c r="Z280" s="6">
        <v>3.040323058E9</v>
      </c>
      <c r="AA280" s="6" t="s">
        <v>60</v>
      </c>
      <c r="AB280" s="6" t="s">
        <v>189</v>
      </c>
      <c r="AC280" s="6" t="s">
        <v>887</v>
      </c>
      <c r="AD280" s="55"/>
      <c r="AE280" s="55"/>
      <c r="AF280" s="55"/>
      <c r="AG280" s="55"/>
    </row>
    <row r="281">
      <c r="A281" s="21">
        <f>COUNTIF('Divulgação'!$B:$B,B281)</f>
        <v>1</v>
      </c>
      <c r="B281" s="62" t="s">
        <v>888</v>
      </c>
      <c r="C281" s="55"/>
      <c r="D281" s="6" t="s">
        <v>39</v>
      </c>
      <c r="E281" s="6" t="s">
        <v>40</v>
      </c>
      <c r="F281" s="63" t="s">
        <v>1910</v>
      </c>
      <c r="G281" s="6" t="s">
        <v>41</v>
      </c>
      <c r="H281" s="63" t="s">
        <v>1910</v>
      </c>
      <c r="I281" s="62" t="s">
        <v>1392</v>
      </c>
      <c r="J281" s="63" t="s">
        <v>1393</v>
      </c>
      <c r="K281" s="6" t="s">
        <v>78</v>
      </c>
      <c r="L281" s="63" t="s">
        <v>1911</v>
      </c>
      <c r="M281" s="55"/>
      <c r="N281" s="55"/>
      <c r="O281" s="55"/>
      <c r="P281" s="55"/>
      <c r="Q281" s="6">
        <v>1.0</v>
      </c>
      <c r="R281" s="23">
        <v>46084.0</v>
      </c>
      <c r="S281" s="23">
        <v>46090.0</v>
      </c>
      <c r="T281" s="23">
        <v>46090.0</v>
      </c>
      <c r="U281" s="55"/>
      <c r="V281" s="6" t="s">
        <v>44</v>
      </c>
      <c r="W281" s="55"/>
      <c r="X281" s="6" t="s">
        <v>45</v>
      </c>
      <c r="Y281" s="6" t="s">
        <v>46</v>
      </c>
      <c r="Z281" s="6">
        <v>3.040323964E9</v>
      </c>
      <c r="AA281" s="6" t="s">
        <v>45</v>
      </c>
      <c r="AB281" s="6" t="s">
        <v>46</v>
      </c>
      <c r="AC281" s="6" t="s">
        <v>177</v>
      </c>
      <c r="AD281" s="55"/>
      <c r="AE281" s="55"/>
      <c r="AF281" s="55"/>
      <c r="AG281" s="55"/>
    </row>
    <row r="282">
      <c r="A282" s="21">
        <f>COUNTIF('Divulgação'!$B:$B,B282)</f>
        <v>1</v>
      </c>
      <c r="B282" s="62" t="s">
        <v>1221</v>
      </c>
      <c r="C282" s="55"/>
      <c r="D282" s="6" t="s">
        <v>39</v>
      </c>
      <c r="E282" s="6" t="s">
        <v>1222</v>
      </c>
      <c r="F282" s="63" t="s">
        <v>1912</v>
      </c>
      <c r="G282" s="6" t="s">
        <v>41</v>
      </c>
      <c r="H282" s="55"/>
      <c r="I282" s="21" t="s">
        <v>226</v>
      </c>
      <c r="J282" s="63" t="s">
        <v>1428</v>
      </c>
      <c r="K282" s="6" t="s">
        <v>320</v>
      </c>
      <c r="L282" s="6" t="s">
        <v>1223</v>
      </c>
      <c r="M282" s="55"/>
      <c r="N282" s="55"/>
      <c r="O282" s="55"/>
      <c r="P282" s="55"/>
      <c r="Q282" s="6">
        <v>1.0</v>
      </c>
      <c r="R282" s="23">
        <v>45910.0</v>
      </c>
      <c r="S282" s="50">
        <v>45971.0</v>
      </c>
      <c r="T282" s="55"/>
      <c r="U282" s="55"/>
      <c r="V282" s="6" t="s">
        <v>44</v>
      </c>
      <c r="W282" s="55"/>
      <c r="X282" s="6" t="s">
        <v>45</v>
      </c>
      <c r="Y282" s="6" t="s">
        <v>46</v>
      </c>
      <c r="Z282" s="6">
        <v>3.040245069E9</v>
      </c>
      <c r="AA282" s="6" t="s">
        <v>160</v>
      </c>
      <c r="AB282" s="6" t="s">
        <v>530</v>
      </c>
      <c r="AC282" s="6" t="s">
        <v>531</v>
      </c>
      <c r="AD282" s="55"/>
      <c r="AE282" s="55"/>
      <c r="AF282" s="55"/>
      <c r="AG282" s="55"/>
    </row>
    <row r="283">
      <c r="A283" s="21">
        <f>COUNTIF('Divulgação'!$B:$B,B283)</f>
        <v>1</v>
      </c>
      <c r="B283" s="62" t="s">
        <v>1913</v>
      </c>
      <c r="C283" s="55"/>
      <c r="D283" s="6" t="s">
        <v>39</v>
      </c>
      <c r="E283" s="6" t="s">
        <v>1222</v>
      </c>
      <c r="F283" s="63" t="s">
        <v>1824</v>
      </c>
      <c r="G283" s="6" t="s">
        <v>41</v>
      </c>
      <c r="H283" s="55"/>
      <c r="I283" s="21" t="s">
        <v>436</v>
      </c>
      <c r="J283" s="63" t="s">
        <v>1685</v>
      </c>
      <c r="K283" s="21" t="s">
        <v>778</v>
      </c>
      <c r="L283" s="6" t="s">
        <v>967</v>
      </c>
      <c r="M283" s="55"/>
      <c r="N283" s="55"/>
      <c r="O283" s="55"/>
      <c r="P283" s="55"/>
      <c r="Q283" s="6">
        <v>1.0</v>
      </c>
      <c r="R283" s="23">
        <v>46028.0</v>
      </c>
      <c r="S283" s="23">
        <v>46034.0</v>
      </c>
      <c r="T283" s="55"/>
      <c r="U283" s="55"/>
      <c r="V283" s="6" t="s">
        <v>44</v>
      </c>
      <c r="W283" s="55"/>
      <c r="X283" s="6" t="s">
        <v>45</v>
      </c>
      <c r="Y283" s="6" t="s">
        <v>46</v>
      </c>
      <c r="Z283" s="6">
        <v>3.040322306E9</v>
      </c>
      <c r="AA283" s="6" t="s">
        <v>45</v>
      </c>
      <c r="AB283" s="6" t="s">
        <v>46</v>
      </c>
      <c r="AC283" s="6" t="s">
        <v>177</v>
      </c>
      <c r="AD283" s="55"/>
      <c r="AE283" s="55"/>
      <c r="AF283" s="55"/>
      <c r="AG283" s="55"/>
    </row>
    <row r="284">
      <c r="A284" s="21">
        <f>COUNTIF('Divulgação'!$B:$B,B284)</f>
        <v>1</v>
      </c>
      <c r="B284" s="21" t="s">
        <v>1914</v>
      </c>
      <c r="C284" s="55"/>
      <c r="D284" s="6" t="s">
        <v>39</v>
      </c>
      <c r="E284" s="6" t="s">
        <v>40</v>
      </c>
      <c r="F284" s="23">
        <v>46100.0</v>
      </c>
      <c r="G284" s="6" t="s">
        <v>41</v>
      </c>
      <c r="H284" s="23">
        <v>46100.0</v>
      </c>
      <c r="I284" s="21" t="s">
        <v>1068</v>
      </c>
      <c r="J284" s="6">
        <v>95270.0</v>
      </c>
      <c r="K284" s="6" t="s">
        <v>944</v>
      </c>
      <c r="L284" s="6" t="s">
        <v>1915</v>
      </c>
      <c r="M284" s="55"/>
      <c r="N284" s="55"/>
      <c r="O284" s="55"/>
      <c r="P284" s="55"/>
      <c r="Q284" s="6">
        <v>1.0</v>
      </c>
      <c r="R284" s="23">
        <v>46098.0</v>
      </c>
      <c r="S284" s="23">
        <v>46104.0</v>
      </c>
      <c r="T284" s="23">
        <v>46100.0</v>
      </c>
      <c r="U284" s="55"/>
      <c r="V284" s="6" t="s">
        <v>44</v>
      </c>
      <c r="W284" s="55"/>
      <c r="X284" s="6" t="s">
        <v>45</v>
      </c>
      <c r="Y284" s="6" t="s">
        <v>46</v>
      </c>
      <c r="Z284" s="6">
        <v>3.040299711E9</v>
      </c>
      <c r="AA284" s="6" t="s">
        <v>63</v>
      </c>
      <c r="AB284" s="6" t="s">
        <v>72</v>
      </c>
      <c r="AC284" s="6" t="s">
        <v>1916</v>
      </c>
      <c r="AD284" s="55"/>
      <c r="AE284" s="55"/>
      <c r="AF284" s="55"/>
      <c r="AG284" s="55"/>
    </row>
    <row r="285">
      <c r="A285" s="21">
        <f>COUNTIF('Divulgação'!$B:$B,B285)</f>
        <v>1</v>
      </c>
      <c r="B285" s="21" t="s">
        <v>1917</v>
      </c>
      <c r="C285" s="55"/>
      <c r="D285" s="6" t="s">
        <v>39</v>
      </c>
      <c r="E285" s="6" t="s">
        <v>40</v>
      </c>
      <c r="F285" s="23">
        <v>46100.0</v>
      </c>
      <c r="G285" s="6" t="s">
        <v>41</v>
      </c>
      <c r="H285" s="23">
        <v>46100.0</v>
      </c>
      <c r="I285" s="21" t="s">
        <v>1068</v>
      </c>
      <c r="J285" s="6">
        <v>95270.0</v>
      </c>
      <c r="K285" s="6" t="s">
        <v>944</v>
      </c>
      <c r="L285" s="6" t="s">
        <v>1918</v>
      </c>
      <c r="M285" s="55"/>
      <c r="N285" s="55"/>
      <c r="O285" s="55"/>
      <c r="P285" s="55"/>
      <c r="Q285" s="6">
        <v>1.0</v>
      </c>
      <c r="R285" s="23">
        <v>46098.0</v>
      </c>
      <c r="S285" s="23">
        <v>46104.0</v>
      </c>
      <c r="T285" s="23">
        <v>46100.0</v>
      </c>
      <c r="U285" s="55"/>
      <c r="V285" s="6" t="s">
        <v>44</v>
      </c>
      <c r="W285" s="55"/>
      <c r="X285" s="6" t="s">
        <v>45</v>
      </c>
      <c r="Y285" s="6" t="s">
        <v>46</v>
      </c>
      <c r="Z285" s="6">
        <v>3.040310949E9</v>
      </c>
      <c r="AA285" s="6" t="s">
        <v>63</v>
      </c>
      <c r="AB285" s="6" t="s">
        <v>72</v>
      </c>
      <c r="AC285" s="6" t="s">
        <v>360</v>
      </c>
      <c r="AD285" s="55"/>
      <c r="AE285" s="55"/>
      <c r="AF285" s="55"/>
      <c r="AG285" s="55"/>
    </row>
    <row r="286">
      <c r="A286" s="21">
        <f>COUNTIF('Divulgação'!$B:$B,B286)</f>
        <v>1</v>
      </c>
      <c r="B286" s="21" t="s">
        <v>1786</v>
      </c>
      <c r="C286" s="55"/>
      <c r="D286" s="6" t="s">
        <v>39</v>
      </c>
      <c r="E286" s="6" t="s">
        <v>40</v>
      </c>
      <c r="F286" s="23">
        <v>46100.0</v>
      </c>
      <c r="G286" s="6" t="s">
        <v>41</v>
      </c>
      <c r="H286" s="23">
        <v>46100.0</v>
      </c>
      <c r="I286" s="21" t="s">
        <v>697</v>
      </c>
      <c r="J286" s="6">
        <v>32108.0</v>
      </c>
      <c r="K286" s="6" t="s">
        <v>698</v>
      </c>
      <c r="L286" s="6" t="s">
        <v>1919</v>
      </c>
      <c r="M286" s="55"/>
      <c r="N286" s="55"/>
      <c r="O286" s="55"/>
      <c r="P286" s="55"/>
      <c r="Q286" s="6">
        <v>1.0</v>
      </c>
      <c r="R286" s="23">
        <v>46099.0</v>
      </c>
      <c r="S286" s="23">
        <v>46105.0</v>
      </c>
      <c r="T286" s="23">
        <v>46100.0</v>
      </c>
      <c r="U286" s="55"/>
      <c r="V286" s="6" t="s">
        <v>44</v>
      </c>
      <c r="W286" s="55"/>
      <c r="X286" s="6" t="s">
        <v>45</v>
      </c>
      <c r="Y286" s="6" t="s">
        <v>46</v>
      </c>
      <c r="Z286" s="6">
        <v>3.040323367E9</v>
      </c>
      <c r="AA286" s="6" t="s">
        <v>60</v>
      </c>
      <c r="AB286" s="6" t="s">
        <v>194</v>
      </c>
      <c r="AC286" s="6" t="s">
        <v>635</v>
      </c>
      <c r="AD286" s="55"/>
      <c r="AE286" s="55"/>
      <c r="AF286" s="55"/>
      <c r="AG286" s="55"/>
    </row>
    <row r="287">
      <c r="A287" s="21">
        <f>COUNTIF('Divulgação'!$B:$B,B287)</f>
        <v>1</v>
      </c>
      <c r="B287" s="21" t="s">
        <v>1789</v>
      </c>
      <c r="C287" s="55"/>
      <c r="D287" s="6" t="s">
        <v>39</v>
      </c>
      <c r="E287" s="6" t="s">
        <v>40</v>
      </c>
      <c r="F287" s="23">
        <v>46100.0</v>
      </c>
      <c r="G287" s="6" t="s">
        <v>41</v>
      </c>
      <c r="H287" s="23">
        <v>46100.0</v>
      </c>
      <c r="I287" s="21" t="s">
        <v>697</v>
      </c>
      <c r="J287" s="6">
        <v>32108.0</v>
      </c>
      <c r="K287" s="6" t="s">
        <v>698</v>
      </c>
      <c r="L287" s="6" t="s">
        <v>1920</v>
      </c>
      <c r="M287" s="55"/>
      <c r="N287" s="55"/>
      <c r="O287" s="55"/>
      <c r="P287" s="55"/>
      <c r="Q287" s="6">
        <v>1.0</v>
      </c>
      <c r="R287" s="23">
        <v>46099.0</v>
      </c>
      <c r="S287" s="23">
        <v>46105.0</v>
      </c>
      <c r="T287" s="23">
        <v>46100.0</v>
      </c>
      <c r="U287" s="55"/>
      <c r="V287" s="6" t="s">
        <v>44</v>
      </c>
      <c r="W287" s="55"/>
      <c r="X287" s="6" t="s">
        <v>45</v>
      </c>
      <c r="Y287" s="6" t="s">
        <v>46</v>
      </c>
      <c r="Z287" s="6">
        <v>3.040324098E9</v>
      </c>
      <c r="AA287" s="6" t="s">
        <v>64</v>
      </c>
      <c r="AB287" s="6" t="s">
        <v>399</v>
      </c>
      <c r="AC287" s="6" t="s">
        <v>1921</v>
      </c>
      <c r="AD287" s="55"/>
      <c r="AE287" s="55"/>
      <c r="AF287" s="55"/>
      <c r="AG287" s="55"/>
    </row>
    <row r="288">
      <c r="A288" s="21">
        <f>COUNTIF('Divulgação'!$B:$B,B288)</f>
        <v>1</v>
      </c>
      <c r="B288" s="21" t="s">
        <v>1922</v>
      </c>
      <c r="C288" s="55"/>
      <c r="D288" s="6" t="s">
        <v>39</v>
      </c>
      <c r="E288" s="6" t="s">
        <v>40</v>
      </c>
      <c r="F288" s="23">
        <v>46107.0</v>
      </c>
      <c r="G288" s="6" t="s">
        <v>41</v>
      </c>
      <c r="H288" s="23">
        <v>46107.0</v>
      </c>
      <c r="I288" s="21" t="s">
        <v>313</v>
      </c>
      <c r="J288" s="6">
        <v>22373.0</v>
      </c>
      <c r="K288" s="6" t="s">
        <v>890</v>
      </c>
      <c r="L288" s="6">
        <v>35971.0</v>
      </c>
      <c r="M288" s="55"/>
      <c r="N288" s="55"/>
      <c r="O288" s="55"/>
      <c r="P288" s="55"/>
      <c r="Q288" s="6">
        <v>1.0</v>
      </c>
      <c r="R288" s="23">
        <v>46105.0</v>
      </c>
      <c r="S288" s="23">
        <v>46111.0</v>
      </c>
      <c r="T288" s="23">
        <v>46107.0</v>
      </c>
      <c r="U288" s="55"/>
      <c r="V288" s="6" t="s">
        <v>44</v>
      </c>
      <c r="W288" s="55"/>
      <c r="X288" s="6" t="s">
        <v>45</v>
      </c>
      <c r="Y288" s="6" t="s">
        <v>46</v>
      </c>
      <c r="Z288" s="6">
        <v>3.04022468E9</v>
      </c>
      <c r="AA288" s="6" t="s">
        <v>169</v>
      </c>
      <c r="AB288" s="6" t="s">
        <v>183</v>
      </c>
      <c r="AC288" s="6" t="s">
        <v>1040</v>
      </c>
      <c r="AD288" s="55"/>
      <c r="AE288" s="55"/>
      <c r="AF288" s="55"/>
      <c r="AG288" s="55"/>
    </row>
    <row r="289">
      <c r="A289" s="21">
        <f>COUNTIF('Divulgação'!$B:$B,B289)</f>
        <v>1</v>
      </c>
      <c r="B289" s="21" t="s">
        <v>889</v>
      </c>
      <c r="C289" s="55"/>
      <c r="D289" s="6" t="s">
        <v>39</v>
      </c>
      <c r="E289" s="6" t="s">
        <v>40</v>
      </c>
      <c r="F289" s="23">
        <v>46107.0</v>
      </c>
      <c r="G289" s="6" t="s">
        <v>41</v>
      </c>
      <c r="H289" s="23">
        <v>46107.0</v>
      </c>
      <c r="I289" s="21" t="s">
        <v>313</v>
      </c>
      <c r="J289" s="6">
        <v>22373.0</v>
      </c>
      <c r="K289" s="6" t="s">
        <v>890</v>
      </c>
      <c r="L289" s="6">
        <v>107178.0</v>
      </c>
      <c r="M289" s="55"/>
      <c r="N289" s="55"/>
      <c r="O289" s="55"/>
      <c r="P289" s="55"/>
      <c r="Q289" s="6">
        <v>1.0</v>
      </c>
      <c r="R289" s="23">
        <v>46105.0</v>
      </c>
      <c r="S289" s="23">
        <v>46111.0</v>
      </c>
      <c r="T289" s="23">
        <v>46107.0</v>
      </c>
      <c r="U289" s="55"/>
      <c r="V289" s="6" t="s">
        <v>44</v>
      </c>
      <c r="W289" s="55"/>
      <c r="X289" s="6" t="s">
        <v>45</v>
      </c>
      <c r="Y289" s="6" t="s">
        <v>46</v>
      </c>
      <c r="Z289" s="6">
        <v>3.040237213E9</v>
      </c>
      <c r="AA289" s="6" t="s">
        <v>188</v>
      </c>
      <c r="AB289" s="6" t="s">
        <v>194</v>
      </c>
      <c r="AC289" s="6" t="s">
        <v>404</v>
      </c>
      <c r="AD289" s="55"/>
      <c r="AE289" s="55"/>
      <c r="AF289" s="55"/>
      <c r="AG289" s="55"/>
    </row>
    <row r="290">
      <c r="A290" s="21">
        <f>COUNTIF('Divulgação'!$B:$B,B290)</f>
        <v>1</v>
      </c>
      <c r="B290" s="21" t="s">
        <v>1923</v>
      </c>
      <c r="C290" s="55"/>
      <c r="D290" s="6" t="s">
        <v>39</v>
      </c>
      <c r="E290" s="6" t="s">
        <v>40</v>
      </c>
      <c r="F290" s="23">
        <v>46107.0</v>
      </c>
      <c r="G290" s="6" t="s">
        <v>41</v>
      </c>
      <c r="H290" s="23">
        <v>46107.0</v>
      </c>
      <c r="I290" s="21" t="s">
        <v>313</v>
      </c>
      <c r="J290" s="6">
        <v>22373.0</v>
      </c>
      <c r="K290" s="6" t="s">
        <v>890</v>
      </c>
      <c r="L290" s="6">
        <v>108773.0</v>
      </c>
      <c r="M290" s="55"/>
      <c r="N290" s="55"/>
      <c r="O290" s="55"/>
      <c r="P290" s="55"/>
      <c r="Q290" s="6">
        <v>1.0</v>
      </c>
      <c r="R290" s="23">
        <v>46105.0</v>
      </c>
      <c r="S290" s="23">
        <v>46111.0</v>
      </c>
      <c r="T290" s="23">
        <v>46107.0</v>
      </c>
      <c r="U290" s="55"/>
      <c r="V290" s="6" t="s">
        <v>103</v>
      </c>
      <c r="W290" s="6">
        <v>3.96260016181E11</v>
      </c>
      <c r="X290" s="6" t="s">
        <v>45</v>
      </c>
      <c r="Y290" s="6" t="s">
        <v>46</v>
      </c>
      <c r="Z290" s="6">
        <v>3.040244666E9</v>
      </c>
      <c r="AA290" s="6" t="s">
        <v>70</v>
      </c>
      <c r="AB290" s="6" t="s">
        <v>152</v>
      </c>
      <c r="AC290" s="6" t="s">
        <v>208</v>
      </c>
      <c r="AD290" s="55"/>
      <c r="AE290" s="55"/>
      <c r="AF290" s="55"/>
      <c r="AG290" s="55"/>
    </row>
    <row r="291">
      <c r="A291" s="21">
        <f>COUNTIF('Divulgação'!$B:$B,B291)</f>
        <v>1</v>
      </c>
      <c r="B291" s="21" t="s">
        <v>891</v>
      </c>
      <c r="C291" s="55"/>
      <c r="D291" s="6" t="s">
        <v>39</v>
      </c>
      <c r="E291" s="6" t="s">
        <v>40</v>
      </c>
      <c r="F291" s="23">
        <v>46107.0</v>
      </c>
      <c r="G291" s="6" t="s">
        <v>41</v>
      </c>
      <c r="H291" s="23">
        <v>46107.0</v>
      </c>
      <c r="I291" s="21" t="s">
        <v>717</v>
      </c>
      <c r="J291" s="6" t="s">
        <v>156</v>
      </c>
      <c r="K291" s="6" t="s">
        <v>101</v>
      </c>
      <c r="L291" s="6">
        <v>7086.0</v>
      </c>
      <c r="M291" s="55"/>
      <c r="N291" s="55"/>
      <c r="O291" s="55"/>
      <c r="P291" s="55"/>
      <c r="Q291" s="6">
        <v>1.0</v>
      </c>
      <c r="R291" s="23">
        <v>46105.0</v>
      </c>
      <c r="S291" s="23">
        <v>46111.0</v>
      </c>
      <c r="T291" s="23">
        <v>46107.0</v>
      </c>
      <c r="U291" s="55"/>
      <c r="V291" s="6" t="s">
        <v>44</v>
      </c>
      <c r="W291" s="55"/>
      <c r="X291" s="6" t="s">
        <v>45</v>
      </c>
      <c r="Y291" s="6" t="s">
        <v>46</v>
      </c>
      <c r="Z291" s="6">
        <v>3.040323916E9</v>
      </c>
      <c r="AA291" s="6" t="s">
        <v>64</v>
      </c>
      <c r="AB291" s="6" t="s">
        <v>399</v>
      </c>
      <c r="AC291" s="6" t="s">
        <v>892</v>
      </c>
      <c r="AD291" s="55"/>
      <c r="AE291" s="55"/>
      <c r="AF291" s="55"/>
      <c r="AG291" s="55"/>
    </row>
    <row r="292">
      <c r="A292" s="21">
        <f>COUNTIF('Divulgação'!$B:$B,B292)</f>
        <v>1</v>
      </c>
      <c r="B292" s="21" t="s">
        <v>893</v>
      </c>
      <c r="C292" s="55"/>
      <c r="D292" s="6" t="s">
        <v>39</v>
      </c>
      <c r="E292" s="6" t="s">
        <v>40</v>
      </c>
      <c r="F292" s="23">
        <v>46107.0</v>
      </c>
      <c r="G292" s="6" t="s">
        <v>41</v>
      </c>
      <c r="H292" s="23">
        <v>46107.0</v>
      </c>
      <c r="I292" s="21" t="s">
        <v>100</v>
      </c>
      <c r="J292" s="6">
        <v>71379.0</v>
      </c>
      <c r="K292" s="6" t="s">
        <v>101</v>
      </c>
      <c r="L292" s="6">
        <v>99743.0</v>
      </c>
      <c r="M292" s="55"/>
      <c r="N292" s="55"/>
      <c r="O292" s="55"/>
      <c r="P292" s="55"/>
      <c r="Q292" s="6">
        <v>1.0</v>
      </c>
      <c r="R292" s="23">
        <v>46105.0</v>
      </c>
      <c r="S292" s="23">
        <v>46111.0</v>
      </c>
      <c r="T292" s="23">
        <v>46107.0</v>
      </c>
      <c r="U292" s="55"/>
      <c r="V292" s="6" t="s">
        <v>44</v>
      </c>
      <c r="W292" s="55"/>
      <c r="X292" s="6" t="s">
        <v>45</v>
      </c>
      <c r="Y292" s="6" t="s">
        <v>46</v>
      </c>
      <c r="Z292" s="6">
        <v>3.040323917E9</v>
      </c>
      <c r="AA292" s="6" t="s">
        <v>64</v>
      </c>
      <c r="AB292" s="6" t="s">
        <v>399</v>
      </c>
      <c r="AC292" s="6" t="s">
        <v>894</v>
      </c>
      <c r="AD292" s="55"/>
      <c r="AE292" s="55"/>
      <c r="AF292" s="55"/>
      <c r="AG292" s="55"/>
    </row>
    <row r="293">
      <c r="A293" s="21">
        <f>COUNTIF('Divulgação'!$B:$B,B293)</f>
        <v>1</v>
      </c>
      <c r="B293" s="21" t="s">
        <v>895</v>
      </c>
      <c r="C293" s="55"/>
      <c r="D293" s="6" t="s">
        <v>39</v>
      </c>
      <c r="E293" s="6" t="s">
        <v>40</v>
      </c>
      <c r="F293" s="23">
        <v>46112.0</v>
      </c>
      <c r="G293" s="6" t="s">
        <v>41</v>
      </c>
      <c r="H293" s="23">
        <v>46112.0</v>
      </c>
      <c r="I293" s="21" t="s">
        <v>283</v>
      </c>
      <c r="J293" s="6">
        <v>22373.0</v>
      </c>
      <c r="K293" s="6" t="s">
        <v>284</v>
      </c>
      <c r="L293" s="6" t="s">
        <v>896</v>
      </c>
      <c r="M293" s="55"/>
      <c r="N293" s="55"/>
      <c r="O293" s="55"/>
      <c r="P293" s="55"/>
      <c r="Q293" s="6">
        <v>1.0</v>
      </c>
      <c r="R293" s="23">
        <v>46108.0</v>
      </c>
      <c r="S293" s="23">
        <v>46114.0</v>
      </c>
      <c r="T293" s="23">
        <v>46112.0</v>
      </c>
      <c r="U293" s="55"/>
      <c r="V293" s="6" t="s">
        <v>44</v>
      </c>
      <c r="W293" s="55"/>
      <c r="X293" s="6" t="s">
        <v>45</v>
      </c>
      <c r="Y293" s="6" t="s">
        <v>46</v>
      </c>
      <c r="Z293" s="6">
        <v>3.040238083E9</v>
      </c>
      <c r="AA293" s="6" t="s">
        <v>188</v>
      </c>
      <c r="AB293" s="6" t="s">
        <v>194</v>
      </c>
      <c r="AC293" s="6" t="s">
        <v>404</v>
      </c>
      <c r="AD293" s="55"/>
      <c r="AE293" s="55"/>
      <c r="AF293" s="55"/>
      <c r="AG293" s="55"/>
    </row>
    <row r="294">
      <c r="A294" s="21">
        <f>COUNTIF('Divulgação'!$B:$B,B294)</f>
        <v>1</v>
      </c>
      <c r="B294" s="21" t="s">
        <v>897</v>
      </c>
      <c r="C294" s="55"/>
      <c r="D294" s="6" t="s">
        <v>39</v>
      </c>
      <c r="E294" s="6" t="s">
        <v>40</v>
      </c>
      <c r="F294" s="23">
        <v>46125.0</v>
      </c>
      <c r="G294" s="6" t="s">
        <v>41</v>
      </c>
      <c r="H294" s="23">
        <v>46125.0</v>
      </c>
      <c r="I294" s="21" t="s">
        <v>898</v>
      </c>
      <c r="J294" s="6">
        <v>81205.0</v>
      </c>
      <c r="K294" s="6" t="s">
        <v>899</v>
      </c>
      <c r="L294" s="6" t="s">
        <v>900</v>
      </c>
      <c r="M294" s="55"/>
      <c r="N294" s="55"/>
      <c r="O294" s="55"/>
      <c r="P294" s="55"/>
      <c r="Q294" s="6">
        <v>1.0</v>
      </c>
      <c r="R294" s="23">
        <v>46120.0</v>
      </c>
      <c r="S294" s="23">
        <v>46126.0</v>
      </c>
      <c r="T294" s="23">
        <v>46125.0</v>
      </c>
      <c r="U294" s="55"/>
      <c r="V294" s="6" t="s">
        <v>44</v>
      </c>
      <c r="W294" s="55"/>
      <c r="X294" s="6" t="s">
        <v>45</v>
      </c>
      <c r="Y294" s="6" t="s">
        <v>46</v>
      </c>
      <c r="Z294" s="6">
        <v>3.040269806E9</v>
      </c>
      <c r="AA294" s="6" t="s">
        <v>169</v>
      </c>
      <c r="AB294" s="6" t="s">
        <v>768</v>
      </c>
      <c r="AC294" s="6" t="s">
        <v>902</v>
      </c>
      <c r="AD294" s="55"/>
      <c r="AE294" s="55"/>
      <c r="AF294" s="55"/>
      <c r="AG294" s="55"/>
    </row>
    <row r="295">
      <c r="A295" s="21">
        <f>COUNTIF('Divulgação'!$B:$B,B295)</f>
        <v>1</v>
      </c>
      <c r="B295" s="21" t="s">
        <v>905</v>
      </c>
      <c r="C295" s="55"/>
      <c r="D295" s="6" t="s">
        <v>39</v>
      </c>
      <c r="E295" s="6" t="s">
        <v>40</v>
      </c>
      <c r="F295" s="23">
        <v>46125.0</v>
      </c>
      <c r="G295" s="6" t="s">
        <v>41</v>
      </c>
      <c r="H295" s="23">
        <v>46125.0</v>
      </c>
      <c r="I295" s="21" t="s">
        <v>413</v>
      </c>
      <c r="J295" s="6">
        <v>54905.0</v>
      </c>
      <c r="K295" s="6" t="s">
        <v>414</v>
      </c>
      <c r="L295" s="6" t="s">
        <v>906</v>
      </c>
      <c r="M295" s="55"/>
      <c r="N295" s="55"/>
      <c r="O295" s="55"/>
      <c r="P295" s="55"/>
      <c r="Q295" s="6">
        <v>1.0</v>
      </c>
      <c r="R295" s="23">
        <v>46120.0</v>
      </c>
      <c r="S295" s="23">
        <v>46126.0</v>
      </c>
      <c r="T295" s="23">
        <v>46125.0</v>
      </c>
      <c r="U295" s="55"/>
      <c r="V295" s="6" t="s">
        <v>44</v>
      </c>
      <c r="W295" s="55"/>
      <c r="X295" s="6" t="s">
        <v>45</v>
      </c>
      <c r="Y295" s="6" t="s">
        <v>46</v>
      </c>
      <c r="Z295" s="6">
        <v>3.04030408E9</v>
      </c>
      <c r="AA295" s="6" t="s">
        <v>64</v>
      </c>
      <c r="AB295" s="6" t="s">
        <v>907</v>
      </c>
      <c r="AC295" s="6" t="s">
        <v>908</v>
      </c>
      <c r="AD295" s="55"/>
      <c r="AE295" s="55"/>
      <c r="AF295" s="55"/>
      <c r="AG295" s="55"/>
    </row>
    <row r="296">
      <c r="A296" s="21">
        <f>COUNTIF('Divulgação'!$B:$B,B296)</f>
        <v>1</v>
      </c>
      <c r="B296" s="21" t="s">
        <v>909</v>
      </c>
      <c r="C296" s="55"/>
      <c r="D296" s="6" t="s">
        <v>39</v>
      </c>
      <c r="E296" s="6" t="s">
        <v>40</v>
      </c>
      <c r="F296" s="23">
        <v>46125.0</v>
      </c>
      <c r="G296" s="6" t="s">
        <v>41</v>
      </c>
      <c r="H296" s="23">
        <v>46125.0</v>
      </c>
      <c r="I296" s="21" t="s">
        <v>413</v>
      </c>
      <c r="J296" s="6">
        <v>54905.0</v>
      </c>
      <c r="K296" s="6" t="s">
        <v>414</v>
      </c>
      <c r="L296" s="6" t="s">
        <v>910</v>
      </c>
      <c r="M296" s="55"/>
      <c r="N296" s="55"/>
      <c r="O296" s="55"/>
      <c r="P296" s="55"/>
      <c r="Q296" s="6">
        <v>1.0</v>
      </c>
      <c r="R296" s="23">
        <v>46120.0</v>
      </c>
      <c r="S296" s="23">
        <v>46126.0</v>
      </c>
      <c r="T296" s="23">
        <v>46125.0</v>
      </c>
      <c r="U296" s="55"/>
      <c r="V296" s="6" t="s">
        <v>44</v>
      </c>
      <c r="W296" s="55"/>
      <c r="X296" s="6" t="s">
        <v>45</v>
      </c>
      <c r="Y296" s="6" t="s">
        <v>46</v>
      </c>
      <c r="Z296" s="6">
        <v>3.040304081E9</v>
      </c>
      <c r="AA296" s="6" t="s">
        <v>64</v>
      </c>
      <c r="AB296" s="6" t="s">
        <v>907</v>
      </c>
      <c r="AC296" s="6" t="s">
        <v>908</v>
      </c>
      <c r="AD296" s="55"/>
      <c r="AE296" s="55"/>
      <c r="AF296" s="55"/>
      <c r="AG296" s="55"/>
    </row>
    <row r="297">
      <c r="A297" s="21">
        <f>COUNTIF('Divulgação'!$B:$B,B297)</f>
        <v>1</v>
      </c>
      <c r="B297" s="21" t="s">
        <v>911</v>
      </c>
      <c r="C297" s="55"/>
      <c r="D297" s="6" t="s">
        <v>39</v>
      </c>
      <c r="E297" s="6" t="s">
        <v>40</v>
      </c>
      <c r="F297" s="23">
        <v>46125.0</v>
      </c>
      <c r="G297" s="6" t="s">
        <v>41</v>
      </c>
      <c r="H297" s="23">
        <v>46125.0</v>
      </c>
      <c r="I297" s="21" t="s">
        <v>413</v>
      </c>
      <c r="J297" s="6">
        <v>54905.0</v>
      </c>
      <c r="K297" s="6" t="s">
        <v>414</v>
      </c>
      <c r="L297" s="6" t="s">
        <v>912</v>
      </c>
      <c r="M297" s="55"/>
      <c r="N297" s="55"/>
      <c r="O297" s="55"/>
      <c r="P297" s="55"/>
      <c r="Q297" s="6">
        <v>1.0</v>
      </c>
      <c r="R297" s="23">
        <v>46120.0</v>
      </c>
      <c r="S297" s="23">
        <v>46126.0</v>
      </c>
      <c r="T297" s="23">
        <v>46125.0</v>
      </c>
      <c r="U297" s="55"/>
      <c r="V297" s="6" t="s">
        <v>44</v>
      </c>
      <c r="W297" s="55"/>
      <c r="X297" s="6" t="s">
        <v>45</v>
      </c>
      <c r="Y297" s="6" t="s">
        <v>46</v>
      </c>
      <c r="Z297" s="6">
        <v>3.040322049E9</v>
      </c>
      <c r="AA297" s="6" t="s">
        <v>45</v>
      </c>
      <c r="AB297" s="6" t="s">
        <v>203</v>
      </c>
      <c r="AC297" s="6" t="s">
        <v>913</v>
      </c>
      <c r="AD297" s="55"/>
      <c r="AE297" s="55"/>
      <c r="AF297" s="55"/>
      <c r="AG297" s="55"/>
    </row>
    <row r="298">
      <c r="A298" s="21">
        <f>COUNTIF('Divulgação'!$B:$B,B298)</f>
        <v>1</v>
      </c>
      <c r="B298" s="21" t="s">
        <v>1807</v>
      </c>
      <c r="C298" s="55"/>
      <c r="D298" s="6" t="s">
        <v>39</v>
      </c>
      <c r="E298" s="6" t="s">
        <v>40</v>
      </c>
      <c r="F298" s="23">
        <v>46125.0</v>
      </c>
      <c r="G298" s="6" t="s">
        <v>41</v>
      </c>
      <c r="H298" s="23">
        <v>46125.0</v>
      </c>
      <c r="I298" s="21" t="s">
        <v>482</v>
      </c>
      <c r="J298" s="6" t="s">
        <v>275</v>
      </c>
      <c r="K298" s="6" t="s">
        <v>483</v>
      </c>
      <c r="L298" s="6">
        <v>4.7203152E7</v>
      </c>
      <c r="M298" s="55"/>
      <c r="N298" s="55"/>
      <c r="O298" s="55"/>
      <c r="P298" s="55"/>
      <c r="Q298" s="6">
        <v>1.0</v>
      </c>
      <c r="R298" s="23">
        <v>46121.0</v>
      </c>
      <c r="S298" s="23">
        <v>46127.0</v>
      </c>
      <c r="T298" s="23">
        <v>46125.0</v>
      </c>
      <c r="U298" s="55"/>
      <c r="V298" s="6" t="s">
        <v>44</v>
      </c>
      <c r="W298" s="55"/>
      <c r="X298" s="6" t="s">
        <v>45</v>
      </c>
      <c r="Y298" s="6" t="s">
        <v>46</v>
      </c>
      <c r="Z298" s="6">
        <v>3.040322206E9</v>
      </c>
      <c r="AA298" s="6" t="s">
        <v>63</v>
      </c>
      <c r="AB298" s="6" t="s">
        <v>72</v>
      </c>
      <c r="AC298" s="6" t="s">
        <v>451</v>
      </c>
      <c r="AD298" s="55"/>
      <c r="AE298" s="55"/>
      <c r="AF298" s="55"/>
      <c r="AG298" s="55"/>
    </row>
    <row r="299">
      <c r="A299" s="21">
        <f>COUNTIF('Divulgação'!$B:$B,B299)</f>
        <v>1</v>
      </c>
      <c r="B299" s="21" t="s">
        <v>904</v>
      </c>
      <c r="C299" s="55"/>
      <c r="D299" s="6" t="s">
        <v>39</v>
      </c>
      <c r="E299" s="6" t="s">
        <v>40</v>
      </c>
      <c r="F299" s="23">
        <v>46125.0</v>
      </c>
      <c r="G299" s="6" t="s">
        <v>41</v>
      </c>
      <c r="H299" s="23">
        <v>46125.0</v>
      </c>
      <c r="I299" s="21" t="s">
        <v>482</v>
      </c>
      <c r="J299" s="6" t="s">
        <v>275</v>
      </c>
      <c r="K299" s="6" t="s">
        <v>483</v>
      </c>
      <c r="L299" s="6">
        <v>4.7202512E7</v>
      </c>
      <c r="M299" s="55"/>
      <c r="N299" s="55"/>
      <c r="O299" s="55"/>
      <c r="P299" s="55"/>
      <c r="Q299" s="6">
        <v>1.0</v>
      </c>
      <c r="R299" s="23">
        <v>46121.0</v>
      </c>
      <c r="S299" s="23">
        <v>46127.0</v>
      </c>
      <c r="T299" s="23">
        <v>46125.0</v>
      </c>
      <c r="U299" s="55"/>
      <c r="V299" s="6" t="s">
        <v>44</v>
      </c>
      <c r="W299" s="55"/>
      <c r="X299" s="6" t="s">
        <v>45</v>
      </c>
      <c r="Y299" s="6" t="s">
        <v>46</v>
      </c>
      <c r="Z299" s="6">
        <v>3.04031986E9</v>
      </c>
      <c r="AA299" s="6" t="s">
        <v>63</v>
      </c>
      <c r="AB299" s="6" t="s">
        <v>72</v>
      </c>
      <c r="AC299" s="6" t="s">
        <v>451</v>
      </c>
      <c r="AD299" s="55"/>
      <c r="AE299" s="55"/>
      <c r="AF299" s="55"/>
      <c r="AG299" s="55"/>
    </row>
    <row r="300">
      <c r="A300" s="21">
        <f>COUNTIF('Divulgação'!$B:$B,B300)</f>
        <v>1</v>
      </c>
      <c r="B300" s="21" t="s">
        <v>916</v>
      </c>
      <c r="C300" s="55"/>
      <c r="D300" s="6" t="s">
        <v>39</v>
      </c>
      <c r="E300" s="6" t="s">
        <v>40</v>
      </c>
      <c r="F300" s="23">
        <v>46125.0</v>
      </c>
      <c r="G300" s="6" t="s">
        <v>41</v>
      </c>
      <c r="H300" s="23">
        <v>46125.0</v>
      </c>
      <c r="I300" s="21" t="s">
        <v>796</v>
      </c>
      <c r="J300" s="6" t="s">
        <v>275</v>
      </c>
      <c r="K300" s="6" t="s">
        <v>798</v>
      </c>
      <c r="L300" s="6">
        <v>2.200558E7</v>
      </c>
      <c r="M300" s="55"/>
      <c r="N300" s="55"/>
      <c r="O300" s="55"/>
      <c r="P300" s="55"/>
      <c r="Q300" s="6">
        <v>1.0</v>
      </c>
      <c r="R300" s="23">
        <v>46121.0</v>
      </c>
      <c r="S300" s="23">
        <v>46127.0</v>
      </c>
      <c r="T300" s="23">
        <v>46125.0</v>
      </c>
      <c r="U300" s="55"/>
      <c r="V300" s="6" t="s">
        <v>44</v>
      </c>
      <c r="W300" s="55"/>
      <c r="X300" s="6" t="s">
        <v>45</v>
      </c>
      <c r="Y300" s="6" t="s">
        <v>46</v>
      </c>
      <c r="Z300" s="6">
        <v>3.040319937E9</v>
      </c>
      <c r="AA300" s="6" t="s">
        <v>63</v>
      </c>
      <c r="AB300" s="6" t="s">
        <v>72</v>
      </c>
      <c r="AC300" s="6" t="s">
        <v>451</v>
      </c>
      <c r="AD300" s="55"/>
      <c r="AE300" s="55"/>
      <c r="AF300" s="55"/>
      <c r="AG300" s="55"/>
    </row>
    <row r="301">
      <c r="A301" s="21">
        <f>COUNTIF('Divulgação'!$B:$B,B301)</f>
        <v>1</v>
      </c>
      <c r="B301" s="21" t="s">
        <v>917</v>
      </c>
      <c r="C301" s="55"/>
      <c r="D301" s="6" t="s">
        <v>39</v>
      </c>
      <c r="E301" s="6" t="s">
        <v>40</v>
      </c>
      <c r="F301" s="23">
        <v>46125.0</v>
      </c>
      <c r="G301" s="6" t="s">
        <v>41</v>
      </c>
      <c r="H301" s="23">
        <v>46125.0</v>
      </c>
      <c r="I301" s="21" t="s">
        <v>796</v>
      </c>
      <c r="J301" s="6" t="s">
        <v>275</v>
      </c>
      <c r="K301" s="6" t="s">
        <v>798</v>
      </c>
      <c r="L301" s="6">
        <v>2.2005955E7</v>
      </c>
      <c r="M301" s="55"/>
      <c r="N301" s="55"/>
      <c r="O301" s="55"/>
      <c r="P301" s="55"/>
      <c r="Q301" s="6">
        <v>1.0</v>
      </c>
      <c r="R301" s="23">
        <v>46121.0</v>
      </c>
      <c r="S301" s="23">
        <v>46127.0</v>
      </c>
      <c r="T301" s="23">
        <v>46125.0</v>
      </c>
      <c r="U301" s="55"/>
      <c r="V301" s="6" t="s">
        <v>44</v>
      </c>
      <c r="W301" s="55"/>
      <c r="X301" s="6" t="s">
        <v>45</v>
      </c>
      <c r="Y301" s="6" t="s">
        <v>46</v>
      </c>
      <c r="Z301" s="6">
        <v>3.040305018E9</v>
      </c>
      <c r="AA301" s="6" t="s">
        <v>63</v>
      </c>
      <c r="AB301" s="6" t="s">
        <v>72</v>
      </c>
      <c r="AC301" s="6" t="s">
        <v>74</v>
      </c>
      <c r="AD301" s="55"/>
      <c r="AE301" s="55"/>
      <c r="AF301" s="55"/>
      <c r="AG301" s="55"/>
    </row>
    <row r="302">
      <c r="A302" s="21">
        <f>COUNTIF('Divulgação'!$B:$B,B302)</f>
        <v>1</v>
      </c>
      <c r="B302" s="21" t="s">
        <v>914</v>
      </c>
      <c r="C302" s="55"/>
      <c r="D302" s="6" t="s">
        <v>39</v>
      </c>
      <c r="E302" s="6" t="s">
        <v>40</v>
      </c>
      <c r="F302" s="23">
        <v>46125.0</v>
      </c>
      <c r="G302" s="6" t="s">
        <v>41</v>
      </c>
      <c r="H302" s="23">
        <v>46125.0</v>
      </c>
      <c r="I302" s="21" t="s">
        <v>796</v>
      </c>
      <c r="J302" s="6" t="s">
        <v>275</v>
      </c>
      <c r="K302" s="6" t="s">
        <v>798</v>
      </c>
      <c r="L302" s="6">
        <v>2.2005661E7</v>
      </c>
      <c r="M302" s="55"/>
      <c r="N302" s="55"/>
      <c r="O302" s="55"/>
      <c r="P302" s="55"/>
      <c r="Q302" s="6">
        <v>1.0</v>
      </c>
      <c r="R302" s="23">
        <v>46121.0</v>
      </c>
      <c r="S302" s="23">
        <v>46127.0</v>
      </c>
      <c r="T302" s="23">
        <v>46125.0</v>
      </c>
      <c r="U302" s="55"/>
      <c r="V302" s="6" t="s">
        <v>44</v>
      </c>
      <c r="W302" s="55"/>
      <c r="X302" s="6" t="s">
        <v>45</v>
      </c>
      <c r="Y302" s="6" t="s">
        <v>46</v>
      </c>
      <c r="Z302" s="6">
        <v>3.040322689E9</v>
      </c>
      <c r="AA302" s="6" t="s">
        <v>63</v>
      </c>
      <c r="AB302" s="6" t="s">
        <v>72</v>
      </c>
      <c r="AC302" s="6" t="s">
        <v>915</v>
      </c>
      <c r="AD302" s="55"/>
      <c r="AE302" s="55"/>
      <c r="AF302" s="55"/>
      <c r="AG302" s="55"/>
    </row>
    <row r="303">
      <c r="A303" s="21">
        <f>COUNTIF('Divulgação'!$B:$B,B303)</f>
        <v>1</v>
      </c>
      <c r="B303" s="21" t="s">
        <v>920</v>
      </c>
      <c r="C303" s="55"/>
      <c r="D303" s="6" t="s">
        <v>39</v>
      </c>
      <c r="E303" s="6" t="s">
        <v>40</v>
      </c>
      <c r="F303" s="23">
        <v>46125.0</v>
      </c>
      <c r="G303" s="6" t="s">
        <v>41</v>
      </c>
      <c r="H303" s="23">
        <v>46125.0</v>
      </c>
      <c r="I303" s="21" t="s">
        <v>345</v>
      </c>
      <c r="J303" s="6">
        <v>22373.0</v>
      </c>
      <c r="K303" s="6" t="s">
        <v>346</v>
      </c>
      <c r="L303" s="6">
        <v>32207.0</v>
      </c>
      <c r="M303" s="55"/>
      <c r="N303" s="55"/>
      <c r="O303" s="55"/>
      <c r="P303" s="55"/>
      <c r="Q303" s="6">
        <v>1.0</v>
      </c>
      <c r="R303" s="23">
        <v>45962.0</v>
      </c>
      <c r="S303" s="23">
        <v>46023.0</v>
      </c>
      <c r="T303" s="23">
        <v>46125.0</v>
      </c>
      <c r="U303" s="55"/>
      <c r="V303" s="6" t="s">
        <v>44</v>
      </c>
      <c r="W303" s="55"/>
      <c r="X303" s="6" t="s">
        <v>45</v>
      </c>
      <c r="Y303" s="6" t="s">
        <v>46</v>
      </c>
      <c r="Z303" s="6">
        <v>3.040297382E9</v>
      </c>
      <c r="AA303" s="6" t="s">
        <v>60</v>
      </c>
      <c r="AB303" s="6" t="s">
        <v>194</v>
      </c>
      <c r="AC303" s="6" t="s">
        <v>561</v>
      </c>
      <c r="AD303" s="55"/>
      <c r="AE303" s="55"/>
      <c r="AF303" s="55"/>
      <c r="AG303" s="55"/>
    </row>
    <row r="304">
      <c r="A304" s="21">
        <f>COUNTIF('Divulgação'!$B:$B,B304)</f>
        <v>1</v>
      </c>
      <c r="B304" s="21" t="s">
        <v>918</v>
      </c>
      <c r="C304" s="55"/>
      <c r="D304" s="6" t="s">
        <v>39</v>
      </c>
      <c r="E304" s="6" t="s">
        <v>40</v>
      </c>
      <c r="F304" s="23">
        <v>46125.0</v>
      </c>
      <c r="G304" s="6" t="s">
        <v>41</v>
      </c>
      <c r="H304" s="23">
        <v>46125.0</v>
      </c>
      <c r="I304" s="21" t="s">
        <v>337</v>
      </c>
      <c r="J304" s="6">
        <v>22373.0</v>
      </c>
      <c r="K304" s="6" t="s">
        <v>338</v>
      </c>
      <c r="L304" s="6">
        <v>18156.0</v>
      </c>
      <c r="M304" s="55"/>
      <c r="N304" s="55"/>
      <c r="O304" s="55"/>
      <c r="P304" s="55"/>
      <c r="Q304" s="6">
        <v>1.0</v>
      </c>
      <c r="R304" s="23">
        <v>46120.0</v>
      </c>
      <c r="S304" s="23">
        <v>46126.0</v>
      </c>
      <c r="T304" s="23">
        <v>46125.0</v>
      </c>
      <c r="U304" s="55"/>
      <c r="V304" s="6" t="s">
        <v>44</v>
      </c>
      <c r="W304" s="55"/>
      <c r="X304" s="6" t="s">
        <v>45</v>
      </c>
      <c r="Y304" s="6" t="s">
        <v>46</v>
      </c>
      <c r="Z304" s="6">
        <v>3.040321987E9</v>
      </c>
      <c r="AA304" s="6" t="s">
        <v>75</v>
      </c>
      <c r="AB304" s="6" t="s">
        <v>152</v>
      </c>
      <c r="AC304" s="6" t="s">
        <v>919</v>
      </c>
      <c r="AD304" s="55"/>
      <c r="AE304" s="55"/>
      <c r="AF304" s="55"/>
      <c r="AG304" s="55"/>
    </row>
    <row r="305">
      <c r="A305" s="21">
        <f>COUNTIF('Divulgação'!$B:$B,B305)</f>
        <v>1</v>
      </c>
      <c r="B305" s="21" t="s">
        <v>921</v>
      </c>
      <c r="C305" s="55"/>
      <c r="D305" s="6" t="s">
        <v>39</v>
      </c>
      <c r="E305" s="6" t="s">
        <v>40</v>
      </c>
      <c r="F305" s="23">
        <v>46125.0</v>
      </c>
      <c r="G305" s="6" t="s">
        <v>41</v>
      </c>
      <c r="H305" s="23">
        <v>46125.0</v>
      </c>
      <c r="I305" s="21" t="s">
        <v>923</v>
      </c>
      <c r="J305" s="6">
        <v>22373.0</v>
      </c>
      <c r="K305" s="6" t="s">
        <v>924</v>
      </c>
      <c r="L305" s="6">
        <v>37971.0</v>
      </c>
      <c r="M305" s="55"/>
      <c r="N305" s="55"/>
      <c r="O305" s="55"/>
      <c r="P305" s="55"/>
      <c r="Q305" s="6">
        <v>1.0</v>
      </c>
      <c r="R305" s="23">
        <v>46120.0</v>
      </c>
      <c r="S305" s="23">
        <v>46126.0</v>
      </c>
      <c r="T305" s="23">
        <v>46125.0</v>
      </c>
      <c r="U305" s="55"/>
      <c r="V305" s="6" t="s">
        <v>44</v>
      </c>
      <c r="W305" s="55"/>
      <c r="X305" s="6" t="s">
        <v>45</v>
      </c>
      <c r="Y305" s="6" t="s">
        <v>46</v>
      </c>
      <c r="Z305" s="6">
        <v>3.040210847E9</v>
      </c>
      <c r="AA305" s="6" t="s">
        <v>294</v>
      </c>
      <c r="AB305" s="6" t="s">
        <v>925</v>
      </c>
      <c r="AC305" s="6" t="s">
        <v>926</v>
      </c>
      <c r="AD305" s="55"/>
      <c r="AE305" s="55"/>
      <c r="AF305" s="55"/>
      <c r="AG305" s="55"/>
    </row>
    <row r="306">
      <c r="A306" s="21">
        <f>COUNTIF('Divulgação'!$B:$B,B306)</f>
        <v>1</v>
      </c>
      <c r="B306" s="21" t="s">
        <v>931</v>
      </c>
      <c r="C306" s="55"/>
      <c r="D306" s="6" t="s">
        <v>39</v>
      </c>
      <c r="E306" s="6" t="s">
        <v>40</v>
      </c>
      <c r="F306" s="23">
        <v>46125.0</v>
      </c>
      <c r="G306" s="6" t="s">
        <v>41</v>
      </c>
      <c r="H306" s="23">
        <v>46125.0</v>
      </c>
      <c r="I306" s="21" t="s">
        <v>684</v>
      </c>
      <c r="J306" s="6">
        <v>22373.0</v>
      </c>
      <c r="K306" s="6" t="s">
        <v>685</v>
      </c>
      <c r="L306" s="6">
        <v>84317.0</v>
      </c>
      <c r="M306" s="55"/>
      <c r="N306" s="55"/>
      <c r="O306" s="55"/>
      <c r="P306" s="55"/>
      <c r="Q306" s="6">
        <v>1.0</v>
      </c>
      <c r="R306" s="23">
        <v>46120.0</v>
      </c>
      <c r="S306" s="23">
        <v>46126.0</v>
      </c>
      <c r="T306" s="23">
        <v>46125.0</v>
      </c>
      <c r="U306" s="55"/>
      <c r="V306" s="6" t="s">
        <v>44</v>
      </c>
      <c r="W306" s="55"/>
      <c r="X306" s="6" t="s">
        <v>45</v>
      </c>
      <c r="Y306" s="6" t="s">
        <v>46</v>
      </c>
      <c r="Z306" s="6">
        <v>3.040308025E9</v>
      </c>
      <c r="AA306" s="6" t="s">
        <v>57</v>
      </c>
      <c r="AB306" s="6" t="s">
        <v>58</v>
      </c>
      <c r="AC306" s="6" t="s">
        <v>59</v>
      </c>
      <c r="AD306" s="55"/>
      <c r="AE306" s="55"/>
      <c r="AF306" s="55"/>
      <c r="AG306" s="55"/>
    </row>
    <row r="307">
      <c r="A307" s="21">
        <f>COUNTIF('Divulgação'!$B:$B,B307)</f>
        <v>1</v>
      </c>
      <c r="B307" s="21" t="s">
        <v>929</v>
      </c>
      <c r="C307" s="55"/>
      <c r="D307" s="6" t="s">
        <v>39</v>
      </c>
      <c r="E307" s="6" t="s">
        <v>40</v>
      </c>
      <c r="F307" s="23">
        <v>46125.0</v>
      </c>
      <c r="G307" s="6" t="s">
        <v>41</v>
      </c>
      <c r="H307" s="23">
        <v>46125.0</v>
      </c>
      <c r="I307" s="21" t="s">
        <v>684</v>
      </c>
      <c r="J307" s="6">
        <v>22373.0</v>
      </c>
      <c r="K307" s="6" t="s">
        <v>685</v>
      </c>
      <c r="L307" s="6">
        <v>83773.0</v>
      </c>
      <c r="M307" s="55"/>
      <c r="N307" s="55"/>
      <c r="O307" s="55"/>
      <c r="P307" s="55"/>
      <c r="Q307" s="6">
        <v>1.0</v>
      </c>
      <c r="R307" s="23">
        <v>46121.0</v>
      </c>
      <c r="S307" s="23">
        <v>46127.0</v>
      </c>
      <c r="T307" s="23">
        <v>46125.0</v>
      </c>
      <c r="U307" s="55"/>
      <c r="V307" s="6" t="s">
        <v>44</v>
      </c>
      <c r="W307" s="55"/>
      <c r="X307" s="6" t="s">
        <v>45</v>
      </c>
      <c r="Y307" s="6" t="s">
        <v>46</v>
      </c>
      <c r="Z307" s="6">
        <v>3.04030977E9</v>
      </c>
      <c r="AA307" s="6" t="s">
        <v>57</v>
      </c>
      <c r="AB307" s="6" t="s">
        <v>58</v>
      </c>
      <c r="AC307" s="6" t="s">
        <v>930</v>
      </c>
      <c r="AD307" s="55"/>
      <c r="AE307" s="55"/>
      <c r="AF307" s="55"/>
      <c r="AG307" s="55"/>
    </row>
    <row r="308">
      <c r="A308" s="21">
        <f>COUNTIF('Divulgação'!$B:$B,B308)</f>
        <v>1</v>
      </c>
      <c r="B308" s="21" t="s">
        <v>928</v>
      </c>
      <c r="C308" s="55"/>
      <c r="D308" s="6" t="s">
        <v>39</v>
      </c>
      <c r="E308" s="6" t="s">
        <v>40</v>
      </c>
      <c r="F308" s="23">
        <v>46125.0</v>
      </c>
      <c r="G308" s="6" t="s">
        <v>41</v>
      </c>
      <c r="H308" s="23">
        <v>46125.0</v>
      </c>
      <c r="I308" s="21" t="s">
        <v>684</v>
      </c>
      <c r="J308" s="6">
        <v>22373.0</v>
      </c>
      <c r="K308" s="6" t="s">
        <v>685</v>
      </c>
      <c r="L308" s="6">
        <v>83740.0</v>
      </c>
      <c r="M308" s="55"/>
      <c r="N308" s="55"/>
      <c r="O308" s="55"/>
      <c r="P308" s="55"/>
      <c r="Q308" s="6">
        <v>1.0</v>
      </c>
      <c r="R308" s="23">
        <v>46121.0</v>
      </c>
      <c r="S308" s="23">
        <v>46127.0</v>
      </c>
      <c r="T308" s="23">
        <v>46125.0</v>
      </c>
      <c r="U308" s="55"/>
      <c r="V308" s="6" t="s">
        <v>44</v>
      </c>
      <c r="W308" s="55"/>
      <c r="X308" s="6" t="s">
        <v>45</v>
      </c>
      <c r="Y308" s="6" t="s">
        <v>46</v>
      </c>
      <c r="Z308" s="6">
        <v>3.04030856E9</v>
      </c>
      <c r="AA308" s="6" t="s">
        <v>75</v>
      </c>
      <c r="AB308" s="6" t="s">
        <v>152</v>
      </c>
      <c r="AC308" s="6" t="s">
        <v>153</v>
      </c>
      <c r="AD308" s="55"/>
      <c r="AE308" s="55"/>
      <c r="AF308" s="55"/>
      <c r="AG308" s="55"/>
    </row>
    <row r="309">
      <c r="A309" s="21">
        <f>COUNTIF('Divulgação'!$B:$B,B309)</f>
        <v>1</v>
      </c>
      <c r="B309" s="21" t="s">
        <v>927</v>
      </c>
      <c r="C309" s="55"/>
      <c r="D309" s="6" t="s">
        <v>39</v>
      </c>
      <c r="E309" s="6" t="s">
        <v>40</v>
      </c>
      <c r="F309" s="23">
        <v>46125.0</v>
      </c>
      <c r="G309" s="6" t="s">
        <v>41</v>
      </c>
      <c r="H309" s="23">
        <v>46125.0</v>
      </c>
      <c r="I309" s="21" t="s">
        <v>684</v>
      </c>
      <c r="J309" s="6">
        <v>22373.0</v>
      </c>
      <c r="K309" s="6" t="s">
        <v>685</v>
      </c>
      <c r="L309" s="6">
        <v>84326.0</v>
      </c>
      <c r="M309" s="55"/>
      <c r="N309" s="55"/>
      <c r="O309" s="55"/>
      <c r="P309" s="55"/>
      <c r="Q309" s="6">
        <v>1.0</v>
      </c>
      <c r="R309" s="23">
        <v>46121.0</v>
      </c>
      <c r="S309" s="23">
        <v>46127.0</v>
      </c>
      <c r="T309" s="23">
        <v>46125.0</v>
      </c>
      <c r="U309" s="55"/>
      <c r="V309" s="6" t="s">
        <v>44</v>
      </c>
      <c r="W309" s="55"/>
      <c r="X309" s="6" t="s">
        <v>45</v>
      </c>
      <c r="Y309" s="6" t="s">
        <v>46</v>
      </c>
      <c r="Z309" s="6">
        <v>3.040308559E9</v>
      </c>
      <c r="AA309" s="6" t="s">
        <v>75</v>
      </c>
      <c r="AB309" s="6" t="s">
        <v>152</v>
      </c>
      <c r="AC309" s="6" t="s">
        <v>153</v>
      </c>
      <c r="AD309" s="55"/>
      <c r="AE309" s="55"/>
      <c r="AF309" s="55"/>
      <c r="AG309" s="55"/>
    </row>
    <row r="310">
      <c r="A310" s="21">
        <f>COUNTIF('Divulgação'!$B:$B,B310)</f>
        <v>1</v>
      </c>
      <c r="B310" s="21" t="s">
        <v>934</v>
      </c>
      <c r="C310" s="55"/>
      <c r="D310" s="6" t="s">
        <v>39</v>
      </c>
      <c r="E310" s="6" t="s">
        <v>40</v>
      </c>
      <c r="F310" s="23">
        <v>46125.0</v>
      </c>
      <c r="G310" s="6" t="s">
        <v>41</v>
      </c>
      <c r="H310" s="23">
        <v>46125.0</v>
      </c>
      <c r="I310" s="21" t="s">
        <v>456</v>
      </c>
      <c r="J310" s="6">
        <v>22373.0</v>
      </c>
      <c r="K310" s="6" t="s">
        <v>457</v>
      </c>
      <c r="L310" s="6">
        <v>6708.0</v>
      </c>
      <c r="M310" s="55"/>
      <c r="N310" s="55"/>
      <c r="O310" s="55"/>
      <c r="P310" s="55"/>
      <c r="Q310" s="6">
        <v>1.0</v>
      </c>
      <c r="R310" s="23">
        <v>46121.0</v>
      </c>
      <c r="S310" s="23">
        <v>46127.0</v>
      </c>
      <c r="T310" s="23">
        <v>46125.0</v>
      </c>
      <c r="U310" s="55"/>
      <c r="V310" s="6" t="s">
        <v>44</v>
      </c>
      <c r="W310" s="55"/>
      <c r="X310" s="6" t="s">
        <v>45</v>
      </c>
      <c r="Y310" s="6" t="s">
        <v>46</v>
      </c>
      <c r="Z310" s="6">
        <v>3.040302424E9</v>
      </c>
      <c r="AA310" s="6" t="s">
        <v>64</v>
      </c>
      <c r="AB310" s="6" t="s">
        <v>94</v>
      </c>
      <c r="AC310" s="6" t="s">
        <v>95</v>
      </c>
      <c r="AD310" s="55"/>
      <c r="AE310" s="55"/>
      <c r="AF310" s="55"/>
      <c r="AG310" s="55"/>
    </row>
    <row r="311">
      <c r="A311" s="21">
        <f>COUNTIF('Divulgação'!$B:$B,B311)</f>
        <v>1</v>
      </c>
      <c r="B311" s="21" t="s">
        <v>932</v>
      </c>
      <c r="C311" s="55"/>
      <c r="D311" s="6" t="s">
        <v>39</v>
      </c>
      <c r="E311" s="6" t="s">
        <v>40</v>
      </c>
      <c r="F311" s="23">
        <v>46125.0</v>
      </c>
      <c r="G311" s="6" t="s">
        <v>41</v>
      </c>
      <c r="H311" s="23">
        <v>46125.0</v>
      </c>
      <c r="I311" s="21" t="s">
        <v>231</v>
      </c>
      <c r="J311" s="6">
        <v>71513.0</v>
      </c>
      <c r="K311" s="6" t="s">
        <v>232</v>
      </c>
      <c r="L311" s="6" t="s">
        <v>933</v>
      </c>
      <c r="M311" s="55"/>
      <c r="N311" s="55"/>
      <c r="O311" s="55"/>
      <c r="P311" s="55"/>
      <c r="Q311" s="6">
        <v>1.0</v>
      </c>
      <c r="R311" s="23">
        <v>46119.0</v>
      </c>
      <c r="S311" s="23">
        <v>46125.0</v>
      </c>
      <c r="T311" s="23">
        <v>46125.0</v>
      </c>
      <c r="U311" s="55"/>
      <c r="V311" s="6" t="s">
        <v>44</v>
      </c>
      <c r="W311" s="55"/>
      <c r="X311" s="6" t="s">
        <v>45</v>
      </c>
      <c r="Y311" s="6" t="s">
        <v>46</v>
      </c>
      <c r="Z311" s="6">
        <v>3.040324086E9</v>
      </c>
      <c r="AA311" s="6" t="s">
        <v>64</v>
      </c>
      <c r="AB311" s="6" t="s">
        <v>588</v>
      </c>
      <c r="AC311" s="6" t="s">
        <v>589</v>
      </c>
      <c r="AD311" s="55"/>
      <c r="AE311" s="55"/>
      <c r="AF311" s="55"/>
      <c r="AG311" s="55"/>
    </row>
    <row r="312">
      <c r="A312" s="21">
        <f>COUNTIF('Divulgação'!$B:$B,B312)</f>
        <v>1</v>
      </c>
      <c r="B312" s="21" t="s">
        <v>935</v>
      </c>
      <c r="C312" s="55"/>
      <c r="D312" s="6" t="s">
        <v>39</v>
      </c>
      <c r="E312" s="6" t="s">
        <v>40</v>
      </c>
      <c r="F312" s="23">
        <v>46125.0</v>
      </c>
      <c r="G312" s="6" t="s">
        <v>41</v>
      </c>
      <c r="H312" s="23">
        <v>46125.0</v>
      </c>
      <c r="I312" s="21" t="s">
        <v>456</v>
      </c>
      <c r="J312" s="6">
        <v>22373.0</v>
      </c>
      <c r="K312" s="6" t="s">
        <v>457</v>
      </c>
      <c r="L312" s="6">
        <v>9727.0</v>
      </c>
      <c r="M312" s="55"/>
      <c r="N312" s="55"/>
      <c r="O312" s="55"/>
      <c r="P312" s="55"/>
      <c r="Q312" s="6">
        <v>1.0</v>
      </c>
      <c r="R312" s="23">
        <v>46121.0</v>
      </c>
      <c r="S312" s="23">
        <v>46127.0</v>
      </c>
      <c r="T312" s="23">
        <v>46125.0</v>
      </c>
      <c r="U312" s="55"/>
      <c r="V312" s="6" t="s">
        <v>44</v>
      </c>
      <c r="W312" s="55"/>
      <c r="X312" s="6" t="s">
        <v>45</v>
      </c>
      <c r="Y312" s="6" t="s">
        <v>46</v>
      </c>
      <c r="Z312" s="6">
        <v>3.040324062E9</v>
      </c>
      <c r="AA312" s="6" t="s">
        <v>64</v>
      </c>
      <c r="AB312" s="6" t="s">
        <v>399</v>
      </c>
      <c r="AC312" s="6" t="s">
        <v>894</v>
      </c>
      <c r="AD312" s="55"/>
      <c r="AE312" s="55"/>
      <c r="AF312" s="55"/>
      <c r="AG312" s="55"/>
    </row>
    <row r="313">
      <c r="A313" s="21">
        <f>COUNTIF('Divulgação'!$B:$B,B313)</f>
        <v>1</v>
      </c>
      <c r="B313" s="21" t="s">
        <v>937</v>
      </c>
      <c r="C313" s="55"/>
      <c r="D313" s="6" t="s">
        <v>39</v>
      </c>
      <c r="E313" s="6" t="s">
        <v>40</v>
      </c>
      <c r="F313" s="23">
        <v>46125.0</v>
      </c>
      <c r="G313" s="6" t="s">
        <v>41</v>
      </c>
      <c r="H313" s="23">
        <v>46125.0</v>
      </c>
      <c r="I313" s="21" t="s">
        <v>335</v>
      </c>
      <c r="J313" s="6">
        <v>71513.0</v>
      </c>
      <c r="K313" s="6" t="s">
        <v>336</v>
      </c>
      <c r="L313" s="6" t="s">
        <v>938</v>
      </c>
      <c r="M313" s="55"/>
      <c r="N313" s="55"/>
      <c r="O313" s="55"/>
      <c r="P313" s="55"/>
      <c r="Q313" s="6">
        <v>1.0</v>
      </c>
      <c r="R313" s="23">
        <v>46119.0</v>
      </c>
      <c r="S313" s="23">
        <v>46125.0</v>
      </c>
      <c r="T313" s="23">
        <v>46125.0</v>
      </c>
      <c r="U313" s="55"/>
      <c r="V313" s="6" t="s">
        <v>44</v>
      </c>
      <c r="W313" s="55"/>
      <c r="X313" s="6" t="s">
        <v>45</v>
      </c>
      <c r="Y313" s="6" t="s">
        <v>46</v>
      </c>
      <c r="Z313" s="6">
        <v>3.040324089E9</v>
      </c>
      <c r="AA313" s="6" t="s">
        <v>64</v>
      </c>
      <c r="AB313" s="6" t="s">
        <v>588</v>
      </c>
      <c r="AC313" s="6" t="s">
        <v>589</v>
      </c>
      <c r="AD313" s="55"/>
      <c r="AE313" s="55"/>
      <c r="AF313" s="55"/>
      <c r="AG313" s="55"/>
    </row>
    <row r="314">
      <c r="A314" s="21">
        <f>COUNTIF('Divulgação'!$B:$B,B314)</f>
        <v>1</v>
      </c>
      <c r="B314" s="21" t="s">
        <v>1812</v>
      </c>
      <c r="C314" s="55"/>
      <c r="D314" s="6" t="s">
        <v>39</v>
      </c>
      <c r="E314" s="6" t="s">
        <v>40</v>
      </c>
      <c r="F314" s="23">
        <v>46125.0</v>
      </c>
      <c r="G314" s="6" t="s">
        <v>41</v>
      </c>
      <c r="H314" s="23">
        <v>46125.0</v>
      </c>
      <c r="I314" s="21" t="s">
        <v>226</v>
      </c>
      <c r="J314" s="6">
        <v>71513.0</v>
      </c>
      <c r="K314" s="6" t="s">
        <v>320</v>
      </c>
      <c r="L314" s="6">
        <v>31.0</v>
      </c>
      <c r="M314" s="55"/>
      <c r="N314" s="55"/>
      <c r="O314" s="55"/>
      <c r="P314" s="55"/>
      <c r="Q314" s="6">
        <v>1.0</v>
      </c>
      <c r="R314" s="23">
        <v>46119.0</v>
      </c>
      <c r="S314" s="23">
        <v>46125.0</v>
      </c>
      <c r="T314" s="23">
        <v>46125.0</v>
      </c>
      <c r="U314" s="55"/>
      <c r="V314" s="6" t="s">
        <v>44</v>
      </c>
      <c r="W314" s="55"/>
      <c r="X314" s="6" t="s">
        <v>45</v>
      </c>
      <c r="Y314" s="6" t="s">
        <v>46</v>
      </c>
      <c r="Z314" s="6">
        <v>3.040324087E9</v>
      </c>
      <c r="AA314" s="6" t="s">
        <v>64</v>
      </c>
      <c r="AB314" s="6" t="s">
        <v>588</v>
      </c>
      <c r="AC314" s="6" t="s">
        <v>589</v>
      </c>
      <c r="AD314" s="55"/>
      <c r="AE314" s="55"/>
      <c r="AF314" s="55"/>
      <c r="AG314" s="55"/>
    </row>
    <row r="315">
      <c r="A315" s="21">
        <f>COUNTIF('Divulgação'!$B:$B,B315)</f>
        <v>1</v>
      </c>
      <c r="B315" s="21" t="s">
        <v>936</v>
      </c>
      <c r="C315" s="55"/>
      <c r="D315" s="6" t="s">
        <v>39</v>
      </c>
      <c r="E315" s="6" t="s">
        <v>40</v>
      </c>
      <c r="F315" s="23">
        <v>46125.0</v>
      </c>
      <c r="G315" s="6" t="s">
        <v>41</v>
      </c>
      <c r="H315" s="23">
        <v>46125.0</v>
      </c>
      <c r="I315" s="21" t="s">
        <v>226</v>
      </c>
      <c r="J315" s="6">
        <v>71513.0</v>
      </c>
      <c r="K315" s="6" t="s">
        <v>320</v>
      </c>
      <c r="L315" s="6">
        <v>965.0</v>
      </c>
      <c r="M315" s="55"/>
      <c r="N315" s="55"/>
      <c r="O315" s="55"/>
      <c r="P315" s="55"/>
      <c r="Q315" s="6">
        <v>1.0</v>
      </c>
      <c r="R315" s="23">
        <v>46119.0</v>
      </c>
      <c r="S315" s="23">
        <v>46125.0</v>
      </c>
      <c r="T315" s="23">
        <v>46125.0</v>
      </c>
      <c r="U315" s="55"/>
      <c r="V315" s="6" t="s">
        <v>44</v>
      </c>
      <c r="W315" s="55"/>
      <c r="X315" s="6" t="s">
        <v>45</v>
      </c>
      <c r="Y315" s="6" t="s">
        <v>46</v>
      </c>
      <c r="Z315" s="6">
        <v>3.040324088E9</v>
      </c>
      <c r="AA315" s="6" t="s">
        <v>64</v>
      </c>
      <c r="AB315" s="6" t="s">
        <v>588</v>
      </c>
      <c r="AC315" s="6" t="s">
        <v>589</v>
      </c>
      <c r="AD315" s="55"/>
      <c r="AE315" s="55"/>
      <c r="AF315" s="55"/>
      <c r="AG315" s="55"/>
    </row>
    <row r="316">
      <c r="A316" s="21">
        <f>COUNTIF('Divulgação'!$B:$B,B316)</f>
        <v>1</v>
      </c>
      <c r="B316" s="21" t="s">
        <v>940</v>
      </c>
      <c r="C316" s="55"/>
      <c r="D316" s="6" t="s">
        <v>39</v>
      </c>
      <c r="E316" s="6" t="s">
        <v>40</v>
      </c>
      <c r="F316" s="23">
        <v>46125.0</v>
      </c>
      <c r="G316" s="6" t="s">
        <v>41</v>
      </c>
      <c r="H316" s="23">
        <v>46125.0</v>
      </c>
      <c r="I316" s="21" t="s">
        <v>218</v>
      </c>
      <c r="J316" s="6">
        <v>33269.0</v>
      </c>
      <c r="K316" s="6" t="s">
        <v>343</v>
      </c>
      <c r="L316" s="6">
        <v>2007.0</v>
      </c>
      <c r="M316" s="55"/>
      <c r="N316" s="55"/>
      <c r="O316" s="55"/>
      <c r="P316" s="55"/>
      <c r="Q316" s="6">
        <v>1.0</v>
      </c>
      <c r="R316" s="23">
        <v>46143.0</v>
      </c>
      <c r="S316" s="23">
        <v>46173.0</v>
      </c>
      <c r="T316" s="23">
        <v>46125.0</v>
      </c>
      <c r="U316" s="55"/>
      <c r="V316" s="6" t="s">
        <v>44</v>
      </c>
      <c r="W316" s="55"/>
      <c r="X316" s="6" t="s">
        <v>45</v>
      </c>
      <c r="Y316" s="6" t="s">
        <v>46</v>
      </c>
      <c r="Z316" s="6">
        <v>3.040322749E9</v>
      </c>
      <c r="AA316" s="6" t="s">
        <v>76</v>
      </c>
      <c r="AB316" s="6" t="s">
        <v>152</v>
      </c>
      <c r="AC316" s="6" t="s">
        <v>790</v>
      </c>
      <c r="AD316" s="55"/>
      <c r="AE316" s="55"/>
      <c r="AF316" s="55"/>
      <c r="AG316" s="55"/>
    </row>
    <row r="317">
      <c r="A317" s="21">
        <f>COUNTIF('Divulgação'!$B:$B,B317)</f>
        <v>1</v>
      </c>
      <c r="B317" s="21" t="s">
        <v>939</v>
      </c>
      <c r="C317" s="55"/>
      <c r="D317" s="6" t="s">
        <v>39</v>
      </c>
      <c r="E317" s="6" t="s">
        <v>40</v>
      </c>
      <c r="F317" s="23">
        <v>46125.0</v>
      </c>
      <c r="G317" s="6" t="s">
        <v>41</v>
      </c>
      <c r="H317" s="23">
        <v>46125.0</v>
      </c>
      <c r="I317" s="21" t="s">
        <v>218</v>
      </c>
      <c r="J317" s="6">
        <v>33269.0</v>
      </c>
      <c r="K317" s="6" t="s">
        <v>343</v>
      </c>
      <c r="L317" s="6">
        <v>688.0</v>
      </c>
      <c r="M317" s="55"/>
      <c r="N317" s="55"/>
      <c r="O317" s="55"/>
      <c r="P317" s="55"/>
      <c r="Q317" s="6">
        <v>1.0</v>
      </c>
      <c r="R317" s="23">
        <v>46119.0</v>
      </c>
      <c r="S317" s="23">
        <v>46125.0</v>
      </c>
      <c r="T317" s="23">
        <v>46125.0</v>
      </c>
      <c r="U317" s="55"/>
      <c r="V317" s="6" t="s">
        <v>44</v>
      </c>
      <c r="W317" s="55"/>
      <c r="X317" s="6" t="s">
        <v>45</v>
      </c>
      <c r="Y317" s="6" t="s">
        <v>46</v>
      </c>
      <c r="Z317" s="6">
        <v>3.040324091E9</v>
      </c>
      <c r="AA317" s="6" t="s">
        <v>64</v>
      </c>
      <c r="AB317" s="6" t="s">
        <v>588</v>
      </c>
      <c r="AC317" s="6" t="s">
        <v>589</v>
      </c>
      <c r="AD317" s="55"/>
      <c r="AE317" s="55"/>
      <c r="AF317" s="55"/>
      <c r="AG317" s="55"/>
    </row>
    <row r="318">
      <c r="A318" s="21">
        <f>COUNTIF('Divulgação'!$B:$B,B318)</f>
        <v>1</v>
      </c>
      <c r="B318" s="21" t="s">
        <v>941</v>
      </c>
      <c r="C318" s="55"/>
      <c r="D318" s="6" t="s">
        <v>39</v>
      </c>
      <c r="E318" s="6" t="s">
        <v>40</v>
      </c>
      <c r="F318" s="23">
        <v>46125.0</v>
      </c>
      <c r="G318" s="6" t="s">
        <v>41</v>
      </c>
      <c r="H318" s="23">
        <v>46125.0</v>
      </c>
      <c r="I318" s="21" t="s">
        <v>218</v>
      </c>
      <c r="J318" s="6">
        <v>33269.0</v>
      </c>
      <c r="K318" s="6" t="s">
        <v>343</v>
      </c>
      <c r="L318" s="6" t="s">
        <v>942</v>
      </c>
      <c r="M318" s="55"/>
      <c r="N318" s="55"/>
      <c r="O318" s="55"/>
      <c r="P318" s="55"/>
      <c r="Q318" s="6">
        <v>1.0</v>
      </c>
      <c r="R318" s="23">
        <v>46204.0</v>
      </c>
      <c r="S318" s="23">
        <v>46234.0</v>
      </c>
      <c r="T318" s="23">
        <v>46125.0</v>
      </c>
      <c r="U318" s="55"/>
      <c r="V318" s="6" t="s">
        <v>44</v>
      </c>
      <c r="W318" s="55"/>
      <c r="X318" s="6" t="s">
        <v>45</v>
      </c>
      <c r="Y318" s="6" t="s">
        <v>46</v>
      </c>
      <c r="Z318" s="6">
        <v>3.04032409E9</v>
      </c>
      <c r="AA318" s="6" t="s">
        <v>64</v>
      </c>
      <c r="AB318" s="6" t="s">
        <v>588</v>
      </c>
      <c r="AC318" s="6" t="s">
        <v>589</v>
      </c>
      <c r="AD318" s="55"/>
      <c r="AE318" s="55"/>
      <c r="AF318" s="55"/>
      <c r="AG318" s="55"/>
    </row>
    <row r="319">
      <c r="A319" s="21">
        <f>COUNTIF('Divulgação'!$B:$B,B319)</f>
        <v>1</v>
      </c>
      <c r="B319" s="21" t="s">
        <v>1802</v>
      </c>
      <c r="C319" s="55"/>
      <c r="D319" s="6" t="s">
        <v>39</v>
      </c>
      <c r="E319" s="6" t="s">
        <v>40</v>
      </c>
      <c r="F319" s="23">
        <v>46125.0</v>
      </c>
      <c r="G319" s="6" t="s">
        <v>41</v>
      </c>
      <c r="H319" s="23">
        <v>46125.0</v>
      </c>
      <c r="I319" s="21" t="s">
        <v>277</v>
      </c>
      <c r="J319" s="6">
        <v>95270.0</v>
      </c>
      <c r="K319" s="6" t="s">
        <v>944</v>
      </c>
      <c r="L319" s="6" t="s">
        <v>1803</v>
      </c>
      <c r="M319" s="55"/>
      <c r="N319" s="55"/>
      <c r="O319" s="55"/>
      <c r="P319" s="55"/>
      <c r="Q319" s="6">
        <v>1.0</v>
      </c>
      <c r="R319" s="23">
        <v>46119.0</v>
      </c>
      <c r="S319" s="23">
        <v>46125.0</v>
      </c>
      <c r="T319" s="23">
        <v>46125.0</v>
      </c>
      <c r="U319" s="55"/>
      <c r="V319" s="6" t="s">
        <v>44</v>
      </c>
      <c r="W319" s="55"/>
      <c r="X319" s="6" t="s">
        <v>45</v>
      </c>
      <c r="Y319" s="6" t="s">
        <v>46</v>
      </c>
      <c r="Z319" s="6">
        <v>3.040318231E9</v>
      </c>
      <c r="AA319" s="6" t="s">
        <v>304</v>
      </c>
      <c r="AB319" s="6" t="s">
        <v>306</v>
      </c>
      <c r="AC319" s="6" t="s">
        <v>1168</v>
      </c>
      <c r="AD319" s="55"/>
      <c r="AE319" s="55"/>
      <c r="AF319" s="55"/>
      <c r="AG319" s="55"/>
    </row>
    <row r="320">
      <c r="A320" s="21">
        <f>COUNTIF('Divulgação'!$B:$B,B320)</f>
        <v>1</v>
      </c>
      <c r="B320" s="21" t="s">
        <v>1804</v>
      </c>
      <c r="C320" s="55"/>
      <c r="D320" s="6" t="s">
        <v>39</v>
      </c>
      <c r="E320" s="6" t="s">
        <v>40</v>
      </c>
      <c r="F320" s="23">
        <v>46125.0</v>
      </c>
      <c r="G320" s="6" t="s">
        <v>41</v>
      </c>
      <c r="H320" s="23">
        <v>46125.0</v>
      </c>
      <c r="I320" s="21" t="s">
        <v>277</v>
      </c>
      <c r="J320" s="6">
        <v>95270.0</v>
      </c>
      <c r="K320" s="6" t="s">
        <v>944</v>
      </c>
      <c r="L320" s="6" t="s">
        <v>1805</v>
      </c>
      <c r="M320" s="55"/>
      <c r="N320" s="55"/>
      <c r="O320" s="55"/>
      <c r="P320" s="55"/>
      <c r="Q320" s="6">
        <v>1.0</v>
      </c>
      <c r="R320" s="23">
        <v>46119.0</v>
      </c>
      <c r="S320" s="23">
        <v>46125.0</v>
      </c>
      <c r="T320" s="23">
        <v>46125.0</v>
      </c>
      <c r="U320" s="55"/>
      <c r="V320" s="6" t="s">
        <v>44</v>
      </c>
      <c r="W320" s="55"/>
      <c r="X320" s="6" t="s">
        <v>45</v>
      </c>
      <c r="Y320" s="6" t="s">
        <v>46</v>
      </c>
      <c r="Z320" s="6">
        <v>3.04031823E9</v>
      </c>
      <c r="AA320" s="6" t="s">
        <v>304</v>
      </c>
      <c r="AB320" s="6" t="s">
        <v>306</v>
      </c>
      <c r="AC320" s="6" t="s">
        <v>1057</v>
      </c>
      <c r="AD320" s="55"/>
      <c r="AE320" s="55"/>
      <c r="AF320" s="55"/>
      <c r="AG320" s="55"/>
    </row>
    <row r="321">
      <c r="A321" s="21">
        <f>COUNTIF('Divulgação'!$B:$B,B321)</f>
        <v>1</v>
      </c>
      <c r="B321" s="21" t="s">
        <v>943</v>
      </c>
      <c r="C321" s="55"/>
      <c r="D321" s="6" t="s">
        <v>39</v>
      </c>
      <c r="E321" s="6" t="s">
        <v>40</v>
      </c>
      <c r="F321" s="23">
        <v>46125.0</v>
      </c>
      <c r="G321" s="6" t="s">
        <v>41</v>
      </c>
      <c r="H321" s="23">
        <v>46125.0</v>
      </c>
      <c r="I321" s="21" t="s">
        <v>277</v>
      </c>
      <c r="J321" s="6">
        <v>95270.0</v>
      </c>
      <c r="K321" s="6" t="s">
        <v>944</v>
      </c>
      <c r="L321" s="6">
        <v>1391.0</v>
      </c>
      <c r="M321" s="55"/>
      <c r="N321" s="55"/>
      <c r="O321" s="55"/>
      <c r="P321" s="55"/>
      <c r="Q321" s="6">
        <v>1.0</v>
      </c>
      <c r="R321" s="23">
        <v>46119.0</v>
      </c>
      <c r="S321" s="23">
        <v>46125.0</v>
      </c>
      <c r="T321" s="23">
        <v>46125.0</v>
      </c>
      <c r="U321" s="55"/>
      <c r="V321" s="6" t="s">
        <v>44</v>
      </c>
      <c r="W321" s="55"/>
      <c r="X321" s="6" t="s">
        <v>45</v>
      </c>
      <c r="Y321" s="6" t="s">
        <v>46</v>
      </c>
      <c r="Z321" s="6">
        <v>3.040316987E9</v>
      </c>
      <c r="AA321" s="6" t="s">
        <v>45</v>
      </c>
      <c r="AB321" s="6" t="s">
        <v>46</v>
      </c>
      <c r="AC321" s="6" t="s">
        <v>177</v>
      </c>
      <c r="AD321" s="55"/>
      <c r="AE321" s="55"/>
      <c r="AF321" s="55"/>
      <c r="AG321" s="55"/>
    </row>
    <row r="322">
      <c r="A322" s="21">
        <f>COUNTIF('Divulgação'!$B:$B,B322)</f>
        <v>1</v>
      </c>
      <c r="B322" s="21" t="s">
        <v>945</v>
      </c>
      <c r="C322" s="55"/>
      <c r="D322" s="6" t="s">
        <v>39</v>
      </c>
      <c r="E322" s="6" t="s">
        <v>40</v>
      </c>
      <c r="F322" s="23">
        <v>46125.0</v>
      </c>
      <c r="G322" s="6" t="s">
        <v>41</v>
      </c>
      <c r="H322" s="23">
        <v>46125.0</v>
      </c>
      <c r="I322" s="21" t="s">
        <v>556</v>
      </c>
      <c r="J322" s="6" t="s">
        <v>650</v>
      </c>
      <c r="K322" s="6" t="s">
        <v>946</v>
      </c>
      <c r="L322" s="6">
        <v>120315.0</v>
      </c>
      <c r="M322" s="55"/>
      <c r="N322" s="55"/>
      <c r="O322" s="55"/>
      <c r="P322" s="55"/>
      <c r="Q322" s="6">
        <v>1.0</v>
      </c>
      <c r="R322" s="23">
        <v>46121.0</v>
      </c>
      <c r="S322" s="23">
        <v>46127.0</v>
      </c>
      <c r="T322" s="23">
        <v>46125.0</v>
      </c>
      <c r="U322" s="55"/>
      <c r="V322" s="6" t="s">
        <v>44</v>
      </c>
      <c r="W322" s="55"/>
      <c r="X322" s="6" t="s">
        <v>45</v>
      </c>
      <c r="Y322" s="6" t="s">
        <v>46</v>
      </c>
      <c r="Z322" s="6">
        <v>3.040321931E9</v>
      </c>
      <c r="AA322" s="6" t="s">
        <v>45</v>
      </c>
      <c r="AB322" s="6" t="s">
        <v>203</v>
      </c>
      <c r="AC322" s="6" t="s">
        <v>947</v>
      </c>
      <c r="AD322" s="55"/>
      <c r="AE322" s="55"/>
      <c r="AF322" s="55"/>
      <c r="AG322" s="55"/>
    </row>
    <row r="323">
      <c r="A323" s="21">
        <f>COUNTIF('Divulgação'!$B:$B,B323)</f>
        <v>1</v>
      </c>
      <c r="B323" s="21" t="s">
        <v>948</v>
      </c>
      <c r="C323" s="55"/>
      <c r="D323" s="6" t="s">
        <v>39</v>
      </c>
      <c r="E323" s="6" t="s">
        <v>40</v>
      </c>
      <c r="F323" s="23">
        <v>46125.0</v>
      </c>
      <c r="G323" s="6" t="s">
        <v>41</v>
      </c>
      <c r="H323" s="23">
        <v>46125.0</v>
      </c>
      <c r="I323" s="21" t="s">
        <v>949</v>
      </c>
      <c r="J323" s="6" t="s">
        <v>156</v>
      </c>
      <c r="K323" s="6" t="s">
        <v>950</v>
      </c>
      <c r="L323" s="58" t="s">
        <v>951</v>
      </c>
      <c r="M323" s="55"/>
      <c r="N323" s="55"/>
      <c r="O323" s="55"/>
      <c r="P323" s="55"/>
      <c r="Q323" s="6">
        <v>1.0</v>
      </c>
      <c r="R323" s="23">
        <v>46120.0</v>
      </c>
      <c r="S323" s="23">
        <v>46126.0</v>
      </c>
      <c r="T323" s="23">
        <v>46125.0</v>
      </c>
      <c r="U323" s="55"/>
      <c r="V323" s="6" t="s">
        <v>44</v>
      </c>
      <c r="W323" s="55"/>
      <c r="X323" s="6" t="s">
        <v>45</v>
      </c>
      <c r="Y323" s="6" t="s">
        <v>46</v>
      </c>
      <c r="Z323" s="6">
        <v>3.040311759E9</v>
      </c>
      <c r="AA323" s="6" t="s">
        <v>63</v>
      </c>
      <c r="AB323" s="6" t="s">
        <v>241</v>
      </c>
      <c r="AC323" s="6" t="s">
        <v>583</v>
      </c>
      <c r="AD323" s="55"/>
      <c r="AE323" s="55"/>
      <c r="AF323" s="55"/>
      <c r="AG323" s="55"/>
    </row>
    <row r="324">
      <c r="A324" s="21">
        <f>COUNTIF('Divulgação'!$B:$B,B324)</f>
        <v>1</v>
      </c>
      <c r="B324" s="21" t="s">
        <v>952</v>
      </c>
      <c r="C324" s="55"/>
      <c r="D324" s="6" t="s">
        <v>39</v>
      </c>
      <c r="E324" s="6" t="s">
        <v>40</v>
      </c>
      <c r="F324" s="23">
        <v>46125.0</v>
      </c>
      <c r="G324" s="6" t="s">
        <v>41</v>
      </c>
      <c r="H324" s="23">
        <v>46125.0</v>
      </c>
      <c r="I324" s="21" t="s">
        <v>949</v>
      </c>
      <c r="J324" s="6" t="s">
        <v>156</v>
      </c>
      <c r="K324" s="6" t="s">
        <v>950</v>
      </c>
      <c r="L324" s="6">
        <v>535933.0</v>
      </c>
      <c r="M324" s="55"/>
      <c r="N324" s="55"/>
      <c r="O324" s="55"/>
      <c r="P324" s="55"/>
      <c r="Q324" s="6">
        <v>1.0</v>
      </c>
      <c r="R324" s="23">
        <v>46120.0</v>
      </c>
      <c r="S324" s="23">
        <v>46126.0</v>
      </c>
      <c r="T324" s="23">
        <v>46125.0</v>
      </c>
      <c r="U324" s="55"/>
      <c r="V324" s="6" t="s">
        <v>44</v>
      </c>
      <c r="W324" s="55"/>
      <c r="X324" s="6" t="s">
        <v>45</v>
      </c>
      <c r="Y324" s="6" t="s">
        <v>46</v>
      </c>
      <c r="Z324" s="6">
        <v>3.040313029E9</v>
      </c>
      <c r="AA324" s="6" t="s">
        <v>66</v>
      </c>
      <c r="AB324" s="6" t="s">
        <v>339</v>
      </c>
      <c r="AC324" s="6" t="s">
        <v>229</v>
      </c>
      <c r="AD324" s="55"/>
      <c r="AE324" s="55"/>
      <c r="AF324" s="55"/>
      <c r="AG324" s="55"/>
    </row>
    <row r="325">
      <c r="A325" s="21">
        <f>COUNTIF('Divulgação'!$B:$B,B325)</f>
        <v>1</v>
      </c>
      <c r="B325" s="21" t="s">
        <v>963</v>
      </c>
      <c r="C325" s="55"/>
      <c r="D325" s="6" t="s">
        <v>39</v>
      </c>
      <c r="E325" s="6" t="s">
        <v>40</v>
      </c>
      <c r="F325" s="23">
        <v>46125.0</v>
      </c>
      <c r="G325" s="6" t="s">
        <v>41</v>
      </c>
      <c r="H325" s="23">
        <v>46125.0</v>
      </c>
      <c r="I325" s="21" t="s">
        <v>949</v>
      </c>
      <c r="J325" s="6" t="s">
        <v>156</v>
      </c>
      <c r="K325" s="6" t="s">
        <v>950</v>
      </c>
      <c r="L325" s="6">
        <v>289029.0</v>
      </c>
      <c r="M325" s="55"/>
      <c r="N325" s="55"/>
      <c r="O325" s="55"/>
      <c r="P325" s="55"/>
      <c r="Q325" s="6">
        <v>1.0</v>
      </c>
      <c r="R325" s="23">
        <v>46120.0</v>
      </c>
      <c r="S325" s="23">
        <v>46126.0</v>
      </c>
      <c r="T325" s="23">
        <v>46125.0</v>
      </c>
      <c r="U325" s="55"/>
      <c r="V325" s="6" t="s">
        <v>44</v>
      </c>
      <c r="W325" s="55"/>
      <c r="X325" s="6" t="s">
        <v>45</v>
      </c>
      <c r="Y325" s="6" t="s">
        <v>46</v>
      </c>
      <c r="Z325" s="6">
        <v>3.04031362E9</v>
      </c>
      <c r="AA325" s="6" t="s">
        <v>64</v>
      </c>
      <c r="AB325" s="6" t="s">
        <v>588</v>
      </c>
      <c r="AC325" s="6" t="s">
        <v>589</v>
      </c>
      <c r="AD325" s="55"/>
      <c r="AE325" s="55"/>
      <c r="AF325" s="55"/>
      <c r="AG325" s="55"/>
    </row>
    <row r="326">
      <c r="A326" s="21">
        <f>COUNTIF('Divulgação'!$B:$B,B326)</f>
        <v>1</v>
      </c>
      <c r="B326" s="21" t="s">
        <v>962</v>
      </c>
      <c r="C326" s="55"/>
      <c r="D326" s="6" t="s">
        <v>39</v>
      </c>
      <c r="E326" s="6" t="s">
        <v>40</v>
      </c>
      <c r="F326" s="23">
        <v>46125.0</v>
      </c>
      <c r="G326" s="6" t="s">
        <v>41</v>
      </c>
      <c r="H326" s="23">
        <v>46125.0</v>
      </c>
      <c r="I326" s="21" t="s">
        <v>949</v>
      </c>
      <c r="J326" s="6" t="s">
        <v>156</v>
      </c>
      <c r="K326" s="6" t="s">
        <v>950</v>
      </c>
      <c r="L326" s="6">
        <v>3454.0</v>
      </c>
      <c r="M326" s="55"/>
      <c r="N326" s="55"/>
      <c r="O326" s="55"/>
      <c r="P326" s="55"/>
      <c r="Q326" s="6">
        <v>1.0</v>
      </c>
      <c r="R326" s="23">
        <v>46120.0</v>
      </c>
      <c r="S326" s="23">
        <v>46126.0</v>
      </c>
      <c r="T326" s="23">
        <v>46125.0</v>
      </c>
      <c r="U326" s="55"/>
      <c r="V326" s="6" t="s">
        <v>44</v>
      </c>
      <c r="W326" s="55"/>
      <c r="X326" s="6" t="s">
        <v>45</v>
      </c>
      <c r="Y326" s="6" t="s">
        <v>46</v>
      </c>
      <c r="Z326" s="6">
        <v>3.040318925E9</v>
      </c>
      <c r="AA326" s="6" t="s">
        <v>68</v>
      </c>
      <c r="AB326" s="6" t="s">
        <v>328</v>
      </c>
      <c r="AC326" s="6" t="s">
        <v>961</v>
      </c>
      <c r="AD326" s="55"/>
      <c r="AE326" s="55"/>
      <c r="AF326" s="55"/>
      <c r="AG326" s="55"/>
    </row>
    <row r="327">
      <c r="A327" s="21">
        <f>COUNTIF('Divulgação'!$B:$B,B327)</f>
        <v>1</v>
      </c>
      <c r="B327" s="21" t="s">
        <v>960</v>
      </c>
      <c r="C327" s="55"/>
      <c r="D327" s="6" t="s">
        <v>39</v>
      </c>
      <c r="E327" s="6" t="s">
        <v>40</v>
      </c>
      <c r="F327" s="23">
        <v>46125.0</v>
      </c>
      <c r="G327" s="6" t="s">
        <v>41</v>
      </c>
      <c r="H327" s="23">
        <v>46125.0</v>
      </c>
      <c r="I327" s="21" t="s">
        <v>949</v>
      </c>
      <c r="J327" s="6" t="s">
        <v>156</v>
      </c>
      <c r="K327" s="6" t="s">
        <v>950</v>
      </c>
      <c r="L327" s="6">
        <v>3493.0</v>
      </c>
      <c r="M327" s="55"/>
      <c r="N327" s="55"/>
      <c r="O327" s="55"/>
      <c r="P327" s="55"/>
      <c r="Q327" s="6">
        <v>1.0</v>
      </c>
      <c r="R327" s="23">
        <v>46120.0</v>
      </c>
      <c r="S327" s="23">
        <v>46126.0</v>
      </c>
      <c r="T327" s="23">
        <v>46125.0</v>
      </c>
      <c r="U327" s="55"/>
      <c r="V327" s="6" t="s">
        <v>44</v>
      </c>
      <c r="W327" s="55"/>
      <c r="X327" s="6" t="s">
        <v>45</v>
      </c>
      <c r="Y327" s="6" t="s">
        <v>46</v>
      </c>
      <c r="Z327" s="6">
        <v>3.040318926E9</v>
      </c>
      <c r="AA327" s="6" t="s">
        <v>68</v>
      </c>
      <c r="AB327" s="6" t="s">
        <v>328</v>
      </c>
      <c r="AC327" s="6" t="s">
        <v>961</v>
      </c>
      <c r="AD327" s="55"/>
      <c r="AE327" s="55"/>
      <c r="AF327" s="55"/>
      <c r="AG327" s="55"/>
    </row>
    <row r="328">
      <c r="A328" s="21">
        <f>COUNTIF('Divulgação'!$B:$B,B328)</f>
        <v>1</v>
      </c>
      <c r="B328" s="21" t="s">
        <v>958</v>
      </c>
      <c r="C328" s="55"/>
      <c r="D328" s="6" t="s">
        <v>39</v>
      </c>
      <c r="E328" s="6" t="s">
        <v>40</v>
      </c>
      <c r="F328" s="23">
        <v>46125.0</v>
      </c>
      <c r="G328" s="6" t="s">
        <v>41</v>
      </c>
      <c r="H328" s="23">
        <v>46125.0</v>
      </c>
      <c r="I328" s="21" t="s">
        <v>949</v>
      </c>
      <c r="J328" s="6" t="s">
        <v>156</v>
      </c>
      <c r="K328" s="6" t="s">
        <v>950</v>
      </c>
      <c r="L328" s="58" t="s">
        <v>951</v>
      </c>
      <c r="M328" s="55"/>
      <c r="N328" s="55"/>
      <c r="O328" s="55"/>
      <c r="P328" s="55"/>
      <c r="Q328" s="6">
        <v>1.0</v>
      </c>
      <c r="R328" s="23">
        <v>46120.0</v>
      </c>
      <c r="S328" s="23">
        <v>46163.0</v>
      </c>
      <c r="T328" s="23">
        <v>46125.0</v>
      </c>
      <c r="U328" s="55"/>
      <c r="V328" s="6" t="s">
        <v>44</v>
      </c>
      <c r="W328" s="55"/>
      <c r="X328" s="6" t="s">
        <v>45</v>
      </c>
      <c r="Y328" s="6" t="s">
        <v>46</v>
      </c>
      <c r="Z328" s="6">
        <v>3.040324257E9</v>
      </c>
      <c r="AA328" s="6" t="s">
        <v>57</v>
      </c>
      <c r="AB328" s="6" t="s">
        <v>367</v>
      </c>
      <c r="AC328" s="6" t="s">
        <v>957</v>
      </c>
      <c r="AD328" s="55"/>
      <c r="AE328" s="55"/>
      <c r="AF328" s="55"/>
      <c r="AG328" s="55"/>
    </row>
    <row r="329">
      <c r="A329" s="21">
        <f>COUNTIF('Divulgação'!$B:$B,B329)</f>
        <v>1</v>
      </c>
      <c r="B329" s="21" t="s">
        <v>955</v>
      </c>
      <c r="C329" s="55"/>
      <c r="D329" s="6" t="s">
        <v>39</v>
      </c>
      <c r="E329" s="6" t="s">
        <v>40</v>
      </c>
      <c r="F329" s="23">
        <v>46125.0</v>
      </c>
      <c r="G329" s="6" t="s">
        <v>41</v>
      </c>
      <c r="H329" s="23">
        <v>46125.0</v>
      </c>
      <c r="I329" s="21" t="s">
        <v>949</v>
      </c>
      <c r="J329" s="6" t="s">
        <v>156</v>
      </c>
      <c r="K329" s="6" t="s">
        <v>950</v>
      </c>
      <c r="L329" s="6">
        <v>3235.0</v>
      </c>
      <c r="M329" s="55"/>
      <c r="N329" s="55"/>
      <c r="O329" s="55"/>
      <c r="P329" s="55"/>
      <c r="Q329" s="6">
        <v>1.0</v>
      </c>
      <c r="R329" s="23">
        <v>46120.0</v>
      </c>
      <c r="S329" s="23">
        <v>46163.0</v>
      </c>
      <c r="T329" s="23">
        <v>46125.0</v>
      </c>
      <c r="U329" s="55"/>
      <c r="V329" s="6" t="s">
        <v>44</v>
      </c>
      <c r="W329" s="55"/>
      <c r="X329" s="6" t="s">
        <v>45</v>
      </c>
      <c r="Y329" s="6" t="s">
        <v>46</v>
      </c>
      <c r="Z329" s="6">
        <v>3.040324258E9</v>
      </c>
      <c r="AA329" s="6" t="s">
        <v>57</v>
      </c>
      <c r="AB329" s="6" t="s">
        <v>367</v>
      </c>
      <c r="AC329" s="6" t="s">
        <v>957</v>
      </c>
      <c r="AD329" s="55"/>
      <c r="AE329" s="55"/>
      <c r="AF329" s="55"/>
      <c r="AG329" s="55"/>
    </row>
    <row r="330">
      <c r="A330" s="21">
        <f>COUNTIF('Divulgação'!$B:$B,B330)</f>
        <v>1</v>
      </c>
      <c r="B330" s="21" t="s">
        <v>954</v>
      </c>
      <c r="C330" s="55"/>
      <c r="D330" s="6" t="s">
        <v>39</v>
      </c>
      <c r="E330" s="6" t="s">
        <v>40</v>
      </c>
      <c r="F330" s="23">
        <v>46125.0</v>
      </c>
      <c r="G330" s="6" t="s">
        <v>41</v>
      </c>
      <c r="H330" s="23">
        <v>46125.0</v>
      </c>
      <c r="I330" s="21" t="s">
        <v>949</v>
      </c>
      <c r="J330" s="6" t="s">
        <v>156</v>
      </c>
      <c r="K330" s="6" t="s">
        <v>950</v>
      </c>
      <c r="L330" s="6">
        <v>625052.0</v>
      </c>
      <c r="M330" s="55"/>
      <c r="N330" s="55"/>
      <c r="O330" s="55"/>
      <c r="P330" s="55"/>
      <c r="Q330" s="6">
        <v>1.0</v>
      </c>
      <c r="R330" s="23">
        <v>46120.0</v>
      </c>
      <c r="S330" s="23">
        <v>46126.0</v>
      </c>
      <c r="T330" s="23">
        <v>46125.0</v>
      </c>
      <c r="U330" s="55"/>
      <c r="V330" s="6" t="s">
        <v>44</v>
      </c>
      <c r="W330" s="55"/>
      <c r="X330" s="6" t="s">
        <v>45</v>
      </c>
      <c r="Y330" s="6" t="s">
        <v>46</v>
      </c>
      <c r="Z330" s="6">
        <v>3.040313459E9</v>
      </c>
      <c r="AA330" s="6" t="s">
        <v>45</v>
      </c>
      <c r="AB330" s="6" t="s">
        <v>46</v>
      </c>
      <c r="AC330" s="6" t="s">
        <v>177</v>
      </c>
      <c r="AD330" s="55"/>
      <c r="AE330" s="55"/>
      <c r="AF330" s="55"/>
      <c r="AG330" s="55"/>
    </row>
    <row r="331">
      <c r="A331" s="21">
        <f>COUNTIF('Divulgação'!$B:$B,B331)</f>
        <v>1</v>
      </c>
      <c r="B331" s="21" t="s">
        <v>953</v>
      </c>
      <c r="C331" s="55"/>
      <c r="D331" s="6" t="s">
        <v>39</v>
      </c>
      <c r="E331" s="6" t="s">
        <v>40</v>
      </c>
      <c r="F331" s="23">
        <v>46125.0</v>
      </c>
      <c r="G331" s="6" t="s">
        <v>41</v>
      </c>
      <c r="H331" s="23">
        <v>46125.0</v>
      </c>
      <c r="I331" s="21" t="s">
        <v>949</v>
      </c>
      <c r="J331" s="6" t="s">
        <v>156</v>
      </c>
      <c r="K331" s="6" t="s">
        <v>950</v>
      </c>
      <c r="L331" s="6">
        <v>614095.0</v>
      </c>
      <c r="M331" s="55"/>
      <c r="N331" s="55"/>
      <c r="O331" s="55"/>
      <c r="P331" s="55"/>
      <c r="Q331" s="6">
        <v>1.0</v>
      </c>
      <c r="R331" s="23">
        <v>46120.0</v>
      </c>
      <c r="S331" s="23">
        <v>46126.0</v>
      </c>
      <c r="T331" s="23">
        <v>46125.0</v>
      </c>
      <c r="U331" s="55"/>
      <c r="V331" s="6" t="s">
        <v>44</v>
      </c>
      <c r="W331" s="55"/>
      <c r="X331" s="6" t="s">
        <v>45</v>
      </c>
      <c r="Y331" s="6" t="s">
        <v>46</v>
      </c>
      <c r="Z331" s="6">
        <v>3.040313458E9</v>
      </c>
      <c r="AA331" s="6" t="s">
        <v>45</v>
      </c>
      <c r="AB331" s="6" t="s">
        <v>46</v>
      </c>
      <c r="AC331" s="6" t="s">
        <v>177</v>
      </c>
      <c r="AD331" s="55"/>
      <c r="AE331" s="55"/>
      <c r="AF331" s="55"/>
      <c r="AG331" s="55"/>
    </row>
    <row r="332">
      <c r="A332" s="21">
        <f>COUNTIF('Divulgação'!$B:$B,B332)</f>
        <v>1</v>
      </c>
      <c r="B332" s="21" t="s">
        <v>964</v>
      </c>
      <c r="C332" s="55"/>
      <c r="D332" s="6" t="s">
        <v>39</v>
      </c>
      <c r="E332" s="6" t="s">
        <v>40</v>
      </c>
      <c r="F332" s="23">
        <v>46125.0</v>
      </c>
      <c r="G332" s="6" t="s">
        <v>41</v>
      </c>
      <c r="H332" s="23">
        <v>46125.0</v>
      </c>
      <c r="I332" s="21" t="s">
        <v>965</v>
      </c>
      <c r="J332" s="6">
        <v>7213.0</v>
      </c>
      <c r="K332" s="6" t="s">
        <v>966</v>
      </c>
      <c r="L332" s="6" t="s">
        <v>967</v>
      </c>
      <c r="M332" s="55"/>
      <c r="N332" s="55"/>
      <c r="O332" s="55"/>
      <c r="P332" s="55"/>
      <c r="Q332" s="6">
        <v>1.0</v>
      </c>
      <c r="R332" s="23">
        <v>46120.0</v>
      </c>
      <c r="S332" s="23">
        <v>46126.0</v>
      </c>
      <c r="T332" s="23">
        <v>46125.0</v>
      </c>
      <c r="U332" s="55"/>
      <c r="V332" s="6" t="s">
        <v>44</v>
      </c>
      <c r="W332" s="55"/>
      <c r="X332" s="6" t="s">
        <v>45</v>
      </c>
      <c r="Y332" s="6" t="s">
        <v>46</v>
      </c>
      <c r="Z332" s="6">
        <v>3.040323388E9</v>
      </c>
      <c r="AA332" s="6" t="s">
        <v>45</v>
      </c>
      <c r="AB332" s="6" t="s">
        <v>46</v>
      </c>
      <c r="AC332" s="6" t="s">
        <v>177</v>
      </c>
      <c r="AD332" s="55"/>
      <c r="AE332" s="55"/>
      <c r="AF332" s="55"/>
      <c r="AG332" s="55"/>
    </row>
    <row r="333">
      <c r="A333" s="21">
        <f>COUNTIF('Divulgação'!$B:$B,B333)</f>
        <v>1</v>
      </c>
      <c r="B333" s="21" t="s">
        <v>968</v>
      </c>
      <c r="C333" s="55"/>
      <c r="D333" s="6" t="s">
        <v>39</v>
      </c>
      <c r="E333" s="6" t="s">
        <v>40</v>
      </c>
      <c r="F333" s="23">
        <v>46125.0</v>
      </c>
      <c r="G333" s="6" t="s">
        <v>41</v>
      </c>
      <c r="H333" s="23">
        <v>46125.0</v>
      </c>
      <c r="I333" s="21" t="s">
        <v>147</v>
      </c>
      <c r="J333" s="6">
        <v>13068.0</v>
      </c>
      <c r="K333" s="6" t="s">
        <v>148</v>
      </c>
      <c r="L333" s="6" t="s">
        <v>969</v>
      </c>
      <c r="M333" s="55"/>
      <c r="N333" s="55"/>
      <c r="O333" s="55"/>
      <c r="P333" s="55"/>
      <c r="Q333" s="6">
        <v>1.0</v>
      </c>
      <c r="R333" s="23">
        <v>46121.0</v>
      </c>
      <c r="S333" s="23">
        <v>46127.0</v>
      </c>
      <c r="T333" s="23">
        <v>46125.0</v>
      </c>
      <c r="U333" s="55"/>
      <c r="V333" s="6" t="s">
        <v>44</v>
      </c>
      <c r="W333" s="55"/>
      <c r="X333" s="6" t="s">
        <v>45</v>
      </c>
      <c r="Y333" s="6" t="s">
        <v>46</v>
      </c>
      <c r="Z333" s="6">
        <v>3.040315567E9</v>
      </c>
      <c r="AA333" s="6" t="s">
        <v>45</v>
      </c>
      <c r="AB333" s="6" t="s">
        <v>46</v>
      </c>
      <c r="AC333" s="6" t="s">
        <v>324</v>
      </c>
      <c r="AD333" s="55"/>
      <c r="AE333" s="55"/>
      <c r="AF333" s="55"/>
      <c r="AG333" s="55"/>
    </row>
    <row r="334">
      <c r="A334" s="21">
        <f>COUNTIF('Divulgação'!$B:$B,B334)</f>
        <v>1</v>
      </c>
      <c r="B334" s="21" t="s">
        <v>970</v>
      </c>
      <c r="C334" s="55"/>
      <c r="D334" s="6" t="s">
        <v>39</v>
      </c>
      <c r="E334" s="6" t="s">
        <v>40</v>
      </c>
      <c r="F334" s="23">
        <v>46125.0</v>
      </c>
      <c r="G334" s="6" t="s">
        <v>41</v>
      </c>
      <c r="H334" s="23">
        <v>46125.0</v>
      </c>
      <c r="I334" s="21" t="s">
        <v>658</v>
      </c>
      <c r="J334" s="6">
        <v>71379.0</v>
      </c>
      <c r="K334" s="6" t="s">
        <v>971</v>
      </c>
      <c r="L334" s="6">
        <v>197.0</v>
      </c>
      <c r="M334" s="55"/>
      <c r="N334" s="55"/>
      <c r="O334" s="55"/>
      <c r="P334" s="55"/>
      <c r="Q334" s="6">
        <v>1.0</v>
      </c>
      <c r="R334" s="23">
        <v>46121.0</v>
      </c>
      <c r="S334" s="23">
        <v>46127.0</v>
      </c>
      <c r="T334" s="23">
        <v>46125.0</v>
      </c>
      <c r="U334" s="55"/>
      <c r="V334" s="6" t="s">
        <v>44</v>
      </c>
      <c r="W334" s="55"/>
      <c r="X334" s="6" t="s">
        <v>45</v>
      </c>
      <c r="Y334" s="6" t="s">
        <v>46</v>
      </c>
      <c r="Z334" s="6">
        <v>3.040310038E9</v>
      </c>
      <c r="AA334" s="6" t="s">
        <v>63</v>
      </c>
      <c r="AB334" s="6" t="s">
        <v>72</v>
      </c>
      <c r="AC334" s="6" t="s">
        <v>355</v>
      </c>
      <c r="AD334" s="55"/>
      <c r="AE334" s="55"/>
      <c r="AF334" s="55"/>
      <c r="AG334" s="55"/>
    </row>
    <row r="335">
      <c r="A335" s="21">
        <f>COUNTIF('Divulgação'!$B:$B,B335)</f>
        <v>1</v>
      </c>
      <c r="B335" s="21" t="s">
        <v>972</v>
      </c>
      <c r="C335" s="55"/>
      <c r="D335" s="6" t="s">
        <v>39</v>
      </c>
      <c r="E335" s="6" t="s">
        <v>40</v>
      </c>
      <c r="F335" s="23">
        <v>46125.0</v>
      </c>
      <c r="G335" s="6" t="s">
        <v>41</v>
      </c>
      <c r="H335" s="23">
        <v>46125.0</v>
      </c>
      <c r="I335" s="21" t="s">
        <v>658</v>
      </c>
      <c r="J335" s="6">
        <v>71379.0</v>
      </c>
      <c r="K335" s="6" t="s">
        <v>971</v>
      </c>
      <c r="L335" s="6">
        <v>1378.0</v>
      </c>
      <c r="M335" s="55"/>
      <c r="N335" s="55"/>
      <c r="O335" s="55"/>
      <c r="P335" s="55"/>
      <c r="Q335" s="6">
        <v>1.0</v>
      </c>
      <c r="R335" s="23">
        <v>46121.0</v>
      </c>
      <c r="S335" s="23">
        <v>46127.0</v>
      </c>
      <c r="T335" s="23">
        <v>46125.0</v>
      </c>
      <c r="U335" s="55"/>
      <c r="V335" s="6" t="s">
        <v>44</v>
      </c>
      <c r="W335" s="55"/>
      <c r="X335" s="6" t="s">
        <v>45</v>
      </c>
      <c r="Y335" s="6" t="s">
        <v>46</v>
      </c>
      <c r="Z335" s="6">
        <v>3.040311325E9</v>
      </c>
      <c r="AA335" s="6" t="s">
        <v>64</v>
      </c>
      <c r="AB335" s="6" t="s">
        <v>399</v>
      </c>
      <c r="AC335" s="6" t="s">
        <v>400</v>
      </c>
      <c r="AD335" s="55"/>
      <c r="AE335" s="55"/>
      <c r="AF335" s="55"/>
      <c r="AG335" s="55"/>
    </row>
    <row r="336">
      <c r="A336" s="21">
        <f>COUNTIF('Divulgação'!$B:$B,B336)</f>
        <v>1</v>
      </c>
      <c r="B336" s="21" t="s">
        <v>1820</v>
      </c>
      <c r="C336" s="55"/>
      <c r="D336" s="6" t="s">
        <v>39</v>
      </c>
      <c r="E336" s="6" t="s">
        <v>40</v>
      </c>
      <c r="F336" s="23">
        <v>46127.0</v>
      </c>
      <c r="G336" s="6" t="s">
        <v>41</v>
      </c>
      <c r="H336" s="23">
        <v>46127.0</v>
      </c>
      <c r="I336" s="21" t="s">
        <v>326</v>
      </c>
      <c r="J336" s="6" t="s">
        <v>156</v>
      </c>
      <c r="K336" s="6" t="s">
        <v>327</v>
      </c>
      <c r="L336" s="6" t="s">
        <v>1821</v>
      </c>
      <c r="M336" s="55"/>
      <c r="N336" s="55"/>
      <c r="O336" s="55"/>
      <c r="P336" s="55"/>
      <c r="Q336" s="6">
        <v>1.0</v>
      </c>
      <c r="R336" s="23">
        <v>45962.0</v>
      </c>
      <c r="S336" s="23">
        <v>46023.0</v>
      </c>
      <c r="T336" s="23">
        <v>46127.0</v>
      </c>
      <c r="U336" s="55"/>
      <c r="V336" s="6" t="s">
        <v>44</v>
      </c>
      <c r="W336" s="55"/>
      <c r="X336" s="6" t="s">
        <v>45</v>
      </c>
      <c r="Y336" s="6" t="s">
        <v>46</v>
      </c>
      <c r="Z336" s="6">
        <v>3.040310634E9</v>
      </c>
      <c r="AA336" s="6" t="s">
        <v>143</v>
      </c>
      <c r="AB336" s="6" t="s">
        <v>316</v>
      </c>
      <c r="AC336" s="6" t="s">
        <v>1995</v>
      </c>
      <c r="AD336" s="55"/>
      <c r="AE336" s="55"/>
      <c r="AF336" s="55"/>
      <c r="AG336" s="55"/>
    </row>
    <row r="337">
      <c r="A337" s="21">
        <f>COUNTIF('Divulgação'!$B:$B,B337)</f>
        <v>1</v>
      </c>
      <c r="B337" s="21" t="s">
        <v>973</v>
      </c>
      <c r="C337" s="55"/>
      <c r="D337" s="6" t="s">
        <v>39</v>
      </c>
      <c r="E337" s="6" t="s">
        <v>40</v>
      </c>
      <c r="F337" s="23">
        <v>46127.0</v>
      </c>
      <c r="G337" s="6" t="s">
        <v>41</v>
      </c>
      <c r="H337" s="23">
        <v>46127.0</v>
      </c>
      <c r="I337" s="21" t="s">
        <v>326</v>
      </c>
      <c r="J337" s="6" t="s">
        <v>156</v>
      </c>
      <c r="K337" s="6" t="s">
        <v>327</v>
      </c>
      <c r="L337" s="6" t="s">
        <v>974</v>
      </c>
      <c r="M337" s="55"/>
      <c r="N337" s="55"/>
      <c r="O337" s="55"/>
      <c r="P337" s="55"/>
      <c r="Q337" s="6">
        <v>1.0</v>
      </c>
      <c r="R337" s="23">
        <v>45962.0</v>
      </c>
      <c r="S337" s="23">
        <v>46023.0</v>
      </c>
      <c r="T337" s="23">
        <v>46127.0</v>
      </c>
      <c r="U337" s="55"/>
      <c r="V337" s="6" t="s">
        <v>44</v>
      </c>
      <c r="W337" s="55"/>
      <c r="X337" s="6" t="s">
        <v>45</v>
      </c>
      <c r="Y337" s="6" t="s">
        <v>46</v>
      </c>
      <c r="Z337" s="6">
        <v>3.04031346E9</v>
      </c>
      <c r="AA337" s="6" t="s">
        <v>45</v>
      </c>
      <c r="AB337" s="6" t="s">
        <v>46</v>
      </c>
      <c r="AC337" s="6" t="s">
        <v>177</v>
      </c>
      <c r="AD337" s="55"/>
      <c r="AE337" s="55"/>
      <c r="AF337" s="55"/>
      <c r="AG337" s="55"/>
    </row>
    <row r="338">
      <c r="A338" s="21">
        <f>COUNTIF('Divulgação'!$B:$B,B338)</f>
        <v>1</v>
      </c>
      <c r="B338" s="21" t="s">
        <v>1822</v>
      </c>
      <c r="C338" s="55"/>
      <c r="D338" s="6" t="s">
        <v>39</v>
      </c>
      <c r="E338" s="6" t="s">
        <v>40</v>
      </c>
      <c r="F338" s="23">
        <v>46127.0</v>
      </c>
      <c r="G338" s="6" t="s">
        <v>41</v>
      </c>
      <c r="H338" s="23">
        <v>46127.0</v>
      </c>
      <c r="I338" s="21" t="s">
        <v>326</v>
      </c>
      <c r="J338" s="6" t="s">
        <v>156</v>
      </c>
      <c r="K338" s="6" t="s">
        <v>327</v>
      </c>
      <c r="L338" s="6" t="s">
        <v>1823</v>
      </c>
      <c r="M338" s="55"/>
      <c r="N338" s="55"/>
      <c r="O338" s="55"/>
      <c r="P338" s="55"/>
      <c r="Q338" s="6">
        <v>1.0</v>
      </c>
      <c r="R338" s="23">
        <v>45962.0</v>
      </c>
      <c r="S338" s="23">
        <v>46023.0</v>
      </c>
      <c r="T338" s="23">
        <v>46127.0</v>
      </c>
      <c r="U338" s="55"/>
      <c r="V338" s="6" t="s">
        <v>44</v>
      </c>
      <c r="W338" s="55"/>
      <c r="X338" s="6" t="s">
        <v>45</v>
      </c>
      <c r="Y338" s="6" t="s">
        <v>46</v>
      </c>
      <c r="Z338" s="6">
        <v>3.040318057E9</v>
      </c>
      <c r="AA338" s="6" t="s">
        <v>64</v>
      </c>
      <c r="AB338" s="6" t="s">
        <v>588</v>
      </c>
      <c r="AC338" s="6" t="s">
        <v>589</v>
      </c>
      <c r="AD338" s="55"/>
      <c r="AE338" s="55"/>
      <c r="AF338" s="55"/>
      <c r="AG338" s="55"/>
    </row>
    <row r="339">
      <c r="A339" s="21">
        <f>COUNTIF('Divulgação'!$B:$B,B339)</f>
        <v>1</v>
      </c>
      <c r="B339" s="21" t="s">
        <v>975</v>
      </c>
      <c r="C339" s="55"/>
      <c r="D339" s="6" t="s">
        <v>39</v>
      </c>
      <c r="E339" s="6" t="s">
        <v>40</v>
      </c>
      <c r="F339" s="23">
        <v>46127.0</v>
      </c>
      <c r="G339" s="6" t="s">
        <v>41</v>
      </c>
      <c r="H339" s="23">
        <v>46127.0</v>
      </c>
      <c r="I339" s="21" t="s">
        <v>326</v>
      </c>
      <c r="J339" s="6" t="s">
        <v>156</v>
      </c>
      <c r="K339" s="6" t="s">
        <v>327</v>
      </c>
      <c r="L339" s="6" t="s">
        <v>976</v>
      </c>
      <c r="M339" s="55"/>
      <c r="N339" s="55"/>
      <c r="O339" s="55"/>
      <c r="P339" s="55"/>
      <c r="Q339" s="6">
        <v>1.0</v>
      </c>
      <c r="R339" s="23">
        <v>46023.0</v>
      </c>
      <c r="S339" s="23">
        <v>46082.0</v>
      </c>
      <c r="T339" s="23">
        <v>46127.0</v>
      </c>
      <c r="U339" s="55"/>
      <c r="V339" s="6" t="s">
        <v>44</v>
      </c>
      <c r="W339" s="55"/>
      <c r="X339" s="6" t="s">
        <v>45</v>
      </c>
      <c r="Y339" s="6" t="s">
        <v>46</v>
      </c>
      <c r="Z339" s="6">
        <v>3.040324264E9</v>
      </c>
      <c r="AA339" s="6" t="s">
        <v>60</v>
      </c>
      <c r="AB339" s="6" t="s">
        <v>367</v>
      </c>
      <c r="AC339" s="6" t="s">
        <v>977</v>
      </c>
      <c r="AD339" s="55"/>
      <c r="AE339" s="55"/>
      <c r="AF339" s="55"/>
      <c r="AG339" s="55"/>
    </row>
    <row r="340">
      <c r="A340" s="21">
        <f>COUNTIF('Divulgação'!$B:$B,B340)</f>
        <v>1</v>
      </c>
      <c r="B340" s="21" t="s">
        <v>2008</v>
      </c>
      <c r="C340" s="55"/>
      <c r="D340" s="6" t="s">
        <v>39</v>
      </c>
      <c r="E340" s="6" t="s">
        <v>40</v>
      </c>
      <c r="F340" s="23">
        <v>46129.0</v>
      </c>
      <c r="G340" s="6" t="s">
        <v>41</v>
      </c>
      <c r="H340" s="23">
        <v>46129.0</v>
      </c>
      <c r="I340" s="21" t="s">
        <v>84</v>
      </c>
      <c r="J340" s="6">
        <v>18560.0</v>
      </c>
      <c r="K340" s="6" t="s">
        <v>2010</v>
      </c>
      <c r="L340" s="6">
        <v>6291.0</v>
      </c>
      <c r="M340" s="55"/>
      <c r="N340" s="55"/>
      <c r="O340" s="55"/>
      <c r="P340" s="55"/>
      <c r="Q340" s="6">
        <v>1.0</v>
      </c>
      <c r="R340" s="23">
        <v>46129.0</v>
      </c>
      <c r="S340" s="23">
        <v>46136.0</v>
      </c>
      <c r="T340" s="23">
        <v>46129.0</v>
      </c>
      <c r="U340" s="55"/>
      <c r="V340" s="6" t="s">
        <v>44</v>
      </c>
      <c r="W340" s="55"/>
      <c r="X340" s="6" t="s">
        <v>45</v>
      </c>
      <c r="Y340" s="6" t="s">
        <v>46</v>
      </c>
      <c r="Z340" s="6">
        <v>3.040325891E9</v>
      </c>
      <c r="AA340" s="6" t="s">
        <v>60</v>
      </c>
      <c r="AB340" s="6" t="s">
        <v>194</v>
      </c>
      <c r="AC340" s="6" t="s">
        <v>616</v>
      </c>
      <c r="AD340" s="55"/>
      <c r="AE340" s="55"/>
      <c r="AF340" s="55"/>
      <c r="AG340" s="55"/>
    </row>
    <row r="341">
      <c r="A341" s="21">
        <f>COUNTIF('Divulgação'!$B:$B,B341)</f>
        <v>1</v>
      </c>
      <c r="B341" s="62" t="s">
        <v>978</v>
      </c>
      <c r="C341" s="55"/>
      <c r="D341" s="6" t="s">
        <v>39</v>
      </c>
      <c r="E341" s="6" t="s">
        <v>40</v>
      </c>
      <c r="F341" s="63" t="s">
        <v>2012</v>
      </c>
      <c r="G341" s="6" t="s">
        <v>41</v>
      </c>
      <c r="H341" s="63" t="s">
        <v>2012</v>
      </c>
      <c r="I341" s="21" t="s">
        <v>440</v>
      </c>
      <c r="J341" s="6" t="s">
        <v>156</v>
      </c>
      <c r="K341" s="6" t="s">
        <v>441</v>
      </c>
      <c r="L341" s="63" t="s">
        <v>2013</v>
      </c>
      <c r="M341" s="55"/>
      <c r="N341" s="55"/>
      <c r="O341" s="55"/>
      <c r="P341" s="55"/>
      <c r="Q341" s="63" t="s">
        <v>140</v>
      </c>
      <c r="R341" s="63" t="s">
        <v>2014</v>
      </c>
      <c r="S341" s="63" t="s">
        <v>2015</v>
      </c>
      <c r="T341" s="63" t="s">
        <v>2012</v>
      </c>
      <c r="U341" s="55"/>
      <c r="V341" s="6" t="s">
        <v>44</v>
      </c>
      <c r="W341" s="55"/>
      <c r="X341" s="6" t="s">
        <v>45</v>
      </c>
      <c r="Y341" s="6" t="s">
        <v>46</v>
      </c>
      <c r="Z341" s="63" t="s">
        <v>2016</v>
      </c>
      <c r="AA341" s="6" t="s">
        <v>45</v>
      </c>
      <c r="AB341" s="6" t="s">
        <v>306</v>
      </c>
      <c r="AC341" s="6" t="s">
        <v>979</v>
      </c>
      <c r="AD341" s="55"/>
      <c r="AE341" s="55"/>
      <c r="AF341" s="55"/>
      <c r="AG341" s="55"/>
    </row>
    <row r="342">
      <c r="A342" s="21">
        <f>COUNTIF('Divulgação'!$B:$B,B342)</f>
        <v>1</v>
      </c>
      <c r="B342" s="62" t="s">
        <v>980</v>
      </c>
      <c r="C342" s="55"/>
      <c r="D342" s="6" t="s">
        <v>39</v>
      </c>
      <c r="E342" s="6" t="s">
        <v>40</v>
      </c>
      <c r="F342" s="63" t="s">
        <v>2012</v>
      </c>
      <c r="G342" s="6" t="s">
        <v>41</v>
      </c>
      <c r="H342" s="63" t="s">
        <v>2012</v>
      </c>
      <c r="I342" s="21" t="s">
        <v>440</v>
      </c>
      <c r="J342" s="6" t="s">
        <v>156</v>
      </c>
      <c r="K342" s="6" t="s">
        <v>441</v>
      </c>
      <c r="L342" s="63" t="s">
        <v>2020</v>
      </c>
      <c r="M342" s="55"/>
      <c r="N342" s="55"/>
      <c r="O342" s="55"/>
      <c r="P342" s="55"/>
      <c r="Q342" s="63" t="s">
        <v>140</v>
      </c>
      <c r="R342" s="63" t="s">
        <v>2014</v>
      </c>
      <c r="S342" s="63" t="s">
        <v>2015</v>
      </c>
      <c r="T342" s="63" t="s">
        <v>2012</v>
      </c>
      <c r="U342" s="55"/>
      <c r="V342" s="6" t="s">
        <v>44</v>
      </c>
      <c r="W342" s="55"/>
      <c r="X342" s="6" t="s">
        <v>45</v>
      </c>
      <c r="Y342" s="6" t="s">
        <v>46</v>
      </c>
      <c r="Z342" s="63" t="s">
        <v>2021</v>
      </c>
      <c r="AA342" s="6" t="s">
        <v>981</v>
      </c>
      <c r="AB342" s="6" t="s">
        <v>982</v>
      </c>
      <c r="AC342" s="6" t="s">
        <v>162</v>
      </c>
      <c r="AD342" s="55"/>
      <c r="AE342" s="55"/>
      <c r="AF342" s="55"/>
      <c r="AG342" s="55"/>
    </row>
    <row r="343">
      <c r="A343" s="21">
        <f>COUNTIF('Divulgação'!$B:$B,B343)</f>
        <v>1</v>
      </c>
      <c r="B343" s="62" t="s">
        <v>985</v>
      </c>
      <c r="C343" s="55"/>
      <c r="D343" s="6" t="s">
        <v>39</v>
      </c>
      <c r="E343" s="6" t="s">
        <v>40</v>
      </c>
      <c r="F343" s="63" t="s">
        <v>2012</v>
      </c>
      <c r="G343" s="6" t="s">
        <v>41</v>
      </c>
      <c r="H343" s="63" t="s">
        <v>2012</v>
      </c>
      <c r="I343" s="21" t="s">
        <v>986</v>
      </c>
      <c r="J343" s="63" t="s">
        <v>1387</v>
      </c>
      <c r="K343" s="6" t="s">
        <v>987</v>
      </c>
      <c r="L343" s="63" t="s">
        <v>2023</v>
      </c>
      <c r="M343" s="55"/>
      <c r="N343" s="55"/>
      <c r="O343" s="55"/>
      <c r="P343" s="55"/>
      <c r="Q343" s="63" t="s">
        <v>140</v>
      </c>
      <c r="R343" s="63" t="s">
        <v>2014</v>
      </c>
      <c r="S343" s="63" t="s">
        <v>2015</v>
      </c>
      <c r="T343" s="63" t="s">
        <v>2012</v>
      </c>
      <c r="U343" s="55"/>
      <c r="V343" s="6" t="s">
        <v>44</v>
      </c>
      <c r="W343" s="55"/>
      <c r="X343" s="6" t="s">
        <v>45</v>
      </c>
      <c r="Y343" s="6" t="s">
        <v>46</v>
      </c>
      <c r="Z343" s="63" t="s">
        <v>2025</v>
      </c>
      <c r="AA343" s="6" t="s">
        <v>45</v>
      </c>
      <c r="AB343" s="6" t="s">
        <v>46</v>
      </c>
      <c r="AC343" s="6" t="s">
        <v>177</v>
      </c>
      <c r="AD343" s="55"/>
      <c r="AE343" s="55"/>
      <c r="AF343" s="55"/>
      <c r="AG343" s="55"/>
    </row>
    <row r="344">
      <c r="A344" s="21">
        <f>COUNTIF('Divulgação'!$B:$B,B344)</f>
        <v>1</v>
      </c>
      <c r="B344" s="62" t="s">
        <v>992</v>
      </c>
      <c r="C344" s="55"/>
      <c r="D344" s="6" t="s">
        <v>39</v>
      </c>
      <c r="E344" s="6" t="s">
        <v>40</v>
      </c>
      <c r="F344" s="63" t="s">
        <v>2012</v>
      </c>
      <c r="G344" s="6" t="s">
        <v>41</v>
      </c>
      <c r="H344" s="63" t="s">
        <v>2012</v>
      </c>
      <c r="I344" s="21" t="s">
        <v>291</v>
      </c>
      <c r="J344" s="6" t="s">
        <v>156</v>
      </c>
      <c r="K344" s="6" t="s">
        <v>292</v>
      </c>
      <c r="L344" s="6" t="s">
        <v>993</v>
      </c>
      <c r="M344" s="55"/>
      <c r="N344" s="55"/>
      <c r="O344" s="55"/>
      <c r="P344" s="55"/>
      <c r="Q344" s="63" t="s">
        <v>140</v>
      </c>
      <c r="R344" s="63" t="s">
        <v>2014</v>
      </c>
      <c r="S344" s="63" t="s">
        <v>2015</v>
      </c>
      <c r="T344" s="63" t="s">
        <v>2012</v>
      </c>
      <c r="U344" s="55"/>
      <c r="V344" s="6" t="s">
        <v>44</v>
      </c>
      <c r="W344" s="55"/>
      <c r="X344" s="6" t="s">
        <v>45</v>
      </c>
      <c r="Y344" s="6" t="s">
        <v>46</v>
      </c>
      <c r="Z344" s="63" t="s">
        <v>2028</v>
      </c>
      <c r="AA344" s="6" t="s">
        <v>57</v>
      </c>
      <c r="AB344" s="6" t="s">
        <v>410</v>
      </c>
      <c r="AC344" s="6" t="s">
        <v>994</v>
      </c>
      <c r="AD344" s="55"/>
      <c r="AE344" s="55"/>
      <c r="AF344" s="55"/>
      <c r="AG344" s="55"/>
    </row>
    <row r="345">
      <c r="A345" s="21">
        <f>COUNTIF('Divulgação'!$B:$B,B345)</f>
        <v>1</v>
      </c>
      <c r="B345" s="62" t="s">
        <v>989</v>
      </c>
      <c r="C345" s="55"/>
      <c r="D345" s="6" t="s">
        <v>39</v>
      </c>
      <c r="E345" s="6" t="s">
        <v>40</v>
      </c>
      <c r="F345" s="63" t="s">
        <v>2012</v>
      </c>
      <c r="G345" s="6" t="s">
        <v>41</v>
      </c>
      <c r="H345" s="63" t="s">
        <v>2012</v>
      </c>
      <c r="I345" s="21" t="s">
        <v>291</v>
      </c>
      <c r="J345" s="6" t="s">
        <v>156</v>
      </c>
      <c r="K345" s="6" t="s">
        <v>292</v>
      </c>
      <c r="L345" s="6" t="s">
        <v>990</v>
      </c>
      <c r="M345" s="55"/>
      <c r="N345" s="55"/>
      <c r="O345" s="55"/>
      <c r="P345" s="55"/>
      <c r="Q345" s="63" t="s">
        <v>140</v>
      </c>
      <c r="R345" s="63" t="s">
        <v>2014</v>
      </c>
      <c r="S345" s="63" t="s">
        <v>2030</v>
      </c>
      <c r="T345" s="63" t="s">
        <v>2012</v>
      </c>
      <c r="U345" s="55"/>
      <c r="V345" s="6" t="s">
        <v>44</v>
      </c>
      <c r="W345" s="55"/>
      <c r="X345" s="6" t="s">
        <v>45</v>
      </c>
      <c r="Y345" s="6" t="s">
        <v>46</v>
      </c>
      <c r="Z345" s="63" t="s">
        <v>2031</v>
      </c>
      <c r="AA345" s="6" t="s">
        <v>304</v>
      </c>
      <c r="AB345" s="6" t="s">
        <v>306</v>
      </c>
      <c r="AC345" s="6" t="s">
        <v>991</v>
      </c>
      <c r="AD345" s="55"/>
      <c r="AE345" s="55"/>
      <c r="AF345" s="55"/>
      <c r="AG345" s="55"/>
    </row>
    <row r="346">
      <c r="A346" s="21">
        <f>COUNTIF('Divulgação'!$B:$B,B346)</f>
        <v>1</v>
      </c>
      <c r="B346" s="62" t="s">
        <v>988</v>
      </c>
      <c r="C346" s="55"/>
      <c r="D346" s="6" t="s">
        <v>39</v>
      </c>
      <c r="E346" s="6" t="s">
        <v>40</v>
      </c>
      <c r="F346" s="63" t="s">
        <v>2012</v>
      </c>
      <c r="G346" s="6" t="s">
        <v>41</v>
      </c>
      <c r="H346" s="63" t="s">
        <v>2012</v>
      </c>
      <c r="I346" s="21" t="s">
        <v>199</v>
      </c>
      <c r="J346" s="63" t="s">
        <v>1387</v>
      </c>
      <c r="K346" s="6" t="s">
        <v>200</v>
      </c>
      <c r="L346" s="63" t="s">
        <v>2035</v>
      </c>
      <c r="M346" s="55"/>
      <c r="N346" s="55"/>
      <c r="O346" s="55"/>
      <c r="P346" s="55"/>
      <c r="Q346" s="63" t="s">
        <v>140</v>
      </c>
      <c r="R346" s="63" t="s">
        <v>2014</v>
      </c>
      <c r="S346" s="63" t="s">
        <v>2015</v>
      </c>
      <c r="T346" s="63" t="s">
        <v>2012</v>
      </c>
      <c r="U346" s="55"/>
      <c r="V346" s="6" t="s">
        <v>103</v>
      </c>
      <c r="W346" s="63" t="s">
        <v>2037</v>
      </c>
      <c r="X346" s="6" t="s">
        <v>45</v>
      </c>
      <c r="Y346" s="6" t="s">
        <v>46</v>
      </c>
      <c r="Z346" s="63" t="s">
        <v>2038</v>
      </c>
      <c r="AA346" s="6" t="s">
        <v>75</v>
      </c>
      <c r="AB346" s="6" t="s">
        <v>152</v>
      </c>
      <c r="AC346" s="6" t="s">
        <v>153</v>
      </c>
      <c r="AD346" s="55"/>
      <c r="AE346" s="55"/>
      <c r="AF346" s="55"/>
      <c r="AG346" s="55"/>
    </row>
    <row r="347">
      <c r="A347" s="21">
        <f>COUNTIF('Divulgação'!$B:$B,B347)</f>
        <v>1</v>
      </c>
      <c r="B347" s="62" t="s">
        <v>983</v>
      </c>
      <c r="C347" s="55"/>
      <c r="D347" s="6" t="s">
        <v>39</v>
      </c>
      <c r="E347" s="6" t="s">
        <v>40</v>
      </c>
      <c r="F347" s="63" t="s">
        <v>2012</v>
      </c>
      <c r="G347" s="6" t="s">
        <v>41</v>
      </c>
      <c r="H347" s="63" t="s">
        <v>2012</v>
      </c>
      <c r="I347" s="21" t="s">
        <v>313</v>
      </c>
      <c r="J347" s="63" t="s">
        <v>1387</v>
      </c>
      <c r="K347" s="6" t="s">
        <v>890</v>
      </c>
      <c r="L347" s="63" t="s">
        <v>2040</v>
      </c>
      <c r="M347" s="55"/>
      <c r="N347" s="55"/>
      <c r="O347" s="55"/>
      <c r="P347" s="55"/>
      <c r="Q347" s="63" t="s">
        <v>140</v>
      </c>
      <c r="R347" s="63" t="s">
        <v>2041</v>
      </c>
      <c r="S347" s="63" t="s">
        <v>2042</v>
      </c>
      <c r="T347" s="63" t="s">
        <v>2012</v>
      </c>
      <c r="U347" s="55"/>
      <c r="V347" s="6" t="s">
        <v>44</v>
      </c>
      <c r="W347" s="55"/>
      <c r="X347" s="6" t="s">
        <v>45</v>
      </c>
      <c r="Y347" s="6" t="s">
        <v>46</v>
      </c>
      <c r="Z347" s="63" t="s">
        <v>2043</v>
      </c>
      <c r="AA347" s="6" t="s">
        <v>60</v>
      </c>
      <c r="AB347" s="6" t="s">
        <v>194</v>
      </c>
      <c r="AC347" s="6" t="s">
        <v>558</v>
      </c>
      <c r="AD347" s="55"/>
      <c r="AE347" s="55"/>
      <c r="AF347" s="55"/>
      <c r="AG347" s="55"/>
    </row>
    <row r="348">
      <c r="A348" s="21">
        <f>COUNTIF('Divulgação'!$B:$B,B348)</f>
        <v>1</v>
      </c>
      <c r="B348" s="62" t="s">
        <v>997</v>
      </c>
      <c r="C348" s="55"/>
      <c r="D348" s="6" t="s">
        <v>39</v>
      </c>
      <c r="E348" s="6" t="s">
        <v>40</v>
      </c>
      <c r="F348" s="63" t="s">
        <v>2012</v>
      </c>
      <c r="G348" s="6" t="s">
        <v>41</v>
      </c>
      <c r="H348" s="63" t="s">
        <v>2012</v>
      </c>
      <c r="I348" s="21" t="s">
        <v>199</v>
      </c>
      <c r="J348" s="63" t="s">
        <v>1387</v>
      </c>
      <c r="K348" s="6" t="s">
        <v>200</v>
      </c>
      <c r="L348" s="63" t="s">
        <v>2045</v>
      </c>
      <c r="M348" s="55"/>
      <c r="N348" s="55"/>
      <c r="O348" s="55"/>
      <c r="P348" s="55"/>
      <c r="Q348" s="63" t="s">
        <v>140</v>
      </c>
      <c r="R348" s="63" t="s">
        <v>2014</v>
      </c>
      <c r="S348" s="63" t="s">
        <v>2015</v>
      </c>
      <c r="T348" s="63" t="s">
        <v>2012</v>
      </c>
      <c r="U348" s="55"/>
      <c r="V348" s="6" t="s">
        <v>44</v>
      </c>
      <c r="W348" s="55"/>
      <c r="X348" s="6" t="s">
        <v>45</v>
      </c>
      <c r="Y348" s="6" t="s">
        <v>46</v>
      </c>
      <c r="Z348" s="63" t="s">
        <v>2047</v>
      </c>
      <c r="AA348" s="6" t="s">
        <v>304</v>
      </c>
      <c r="AB348" s="6" t="s">
        <v>306</v>
      </c>
      <c r="AC348" s="6" t="s">
        <v>296</v>
      </c>
      <c r="AD348" s="55"/>
      <c r="AE348" s="55"/>
      <c r="AF348" s="55"/>
      <c r="AG348" s="55"/>
    </row>
    <row r="349">
      <c r="A349" s="21">
        <f>COUNTIF('Divulgação'!$B:$B,B349)</f>
        <v>1</v>
      </c>
      <c r="B349" s="62" t="s">
        <v>998</v>
      </c>
      <c r="C349" s="55"/>
      <c r="D349" s="6" t="s">
        <v>39</v>
      </c>
      <c r="E349" s="6" t="s">
        <v>40</v>
      </c>
      <c r="F349" s="63" t="s">
        <v>2012</v>
      </c>
      <c r="G349" s="6" t="s">
        <v>41</v>
      </c>
      <c r="H349" s="63" t="s">
        <v>2012</v>
      </c>
      <c r="I349" s="21" t="s">
        <v>199</v>
      </c>
      <c r="J349" s="63" t="s">
        <v>1387</v>
      </c>
      <c r="K349" s="6" t="s">
        <v>200</v>
      </c>
      <c r="L349" s="63" t="s">
        <v>2048</v>
      </c>
      <c r="M349" s="55"/>
      <c r="N349" s="55"/>
      <c r="O349" s="55"/>
      <c r="P349" s="55"/>
      <c r="Q349" s="63" t="s">
        <v>140</v>
      </c>
      <c r="R349" s="63" t="s">
        <v>2014</v>
      </c>
      <c r="S349" s="63" t="s">
        <v>2015</v>
      </c>
      <c r="T349" s="63" t="s">
        <v>2012</v>
      </c>
      <c r="U349" s="55"/>
      <c r="V349" s="6" t="s">
        <v>44</v>
      </c>
      <c r="W349" s="55"/>
      <c r="X349" s="6" t="s">
        <v>45</v>
      </c>
      <c r="Y349" s="6" t="s">
        <v>46</v>
      </c>
      <c r="Z349" s="63" t="s">
        <v>2051</v>
      </c>
      <c r="AA349" s="6" t="s">
        <v>64</v>
      </c>
      <c r="AB349" s="6" t="s">
        <v>399</v>
      </c>
      <c r="AC349" s="6" t="s">
        <v>400</v>
      </c>
      <c r="AD349" s="55"/>
      <c r="AE349" s="55"/>
      <c r="AF349" s="55"/>
      <c r="AG349" s="55"/>
    </row>
    <row r="350">
      <c r="A350" s="21">
        <f>COUNTIF('Divulgação'!$B:$B,B350)</f>
        <v>1</v>
      </c>
      <c r="B350" s="62" t="s">
        <v>996</v>
      </c>
      <c r="C350" s="55"/>
      <c r="D350" s="6" t="s">
        <v>39</v>
      </c>
      <c r="E350" s="6" t="s">
        <v>40</v>
      </c>
      <c r="F350" s="63" t="s">
        <v>2012</v>
      </c>
      <c r="G350" s="6" t="s">
        <v>41</v>
      </c>
      <c r="H350" s="63" t="s">
        <v>2012</v>
      </c>
      <c r="I350" s="21" t="s">
        <v>313</v>
      </c>
      <c r="J350" s="63" t="s">
        <v>1387</v>
      </c>
      <c r="K350" s="6" t="s">
        <v>890</v>
      </c>
      <c r="L350" s="63" t="s">
        <v>2053</v>
      </c>
      <c r="M350" s="55"/>
      <c r="N350" s="55"/>
      <c r="O350" s="55"/>
      <c r="P350" s="55"/>
      <c r="Q350" s="63" t="s">
        <v>140</v>
      </c>
      <c r="R350" s="63" t="s">
        <v>2041</v>
      </c>
      <c r="S350" s="63" t="s">
        <v>2042</v>
      </c>
      <c r="T350" s="63" t="s">
        <v>2012</v>
      </c>
      <c r="U350" s="55"/>
      <c r="V350" s="6" t="s">
        <v>44</v>
      </c>
      <c r="W350" s="55"/>
      <c r="X350" s="6" t="s">
        <v>45</v>
      </c>
      <c r="Y350" s="6" t="s">
        <v>46</v>
      </c>
      <c r="Z350" s="63" t="s">
        <v>2055</v>
      </c>
      <c r="AA350" s="6" t="s">
        <v>45</v>
      </c>
      <c r="AB350" s="6" t="s">
        <v>46</v>
      </c>
      <c r="AC350" s="6" t="s">
        <v>177</v>
      </c>
      <c r="AD350" s="55"/>
      <c r="AE350" s="55"/>
      <c r="AF350" s="55"/>
      <c r="AG350" s="55"/>
    </row>
    <row r="351">
      <c r="A351" s="21">
        <f>COUNTIF('Divulgação'!$B:$B,B351)</f>
        <v>1</v>
      </c>
      <c r="B351" s="62" t="s">
        <v>995</v>
      </c>
      <c r="C351" s="55"/>
      <c r="D351" s="6" t="s">
        <v>39</v>
      </c>
      <c r="E351" s="6" t="s">
        <v>40</v>
      </c>
      <c r="F351" s="63" t="s">
        <v>2012</v>
      </c>
      <c r="G351" s="6" t="s">
        <v>41</v>
      </c>
      <c r="H351" s="63" t="s">
        <v>2012</v>
      </c>
      <c r="I351" s="21" t="s">
        <v>986</v>
      </c>
      <c r="J351" s="63" t="s">
        <v>1387</v>
      </c>
      <c r="K351" s="6" t="s">
        <v>987</v>
      </c>
      <c r="L351" s="63" t="s">
        <v>2057</v>
      </c>
      <c r="M351" s="55"/>
      <c r="N351" s="55"/>
      <c r="O351" s="55"/>
      <c r="P351" s="55"/>
      <c r="Q351" s="63" t="s">
        <v>140</v>
      </c>
      <c r="R351" s="63" t="s">
        <v>2014</v>
      </c>
      <c r="S351" s="63" t="s">
        <v>2015</v>
      </c>
      <c r="T351" s="63" t="s">
        <v>2012</v>
      </c>
      <c r="U351" s="55"/>
      <c r="V351" s="6" t="s">
        <v>44</v>
      </c>
      <c r="W351" s="55"/>
      <c r="X351" s="6" t="s">
        <v>45</v>
      </c>
      <c r="Y351" s="6" t="s">
        <v>46</v>
      </c>
      <c r="Z351" s="63" t="s">
        <v>2058</v>
      </c>
      <c r="AA351" s="6" t="s">
        <v>45</v>
      </c>
      <c r="AB351" s="6" t="s">
        <v>46</v>
      </c>
      <c r="AC351" s="6" t="s">
        <v>177</v>
      </c>
      <c r="AD351" s="55"/>
      <c r="AE351" s="55"/>
      <c r="AF351" s="55"/>
      <c r="AG351" s="55"/>
    </row>
    <row r="352">
      <c r="A352" s="21">
        <f>COUNTIF('Divulgação'!$B:$B,B352)</f>
        <v>1</v>
      </c>
      <c r="B352" s="62" t="s">
        <v>1000</v>
      </c>
      <c r="C352" s="55"/>
      <c r="D352" s="6" t="s">
        <v>39</v>
      </c>
      <c r="E352" s="6" t="s">
        <v>40</v>
      </c>
      <c r="F352" s="63" t="s">
        <v>2012</v>
      </c>
      <c r="G352" s="6" t="s">
        <v>41</v>
      </c>
      <c r="H352" s="63" t="s">
        <v>2012</v>
      </c>
      <c r="I352" s="21" t="s">
        <v>251</v>
      </c>
      <c r="J352" s="6" t="s">
        <v>156</v>
      </c>
      <c r="K352" s="6" t="s">
        <v>252</v>
      </c>
      <c r="L352" s="63" t="s">
        <v>2060</v>
      </c>
      <c r="M352" s="55"/>
      <c r="N352" s="55"/>
      <c r="O352" s="55"/>
      <c r="P352" s="55"/>
      <c r="Q352" s="63" t="s">
        <v>140</v>
      </c>
      <c r="R352" s="63" t="s">
        <v>2014</v>
      </c>
      <c r="S352" s="63" t="s">
        <v>2015</v>
      </c>
      <c r="T352" s="63" t="s">
        <v>2012</v>
      </c>
      <c r="U352" s="55"/>
      <c r="V352" s="6" t="s">
        <v>44</v>
      </c>
      <c r="W352" s="6"/>
      <c r="X352" s="6" t="s">
        <v>45</v>
      </c>
      <c r="Y352" s="6" t="s">
        <v>46</v>
      </c>
      <c r="Z352" s="63" t="s">
        <v>2061</v>
      </c>
      <c r="AA352" s="6" t="s">
        <v>45</v>
      </c>
      <c r="AB352" s="6" t="s">
        <v>46</v>
      </c>
      <c r="AC352" s="6" t="s">
        <v>80</v>
      </c>
      <c r="AD352" s="55"/>
      <c r="AE352" s="55"/>
      <c r="AF352" s="55"/>
      <c r="AG352" s="55"/>
    </row>
    <row r="353">
      <c r="A353" s="21">
        <f>COUNTIF('Divulgação'!$B:$B,B353)</f>
        <v>1</v>
      </c>
      <c r="B353" s="62" t="s">
        <v>999</v>
      </c>
      <c r="C353" s="55"/>
      <c r="D353" s="6" t="s">
        <v>39</v>
      </c>
      <c r="E353" s="6" t="s">
        <v>40</v>
      </c>
      <c r="F353" s="63" t="s">
        <v>2012</v>
      </c>
      <c r="G353" s="6" t="s">
        <v>41</v>
      </c>
      <c r="H353" s="63" t="s">
        <v>2012</v>
      </c>
      <c r="I353" s="21" t="s">
        <v>251</v>
      </c>
      <c r="J353" s="6" t="s">
        <v>156</v>
      </c>
      <c r="K353" s="6" t="s">
        <v>252</v>
      </c>
      <c r="L353" s="63" t="s">
        <v>2062</v>
      </c>
      <c r="M353" s="55"/>
      <c r="N353" s="55"/>
      <c r="O353" s="55"/>
      <c r="P353" s="55"/>
      <c r="Q353" s="63" t="s">
        <v>140</v>
      </c>
      <c r="R353" s="63" t="s">
        <v>2014</v>
      </c>
      <c r="S353" s="63" t="s">
        <v>2015</v>
      </c>
      <c r="T353" s="63" t="s">
        <v>2012</v>
      </c>
      <c r="U353" s="55"/>
      <c r="V353" s="6" t="s">
        <v>44</v>
      </c>
      <c r="W353" s="55"/>
      <c r="X353" s="6" t="s">
        <v>45</v>
      </c>
      <c r="Y353" s="6" t="s">
        <v>46</v>
      </c>
      <c r="Z353" s="63" t="s">
        <v>2063</v>
      </c>
      <c r="AA353" s="6" t="s">
        <v>45</v>
      </c>
      <c r="AB353" s="6" t="s">
        <v>46</v>
      </c>
      <c r="AC353" s="6" t="s">
        <v>80</v>
      </c>
      <c r="AD353" s="55"/>
      <c r="AE353" s="55"/>
      <c r="AF353" s="55"/>
      <c r="AG353" s="55"/>
    </row>
    <row r="354">
      <c r="A354" s="21">
        <f>COUNTIF('Divulgação'!$B:$B,B354)</f>
        <v>1</v>
      </c>
      <c r="B354" s="62" t="s">
        <v>1001</v>
      </c>
      <c r="C354" s="55"/>
      <c r="D354" s="6" t="s">
        <v>39</v>
      </c>
      <c r="E354" s="6" t="s">
        <v>40</v>
      </c>
      <c r="F354" s="63" t="s">
        <v>2012</v>
      </c>
      <c r="G354" s="6" t="s">
        <v>41</v>
      </c>
      <c r="H354" s="63" t="s">
        <v>2012</v>
      </c>
      <c r="I354" s="21" t="s">
        <v>291</v>
      </c>
      <c r="J354" s="6" t="s">
        <v>156</v>
      </c>
      <c r="K354" s="6" t="s">
        <v>292</v>
      </c>
      <c r="L354" s="6" t="s">
        <v>1002</v>
      </c>
      <c r="M354" s="55"/>
      <c r="N354" s="55"/>
      <c r="O354" s="55"/>
      <c r="P354" s="55"/>
      <c r="Q354" s="63" t="s">
        <v>140</v>
      </c>
      <c r="R354" s="63" t="s">
        <v>2014</v>
      </c>
      <c r="S354" s="63" t="s">
        <v>2015</v>
      </c>
      <c r="T354" s="63" t="s">
        <v>2012</v>
      </c>
      <c r="U354" s="55"/>
      <c r="V354" s="6" t="s">
        <v>44</v>
      </c>
      <c r="W354" s="55"/>
      <c r="X354" s="6" t="s">
        <v>45</v>
      </c>
      <c r="Y354" s="6" t="s">
        <v>46</v>
      </c>
      <c r="Z354" s="63" t="s">
        <v>2066</v>
      </c>
      <c r="AA354" s="6" t="s">
        <v>64</v>
      </c>
      <c r="AB354" s="6" t="s">
        <v>94</v>
      </c>
      <c r="AC354" s="6" t="s">
        <v>95</v>
      </c>
      <c r="AD354" s="55"/>
      <c r="AE354" s="55"/>
      <c r="AF354" s="55"/>
      <c r="AG354" s="55"/>
    </row>
    <row r="355">
      <c r="A355" s="21">
        <f>COUNTIF('Divulgação'!$B:$B,B355)</f>
        <v>1</v>
      </c>
      <c r="B355" s="62" t="s">
        <v>1005</v>
      </c>
      <c r="C355" s="55"/>
      <c r="D355" s="6" t="s">
        <v>39</v>
      </c>
      <c r="E355" s="6" t="s">
        <v>40</v>
      </c>
      <c r="F355" s="63" t="s">
        <v>2012</v>
      </c>
      <c r="G355" s="6" t="s">
        <v>41</v>
      </c>
      <c r="H355" s="63" t="s">
        <v>2012</v>
      </c>
      <c r="I355" s="21" t="s">
        <v>313</v>
      </c>
      <c r="J355" s="63" t="s">
        <v>1387</v>
      </c>
      <c r="K355" s="6" t="s">
        <v>890</v>
      </c>
      <c r="L355" s="63" t="s">
        <v>2068</v>
      </c>
      <c r="M355" s="55"/>
      <c r="N355" s="55"/>
      <c r="O355" s="55"/>
      <c r="P355" s="55"/>
      <c r="Q355" s="63" t="s">
        <v>140</v>
      </c>
      <c r="R355" s="63" t="s">
        <v>2042</v>
      </c>
      <c r="S355" s="63" t="s">
        <v>2069</v>
      </c>
      <c r="T355" s="63" t="s">
        <v>2012</v>
      </c>
      <c r="U355" s="55"/>
      <c r="V355" s="6" t="s">
        <v>44</v>
      </c>
      <c r="W355" s="55"/>
      <c r="X355" s="6" t="s">
        <v>45</v>
      </c>
      <c r="Y355" s="6" t="s">
        <v>46</v>
      </c>
      <c r="Z355" s="63" t="s">
        <v>2070</v>
      </c>
      <c r="AA355" s="6" t="s">
        <v>188</v>
      </c>
      <c r="AB355" s="6" t="s">
        <v>194</v>
      </c>
      <c r="AC355" s="6" t="s">
        <v>404</v>
      </c>
      <c r="AD355" s="55"/>
      <c r="AE355" s="55"/>
      <c r="AF355" s="55"/>
      <c r="AG355" s="55"/>
    </row>
    <row r="356">
      <c r="A356" s="21">
        <f>COUNTIF('Divulgação'!$B:$B,B356)</f>
        <v>1</v>
      </c>
      <c r="B356" s="62" t="s">
        <v>1003</v>
      </c>
      <c r="C356" s="55"/>
      <c r="D356" s="6" t="s">
        <v>39</v>
      </c>
      <c r="E356" s="6" t="s">
        <v>40</v>
      </c>
      <c r="F356" s="63" t="s">
        <v>2012</v>
      </c>
      <c r="G356" s="6" t="s">
        <v>41</v>
      </c>
      <c r="H356" s="63" t="s">
        <v>2012</v>
      </c>
      <c r="I356" s="21" t="s">
        <v>986</v>
      </c>
      <c r="J356" s="63" t="s">
        <v>1387</v>
      </c>
      <c r="K356" s="6" t="s">
        <v>987</v>
      </c>
      <c r="L356" s="63" t="s">
        <v>2074</v>
      </c>
      <c r="M356" s="55"/>
      <c r="N356" s="55"/>
      <c r="O356" s="55"/>
      <c r="P356" s="55"/>
      <c r="Q356" s="63" t="s">
        <v>140</v>
      </c>
      <c r="R356" s="63" t="s">
        <v>2014</v>
      </c>
      <c r="S356" s="63" t="s">
        <v>2015</v>
      </c>
      <c r="T356" s="63" t="s">
        <v>2012</v>
      </c>
      <c r="U356" s="55"/>
      <c r="V356" s="6" t="s">
        <v>44</v>
      </c>
      <c r="W356" s="55"/>
      <c r="X356" s="6" t="s">
        <v>45</v>
      </c>
      <c r="Y356" s="6" t="s">
        <v>46</v>
      </c>
      <c r="Z356" s="63" t="s">
        <v>2075</v>
      </c>
      <c r="AA356" s="6" t="s">
        <v>45</v>
      </c>
      <c r="AB356" s="6" t="s">
        <v>203</v>
      </c>
      <c r="AC356" s="6" t="s">
        <v>1004</v>
      </c>
      <c r="AD356" s="55"/>
      <c r="AE356" s="55"/>
      <c r="AF356" s="55"/>
      <c r="AG356" s="55"/>
    </row>
    <row r="357">
      <c r="A357" s="21">
        <f>COUNTIF('Divulgação'!$B:$B,B357)</f>
        <v>1</v>
      </c>
      <c r="B357" s="62" t="s">
        <v>1826</v>
      </c>
      <c r="C357" s="55"/>
      <c r="D357" s="6" t="s">
        <v>39</v>
      </c>
      <c r="E357" s="6" t="s">
        <v>40</v>
      </c>
      <c r="F357" s="63" t="s">
        <v>2012</v>
      </c>
      <c r="G357" s="6" t="s">
        <v>41</v>
      </c>
      <c r="H357" s="63" t="s">
        <v>2012</v>
      </c>
      <c r="I357" s="21" t="s">
        <v>199</v>
      </c>
      <c r="J357" s="63" t="s">
        <v>1387</v>
      </c>
      <c r="K357" s="6" t="s">
        <v>200</v>
      </c>
      <c r="L357" s="63" t="s">
        <v>2076</v>
      </c>
      <c r="M357" s="55"/>
      <c r="N357" s="55"/>
      <c r="O357" s="55"/>
      <c r="P357" s="55"/>
      <c r="Q357" s="63" t="s">
        <v>140</v>
      </c>
      <c r="R357" s="63" t="s">
        <v>2014</v>
      </c>
      <c r="S357" s="63" t="s">
        <v>2015</v>
      </c>
      <c r="T357" s="63" t="s">
        <v>2012</v>
      </c>
      <c r="U357" s="55"/>
      <c r="V357" s="6" t="s">
        <v>44</v>
      </c>
      <c r="W357" s="55"/>
      <c r="X357" s="6" t="s">
        <v>45</v>
      </c>
      <c r="Y357" s="6" t="s">
        <v>46</v>
      </c>
      <c r="Z357" s="63" t="s">
        <v>2077</v>
      </c>
      <c r="AA357" s="6" t="s">
        <v>62</v>
      </c>
      <c r="AB357" s="6" t="s">
        <v>120</v>
      </c>
      <c r="AC357" s="6" t="s">
        <v>662</v>
      </c>
      <c r="AD357" s="55"/>
      <c r="AE357" s="55"/>
      <c r="AF357" s="55"/>
      <c r="AG357" s="55"/>
    </row>
    <row r="358">
      <c r="A358" s="21">
        <f>COUNTIF('Divulgação'!$B:$B,B358)</f>
        <v>1</v>
      </c>
      <c r="B358" s="62" t="s">
        <v>1013</v>
      </c>
      <c r="C358" s="55"/>
      <c r="D358" s="6" t="s">
        <v>39</v>
      </c>
      <c r="E358" s="6" t="s">
        <v>40</v>
      </c>
      <c r="F358" s="63" t="s">
        <v>2012</v>
      </c>
      <c r="G358" s="6" t="s">
        <v>41</v>
      </c>
      <c r="H358" s="63" t="s">
        <v>2012</v>
      </c>
      <c r="I358" s="21" t="s">
        <v>1011</v>
      </c>
      <c r="J358" s="6" t="s">
        <v>275</v>
      </c>
      <c r="K358" s="6" t="s">
        <v>1012</v>
      </c>
      <c r="L358" s="63" t="s">
        <v>2078</v>
      </c>
      <c r="M358" s="55"/>
      <c r="N358" s="55"/>
      <c r="O358" s="55"/>
      <c r="P358" s="55"/>
      <c r="Q358" s="63" t="s">
        <v>140</v>
      </c>
      <c r="R358" s="63" t="s">
        <v>2014</v>
      </c>
      <c r="S358" s="63" t="s">
        <v>2015</v>
      </c>
      <c r="T358" s="63" t="s">
        <v>2012</v>
      </c>
      <c r="U358" s="55"/>
      <c r="V358" s="6" t="s">
        <v>44</v>
      </c>
      <c r="W358" s="55"/>
      <c r="X358" s="6" t="s">
        <v>45</v>
      </c>
      <c r="Y358" s="6" t="s">
        <v>46</v>
      </c>
      <c r="Z358" s="63" t="s">
        <v>2079</v>
      </c>
      <c r="AA358" s="6" t="s">
        <v>143</v>
      </c>
      <c r="AB358" s="6" t="s">
        <v>144</v>
      </c>
      <c r="AC358" s="6" t="s">
        <v>621</v>
      </c>
      <c r="AD358" s="55"/>
      <c r="AE358" s="55"/>
      <c r="AF358" s="55"/>
      <c r="AG358" s="55"/>
    </row>
    <row r="359">
      <c r="A359" s="21">
        <f>COUNTIF('Divulgação'!$B:$B,B359)</f>
        <v>1</v>
      </c>
      <c r="B359" s="62" t="s">
        <v>1010</v>
      </c>
      <c r="C359" s="55"/>
      <c r="D359" s="6" t="s">
        <v>39</v>
      </c>
      <c r="E359" s="6" t="s">
        <v>40</v>
      </c>
      <c r="F359" s="63" t="s">
        <v>2012</v>
      </c>
      <c r="G359" s="6" t="s">
        <v>41</v>
      </c>
      <c r="H359" s="63" t="s">
        <v>2012</v>
      </c>
      <c r="I359" s="21" t="s">
        <v>1011</v>
      </c>
      <c r="J359" s="6" t="s">
        <v>275</v>
      </c>
      <c r="K359" s="6" t="s">
        <v>1012</v>
      </c>
      <c r="L359" s="63" t="s">
        <v>2080</v>
      </c>
      <c r="M359" s="55"/>
      <c r="N359" s="55"/>
      <c r="O359" s="55"/>
      <c r="P359" s="55"/>
      <c r="Q359" s="63" t="s">
        <v>140</v>
      </c>
      <c r="R359" s="63" t="s">
        <v>2014</v>
      </c>
      <c r="S359" s="63" t="s">
        <v>2015</v>
      </c>
      <c r="T359" s="63" t="s">
        <v>2012</v>
      </c>
      <c r="U359" s="55"/>
      <c r="V359" s="6" t="s">
        <v>44</v>
      </c>
      <c r="W359" s="55"/>
      <c r="X359" s="6" t="s">
        <v>45</v>
      </c>
      <c r="Y359" s="6" t="s">
        <v>46</v>
      </c>
      <c r="Z359" s="63" t="s">
        <v>2082</v>
      </c>
      <c r="AA359" s="6" t="s">
        <v>143</v>
      </c>
      <c r="AB359" s="6" t="s">
        <v>144</v>
      </c>
      <c r="AC359" s="6" t="s">
        <v>621</v>
      </c>
      <c r="AD359" s="55"/>
      <c r="AE359" s="55"/>
      <c r="AF359" s="55"/>
      <c r="AG359" s="55"/>
    </row>
    <row r="360">
      <c r="A360" s="21">
        <f>COUNTIF('Divulgação'!$B:$B,B360)</f>
        <v>1</v>
      </c>
      <c r="B360" s="62" t="s">
        <v>1833</v>
      </c>
      <c r="C360" s="55"/>
      <c r="D360" s="6" t="s">
        <v>39</v>
      </c>
      <c r="E360" s="6" t="s">
        <v>40</v>
      </c>
      <c r="F360" s="63" t="s">
        <v>2012</v>
      </c>
      <c r="G360" s="6" t="s">
        <v>41</v>
      </c>
      <c r="H360" s="63" t="s">
        <v>2012</v>
      </c>
      <c r="I360" s="21" t="s">
        <v>1011</v>
      </c>
      <c r="J360" s="6" t="s">
        <v>275</v>
      </c>
      <c r="K360" s="6" t="s">
        <v>1012</v>
      </c>
      <c r="L360" s="63" t="s">
        <v>2087</v>
      </c>
      <c r="M360" s="55"/>
      <c r="N360" s="55"/>
      <c r="O360" s="55"/>
      <c r="P360" s="55"/>
      <c r="Q360" s="63" t="s">
        <v>140</v>
      </c>
      <c r="R360" s="63" t="s">
        <v>2014</v>
      </c>
      <c r="S360" s="63" t="s">
        <v>2015</v>
      </c>
      <c r="T360" s="63" t="s">
        <v>2012</v>
      </c>
      <c r="U360" s="55"/>
      <c r="V360" s="6" t="s">
        <v>44</v>
      </c>
      <c r="W360" s="55"/>
      <c r="X360" s="6" t="s">
        <v>45</v>
      </c>
      <c r="Y360" s="6" t="s">
        <v>46</v>
      </c>
      <c r="Z360" s="63" t="s">
        <v>2090</v>
      </c>
      <c r="AA360" s="6" t="s">
        <v>63</v>
      </c>
      <c r="AB360" s="6" t="s">
        <v>72</v>
      </c>
      <c r="AC360" s="6" t="s">
        <v>74</v>
      </c>
      <c r="AD360" s="55"/>
      <c r="AE360" s="55"/>
      <c r="AF360" s="55"/>
      <c r="AG360" s="55"/>
    </row>
    <row r="361">
      <c r="A361" s="21">
        <f>COUNTIF('Divulgação'!$B:$B,B361)</f>
        <v>1</v>
      </c>
      <c r="B361" s="62" t="s">
        <v>1007</v>
      </c>
      <c r="C361" s="55"/>
      <c r="D361" s="6" t="s">
        <v>39</v>
      </c>
      <c r="E361" s="6" t="s">
        <v>40</v>
      </c>
      <c r="F361" s="63" t="s">
        <v>2012</v>
      </c>
      <c r="G361" s="6" t="s">
        <v>41</v>
      </c>
      <c r="H361" s="63" t="s">
        <v>2012</v>
      </c>
      <c r="I361" s="21" t="s">
        <v>1008</v>
      </c>
      <c r="J361" s="6" t="s">
        <v>156</v>
      </c>
      <c r="K361" s="6" t="s">
        <v>292</v>
      </c>
      <c r="L361" s="6" t="s">
        <v>1009</v>
      </c>
      <c r="M361" s="55"/>
      <c r="N361" s="55"/>
      <c r="O361" s="55"/>
      <c r="P361" s="55"/>
      <c r="Q361" s="63" t="s">
        <v>140</v>
      </c>
      <c r="R361" s="63" t="s">
        <v>2014</v>
      </c>
      <c r="S361" s="63" t="s">
        <v>2015</v>
      </c>
      <c r="T361" s="63" t="s">
        <v>2012</v>
      </c>
      <c r="U361" s="55"/>
      <c r="V361" s="6" t="s">
        <v>44</v>
      </c>
      <c r="W361" s="55"/>
      <c r="X361" s="6" t="s">
        <v>45</v>
      </c>
      <c r="Y361" s="6" t="s">
        <v>46</v>
      </c>
      <c r="Z361" s="63" t="s">
        <v>2096</v>
      </c>
      <c r="AA361" s="6" t="s">
        <v>45</v>
      </c>
      <c r="AB361" s="6" t="s">
        <v>46</v>
      </c>
      <c r="AC361" s="6" t="s">
        <v>80</v>
      </c>
      <c r="AD361" s="55"/>
      <c r="AE361" s="55"/>
      <c r="AF361" s="55"/>
      <c r="AG361" s="55"/>
    </row>
    <row r="362">
      <c r="A362" s="21">
        <f>COUNTIF('Divulgação'!$B:$B,B362)</f>
        <v>1</v>
      </c>
      <c r="B362" s="62" t="s">
        <v>1016</v>
      </c>
      <c r="C362" s="55"/>
      <c r="D362" s="6" t="s">
        <v>39</v>
      </c>
      <c r="E362" s="6" t="s">
        <v>40</v>
      </c>
      <c r="F362" s="63" t="s">
        <v>2012</v>
      </c>
      <c r="G362" s="6" t="s">
        <v>41</v>
      </c>
      <c r="H362" s="63" t="s">
        <v>2012</v>
      </c>
      <c r="I362" s="21" t="s">
        <v>1008</v>
      </c>
      <c r="J362" s="6" t="s">
        <v>156</v>
      </c>
      <c r="K362" s="6" t="s">
        <v>292</v>
      </c>
      <c r="L362" s="6" t="s">
        <v>1017</v>
      </c>
      <c r="M362" s="55"/>
      <c r="N362" s="55"/>
      <c r="O362" s="55"/>
      <c r="P362" s="55"/>
      <c r="Q362" s="63" t="s">
        <v>140</v>
      </c>
      <c r="R362" s="63" t="s">
        <v>2014</v>
      </c>
      <c r="S362" s="63" t="s">
        <v>2015</v>
      </c>
      <c r="T362" s="63" t="s">
        <v>2012</v>
      </c>
      <c r="U362" s="55"/>
      <c r="V362" s="6" t="s">
        <v>44</v>
      </c>
      <c r="W362" s="55"/>
      <c r="X362" s="6" t="s">
        <v>45</v>
      </c>
      <c r="Y362" s="6" t="s">
        <v>46</v>
      </c>
      <c r="Z362" s="63" t="s">
        <v>2101</v>
      </c>
      <c r="AA362" s="6" t="s">
        <v>45</v>
      </c>
      <c r="AB362" s="6" t="s">
        <v>46</v>
      </c>
      <c r="AC362" s="6" t="s">
        <v>80</v>
      </c>
      <c r="AD362" s="55"/>
      <c r="AE362" s="55"/>
      <c r="AF362" s="55"/>
      <c r="AG362" s="55"/>
    </row>
    <row r="363">
      <c r="A363" s="21">
        <f>COUNTIF('Divulgação'!$B:$B,B363)</f>
        <v>1</v>
      </c>
      <c r="B363" s="62" t="s">
        <v>1018</v>
      </c>
      <c r="C363" s="55"/>
      <c r="D363" s="6" t="s">
        <v>39</v>
      </c>
      <c r="E363" s="6" t="s">
        <v>40</v>
      </c>
      <c r="F363" s="63" t="s">
        <v>2012</v>
      </c>
      <c r="G363" s="6" t="s">
        <v>41</v>
      </c>
      <c r="H363" s="63" t="s">
        <v>2012</v>
      </c>
      <c r="I363" s="21" t="s">
        <v>1008</v>
      </c>
      <c r="J363" s="6" t="s">
        <v>156</v>
      </c>
      <c r="K363" s="6" t="s">
        <v>292</v>
      </c>
      <c r="L363" s="6" t="s">
        <v>1019</v>
      </c>
      <c r="M363" s="55"/>
      <c r="N363" s="55"/>
      <c r="O363" s="55"/>
      <c r="P363" s="55"/>
      <c r="Q363" s="63" t="s">
        <v>140</v>
      </c>
      <c r="R363" s="63" t="s">
        <v>2014</v>
      </c>
      <c r="S363" s="63" t="s">
        <v>2015</v>
      </c>
      <c r="T363" s="63" t="s">
        <v>2012</v>
      </c>
      <c r="U363" s="55"/>
      <c r="V363" s="6" t="s">
        <v>44</v>
      </c>
      <c r="W363" s="55"/>
      <c r="X363" s="6" t="s">
        <v>45</v>
      </c>
      <c r="Y363" s="6" t="s">
        <v>46</v>
      </c>
      <c r="Z363" s="63" t="s">
        <v>2107</v>
      </c>
      <c r="AA363" s="6" t="s">
        <v>57</v>
      </c>
      <c r="AB363" s="6" t="s">
        <v>410</v>
      </c>
      <c r="AC363" s="6" t="s">
        <v>411</v>
      </c>
      <c r="AD363" s="55"/>
      <c r="AE363" s="55"/>
      <c r="AF363" s="55"/>
      <c r="AG363" s="55"/>
    </row>
    <row r="364">
      <c r="A364" s="21">
        <f>COUNTIF('Divulgação'!$B:$B,B364)</f>
        <v>1</v>
      </c>
      <c r="B364" s="62" t="s">
        <v>1020</v>
      </c>
      <c r="C364" s="55"/>
      <c r="D364" s="6" t="s">
        <v>39</v>
      </c>
      <c r="E364" s="6" t="s">
        <v>40</v>
      </c>
      <c r="F364" s="63" t="s">
        <v>2012</v>
      </c>
      <c r="G364" s="6" t="s">
        <v>41</v>
      </c>
      <c r="H364" s="63" t="s">
        <v>2012</v>
      </c>
      <c r="I364" s="21" t="s">
        <v>1008</v>
      </c>
      <c r="J364" s="6" t="s">
        <v>156</v>
      </c>
      <c r="K364" s="6" t="s">
        <v>292</v>
      </c>
      <c r="L364" s="6" t="s">
        <v>1021</v>
      </c>
      <c r="M364" s="55"/>
      <c r="N364" s="55"/>
      <c r="O364" s="55"/>
      <c r="P364" s="55"/>
      <c r="Q364" s="63" t="s">
        <v>140</v>
      </c>
      <c r="R364" s="63" t="s">
        <v>2014</v>
      </c>
      <c r="S364" s="63" t="s">
        <v>2015</v>
      </c>
      <c r="T364" s="63" t="s">
        <v>2012</v>
      </c>
      <c r="U364" s="55"/>
      <c r="V364" s="6" t="s">
        <v>44</v>
      </c>
      <c r="W364" s="55"/>
      <c r="X364" s="6" t="s">
        <v>45</v>
      </c>
      <c r="Y364" s="6" t="s">
        <v>46</v>
      </c>
      <c r="Z364" s="63" t="s">
        <v>2112</v>
      </c>
      <c r="AA364" s="6" t="s">
        <v>57</v>
      </c>
      <c r="AB364" s="6" t="s">
        <v>410</v>
      </c>
      <c r="AC364" s="6" t="s">
        <v>411</v>
      </c>
      <c r="AD364" s="55"/>
      <c r="AE364" s="55"/>
      <c r="AF364" s="55"/>
      <c r="AG364" s="55"/>
    </row>
    <row r="365">
      <c r="A365" s="21">
        <f>COUNTIF('Divulgação'!$B:$B,B365)</f>
        <v>1</v>
      </c>
      <c r="B365" s="62" t="s">
        <v>1014</v>
      </c>
      <c r="C365" s="55"/>
      <c r="D365" s="6" t="s">
        <v>39</v>
      </c>
      <c r="E365" s="6" t="s">
        <v>40</v>
      </c>
      <c r="F365" s="63" t="s">
        <v>2012</v>
      </c>
      <c r="G365" s="6" t="s">
        <v>41</v>
      </c>
      <c r="H365" s="63" t="s">
        <v>2012</v>
      </c>
      <c r="I365" s="21" t="s">
        <v>1008</v>
      </c>
      <c r="J365" s="6" t="s">
        <v>156</v>
      </c>
      <c r="K365" s="6" t="s">
        <v>292</v>
      </c>
      <c r="L365" s="6" t="s">
        <v>1015</v>
      </c>
      <c r="M365" s="55"/>
      <c r="N365" s="55"/>
      <c r="O365" s="55"/>
      <c r="P365" s="55"/>
      <c r="Q365" s="63" t="s">
        <v>140</v>
      </c>
      <c r="R365" s="63" t="s">
        <v>2014</v>
      </c>
      <c r="S365" s="63" t="s">
        <v>2015</v>
      </c>
      <c r="T365" s="63" t="s">
        <v>2012</v>
      </c>
      <c r="U365" s="55"/>
      <c r="V365" s="6" t="s">
        <v>44</v>
      </c>
      <c r="W365" s="55"/>
      <c r="X365" s="6" t="s">
        <v>45</v>
      </c>
      <c r="Y365" s="6" t="s">
        <v>46</v>
      </c>
      <c r="Z365" s="63" t="s">
        <v>2116</v>
      </c>
      <c r="AA365" s="6" t="s">
        <v>45</v>
      </c>
      <c r="AB365" s="6" t="s">
        <v>46</v>
      </c>
      <c r="AC365" s="6" t="s">
        <v>80</v>
      </c>
      <c r="AD365" s="55"/>
      <c r="AE365" s="55"/>
      <c r="AF365" s="55"/>
      <c r="AG365" s="55"/>
    </row>
    <row r="366">
      <c r="A366" s="21">
        <f>COUNTIF('Divulgação'!$B:$B,B366)</f>
        <v>1</v>
      </c>
      <c r="B366" s="62" t="s">
        <v>1022</v>
      </c>
      <c r="C366" s="55"/>
      <c r="D366" s="6" t="s">
        <v>39</v>
      </c>
      <c r="E366" s="6" t="s">
        <v>40</v>
      </c>
      <c r="F366" s="63" t="s">
        <v>2012</v>
      </c>
      <c r="G366" s="6" t="s">
        <v>41</v>
      </c>
      <c r="H366" s="63" t="s">
        <v>2012</v>
      </c>
      <c r="I366" s="21" t="s">
        <v>251</v>
      </c>
      <c r="J366" s="6" t="s">
        <v>156</v>
      </c>
      <c r="K366" s="6" t="s">
        <v>252</v>
      </c>
      <c r="L366" s="63" t="s">
        <v>2119</v>
      </c>
      <c r="M366" s="55"/>
      <c r="N366" s="55"/>
      <c r="O366" s="55"/>
      <c r="P366" s="55"/>
      <c r="Q366" s="63" t="s">
        <v>140</v>
      </c>
      <c r="R366" s="63" t="s">
        <v>2014</v>
      </c>
      <c r="S366" s="63" t="s">
        <v>2015</v>
      </c>
      <c r="T366" s="63" t="s">
        <v>2012</v>
      </c>
      <c r="U366" s="55"/>
      <c r="V366" s="6" t="s">
        <v>44</v>
      </c>
      <c r="W366" s="55"/>
      <c r="X366" s="6" t="s">
        <v>45</v>
      </c>
      <c r="Y366" s="6" t="s">
        <v>46</v>
      </c>
      <c r="Z366" s="63" t="s">
        <v>2121</v>
      </c>
      <c r="AA366" s="6" t="s">
        <v>45</v>
      </c>
      <c r="AB366" s="6" t="s">
        <v>46</v>
      </c>
      <c r="AC366" s="6" t="s">
        <v>80</v>
      </c>
      <c r="AD366" s="55"/>
      <c r="AE366" s="55"/>
      <c r="AF366" s="55"/>
      <c r="AG366" s="55"/>
    </row>
    <row r="367">
      <c r="A367" s="21">
        <f>COUNTIF('Divulgação'!$B:$B,B367)</f>
        <v>1</v>
      </c>
      <c r="B367" s="62" t="s">
        <v>1025</v>
      </c>
      <c r="C367" s="55"/>
      <c r="D367" s="6" t="s">
        <v>39</v>
      </c>
      <c r="E367" s="6" t="s">
        <v>40</v>
      </c>
      <c r="F367" s="63" t="s">
        <v>2123</v>
      </c>
      <c r="G367" s="6" t="s">
        <v>41</v>
      </c>
      <c r="H367" s="63" t="s">
        <v>2123</v>
      </c>
      <c r="I367" s="21" t="s">
        <v>286</v>
      </c>
      <c r="J367" s="63" t="s">
        <v>1387</v>
      </c>
      <c r="K367" s="6" t="s">
        <v>287</v>
      </c>
      <c r="L367" s="63" t="s">
        <v>2124</v>
      </c>
      <c r="M367" s="55"/>
      <c r="N367" s="55"/>
      <c r="O367" s="55"/>
      <c r="P367" s="55"/>
      <c r="Q367" s="63" t="s">
        <v>140</v>
      </c>
      <c r="R367" s="63" t="s">
        <v>2015</v>
      </c>
      <c r="S367" s="63" t="s">
        <v>2125</v>
      </c>
      <c r="T367" s="63" t="s">
        <v>2123</v>
      </c>
      <c r="U367" s="55"/>
      <c r="V367" s="6" t="s">
        <v>44</v>
      </c>
      <c r="W367" s="55"/>
      <c r="X367" s="6" t="s">
        <v>45</v>
      </c>
      <c r="Y367" s="6" t="s">
        <v>46</v>
      </c>
      <c r="Z367" s="63" t="s">
        <v>2127</v>
      </c>
      <c r="AA367" s="6" t="s">
        <v>62</v>
      </c>
      <c r="AB367" s="6" t="s">
        <v>120</v>
      </c>
      <c r="AC367" s="6" t="s">
        <v>121</v>
      </c>
      <c r="AD367" s="55"/>
      <c r="AE367" s="55"/>
      <c r="AF367" s="55"/>
      <c r="AG367" s="55"/>
    </row>
    <row r="368">
      <c r="A368" s="21">
        <f>COUNTIF('Divulgação'!$B:$B,B368)</f>
        <v>1</v>
      </c>
      <c r="B368" s="62" t="s">
        <v>1024</v>
      </c>
      <c r="C368" s="55"/>
      <c r="D368" s="6" t="s">
        <v>39</v>
      </c>
      <c r="E368" s="6" t="s">
        <v>40</v>
      </c>
      <c r="F368" s="63" t="s">
        <v>2123</v>
      </c>
      <c r="G368" s="6" t="s">
        <v>41</v>
      </c>
      <c r="H368" s="63" t="s">
        <v>2123</v>
      </c>
      <c r="I368" s="21" t="s">
        <v>286</v>
      </c>
      <c r="J368" s="63" t="s">
        <v>1387</v>
      </c>
      <c r="K368" s="6" t="s">
        <v>287</v>
      </c>
      <c r="L368" s="63" t="s">
        <v>2129</v>
      </c>
      <c r="M368" s="55"/>
      <c r="N368" s="55"/>
      <c r="O368" s="55"/>
      <c r="P368" s="55"/>
      <c r="Q368" s="63" t="s">
        <v>140</v>
      </c>
      <c r="R368" s="63" t="s">
        <v>2015</v>
      </c>
      <c r="S368" s="63" t="s">
        <v>2125</v>
      </c>
      <c r="T368" s="63" t="s">
        <v>2123</v>
      </c>
      <c r="U368" s="55"/>
      <c r="V368" s="6" t="s">
        <v>44</v>
      </c>
      <c r="W368" s="55"/>
      <c r="X368" s="6" t="s">
        <v>45</v>
      </c>
      <c r="Y368" s="6" t="s">
        <v>46</v>
      </c>
      <c r="Z368" s="63" t="s">
        <v>2130</v>
      </c>
      <c r="AA368" s="6" t="s">
        <v>64</v>
      </c>
      <c r="AB368" s="6" t="s">
        <v>399</v>
      </c>
      <c r="AC368" s="6" t="s">
        <v>400</v>
      </c>
      <c r="AD368" s="55"/>
      <c r="AE368" s="55"/>
      <c r="AF368" s="55"/>
      <c r="AG368" s="55"/>
    </row>
    <row r="369">
      <c r="A369" s="21">
        <f>COUNTIF('Divulgação'!$B:$B,B369)</f>
        <v>1</v>
      </c>
      <c r="B369" s="62" t="s">
        <v>1023</v>
      </c>
      <c r="C369" s="55"/>
      <c r="D369" s="6" t="s">
        <v>39</v>
      </c>
      <c r="E369" s="6" t="s">
        <v>40</v>
      </c>
      <c r="F369" s="63" t="s">
        <v>2123</v>
      </c>
      <c r="G369" s="6" t="s">
        <v>41</v>
      </c>
      <c r="H369" s="63" t="s">
        <v>2123</v>
      </c>
      <c r="I369" s="21" t="s">
        <v>286</v>
      </c>
      <c r="J369" s="63" t="s">
        <v>1387</v>
      </c>
      <c r="K369" s="6" t="s">
        <v>287</v>
      </c>
      <c r="L369" s="63" t="s">
        <v>2131</v>
      </c>
      <c r="M369" s="55"/>
      <c r="N369" s="55"/>
      <c r="O369" s="55"/>
      <c r="P369" s="55"/>
      <c r="Q369" s="63" t="s">
        <v>140</v>
      </c>
      <c r="R369" s="63" t="s">
        <v>2015</v>
      </c>
      <c r="S369" s="63" t="s">
        <v>2134</v>
      </c>
      <c r="T369" s="63" t="s">
        <v>2123</v>
      </c>
      <c r="U369" s="55"/>
      <c r="V369" s="6" t="s">
        <v>44</v>
      </c>
      <c r="W369" s="55"/>
      <c r="X369" s="6" t="s">
        <v>45</v>
      </c>
      <c r="Y369" s="6" t="s">
        <v>46</v>
      </c>
      <c r="Z369" s="63" t="s">
        <v>2137</v>
      </c>
      <c r="AA369" s="6" t="s">
        <v>304</v>
      </c>
      <c r="AB369" s="6" t="s">
        <v>306</v>
      </c>
      <c r="AC369" s="6" t="s">
        <v>991</v>
      </c>
      <c r="AD369" s="55"/>
      <c r="AE369" s="55"/>
      <c r="AF369" s="55"/>
      <c r="AG369" s="55"/>
    </row>
    <row r="370">
      <c r="A370" s="21">
        <f>COUNTIF('Divulgação'!$B:$B,B370)</f>
        <v>1</v>
      </c>
      <c r="B370" s="62" t="s">
        <v>1026</v>
      </c>
      <c r="C370" s="55"/>
      <c r="D370" s="6" t="s">
        <v>39</v>
      </c>
      <c r="E370" s="6" t="s">
        <v>40</v>
      </c>
      <c r="F370" s="63" t="s">
        <v>2123</v>
      </c>
      <c r="G370" s="6" t="s">
        <v>41</v>
      </c>
      <c r="H370" s="63" t="s">
        <v>2123</v>
      </c>
      <c r="I370" s="21" t="s">
        <v>986</v>
      </c>
      <c r="J370" s="63" t="s">
        <v>1387</v>
      </c>
      <c r="K370" s="6" t="s">
        <v>987</v>
      </c>
      <c r="L370" s="63" t="s">
        <v>2139</v>
      </c>
      <c r="M370" s="55"/>
      <c r="N370" s="55"/>
      <c r="O370" s="55"/>
      <c r="P370" s="55"/>
      <c r="Q370" s="63" t="s">
        <v>140</v>
      </c>
      <c r="R370" s="63" t="s">
        <v>2015</v>
      </c>
      <c r="S370" s="63" t="s">
        <v>2125</v>
      </c>
      <c r="T370" s="63" t="s">
        <v>2123</v>
      </c>
      <c r="U370" s="55"/>
      <c r="V370" s="6" t="s">
        <v>44</v>
      </c>
      <c r="W370" s="55"/>
      <c r="X370" s="6" t="s">
        <v>45</v>
      </c>
      <c r="Y370" s="6" t="s">
        <v>46</v>
      </c>
      <c r="Z370" s="63" t="s">
        <v>2141</v>
      </c>
      <c r="AA370" s="6" t="s">
        <v>45</v>
      </c>
      <c r="AB370" s="6" t="s">
        <v>46</v>
      </c>
      <c r="AC370" s="6" t="s">
        <v>324</v>
      </c>
      <c r="AD370" s="55"/>
      <c r="AE370" s="55"/>
      <c r="AF370" s="55"/>
      <c r="AG370" s="55"/>
    </row>
    <row r="371">
      <c r="A371" s="21">
        <f>COUNTIF('Divulgação'!$B:$B,B371)</f>
        <v>1</v>
      </c>
      <c r="B371" s="62" t="s">
        <v>1027</v>
      </c>
      <c r="C371" s="55"/>
      <c r="D371" s="6" t="s">
        <v>39</v>
      </c>
      <c r="E371" s="6" t="s">
        <v>40</v>
      </c>
      <c r="F371" s="63" t="s">
        <v>2123</v>
      </c>
      <c r="G371" s="6" t="s">
        <v>41</v>
      </c>
      <c r="H371" s="63" t="s">
        <v>2123</v>
      </c>
      <c r="I371" s="21" t="s">
        <v>986</v>
      </c>
      <c r="J371" s="63" t="s">
        <v>1387</v>
      </c>
      <c r="K371" s="6" t="s">
        <v>987</v>
      </c>
      <c r="L371" s="63" t="s">
        <v>2142</v>
      </c>
      <c r="M371" s="55"/>
      <c r="N371" s="55"/>
      <c r="O371" s="55"/>
      <c r="P371" s="55"/>
      <c r="Q371" s="63" t="s">
        <v>140</v>
      </c>
      <c r="R371" s="63" t="s">
        <v>2015</v>
      </c>
      <c r="S371" s="63" t="s">
        <v>2125</v>
      </c>
      <c r="T371" s="63" t="s">
        <v>2123</v>
      </c>
      <c r="U371" s="55"/>
      <c r="V371" s="6" t="s">
        <v>44</v>
      </c>
      <c r="W371" s="55"/>
      <c r="X371" s="6" t="s">
        <v>45</v>
      </c>
      <c r="Y371" s="6" t="s">
        <v>46</v>
      </c>
      <c r="Z371" s="63" t="s">
        <v>2143</v>
      </c>
      <c r="AA371" s="6" t="s">
        <v>71</v>
      </c>
      <c r="AB371" s="6" t="s">
        <v>501</v>
      </c>
      <c r="AC371" s="6" t="s">
        <v>1028</v>
      </c>
      <c r="AD371" s="55"/>
      <c r="AE371" s="55"/>
      <c r="AF371" s="55"/>
      <c r="AG371" s="55"/>
    </row>
    <row r="372">
      <c r="A372" s="21">
        <f>COUNTIF('Divulgação'!$B:$B,B372)</f>
        <v>1</v>
      </c>
      <c r="B372" s="62" t="s">
        <v>1030</v>
      </c>
      <c r="C372" s="55"/>
      <c r="D372" s="6" t="s">
        <v>39</v>
      </c>
      <c r="E372" s="6" t="s">
        <v>40</v>
      </c>
      <c r="F372" s="63" t="s">
        <v>2123</v>
      </c>
      <c r="G372" s="6" t="s">
        <v>41</v>
      </c>
      <c r="H372" s="63" t="s">
        <v>2123</v>
      </c>
      <c r="I372" s="21" t="s">
        <v>986</v>
      </c>
      <c r="J372" s="63" t="s">
        <v>1387</v>
      </c>
      <c r="K372" s="6" t="s">
        <v>987</v>
      </c>
      <c r="L372" s="63" t="s">
        <v>2146</v>
      </c>
      <c r="M372" s="55"/>
      <c r="N372" s="55"/>
      <c r="O372" s="55"/>
      <c r="P372" s="55"/>
      <c r="Q372" s="63" t="s">
        <v>140</v>
      </c>
      <c r="R372" s="63" t="s">
        <v>2015</v>
      </c>
      <c r="S372" s="63" t="s">
        <v>2125</v>
      </c>
      <c r="T372" s="63" t="s">
        <v>2123</v>
      </c>
      <c r="U372" s="55"/>
      <c r="V372" s="6" t="s">
        <v>44</v>
      </c>
      <c r="W372" s="55"/>
      <c r="X372" s="6" t="s">
        <v>45</v>
      </c>
      <c r="Y372" s="6" t="s">
        <v>46</v>
      </c>
      <c r="Z372" s="63" t="s">
        <v>2149</v>
      </c>
      <c r="AA372" s="6" t="s">
        <v>57</v>
      </c>
      <c r="AB372" s="6" t="s">
        <v>58</v>
      </c>
      <c r="AC372" s="6" t="s">
        <v>1031</v>
      </c>
      <c r="AD372" s="55"/>
      <c r="AE372" s="55"/>
      <c r="AF372" s="55"/>
      <c r="AG372" s="55"/>
    </row>
    <row r="373">
      <c r="A373" s="21">
        <f>COUNTIF('Divulgação'!$B:$B,B373)</f>
        <v>1</v>
      </c>
      <c r="B373" s="62" t="s">
        <v>1032</v>
      </c>
      <c r="C373" s="55"/>
      <c r="D373" s="6" t="s">
        <v>39</v>
      </c>
      <c r="E373" s="6" t="s">
        <v>40</v>
      </c>
      <c r="F373" s="63" t="s">
        <v>2123</v>
      </c>
      <c r="G373" s="6" t="s">
        <v>41</v>
      </c>
      <c r="H373" s="63" t="s">
        <v>2123</v>
      </c>
      <c r="I373" s="21" t="s">
        <v>684</v>
      </c>
      <c r="J373" s="63" t="s">
        <v>1387</v>
      </c>
      <c r="K373" s="6" t="s">
        <v>685</v>
      </c>
      <c r="L373" s="6" t="s">
        <v>1033</v>
      </c>
      <c r="M373" s="55"/>
      <c r="N373" s="55"/>
      <c r="O373" s="55"/>
      <c r="P373" s="55"/>
      <c r="Q373" s="63" t="s">
        <v>140</v>
      </c>
      <c r="R373" s="63" t="s">
        <v>2123</v>
      </c>
      <c r="S373" s="63" t="s">
        <v>2152</v>
      </c>
      <c r="T373" s="63" t="s">
        <v>2123</v>
      </c>
      <c r="U373" s="55"/>
      <c r="V373" s="6" t="s">
        <v>44</v>
      </c>
      <c r="W373" s="55"/>
      <c r="X373" s="6" t="s">
        <v>45</v>
      </c>
      <c r="Y373" s="6" t="s">
        <v>46</v>
      </c>
      <c r="Z373" s="63" t="s">
        <v>2154</v>
      </c>
      <c r="AA373" s="6" t="s">
        <v>70</v>
      </c>
      <c r="AB373" s="6" t="s">
        <v>152</v>
      </c>
      <c r="AC373" s="6" t="s">
        <v>737</v>
      </c>
      <c r="AD373" s="55"/>
      <c r="AE373" s="55"/>
      <c r="AF373" s="55"/>
      <c r="AG373" s="55"/>
    </row>
    <row r="374">
      <c r="A374" s="21">
        <f>COUNTIF('Divulgação'!$B:$B,B374)</f>
        <v>1</v>
      </c>
      <c r="B374" s="62" t="s">
        <v>1036</v>
      </c>
      <c r="C374" s="55"/>
      <c r="D374" s="6" t="s">
        <v>39</v>
      </c>
      <c r="E374" s="6" t="s">
        <v>40</v>
      </c>
      <c r="F374" s="63" t="s">
        <v>2156</v>
      </c>
      <c r="G374" s="6" t="s">
        <v>41</v>
      </c>
      <c r="H374" s="63" t="s">
        <v>2156</v>
      </c>
      <c r="I374" s="21" t="s">
        <v>436</v>
      </c>
      <c r="J374" s="63" t="s">
        <v>1685</v>
      </c>
      <c r="K374" s="6" t="s">
        <v>778</v>
      </c>
      <c r="L374" s="6" t="s">
        <v>1037</v>
      </c>
      <c r="M374" s="55"/>
      <c r="N374" s="55"/>
      <c r="O374" s="55"/>
      <c r="P374" s="55"/>
      <c r="Q374" s="63" t="s">
        <v>140</v>
      </c>
      <c r="R374" s="63" t="s">
        <v>2123</v>
      </c>
      <c r="S374" s="63" t="s">
        <v>2152</v>
      </c>
      <c r="T374" s="63" t="s">
        <v>2156</v>
      </c>
      <c r="U374" s="55"/>
      <c r="V374" s="6" t="s">
        <v>44</v>
      </c>
      <c r="W374" s="55"/>
      <c r="X374" s="6" t="s">
        <v>45</v>
      </c>
      <c r="Y374" s="6" t="s">
        <v>46</v>
      </c>
      <c r="Z374" s="63" t="s">
        <v>2157</v>
      </c>
      <c r="AA374" s="6" t="s">
        <v>45</v>
      </c>
      <c r="AB374" s="6" t="s">
        <v>46</v>
      </c>
      <c r="AC374" s="6" t="s">
        <v>80</v>
      </c>
      <c r="AD374" s="55"/>
      <c r="AE374" s="55"/>
      <c r="AF374" s="55"/>
      <c r="AG374" s="55"/>
    </row>
    <row r="375">
      <c r="A375" s="21">
        <f>COUNTIF('Divulgação'!$B:$B,B375)</f>
        <v>1</v>
      </c>
      <c r="B375" s="62" t="s">
        <v>1034</v>
      </c>
      <c r="C375" s="55"/>
      <c r="D375" s="6" t="s">
        <v>39</v>
      </c>
      <c r="E375" s="6" t="s">
        <v>40</v>
      </c>
      <c r="F375" s="63" t="s">
        <v>2156</v>
      </c>
      <c r="G375" s="6" t="s">
        <v>41</v>
      </c>
      <c r="H375" s="63" t="s">
        <v>2156</v>
      </c>
      <c r="I375" s="21" t="s">
        <v>436</v>
      </c>
      <c r="J375" s="63" t="s">
        <v>1685</v>
      </c>
      <c r="K375" s="6" t="s">
        <v>778</v>
      </c>
      <c r="L375" s="6" t="s">
        <v>1035</v>
      </c>
      <c r="M375" s="55"/>
      <c r="N375" s="55"/>
      <c r="O375" s="55"/>
      <c r="P375" s="55"/>
      <c r="Q375" s="63" t="s">
        <v>140</v>
      </c>
      <c r="R375" s="63" t="s">
        <v>2123</v>
      </c>
      <c r="S375" s="63" t="s">
        <v>2152</v>
      </c>
      <c r="T375" s="63" t="s">
        <v>2156</v>
      </c>
      <c r="U375" s="55"/>
      <c r="V375" s="6" t="s">
        <v>44</v>
      </c>
      <c r="W375" s="55"/>
      <c r="X375" s="6" t="s">
        <v>45</v>
      </c>
      <c r="Y375" s="6" t="s">
        <v>46</v>
      </c>
      <c r="Z375" s="63" t="s">
        <v>2162</v>
      </c>
      <c r="AA375" s="6" t="s">
        <v>45</v>
      </c>
      <c r="AB375" s="6" t="s">
        <v>46</v>
      </c>
      <c r="AC375" s="6" t="s">
        <v>80</v>
      </c>
      <c r="AD375" s="55"/>
      <c r="AE375" s="55"/>
      <c r="AF375" s="55"/>
      <c r="AG375" s="55"/>
    </row>
    <row r="376">
      <c r="A376" s="21">
        <f>COUNTIF('Divulgação'!$B:$B,B376)</f>
        <v>1</v>
      </c>
      <c r="B376" s="62" t="s">
        <v>1038</v>
      </c>
      <c r="C376" s="55"/>
      <c r="D376" s="6" t="s">
        <v>39</v>
      </c>
      <c r="E376" s="6" t="s">
        <v>40</v>
      </c>
      <c r="F376" s="63" t="s">
        <v>2152</v>
      </c>
      <c r="G376" s="6" t="s">
        <v>41</v>
      </c>
      <c r="H376" s="63" t="s">
        <v>2152</v>
      </c>
      <c r="I376" s="21" t="s">
        <v>418</v>
      </c>
      <c r="J376" s="63" t="s">
        <v>1387</v>
      </c>
      <c r="K376" s="6" t="s">
        <v>1039</v>
      </c>
      <c r="L376" s="63" t="s">
        <v>2166</v>
      </c>
      <c r="M376" s="55"/>
      <c r="N376" s="55"/>
      <c r="O376" s="55"/>
      <c r="P376" s="55"/>
      <c r="Q376" s="63" t="s">
        <v>140</v>
      </c>
      <c r="R376" s="63" t="s">
        <v>2041</v>
      </c>
      <c r="S376" s="63" t="s">
        <v>2167</v>
      </c>
      <c r="T376" s="63" t="s">
        <v>2152</v>
      </c>
      <c r="U376" s="55"/>
      <c r="V376" s="6" t="s">
        <v>44</v>
      </c>
      <c r="W376" s="55"/>
      <c r="X376" s="6" t="s">
        <v>45</v>
      </c>
      <c r="Y376" s="6" t="s">
        <v>46</v>
      </c>
      <c r="Z376" s="63" t="s">
        <v>2169</v>
      </c>
      <c r="AA376" s="6" t="s">
        <v>169</v>
      </c>
      <c r="AB376" s="6" t="s">
        <v>120</v>
      </c>
      <c r="AC376" s="6" t="s">
        <v>1040</v>
      </c>
      <c r="AD376" s="55"/>
      <c r="AE376" s="55"/>
      <c r="AF376" s="55"/>
      <c r="AG376" s="55"/>
    </row>
    <row r="377">
      <c r="A377" s="21">
        <f>COUNTIF('Divulgação'!$B:$B,B377)</f>
        <v>1</v>
      </c>
      <c r="B377" s="62" t="s">
        <v>1041</v>
      </c>
      <c r="C377" s="55"/>
      <c r="D377" s="6" t="s">
        <v>39</v>
      </c>
      <c r="E377" s="6" t="s">
        <v>40</v>
      </c>
      <c r="F377" s="63" t="s">
        <v>2152</v>
      </c>
      <c r="G377" s="6" t="s">
        <v>41</v>
      </c>
      <c r="H377" s="63" t="s">
        <v>2152</v>
      </c>
      <c r="I377" s="21" t="s">
        <v>302</v>
      </c>
      <c r="J377" s="63" t="s">
        <v>1387</v>
      </c>
      <c r="K377" s="6" t="s">
        <v>303</v>
      </c>
      <c r="L377" s="63" t="s">
        <v>2172</v>
      </c>
      <c r="M377" s="55"/>
      <c r="N377" s="55"/>
      <c r="O377" s="55"/>
      <c r="P377" s="55"/>
      <c r="Q377" s="63" t="s">
        <v>140</v>
      </c>
      <c r="R377" s="63" t="s">
        <v>2125</v>
      </c>
      <c r="S377" s="63" t="s">
        <v>2173</v>
      </c>
      <c r="T377" s="63" t="s">
        <v>2152</v>
      </c>
      <c r="U377" s="55"/>
      <c r="V377" s="6" t="s">
        <v>44</v>
      </c>
      <c r="W377" s="55"/>
      <c r="X377" s="6" t="s">
        <v>45</v>
      </c>
      <c r="Y377" s="6" t="s">
        <v>46</v>
      </c>
      <c r="Z377" s="63" t="s">
        <v>2174</v>
      </c>
      <c r="AA377" s="6" t="s">
        <v>60</v>
      </c>
      <c r="AB377" s="6" t="s">
        <v>194</v>
      </c>
      <c r="AC377" s="6" t="s">
        <v>558</v>
      </c>
      <c r="AD377" s="55"/>
      <c r="AE377" s="55"/>
      <c r="AF377" s="55"/>
      <c r="AG377" s="55"/>
    </row>
    <row r="378">
      <c r="A378" s="21">
        <f>COUNTIF('Divulgação'!$B:$B,B378)</f>
        <v>1</v>
      </c>
      <c r="B378" s="62" t="s">
        <v>1841</v>
      </c>
      <c r="C378" s="55"/>
      <c r="D378" s="6" t="s">
        <v>39</v>
      </c>
      <c r="E378" s="6" t="s">
        <v>40</v>
      </c>
      <c r="F378" s="63" t="s">
        <v>2152</v>
      </c>
      <c r="G378" s="6" t="s">
        <v>41</v>
      </c>
      <c r="H378" s="63" t="s">
        <v>2152</v>
      </c>
      <c r="I378" s="21" t="s">
        <v>302</v>
      </c>
      <c r="J378" s="63" t="s">
        <v>1387</v>
      </c>
      <c r="K378" s="6" t="s">
        <v>303</v>
      </c>
      <c r="L378" s="63" t="s">
        <v>2178</v>
      </c>
      <c r="M378" s="55"/>
      <c r="N378" s="55"/>
      <c r="O378" s="55"/>
      <c r="P378" s="55"/>
      <c r="Q378" s="63" t="s">
        <v>140</v>
      </c>
      <c r="R378" s="63" t="s">
        <v>2125</v>
      </c>
      <c r="S378" s="63" t="s">
        <v>2173</v>
      </c>
      <c r="T378" s="63" t="s">
        <v>2152</v>
      </c>
      <c r="U378" s="55"/>
      <c r="V378" s="6" t="s">
        <v>44</v>
      </c>
      <c r="W378" s="55"/>
      <c r="X378" s="6" t="s">
        <v>45</v>
      </c>
      <c r="Y378" s="6" t="s">
        <v>46</v>
      </c>
      <c r="Z378" s="63" t="s">
        <v>2180</v>
      </c>
      <c r="AA378" s="6" t="s">
        <v>63</v>
      </c>
      <c r="AB378" s="6" t="s">
        <v>72</v>
      </c>
      <c r="AC378" s="6" t="s">
        <v>74</v>
      </c>
      <c r="AD378" s="55"/>
      <c r="AE378" s="55"/>
      <c r="AF378" s="55"/>
      <c r="AG378" s="55"/>
    </row>
    <row r="379">
      <c r="A379" s="21">
        <f>COUNTIF('Divulgação'!$B:$B,B379)</f>
        <v>1</v>
      </c>
      <c r="B379" s="62" t="s">
        <v>1042</v>
      </c>
      <c r="C379" s="55"/>
      <c r="D379" s="6" t="s">
        <v>39</v>
      </c>
      <c r="E379" s="6" t="s">
        <v>40</v>
      </c>
      <c r="F379" s="63" t="s">
        <v>2152</v>
      </c>
      <c r="G379" s="6" t="s">
        <v>41</v>
      </c>
      <c r="H379" s="63" t="s">
        <v>2152</v>
      </c>
      <c r="I379" s="21" t="s">
        <v>302</v>
      </c>
      <c r="J379" s="63" t="s">
        <v>1387</v>
      </c>
      <c r="K379" s="6" t="s">
        <v>303</v>
      </c>
      <c r="L379" s="63" t="s">
        <v>2183</v>
      </c>
      <c r="M379" s="55"/>
      <c r="N379" s="55"/>
      <c r="O379" s="55"/>
      <c r="P379" s="55"/>
      <c r="Q379" s="63" t="s">
        <v>140</v>
      </c>
      <c r="R379" s="63" t="s">
        <v>2125</v>
      </c>
      <c r="S379" s="63" t="s">
        <v>2173</v>
      </c>
      <c r="T379" s="63" t="s">
        <v>2152</v>
      </c>
      <c r="U379" s="55"/>
      <c r="V379" s="6" t="s">
        <v>44</v>
      </c>
      <c r="W379" s="55"/>
      <c r="X379" s="6" t="s">
        <v>45</v>
      </c>
      <c r="Y379" s="6" t="s">
        <v>46</v>
      </c>
      <c r="Z379" s="63" t="s">
        <v>2186</v>
      </c>
      <c r="AA379" s="6" t="s">
        <v>60</v>
      </c>
      <c r="AB379" s="6" t="s">
        <v>194</v>
      </c>
      <c r="AC379" s="6" t="s">
        <v>558</v>
      </c>
      <c r="AD379" s="55"/>
      <c r="AE379" s="55"/>
      <c r="AF379" s="55"/>
      <c r="AG379" s="55"/>
    </row>
    <row r="380">
      <c r="A380" s="21">
        <f>COUNTIF('Divulgação'!$B:$B,B380)</f>
        <v>1</v>
      </c>
      <c r="B380" s="62" t="s">
        <v>1043</v>
      </c>
      <c r="C380" s="55"/>
      <c r="D380" s="6" t="s">
        <v>39</v>
      </c>
      <c r="E380" s="6" t="s">
        <v>40</v>
      </c>
      <c r="F380" s="63" t="s">
        <v>2152</v>
      </c>
      <c r="G380" s="6" t="s">
        <v>41</v>
      </c>
      <c r="H380" s="63" t="s">
        <v>2152</v>
      </c>
      <c r="I380" s="21" t="s">
        <v>452</v>
      </c>
      <c r="J380" s="63" t="s">
        <v>1387</v>
      </c>
      <c r="K380" s="6" t="s">
        <v>1044</v>
      </c>
      <c r="L380" s="63" t="s">
        <v>2192</v>
      </c>
      <c r="M380" s="55"/>
      <c r="N380" s="55"/>
      <c r="O380" s="55"/>
      <c r="P380" s="55"/>
      <c r="Q380" s="63" t="s">
        <v>140</v>
      </c>
      <c r="R380" s="63" t="s">
        <v>2125</v>
      </c>
      <c r="S380" s="63" t="s">
        <v>2173</v>
      </c>
      <c r="T380" s="63" t="s">
        <v>2152</v>
      </c>
      <c r="U380" s="55"/>
      <c r="V380" s="6" t="s">
        <v>44</v>
      </c>
      <c r="W380" s="55"/>
      <c r="X380" s="6" t="s">
        <v>45</v>
      </c>
      <c r="Y380" s="6" t="s">
        <v>46</v>
      </c>
      <c r="Z380" s="63" t="s">
        <v>2194</v>
      </c>
      <c r="AA380" s="6" t="s">
        <v>45</v>
      </c>
      <c r="AB380" s="6" t="s">
        <v>46</v>
      </c>
      <c r="AC380" s="6" t="s">
        <v>324</v>
      </c>
      <c r="AD380" s="55"/>
      <c r="AE380" s="55"/>
      <c r="AF380" s="55"/>
      <c r="AG380" s="55"/>
    </row>
    <row r="381">
      <c r="A381" s="21">
        <f>COUNTIF('Divulgação'!$B:$B,B381)</f>
        <v>1</v>
      </c>
      <c r="B381" s="62" t="s">
        <v>1046</v>
      </c>
      <c r="C381" s="55"/>
      <c r="D381" s="6" t="s">
        <v>39</v>
      </c>
      <c r="E381" s="6" t="s">
        <v>40</v>
      </c>
      <c r="F381" s="63" t="s">
        <v>2152</v>
      </c>
      <c r="G381" s="6" t="s">
        <v>41</v>
      </c>
      <c r="H381" s="63" t="s">
        <v>2152</v>
      </c>
      <c r="I381" s="21" t="s">
        <v>452</v>
      </c>
      <c r="J381" s="63" t="s">
        <v>1387</v>
      </c>
      <c r="K381" s="6" t="s">
        <v>1044</v>
      </c>
      <c r="L381" s="63" t="s">
        <v>2197</v>
      </c>
      <c r="M381" s="55"/>
      <c r="N381" s="55"/>
      <c r="O381" s="55"/>
      <c r="P381" s="55"/>
      <c r="Q381" s="63" t="s">
        <v>140</v>
      </c>
      <c r="R381" s="63" t="s">
        <v>2125</v>
      </c>
      <c r="S381" s="63" t="s">
        <v>2173</v>
      </c>
      <c r="T381" s="63" t="s">
        <v>2152</v>
      </c>
      <c r="U381" s="55"/>
      <c r="V381" s="6" t="s">
        <v>44</v>
      </c>
      <c r="W381" s="55"/>
      <c r="X381" s="6" t="s">
        <v>45</v>
      </c>
      <c r="Y381" s="6" t="s">
        <v>46</v>
      </c>
      <c r="Z381" s="63" t="s">
        <v>2199</v>
      </c>
      <c r="AA381" s="6" t="s">
        <v>45</v>
      </c>
      <c r="AB381" s="6" t="s">
        <v>46</v>
      </c>
      <c r="AC381" s="6" t="s">
        <v>80</v>
      </c>
      <c r="AD381" s="55"/>
      <c r="AE381" s="55"/>
      <c r="AF381" s="55"/>
      <c r="AG381" s="55"/>
    </row>
    <row r="382">
      <c r="A382" s="21">
        <f>COUNTIF('Divulgação'!$B:$B,B382)</f>
        <v>1</v>
      </c>
      <c r="B382" s="62" t="s">
        <v>1045</v>
      </c>
      <c r="C382" s="55"/>
      <c r="D382" s="6" t="s">
        <v>39</v>
      </c>
      <c r="E382" s="6" t="s">
        <v>40</v>
      </c>
      <c r="F382" s="63" t="s">
        <v>2152</v>
      </c>
      <c r="G382" s="6" t="s">
        <v>41</v>
      </c>
      <c r="H382" s="63" t="s">
        <v>2152</v>
      </c>
      <c r="I382" s="21" t="s">
        <v>452</v>
      </c>
      <c r="J382" s="63" t="s">
        <v>1387</v>
      </c>
      <c r="K382" s="6" t="s">
        <v>1044</v>
      </c>
      <c r="L382" s="63" t="s">
        <v>2203</v>
      </c>
      <c r="M382" s="55"/>
      <c r="N382" s="55"/>
      <c r="O382" s="55"/>
      <c r="P382" s="55"/>
      <c r="Q382" s="63" t="s">
        <v>140</v>
      </c>
      <c r="R382" s="63" t="s">
        <v>2125</v>
      </c>
      <c r="S382" s="63" t="s">
        <v>2173</v>
      </c>
      <c r="T382" s="63" t="s">
        <v>2152</v>
      </c>
      <c r="U382" s="55"/>
      <c r="V382" s="6" t="s">
        <v>44</v>
      </c>
      <c r="W382" s="55"/>
      <c r="X382" s="6" t="s">
        <v>45</v>
      </c>
      <c r="Y382" s="6" t="s">
        <v>46</v>
      </c>
      <c r="Z382" s="63" t="s">
        <v>2205</v>
      </c>
      <c r="AA382" s="6" t="s">
        <v>45</v>
      </c>
      <c r="AB382" s="6" t="s">
        <v>46</v>
      </c>
      <c r="AC382" s="6" t="s">
        <v>80</v>
      </c>
      <c r="AD382" s="55"/>
      <c r="AE382" s="55"/>
      <c r="AF382" s="55"/>
      <c r="AG382" s="55"/>
    </row>
    <row r="383">
      <c r="A383" s="21">
        <f>COUNTIF('Divulgação'!$B:$B,B383)</f>
        <v>1</v>
      </c>
      <c r="B383" s="62" t="s">
        <v>1050</v>
      </c>
      <c r="C383" s="55"/>
      <c r="D383" s="6" t="s">
        <v>39</v>
      </c>
      <c r="E383" s="6" t="s">
        <v>40</v>
      </c>
      <c r="F383" s="63" t="s">
        <v>2152</v>
      </c>
      <c r="G383" s="6" t="s">
        <v>41</v>
      </c>
      <c r="H383" s="63" t="s">
        <v>2152</v>
      </c>
      <c r="I383" s="21" t="s">
        <v>1048</v>
      </c>
      <c r="J383" s="6" t="s">
        <v>156</v>
      </c>
      <c r="K383" s="6" t="s">
        <v>1049</v>
      </c>
      <c r="L383" s="63" t="s">
        <v>2208</v>
      </c>
      <c r="M383" s="55"/>
      <c r="N383" s="55"/>
      <c r="O383" s="55"/>
      <c r="P383" s="55"/>
      <c r="Q383" s="63" t="s">
        <v>140</v>
      </c>
      <c r="R383" s="63" t="s">
        <v>2123</v>
      </c>
      <c r="S383" s="63" t="s">
        <v>2152</v>
      </c>
      <c r="T383" s="63" t="s">
        <v>2152</v>
      </c>
      <c r="U383" s="55"/>
      <c r="V383" s="6" t="s">
        <v>44</v>
      </c>
      <c r="W383" s="55"/>
      <c r="X383" s="6" t="s">
        <v>45</v>
      </c>
      <c r="Y383" s="6" t="s">
        <v>46</v>
      </c>
      <c r="Z383" s="63" t="s">
        <v>2209</v>
      </c>
      <c r="AA383" s="6" t="s">
        <v>60</v>
      </c>
      <c r="AB383" s="6" t="s">
        <v>189</v>
      </c>
      <c r="AC383" s="6" t="s">
        <v>810</v>
      </c>
      <c r="AD383" s="55"/>
      <c r="AE383" s="55"/>
      <c r="AF383" s="55"/>
      <c r="AG383" s="55"/>
    </row>
    <row r="384">
      <c r="A384" s="21">
        <f>COUNTIF('Divulgação'!$B:$B,B384)</f>
        <v>1</v>
      </c>
      <c r="B384" s="62" t="s">
        <v>1047</v>
      </c>
      <c r="C384" s="55"/>
      <c r="D384" s="6" t="s">
        <v>39</v>
      </c>
      <c r="E384" s="6" t="s">
        <v>40</v>
      </c>
      <c r="F384" s="63" t="s">
        <v>2152</v>
      </c>
      <c r="G384" s="6" t="s">
        <v>41</v>
      </c>
      <c r="H384" s="63" t="s">
        <v>2152</v>
      </c>
      <c r="I384" s="21" t="s">
        <v>1048</v>
      </c>
      <c r="J384" s="6" t="s">
        <v>156</v>
      </c>
      <c r="K384" s="6" t="s">
        <v>1049</v>
      </c>
      <c r="L384" s="63" t="s">
        <v>2210</v>
      </c>
      <c r="M384" s="55"/>
      <c r="N384" s="55"/>
      <c r="O384" s="55"/>
      <c r="P384" s="55"/>
      <c r="Q384" s="63" t="s">
        <v>140</v>
      </c>
      <c r="R384" s="63" t="s">
        <v>2123</v>
      </c>
      <c r="S384" s="63" t="s">
        <v>2152</v>
      </c>
      <c r="T384" s="63" t="s">
        <v>2152</v>
      </c>
      <c r="U384" s="55"/>
      <c r="V384" s="6" t="s">
        <v>44</v>
      </c>
      <c r="W384" s="55"/>
      <c r="X384" s="6" t="s">
        <v>45</v>
      </c>
      <c r="Y384" s="6" t="s">
        <v>46</v>
      </c>
      <c r="Z384" s="63" t="s">
        <v>2211</v>
      </c>
      <c r="AA384" s="6" t="s">
        <v>45</v>
      </c>
      <c r="AB384" s="6" t="s">
        <v>46</v>
      </c>
      <c r="AC384" s="6" t="s">
        <v>80</v>
      </c>
      <c r="AD384" s="55"/>
      <c r="AE384" s="55"/>
      <c r="AF384" s="55"/>
      <c r="AG384" s="55"/>
    </row>
    <row r="385">
      <c r="A385" s="21">
        <f>COUNTIF('Divulgação'!$B:$B,B385)</f>
        <v>1</v>
      </c>
      <c r="B385" s="62" t="s">
        <v>1052</v>
      </c>
      <c r="C385" s="55"/>
      <c r="D385" s="6" t="s">
        <v>39</v>
      </c>
      <c r="E385" s="6" t="s">
        <v>40</v>
      </c>
      <c r="F385" s="63" t="s">
        <v>2212</v>
      </c>
      <c r="G385" s="6" t="s">
        <v>41</v>
      </c>
      <c r="H385" s="63" t="s">
        <v>2212</v>
      </c>
      <c r="I385" s="21" t="s">
        <v>949</v>
      </c>
      <c r="J385" s="6" t="s">
        <v>156</v>
      </c>
      <c r="K385" s="6" t="s">
        <v>950</v>
      </c>
      <c r="L385" s="63" t="s">
        <v>1055</v>
      </c>
      <c r="M385" s="55"/>
      <c r="N385" s="55"/>
      <c r="O385" s="55"/>
      <c r="P385" s="55"/>
      <c r="Q385" s="63" t="s">
        <v>140</v>
      </c>
      <c r="R385" s="63" t="s">
        <v>2215</v>
      </c>
      <c r="S385" s="63" t="s">
        <v>2212</v>
      </c>
      <c r="T385" s="63" t="s">
        <v>2212</v>
      </c>
      <c r="U385" s="55"/>
      <c r="V385" s="6" t="s">
        <v>44</v>
      </c>
      <c r="W385" s="55"/>
      <c r="X385" s="6" t="s">
        <v>45</v>
      </c>
      <c r="Y385" s="6" t="s">
        <v>46</v>
      </c>
      <c r="Z385" s="63" t="s">
        <v>2217</v>
      </c>
      <c r="AA385" s="6" t="s">
        <v>70</v>
      </c>
      <c r="AB385" s="6" t="s">
        <v>152</v>
      </c>
      <c r="AC385" s="6" t="s">
        <v>737</v>
      </c>
      <c r="AD385" s="55"/>
      <c r="AE385" s="55"/>
      <c r="AF385" s="55"/>
      <c r="AG385" s="55"/>
    </row>
    <row r="386">
      <c r="A386" s="21">
        <f>COUNTIF('Divulgação'!$B:$B,B386)</f>
        <v>1</v>
      </c>
      <c r="B386" s="62" t="s">
        <v>1051</v>
      </c>
      <c r="C386" s="55"/>
      <c r="D386" s="6" t="s">
        <v>39</v>
      </c>
      <c r="E386" s="6" t="s">
        <v>40</v>
      </c>
      <c r="F386" s="63" t="s">
        <v>2212</v>
      </c>
      <c r="G386" s="6" t="s">
        <v>41</v>
      </c>
      <c r="H386" s="63" t="s">
        <v>2212</v>
      </c>
      <c r="I386" s="21" t="s">
        <v>949</v>
      </c>
      <c r="J386" s="6" t="s">
        <v>156</v>
      </c>
      <c r="K386" s="6" t="s">
        <v>950</v>
      </c>
      <c r="L386" s="63" t="s">
        <v>1846</v>
      </c>
      <c r="M386" s="55"/>
      <c r="N386" s="55"/>
      <c r="O386" s="55"/>
      <c r="P386" s="55"/>
      <c r="Q386" s="63" t="s">
        <v>140</v>
      </c>
      <c r="R386" s="63" t="s">
        <v>2215</v>
      </c>
      <c r="S386" s="63" t="s">
        <v>2212</v>
      </c>
      <c r="T386" s="63" t="s">
        <v>2212</v>
      </c>
      <c r="U386" s="55"/>
      <c r="V386" s="6" t="s">
        <v>44</v>
      </c>
      <c r="W386" s="55"/>
      <c r="X386" s="6" t="s">
        <v>45</v>
      </c>
      <c r="Y386" s="6" t="s">
        <v>46</v>
      </c>
      <c r="Z386" s="63" t="s">
        <v>2220</v>
      </c>
      <c r="AA386" s="6" t="s">
        <v>70</v>
      </c>
      <c r="AB386" s="6" t="s">
        <v>152</v>
      </c>
      <c r="AC386" s="6" t="s">
        <v>737</v>
      </c>
      <c r="AD386" s="55"/>
      <c r="AE386" s="55"/>
      <c r="AF386" s="55"/>
      <c r="AG386" s="55"/>
    </row>
    <row r="387">
      <c r="A387" s="21">
        <f>COUNTIF('Divulgação'!$B:$B,B387)</f>
        <v>1</v>
      </c>
      <c r="B387" s="62" t="s">
        <v>1063</v>
      </c>
      <c r="C387" s="55"/>
      <c r="D387" s="6" t="s">
        <v>39</v>
      </c>
      <c r="E387" s="6" t="s">
        <v>40</v>
      </c>
      <c r="F387" s="63" t="s">
        <v>2221</v>
      </c>
      <c r="G387" s="6" t="s">
        <v>41</v>
      </c>
      <c r="H387" s="63" t="s">
        <v>2221</v>
      </c>
      <c r="I387" s="21" t="s">
        <v>986</v>
      </c>
      <c r="J387" s="63" t="s">
        <v>1387</v>
      </c>
      <c r="K387" s="6" t="s">
        <v>987</v>
      </c>
      <c r="L387" s="63" t="s">
        <v>2222</v>
      </c>
      <c r="M387" s="55"/>
      <c r="N387" s="55"/>
      <c r="O387" s="55"/>
      <c r="P387" s="55"/>
      <c r="Q387" s="63" t="s">
        <v>140</v>
      </c>
      <c r="R387" s="63" t="s">
        <v>2223</v>
      </c>
      <c r="S387" s="63" t="s">
        <v>2224</v>
      </c>
      <c r="T387" s="63" t="s">
        <v>2221</v>
      </c>
      <c r="U387" s="55"/>
      <c r="V387" s="6" t="s">
        <v>44</v>
      </c>
      <c r="W387" s="55"/>
      <c r="X387" s="6" t="s">
        <v>45</v>
      </c>
      <c r="Y387" s="6" t="s">
        <v>46</v>
      </c>
      <c r="Z387" s="63" t="s">
        <v>2225</v>
      </c>
      <c r="AA387" s="6" t="s">
        <v>45</v>
      </c>
      <c r="AB387" s="6" t="s">
        <v>46</v>
      </c>
      <c r="AC387" s="6" t="s">
        <v>324</v>
      </c>
      <c r="AD387" s="55"/>
      <c r="AE387" s="55"/>
      <c r="AF387" s="55"/>
      <c r="AG387" s="55"/>
    </row>
    <row r="388">
      <c r="A388" s="21">
        <f>COUNTIF('Divulgação'!$B:$B,B388)</f>
        <v>1</v>
      </c>
      <c r="B388" s="62" t="s">
        <v>1060</v>
      </c>
      <c r="C388" s="55"/>
      <c r="D388" s="6" t="s">
        <v>39</v>
      </c>
      <c r="E388" s="6" t="s">
        <v>40</v>
      </c>
      <c r="F388" s="63" t="s">
        <v>2221</v>
      </c>
      <c r="G388" s="6" t="s">
        <v>41</v>
      </c>
      <c r="H388" s="63" t="s">
        <v>2221</v>
      </c>
      <c r="I388" s="21" t="s">
        <v>986</v>
      </c>
      <c r="J388" s="63" t="s">
        <v>1387</v>
      </c>
      <c r="K388" s="6" t="s">
        <v>987</v>
      </c>
      <c r="L388" s="63" t="s">
        <v>2227</v>
      </c>
      <c r="M388" s="55"/>
      <c r="N388" s="55"/>
      <c r="O388" s="55"/>
      <c r="P388" s="55"/>
      <c r="Q388" s="63" t="s">
        <v>140</v>
      </c>
      <c r="R388" s="63" t="s">
        <v>2223</v>
      </c>
      <c r="S388" s="63" t="s">
        <v>2224</v>
      </c>
      <c r="T388" s="63" t="s">
        <v>2221</v>
      </c>
      <c r="U388" s="55"/>
      <c r="V388" s="6" t="s">
        <v>44</v>
      </c>
      <c r="W388" s="55"/>
      <c r="X388" s="6" t="s">
        <v>45</v>
      </c>
      <c r="Y388" s="6" t="s">
        <v>46</v>
      </c>
      <c r="Z388" s="63" t="s">
        <v>2228</v>
      </c>
      <c r="AA388" s="6" t="s">
        <v>304</v>
      </c>
      <c r="AB388" s="6" t="s">
        <v>306</v>
      </c>
      <c r="AC388" s="6" t="s">
        <v>404</v>
      </c>
      <c r="AD388" s="55"/>
      <c r="AE388" s="55"/>
      <c r="AF388" s="55"/>
      <c r="AG388" s="55"/>
    </row>
    <row r="389">
      <c r="A389" s="21">
        <f>COUNTIF('Divulgação'!$B:$B,B389)</f>
        <v>1</v>
      </c>
      <c r="B389" s="62" t="s">
        <v>1065</v>
      </c>
      <c r="C389" s="55"/>
      <c r="D389" s="6" t="s">
        <v>39</v>
      </c>
      <c r="E389" s="6" t="s">
        <v>40</v>
      </c>
      <c r="F389" s="63" t="s">
        <v>2221</v>
      </c>
      <c r="G389" s="6" t="s">
        <v>41</v>
      </c>
      <c r="H389" s="63" t="s">
        <v>2221</v>
      </c>
      <c r="I389" s="21" t="s">
        <v>199</v>
      </c>
      <c r="J389" s="63" t="s">
        <v>1387</v>
      </c>
      <c r="K389" s="6" t="s">
        <v>200</v>
      </c>
      <c r="L389" s="63" t="s">
        <v>1422</v>
      </c>
      <c r="M389" s="55"/>
      <c r="N389" s="55"/>
      <c r="O389" s="55"/>
      <c r="P389" s="55"/>
      <c r="Q389" s="63" t="s">
        <v>140</v>
      </c>
      <c r="R389" s="63" t="s">
        <v>2223</v>
      </c>
      <c r="S389" s="63" t="s">
        <v>2224</v>
      </c>
      <c r="T389" s="63" t="s">
        <v>2221</v>
      </c>
      <c r="U389" s="55"/>
      <c r="V389" s="6" t="s">
        <v>44</v>
      </c>
      <c r="W389" s="55"/>
      <c r="X389" s="6" t="s">
        <v>45</v>
      </c>
      <c r="Y389" s="6" t="s">
        <v>46</v>
      </c>
      <c r="Z389" s="63" t="s">
        <v>2231</v>
      </c>
      <c r="AA389" s="6" t="s">
        <v>45</v>
      </c>
      <c r="AB389" s="6" t="s">
        <v>46</v>
      </c>
      <c r="AC389" s="6" t="s">
        <v>177</v>
      </c>
      <c r="AD389" s="6" t="s">
        <v>1066</v>
      </c>
      <c r="AE389" s="55"/>
      <c r="AF389" s="55"/>
      <c r="AG389" s="55"/>
    </row>
    <row r="390">
      <c r="A390" s="21">
        <f>COUNTIF('Divulgação'!$B:$B,B390)</f>
        <v>1</v>
      </c>
      <c r="B390" s="62" t="s">
        <v>1070</v>
      </c>
      <c r="C390" s="55"/>
      <c r="D390" s="6" t="s">
        <v>39</v>
      </c>
      <c r="E390" s="6" t="s">
        <v>40</v>
      </c>
      <c r="F390" s="63" t="s">
        <v>2221</v>
      </c>
      <c r="G390" s="6" t="s">
        <v>41</v>
      </c>
      <c r="H390" s="63" t="s">
        <v>2221</v>
      </c>
      <c r="I390" s="21" t="s">
        <v>1068</v>
      </c>
      <c r="J390" s="6" t="s">
        <v>1071</v>
      </c>
      <c r="K390" s="6" t="s">
        <v>944</v>
      </c>
      <c r="L390" s="6" t="s">
        <v>1072</v>
      </c>
      <c r="M390" s="55"/>
      <c r="N390" s="55"/>
      <c r="O390" s="55"/>
      <c r="P390" s="55"/>
      <c r="Q390" s="63" t="s">
        <v>140</v>
      </c>
      <c r="R390" s="63" t="s">
        <v>2223</v>
      </c>
      <c r="S390" s="63" t="s">
        <v>2224</v>
      </c>
      <c r="T390" s="63" t="s">
        <v>2221</v>
      </c>
      <c r="U390" s="55"/>
      <c r="V390" s="6" t="s">
        <v>44</v>
      </c>
      <c r="W390" s="55"/>
      <c r="X390" s="6" t="s">
        <v>45</v>
      </c>
      <c r="Y390" s="6" t="s">
        <v>46</v>
      </c>
      <c r="Z390" s="63" t="s">
        <v>2235</v>
      </c>
      <c r="AA390" s="6" t="s">
        <v>63</v>
      </c>
      <c r="AB390" s="6" t="s">
        <v>72</v>
      </c>
      <c r="AC390" s="6" t="s">
        <v>724</v>
      </c>
      <c r="AD390" s="55"/>
      <c r="AE390" s="55"/>
      <c r="AF390" s="55"/>
      <c r="AG390" s="55"/>
    </row>
    <row r="391">
      <c r="A391" s="21">
        <f>COUNTIF('Divulgação'!$B:$B,B391)</f>
        <v>1</v>
      </c>
      <c r="B391" s="62" t="s">
        <v>1067</v>
      </c>
      <c r="C391" s="55"/>
      <c r="D391" s="6" t="s">
        <v>39</v>
      </c>
      <c r="E391" s="6" t="s">
        <v>40</v>
      </c>
      <c r="F391" s="63" t="s">
        <v>2221</v>
      </c>
      <c r="G391" s="6" t="s">
        <v>41</v>
      </c>
      <c r="H391" s="63" t="s">
        <v>2221</v>
      </c>
      <c r="I391" s="21" t="s">
        <v>1068</v>
      </c>
      <c r="J391" s="63" t="s">
        <v>2240</v>
      </c>
      <c r="K391" s="6" t="s">
        <v>944</v>
      </c>
      <c r="L391" s="6" t="s">
        <v>1069</v>
      </c>
      <c r="M391" s="55"/>
      <c r="N391" s="55"/>
      <c r="O391" s="55"/>
      <c r="P391" s="55"/>
      <c r="Q391" s="63" t="s">
        <v>140</v>
      </c>
      <c r="R391" s="63" t="s">
        <v>2223</v>
      </c>
      <c r="S391" s="63" t="s">
        <v>2224</v>
      </c>
      <c r="T391" s="63" t="s">
        <v>2221</v>
      </c>
      <c r="U391" s="55"/>
      <c r="V391" s="6" t="s">
        <v>44</v>
      </c>
      <c r="W391" s="55"/>
      <c r="X391" s="6" t="s">
        <v>45</v>
      </c>
      <c r="Y391" s="6" t="s">
        <v>46</v>
      </c>
      <c r="Z391" s="63" t="s">
        <v>2241</v>
      </c>
      <c r="AA391" s="6" t="s">
        <v>60</v>
      </c>
      <c r="AB391" s="6" t="s">
        <v>189</v>
      </c>
      <c r="AC391" s="6" t="s">
        <v>887</v>
      </c>
      <c r="AD391" s="55"/>
      <c r="AE391" s="55"/>
      <c r="AF391" s="55"/>
      <c r="AG391" s="55"/>
    </row>
    <row r="392">
      <c r="A392" s="21">
        <f>COUNTIF('Divulgação'!$B:$B,B392)</f>
        <v>1</v>
      </c>
      <c r="B392" s="62" t="s">
        <v>1850</v>
      </c>
      <c r="C392" s="55"/>
      <c r="D392" s="6" t="s">
        <v>39</v>
      </c>
      <c r="E392" s="6" t="s">
        <v>40</v>
      </c>
      <c r="F392" s="63" t="s">
        <v>2221</v>
      </c>
      <c r="G392" s="6" t="s">
        <v>41</v>
      </c>
      <c r="H392" s="63" t="s">
        <v>2221</v>
      </c>
      <c r="I392" s="21" t="s">
        <v>436</v>
      </c>
      <c r="J392" s="63" t="s">
        <v>1685</v>
      </c>
      <c r="K392" s="6" t="s">
        <v>778</v>
      </c>
      <c r="L392" s="6" t="s">
        <v>1211</v>
      </c>
      <c r="M392" s="55"/>
      <c r="N392" s="55"/>
      <c r="O392" s="55"/>
      <c r="P392" s="55"/>
      <c r="Q392" s="63" t="s">
        <v>140</v>
      </c>
      <c r="R392" s="63" t="s">
        <v>2242</v>
      </c>
      <c r="S392" s="63" t="s">
        <v>2223</v>
      </c>
      <c r="T392" s="63" t="s">
        <v>2221</v>
      </c>
      <c r="U392" s="55"/>
      <c r="V392" s="6" t="s">
        <v>44</v>
      </c>
      <c r="W392" s="55"/>
      <c r="X392" s="6" t="s">
        <v>45</v>
      </c>
      <c r="Y392" s="6" t="s">
        <v>46</v>
      </c>
      <c r="Z392" s="63" t="s">
        <v>2243</v>
      </c>
      <c r="AA392" s="6" t="s">
        <v>60</v>
      </c>
      <c r="AB392" s="6" t="s">
        <v>1111</v>
      </c>
      <c r="AC392" s="6" t="s">
        <v>1112</v>
      </c>
      <c r="AD392" s="55"/>
      <c r="AE392" s="55"/>
      <c r="AF392" s="55"/>
      <c r="AG392" s="55"/>
    </row>
    <row r="393">
      <c r="A393" s="21">
        <f>COUNTIF('Divulgação'!$B:$B,B393)</f>
        <v>1</v>
      </c>
      <c r="B393" s="62" t="s">
        <v>1848</v>
      </c>
      <c r="C393" s="55"/>
      <c r="D393" s="6" t="s">
        <v>39</v>
      </c>
      <c r="E393" s="6" t="s">
        <v>40</v>
      </c>
      <c r="F393" s="63" t="s">
        <v>2221</v>
      </c>
      <c r="G393" s="6" t="s">
        <v>41</v>
      </c>
      <c r="H393" s="63" t="s">
        <v>2221</v>
      </c>
      <c r="I393" s="21" t="s">
        <v>579</v>
      </c>
      <c r="J393" s="6" t="s">
        <v>156</v>
      </c>
      <c r="K393" s="6" t="s">
        <v>1076</v>
      </c>
      <c r="L393" s="6" t="s">
        <v>1849</v>
      </c>
      <c r="M393" s="55"/>
      <c r="N393" s="55"/>
      <c r="O393" s="55"/>
      <c r="P393" s="55"/>
      <c r="Q393" s="63" t="s">
        <v>140</v>
      </c>
      <c r="R393" s="63" t="s">
        <v>2244</v>
      </c>
      <c r="S393" s="63" t="s">
        <v>2245</v>
      </c>
      <c r="T393" s="63" t="s">
        <v>2221</v>
      </c>
      <c r="U393" s="55"/>
      <c r="V393" s="6" t="s">
        <v>44</v>
      </c>
      <c r="W393" s="55"/>
      <c r="X393" s="6" t="s">
        <v>45</v>
      </c>
      <c r="Y393" s="6" t="s">
        <v>46</v>
      </c>
      <c r="Z393" s="63" t="s">
        <v>2246</v>
      </c>
      <c r="AA393" s="6" t="s">
        <v>45</v>
      </c>
      <c r="AB393" s="6" t="s">
        <v>46</v>
      </c>
      <c r="AC393" s="6" t="s">
        <v>324</v>
      </c>
      <c r="AD393" s="55"/>
      <c r="AE393" s="55"/>
      <c r="AF393" s="55"/>
      <c r="AG393" s="55"/>
    </row>
    <row r="394">
      <c r="A394" s="21">
        <f>COUNTIF('Divulgação'!$B:$B,B394)</f>
        <v>1</v>
      </c>
      <c r="B394" s="62" t="s">
        <v>1075</v>
      </c>
      <c r="C394" s="55"/>
      <c r="D394" s="6" t="s">
        <v>39</v>
      </c>
      <c r="E394" s="6" t="s">
        <v>40</v>
      </c>
      <c r="F394" s="63" t="s">
        <v>2221</v>
      </c>
      <c r="G394" s="6" t="s">
        <v>41</v>
      </c>
      <c r="H394" s="63" t="s">
        <v>2221</v>
      </c>
      <c r="I394" s="21" t="s">
        <v>579</v>
      </c>
      <c r="J394" s="6" t="s">
        <v>156</v>
      </c>
      <c r="K394" s="6" t="s">
        <v>1076</v>
      </c>
      <c r="L394" s="63" t="s">
        <v>2247</v>
      </c>
      <c r="M394" s="55"/>
      <c r="N394" s="55"/>
      <c r="O394" s="55"/>
      <c r="P394" s="55"/>
      <c r="Q394" s="63" t="s">
        <v>140</v>
      </c>
      <c r="R394" s="63" t="s">
        <v>2244</v>
      </c>
      <c r="S394" s="63" t="s">
        <v>2245</v>
      </c>
      <c r="T394" s="63" t="s">
        <v>2221</v>
      </c>
      <c r="U394" s="55"/>
      <c r="V394" s="6" t="s">
        <v>44</v>
      </c>
      <c r="W394" s="55"/>
      <c r="X394" s="6" t="s">
        <v>45</v>
      </c>
      <c r="Y394" s="6" t="s">
        <v>46</v>
      </c>
      <c r="Z394" s="63" t="s">
        <v>2248</v>
      </c>
      <c r="AA394" s="6" t="s">
        <v>66</v>
      </c>
      <c r="AB394" s="6" t="s">
        <v>228</v>
      </c>
      <c r="AC394" s="6" t="s">
        <v>296</v>
      </c>
      <c r="AD394" s="55"/>
      <c r="AE394" s="55"/>
      <c r="AF394" s="55"/>
      <c r="AG394" s="55"/>
    </row>
    <row r="395">
      <c r="A395" s="21">
        <f>COUNTIF('Divulgação'!$B:$B,B395)</f>
        <v>1</v>
      </c>
      <c r="B395" s="62" t="s">
        <v>1085</v>
      </c>
      <c r="C395" s="55"/>
      <c r="D395" s="6" t="s">
        <v>39</v>
      </c>
      <c r="E395" s="6" t="s">
        <v>40</v>
      </c>
      <c r="F395" s="63" t="s">
        <v>2221</v>
      </c>
      <c r="G395" s="6" t="s">
        <v>41</v>
      </c>
      <c r="H395" s="63" t="s">
        <v>2221</v>
      </c>
      <c r="I395" s="21" t="s">
        <v>551</v>
      </c>
      <c r="J395" s="63" t="s">
        <v>1806</v>
      </c>
      <c r="K395" s="6" t="s">
        <v>698</v>
      </c>
      <c r="L395" s="6" t="s">
        <v>1086</v>
      </c>
      <c r="M395" s="55"/>
      <c r="N395" s="55"/>
      <c r="O395" s="55"/>
      <c r="P395" s="55"/>
      <c r="Q395" s="63" t="s">
        <v>140</v>
      </c>
      <c r="R395" s="63" t="s">
        <v>2223</v>
      </c>
      <c r="S395" s="63" t="s">
        <v>2224</v>
      </c>
      <c r="T395" s="63" t="s">
        <v>2221</v>
      </c>
      <c r="U395" s="55"/>
      <c r="V395" s="6" t="s">
        <v>44</v>
      </c>
      <c r="W395" s="55"/>
      <c r="X395" s="6" t="s">
        <v>45</v>
      </c>
      <c r="Y395" s="6" t="s">
        <v>46</v>
      </c>
      <c r="Z395" s="63" t="s">
        <v>2254</v>
      </c>
      <c r="AA395" s="6" t="s">
        <v>60</v>
      </c>
      <c r="AB395" s="6" t="s">
        <v>194</v>
      </c>
      <c r="AC395" s="6" t="s">
        <v>558</v>
      </c>
      <c r="AD395" s="55"/>
      <c r="AE395" s="55"/>
      <c r="AF395" s="55"/>
      <c r="AG395" s="55"/>
    </row>
    <row r="396">
      <c r="A396" s="21">
        <f>COUNTIF('Divulgação'!$B:$B,B396)</f>
        <v>1</v>
      </c>
      <c r="B396" s="62" t="s">
        <v>1087</v>
      </c>
      <c r="C396" s="55"/>
      <c r="D396" s="6" t="s">
        <v>39</v>
      </c>
      <c r="E396" s="6" t="s">
        <v>40</v>
      </c>
      <c r="F396" s="63" t="s">
        <v>2221</v>
      </c>
      <c r="G396" s="6" t="s">
        <v>41</v>
      </c>
      <c r="H396" s="63" t="s">
        <v>2221</v>
      </c>
      <c r="I396" s="21" t="s">
        <v>551</v>
      </c>
      <c r="J396" s="63" t="s">
        <v>1806</v>
      </c>
      <c r="K396" s="6" t="s">
        <v>698</v>
      </c>
      <c r="L396" s="6" t="s">
        <v>1088</v>
      </c>
      <c r="M396" s="55"/>
      <c r="N396" s="55"/>
      <c r="O396" s="55"/>
      <c r="P396" s="55"/>
      <c r="Q396" s="63" t="s">
        <v>140</v>
      </c>
      <c r="R396" s="63" t="s">
        <v>2244</v>
      </c>
      <c r="S396" s="63" t="s">
        <v>2245</v>
      </c>
      <c r="T396" s="63" t="s">
        <v>2221</v>
      </c>
      <c r="U396" s="55"/>
      <c r="V396" s="6" t="s">
        <v>44</v>
      </c>
      <c r="W396" s="55"/>
      <c r="X396" s="6" t="s">
        <v>45</v>
      </c>
      <c r="Y396" s="6" t="s">
        <v>46</v>
      </c>
      <c r="Z396" s="63" t="s">
        <v>2256</v>
      </c>
      <c r="AA396" s="6" t="s">
        <v>465</v>
      </c>
      <c r="AB396" s="6" t="s">
        <v>466</v>
      </c>
      <c r="AC396" s="6" t="s">
        <v>308</v>
      </c>
      <c r="AD396" s="55"/>
      <c r="AE396" s="55"/>
      <c r="AF396" s="55"/>
      <c r="AG396" s="55"/>
    </row>
    <row r="397">
      <c r="A397" s="21">
        <f>COUNTIF('Divulgação'!$B:$B,B397)</f>
        <v>1</v>
      </c>
      <c r="B397" s="62" t="s">
        <v>1077</v>
      </c>
      <c r="C397" s="55"/>
      <c r="D397" s="6" t="s">
        <v>39</v>
      </c>
      <c r="E397" s="6" t="s">
        <v>40</v>
      </c>
      <c r="F397" s="63" t="s">
        <v>2221</v>
      </c>
      <c r="G397" s="6" t="s">
        <v>41</v>
      </c>
      <c r="H397" s="63" t="s">
        <v>2221</v>
      </c>
      <c r="I397" s="21" t="s">
        <v>551</v>
      </c>
      <c r="J397" s="63" t="s">
        <v>1806</v>
      </c>
      <c r="K397" s="6" t="s">
        <v>698</v>
      </c>
      <c r="L397" s="6" t="s">
        <v>1078</v>
      </c>
      <c r="M397" s="55"/>
      <c r="N397" s="55"/>
      <c r="O397" s="55"/>
      <c r="P397" s="55"/>
      <c r="Q397" s="63" t="s">
        <v>140</v>
      </c>
      <c r="R397" s="63" t="s">
        <v>2223</v>
      </c>
      <c r="S397" s="63" t="s">
        <v>2224</v>
      </c>
      <c r="T397" s="63" t="s">
        <v>2221</v>
      </c>
      <c r="U397" s="55"/>
      <c r="V397" s="6" t="s">
        <v>44</v>
      </c>
      <c r="W397" s="55"/>
      <c r="X397" s="6" t="s">
        <v>45</v>
      </c>
      <c r="Y397" s="6" t="s">
        <v>46</v>
      </c>
      <c r="Z397" s="63" t="s">
        <v>2258</v>
      </c>
      <c r="AA397" s="6" t="s">
        <v>465</v>
      </c>
      <c r="AB397" s="6" t="s">
        <v>466</v>
      </c>
      <c r="AC397" s="6" t="s">
        <v>308</v>
      </c>
      <c r="AD397" s="55"/>
      <c r="AE397" s="55"/>
      <c r="AF397" s="55"/>
      <c r="AG397" s="55"/>
    </row>
    <row r="398">
      <c r="A398" s="21">
        <f>COUNTIF('Divulgação'!$B:$B,B398)</f>
        <v>1</v>
      </c>
      <c r="B398" s="62" t="s">
        <v>1083</v>
      </c>
      <c r="C398" s="55"/>
      <c r="D398" s="6" t="s">
        <v>39</v>
      </c>
      <c r="E398" s="6" t="s">
        <v>40</v>
      </c>
      <c r="F398" s="63" t="s">
        <v>2221</v>
      </c>
      <c r="G398" s="6" t="s">
        <v>41</v>
      </c>
      <c r="H398" s="63" t="s">
        <v>2221</v>
      </c>
      <c r="I398" s="21" t="s">
        <v>551</v>
      </c>
      <c r="J398" s="63" t="s">
        <v>1806</v>
      </c>
      <c r="K398" s="6" t="s">
        <v>698</v>
      </c>
      <c r="L398" s="6" t="s">
        <v>1084</v>
      </c>
      <c r="M398" s="55"/>
      <c r="N398" s="55"/>
      <c r="O398" s="55"/>
      <c r="P398" s="55"/>
      <c r="Q398" s="63" t="s">
        <v>140</v>
      </c>
      <c r="R398" s="63" t="s">
        <v>2223</v>
      </c>
      <c r="S398" s="63" t="s">
        <v>2224</v>
      </c>
      <c r="T398" s="63" t="s">
        <v>2221</v>
      </c>
      <c r="U398" s="55"/>
      <c r="V398" s="6" t="s">
        <v>44</v>
      </c>
      <c r="W398" s="55"/>
      <c r="X398" s="6" t="s">
        <v>45</v>
      </c>
      <c r="Y398" s="6" t="s">
        <v>46</v>
      </c>
      <c r="Z398" s="63" t="s">
        <v>2264</v>
      </c>
      <c r="AA398" s="6" t="s">
        <v>465</v>
      </c>
      <c r="AB398" s="6" t="s">
        <v>466</v>
      </c>
      <c r="AC398" s="6" t="s">
        <v>308</v>
      </c>
      <c r="AD398" s="55"/>
      <c r="AE398" s="55"/>
      <c r="AF398" s="55"/>
      <c r="AG398" s="55"/>
    </row>
    <row r="399">
      <c r="A399" s="21">
        <f>COUNTIF('Divulgação'!$B:$B,B399)</f>
        <v>1</v>
      </c>
      <c r="B399" s="62" t="s">
        <v>1079</v>
      </c>
      <c r="C399" s="55"/>
      <c r="D399" s="6" t="s">
        <v>39</v>
      </c>
      <c r="E399" s="6" t="s">
        <v>40</v>
      </c>
      <c r="F399" s="63" t="s">
        <v>2221</v>
      </c>
      <c r="G399" s="6" t="s">
        <v>41</v>
      </c>
      <c r="H399" s="63" t="s">
        <v>2221</v>
      </c>
      <c r="I399" s="21" t="s">
        <v>551</v>
      </c>
      <c r="J399" s="63" t="s">
        <v>1806</v>
      </c>
      <c r="K399" s="6" t="s">
        <v>698</v>
      </c>
      <c r="L399" s="6" t="s">
        <v>1080</v>
      </c>
      <c r="M399" s="55"/>
      <c r="N399" s="55"/>
      <c r="O399" s="55"/>
      <c r="P399" s="55"/>
      <c r="Q399" s="63" t="s">
        <v>140</v>
      </c>
      <c r="R399" s="63" t="s">
        <v>2223</v>
      </c>
      <c r="S399" s="63" t="s">
        <v>2224</v>
      </c>
      <c r="T399" s="63" t="s">
        <v>2221</v>
      </c>
      <c r="U399" s="55"/>
      <c r="V399" s="6" t="s">
        <v>44</v>
      </c>
      <c r="W399" s="55"/>
      <c r="X399" s="6" t="s">
        <v>45</v>
      </c>
      <c r="Y399" s="6" t="s">
        <v>46</v>
      </c>
      <c r="Z399" s="63" t="s">
        <v>2268</v>
      </c>
      <c r="AA399" s="6" t="s">
        <v>465</v>
      </c>
      <c r="AB399" s="6" t="s">
        <v>466</v>
      </c>
      <c r="AC399" s="6" t="s">
        <v>308</v>
      </c>
      <c r="AD399" s="55"/>
      <c r="AE399" s="55"/>
      <c r="AF399" s="55"/>
      <c r="AG399" s="55"/>
    </row>
    <row r="400">
      <c r="A400" s="21">
        <f>COUNTIF('Divulgação'!$B:$B,B400)</f>
        <v>1</v>
      </c>
      <c r="B400" s="62" t="s">
        <v>1843</v>
      </c>
      <c r="C400" s="55"/>
      <c r="D400" s="6" t="s">
        <v>39</v>
      </c>
      <c r="E400" s="6" t="s">
        <v>1222</v>
      </c>
      <c r="F400" s="63" t="s">
        <v>2242</v>
      </c>
      <c r="G400" s="6" t="s">
        <v>41</v>
      </c>
      <c r="H400" s="55"/>
      <c r="I400" s="21" t="s">
        <v>1179</v>
      </c>
      <c r="J400" s="63" t="s">
        <v>1678</v>
      </c>
      <c r="K400" s="6" t="s">
        <v>577</v>
      </c>
      <c r="L400" s="6" t="s">
        <v>1679</v>
      </c>
      <c r="M400" s="55"/>
      <c r="N400" s="55"/>
      <c r="O400" s="55"/>
      <c r="P400" s="55"/>
      <c r="Q400" s="63" t="s">
        <v>140</v>
      </c>
      <c r="R400" s="63" t="s">
        <v>2242</v>
      </c>
      <c r="S400" s="63" t="s">
        <v>2223</v>
      </c>
      <c r="T400" s="55"/>
      <c r="U400" s="55"/>
      <c r="V400" s="6" t="s">
        <v>44</v>
      </c>
      <c r="W400" s="55"/>
      <c r="X400" s="6" t="s">
        <v>45</v>
      </c>
      <c r="Y400" s="6" t="s">
        <v>46</v>
      </c>
      <c r="Z400" s="63" t="s">
        <v>2272</v>
      </c>
      <c r="AA400" s="6" t="s">
        <v>60</v>
      </c>
      <c r="AB400" s="6" t="s">
        <v>1111</v>
      </c>
      <c r="AC400" s="6" t="s">
        <v>1112</v>
      </c>
      <c r="AD400" s="55"/>
      <c r="AE400" s="55"/>
      <c r="AF400" s="55"/>
      <c r="AG400" s="55"/>
    </row>
    <row r="401">
      <c r="A401" s="21">
        <f>COUNTIF('Divulgação'!$B:$B,B401)</f>
        <v>1</v>
      </c>
      <c r="B401" s="62" t="s">
        <v>1058</v>
      </c>
      <c r="C401" s="55"/>
      <c r="D401" s="6" t="s">
        <v>39</v>
      </c>
      <c r="E401" s="6" t="s">
        <v>40</v>
      </c>
      <c r="F401" s="63" t="s">
        <v>2221</v>
      </c>
      <c r="G401" s="6" t="s">
        <v>41</v>
      </c>
      <c r="H401" s="63" t="s">
        <v>2221</v>
      </c>
      <c r="I401" s="21" t="s">
        <v>684</v>
      </c>
      <c r="J401" s="63" t="s">
        <v>1387</v>
      </c>
      <c r="K401" s="6" t="s">
        <v>685</v>
      </c>
      <c r="L401" s="63" t="s">
        <v>2276</v>
      </c>
      <c r="M401" s="55"/>
      <c r="N401" s="55"/>
      <c r="O401" s="55"/>
      <c r="P401" s="55"/>
      <c r="Q401" s="63" t="s">
        <v>140</v>
      </c>
      <c r="R401" s="63" t="s">
        <v>2277</v>
      </c>
      <c r="S401" s="63" t="s">
        <v>2278</v>
      </c>
      <c r="T401" s="63" t="s">
        <v>2221</v>
      </c>
      <c r="U401" s="55"/>
      <c r="V401" s="6" t="s">
        <v>44</v>
      </c>
      <c r="W401" s="55"/>
      <c r="X401" s="6" t="s">
        <v>45</v>
      </c>
      <c r="Y401" s="6" t="s">
        <v>46</v>
      </c>
      <c r="Z401" s="63" t="s">
        <v>2279</v>
      </c>
      <c r="AA401" s="6" t="s">
        <v>60</v>
      </c>
      <c r="AB401" s="6" t="s">
        <v>189</v>
      </c>
      <c r="AC401" s="6" t="s">
        <v>1059</v>
      </c>
      <c r="AD401" s="55"/>
      <c r="AE401" s="55"/>
      <c r="AF401" s="55"/>
      <c r="AG401" s="55"/>
    </row>
    <row r="402">
      <c r="A402" s="21">
        <f>COUNTIF('Divulgação'!$B:$B,B402)</f>
        <v>1</v>
      </c>
      <c r="B402" s="62" t="s">
        <v>1056</v>
      </c>
      <c r="C402" s="55"/>
      <c r="D402" s="6" t="s">
        <v>39</v>
      </c>
      <c r="E402" s="6" t="s">
        <v>40</v>
      </c>
      <c r="F402" s="63" t="s">
        <v>2221</v>
      </c>
      <c r="G402" s="6" t="s">
        <v>41</v>
      </c>
      <c r="H402" s="63" t="s">
        <v>2221</v>
      </c>
      <c r="I402" s="21" t="s">
        <v>684</v>
      </c>
      <c r="J402" s="63" t="s">
        <v>1387</v>
      </c>
      <c r="K402" s="6" t="s">
        <v>685</v>
      </c>
      <c r="L402" s="63" t="s">
        <v>2282</v>
      </c>
      <c r="M402" s="55"/>
      <c r="N402" s="55"/>
      <c r="O402" s="55"/>
      <c r="P402" s="55"/>
      <c r="Q402" s="63" t="s">
        <v>140</v>
      </c>
      <c r="R402" s="63" t="s">
        <v>2277</v>
      </c>
      <c r="S402" s="63" t="s">
        <v>2278</v>
      </c>
      <c r="T402" s="63" t="s">
        <v>2221</v>
      </c>
      <c r="U402" s="55"/>
      <c r="V402" s="6" t="s">
        <v>44</v>
      </c>
      <c r="W402" s="55"/>
      <c r="X402" s="6" t="s">
        <v>45</v>
      </c>
      <c r="Y402" s="6" t="s">
        <v>46</v>
      </c>
      <c r="Z402" s="63" t="s">
        <v>2284</v>
      </c>
      <c r="AA402" s="6" t="s">
        <v>304</v>
      </c>
      <c r="AB402" s="6" t="s">
        <v>306</v>
      </c>
      <c r="AC402" s="6" t="s">
        <v>1057</v>
      </c>
      <c r="AD402" s="55"/>
      <c r="AE402" s="55"/>
      <c r="AF402" s="55"/>
      <c r="AG402" s="55"/>
    </row>
    <row r="403">
      <c r="A403" s="21">
        <f>COUNTIF('Divulgação'!$B:$B,B403)</f>
        <v>1</v>
      </c>
      <c r="B403" s="62" t="s">
        <v>1061</v>
      </c>
      <c r="C403" s="55"/>
      <c r="D403" s="6" t="s">
        <v>39</v>
      </c>
      <c r="E403" s="6" t="s">
        <v>40</v>
      </c>
      <c r="F403" s="63" t="s">
        <v>2221</v>
      </c>
      <c r="G403" s="6" t="s">
        <v>41</v>
      </c>
      <c r="H403" s="63" t="s">
        <v>2221</v>
      </c>
      <c r="I403" s="21" t="s">
        <v>684</v>
      </c>
      <c r="J403" s="63" t="s">
        <v>1387</v>
      </c>
      <c r="K403" s="6" t="s">
        <v>685</v>
      </c>
      <c r="L403" s="63" t="s">
        <v>2287</v>
      </c>
      <c r="M403" s="55"/>
      <c r="N403" s="55"/>
      <c r="O403" s="55"/>
      <c r="P403" s="55"/>
      <c r="Q403" s="63" t="s">
        <v>140</v>
      </c>
      <c r="R403" s="63" t="s">
        <v>2277</v>
      </c>
      <c r="S403" s="63" t="s">
        <v>2278</v>
      </c>
      <c r="T403" s="63" t="s">
        <v>2221</v>
      </c>
      <c r="U403" s="55"/>
      <c r="V403" s="6" t="s">
        <v>44</v>
      </c>
      <c r="W403" s="55"/>
      <c r="X403" s="6" t="s">
        <v>45</v>
      </c>
      <c r="Y403" s="6" t="s">
        <v>46</v>
      </c>
      <c r="Z403" s="63" t="s">
        <v>2288</v>
      </c>
      <c r="AA403" s="6" t="s">
        <v>304</v>
      </c>
      <c r="AB403" s="6" t="s">
        <v>306</v>
      </c>
      <c r="AC403" s="6" t="s">
        <v>1062</v>
      </c>
      <c r="AD403" s="55"/>
      <c r="AE403" s="55"/>
      <c r="AF403" s="55"/>
      <c r="AG403" s="55"/>
    </row>
    <row r="404">
      <c r="A404" s="21">
        <f>COUNTIF('Divulgação'!$B:$B,B404)</f>
        <v>1</v>
      </c>
      <c r="B404" s="62" t="s">
        <v>1073</v>
      </c>
      <c r="C404" s="55"/>
      <c r="D404" s="6" t="s">
        <v>39</v>
      </c>
      <c r="E404" s="6" t="s">
        <v>40</v>
      </c>
      <c r="F404" s="63" t="s">
        <v>2221</v>
      </c>
      <c r="G404" s="6" t="s">
        <v>41</v>
      </c>
      <c r="H404" s="63" t="s">
        <v>2221</v>
      </c>
      <c r="I404" s="21" t="s">
        <v>375</v>
      </c>
      <c r="J404" s="63" t="s">
        <v>1387</v>
      </c>
      <c r="K404" s="6" t="s">
        <v>491</v>
      </c>
      <c r="L404" s="63" t="s">
        <v>2291</v>
      </c>
      <c r="M404" s="55"/>
      <c r="N404" s="55"/>
      <c r="O404" s="55"/>
      <c r="P404" s="55"/>
      <c r="Q404" s="63" t="s">
        <v>140</v>
      </c>
      <c r="R404" s="63" t="s">
        <v>2277</v>
      </c>
      <c r="S404" s="63" t="s">
        <v>2278</v>
      </c>
      <c r="T404" s="63" t="s">
        <v>2221</v>
      </c>
      <c r="U404" s="55"/>
      <c r="V404" s="6" t="s">
        <v>44</v>
      </c>
      <c r="W404" s="55"/>
      <c r="X404" s="6" t="s">
        <v>45</v>
      </c>
      <c r="Y404" s="6" t="s">
        <v>46</v>
      </c>
      <c r="Z404" s="63" t="s">
        <v>2293</v>
      </c>
      <c r="AA404" s="6" t="s">
        <v>45</v>
      </c>
      <c r="AB404" s="6" t="s">
        <v>46</v>
      </c>
      <c r="AC404" s="6" t="s">
        <v>324</v>
      </c>
      <c r="AD404" s="55"/>
      <c r="AE404" s="55"/>
      <c r="AF404" s="55"/>
      <c r="AG404" s="55"/>
    </row>
    <row r="405">
      <c r="A405" s="21">
        <f>COUNTIF('Divulgação'!$B:$B,B405)</f>
        <v>1</v>
      </c>
      <c r="B405" s="62" t="s">
        <v>1074</v>
      </c>
      <c r="C405" s="55"/>
      <c r="D405" s="6" t="s">
        <v>39</v>
      </c>
      <c r="E405" s="6" t="s">
        <v>40</v>
      </c>
      <c r="F405" s="63" t="s">
        <v>2221</v>
      </c>
      <c r="G405" s="6" t="s">
        <v>41</v>
      </c>
      <c r="H405" s="63" t="s">
        <v>2221</v>
      </c>
      <c r="I405" s="21" t="s">
        <v>375</v>
      </c>
      <c r="J405" s="63" t="s">
        <v>1387</v>
      </c>
      <c r="K405" s="6" t="s">
        <v>491</v>
      </c>
      <c r="L405" s="63" t="s">
        <v>2295</v>
      </c>
      <c r="M405" s="55"/>
      <c r="N405" s="55"/>
      <c r="O405" s="55"/>
      <c r="P405" s="55"/>
      <c r="Q405" s="63" t="s">
        <v>140</v>
      </c>
      <c r="R405" s="63" t="s">
        <v>2277</v>
      </c>
      <c r="S405" s="63" t="s">
        <v>2278</v>
      </c>
      <c r="T405" s="63" t="s">
        <v>2221</v>
      </c>
      <c r="U405" s="55"/>
      <c r="V405" s="6" t="s">
        <v>44</v>
      </c>
      <c r="W405" s="55"/>
      <c r="X405" s="6" t="s">
        <v>45</v>
      </c>
      <c r="Y405" s="6" t="s">
        <v>46</v>
      </c>
      <c r="Z405" s="63" t="s">
        <v>2296</v>
      </c>
      <c r="AA405" s="6" t="s">
        <v>45</v>
      </c>
      <c r="AB405" s="6" t="s">
        <v>46</v>
      </c>
      <c r="AC405" s="6" t="s">
        <v>324</v>
      </c>
      <c r="AD405" s="55"/>
      <c r="AE405" s="55"/>
      <c r="AF405" s="55"/>
      <c r="AG405" s="55"/>
    </row>
    <row r="406">
      <c r="A406" s="21">
        <f>COUNTIF('Divulgação'!$B:$B,B406)</f>
        <v>1</v>
      </c>
      <c r="B406" s="21" t="s">
        <v>2297</v>
      </c>
      <c r="C406" s="55"/>
      <c r="D406" s="6" t="s">
        <v>39</v>
      </c>
      <c r="E406" s="6" t="s">
        <v>40</v>
      </c>
      <c r="F406" s="23">
        <v>46183.0</v>
      </c>
      <c r="G406" s="6" t="s">
        <v>41</v>
      </c>
      <c r="H406" s="23">
        <v>46183.0</v>
      </c>
      <c r="I406" s="21" t="s">
        <v>199</v>
      </c>
      <c r="J406" s="6">
        <v>22373.0</v>
      </c>
      <c r="K406" s="6" t="s">
        <v>200</v>
      </c>
      <c r="L406" s="6">
        <v>9599.0</v>
      </c>
      <c r="M406" s="55"/>
      <c r="N406" s="55"/>
      <c r="O406" s="55"/>
      <c r="P406" s="55"/>
      <c r="Q406" s="6">
        <v>1.0</v>
      </c>
      <c r="R406" s="23">
        <v>46183.0</v>
      </c>
      <c r="S406" s="23">
        <v>46189.0</v>
      </c>
      <c r="T406" s="23">
        <v>46183.0</v>
      </c>
      <c r="U406" s="55"/>
      <c r="V406" s="6" t="s">
        <v>44</v>
      </c>
      <c r="W406" s="55"/>
      <c r="X406" s="6" t="s">
        <v>45</v>
      </c>
      <c r="Y406" s="6" t="s">
        <v>46</v>
      </c>
      <c r="Z406" s="6">
        <v>3.040326045E9</v>
      </c>
      <c r="AA406" s="6" t="s">
        <v>57</v>
      </c>
      <c r="AB406" s="6" t="s">
        <v>410</v>
      </c>
      <c r="AC406" s="6" t="s">
        <v>994</v>
      </c>
      <c r="AD406" s="55"/>
      <c r="AE406" s="55"/>
      <c r="AF406" s="55"/>
      <c r="AG406" s="55"/>
    </row>
    <row r="407">
      <c r="A407" s="21">
        <f>COUNTIF('Divulgação'!$B:$B,B407)</f>
        <v>1</v>
      </c>
      <c r="B407" s="21" t="s">
        <v>1089</v>
      </c>
      <c r="C407" s="55"/>
      <c r="D407" s="6" t="s">
        <v>39</v>
      </c>
      <c r="E407" s="6" t="s">
        <v>40</v>
      </c>
      <c r="F407" s="23">
        <v>46183.0</v>
      </c>
      <c r="G407" s="6" t="s">
        <v>41</v>
      </c>
      <c r="H407" s="23">
        <v>46183.0</v>
      </c>
      <c r="I407" s="21" t="s">
        <v>199</v>
      </c>
      <c r="J407" s="6">
        <v>22373.0</v>
      </c>
      <c r="K407" s="6" t="s">
        <v>200</v>
      </c>
      <c r="L407" s="6">
        <v>14251.0</v>
      </c>
      <c r="M407" s="55"/>
      <c r="N407" s="55"/>
      <c r="O407" s="55"/>
      <c r="P407" s="55"/>
      <c r="Q407" s="6">
        <v>1.0</v>
      </c>
      <c r="R407" s="23">
        <v>46183.0</v>
      </c>
      <c r="S407" s="23">
        <v>46189.0</v>
      </c>
      <c r="T407" s="23">
        <v>46183.0</v>
      </c>
      <c r="U407" s="55"/>
      <c r="V407" s="6" t="s">
        <v>44</v>
      </c>
      <c r="W407" s="55"/>
      <c r="X407" s="6" t="s">
        <v>45</v>
      </c>
      <c r="Y407" s="6" t="s">
        <v>46</v>
      </c>
      <c r="Z407" s="6">
        <v>3.040325717E9</v>
      </c>
      <c r="AA407" s="6" t="s">
        <v>45</v>
      </c>
      <c r="AB407" s="6" t="s">
        <v>1091</v>
      </c>
      <c r="AC407" s="6" t="s">
        <v>1092</v>
      </c>
      <c r="AD407" s="55"/>
      <c r="AE407" s="55"/>
      <c r="AF407" s="55"/>
      <c r="AG407" s="55"/>
    </row>
    <row r="408">
      <c r="A408" s="21">
        <f>COUNTIF('Divulgação'!$B:$B,B408)</f>
        <v>1</v>
      </c>
      <c r="B408" s="21" t="s">
        <v>1096</v>
      </c>
      <c r="C408" s="55"/>
      <c r="D408" s="6" t="s">
        <v>39</v>
      </c>
      <c r="E408" s="6" t="s">
        <v>40</v>
      </c>
      <c r="F408" s="23">
        <v>46183.0</v>
      </c>
      <c r="G408" s="6" t="s">
        <v>41</v>
      </c>
      <c r="H408" s="23">
        <v>46183.0</v>
      </c>
      <c r="I408" s="21" t="s">
        <v>199</v>
      </c>
      <c r="J408" s="6">
        <v>22373.0</v>
      </c>
      <c r="K408" s="6" t="s">
        <v>200</v>
      </c>
      <c r="L408" s="6">
        <v>19945.0</v>
      </c>
      <c r="M408" s="55"/>
      <c r="N408" s="55"/>
      <c r="O408" s="55"/>
      <c r="P408" s="55"/>
      <c r="Q408" s="6">
        <v>1.0</v>
      </c>
      <c r="R408" s="23">
        <v>46183.0</v>
      </c>
      <c r="S408" s="23">
        <v>46189.0</v>
      </c>
      <c r="T408" s="23">
        <v>46183.0</v>
      </c>
      <c r="U408" s="55"/>
      <c r="V408" s="6" t="s">
        <v>44</v>
      </c>
      <c r="W408" s="55"/>
      <c r="X408" s="6" t="s">
        <v>45</v>
      </c>
      <c r="Y408" s="6" t="s">
        <v>46</v>
      </c>
      <c r="Z408" s="6">
        <v>3.040324059E9</v>
      </c>
      <c r="AA408" s="6" t="s">
        <v>64</v>
      </c>
      <c r="AB408" s="6" t="s">
        <v>399</v>
      </c>
      <c r="AC408" s="6" t="s">
        <v>892</v>
      </c>
      <c r="AD408" s="55"/>
      <c r="AE408" s="55"/>
      <c r="AF408" s="55"/>
      <c r="AG408" s="55"/>
    </row>
    <row r="409">
      <c r="A409" s="21">
        <f>COUNTIF('Divulgação'!$B:$B,B409)</f>
        <v>1</v>
      </c>
      <c r="B409" s="21" t="s">
        <v>1095</v>
      </c>
      <c r="C409" s="55"/>
      <c r="D409" s="6" t="s">
        <v>39</v>
      </c>
      <c r="E409" s="6" t="s">
        <v>40</v>
      </c>
      <c r="F409" s="23">
        <v>46183.0</v>
      </c>
      <c r="G409" s="6" t="s">
        <v>41</v>
      </c>
      <c r="H409" s="23">
        <v>46183.0</v>
      </c>
      <c r="I409" s="21" t="s">
        <v>199</v>
      </c>
      <c r="J409" s="6">
        <v>22373.0</v>
      </c>
      <c r="K409" s="6" t="s">
        <v>200</v>
      </c>
      <c r="L409" s="6">
        <v>14396.0</v>
      </c>
      <c r="M409" s="55"/>
      <c r="N409" s="55"/>
      <c r="O409" s="55"/>
      <c r="P409" s="55"/>
      <c r="Q409" s="6">
        <v>1.0</v>
      </c>
      <c r="R409" s="23">
        <v>46183.0</v>
      </c>
      <c r="S409" s="23">
        <v>46189.0</v>
      </c>
      <c r="T409" s="23">
        <v>46183.0</v>
      </c>
      <c r="U409" s="55"/>
      <c r="V409" s="6" t="s">
        <v>44</v>
      </c>
      <c r="W409" s="55"/>
      <c r="X409" s="6" t="s">
        <v>45</v>
      </c>
      <c r="Y409" s="6" t="s">
        <v>46</v>
      </c>
      <c r="Z409" s="6">
        <v>3.04032406E9</v>
      </c>
      <c r="AA409" s="6" t="s">
        <v>64</v>
      </c>
      <c r="AB409" s="6" t="s">
        <v>399</v>
      </c>
      <c r="AC409" s="6" t="s">
        <v>894</v>
      </c>
      <c r="AD409" s="55"/>
      <c r="AE409" s="55"/>
      <c r="AF409" s="55"/>
      <c r="AG409" s="55"/>
    </row>
    <row r="410">
      <c r="A410" s="21">
        <f>COUNTIF('Divulgação'!$B:$B,B410)</f>
        <v>1</v>
      </c>
      <c r="B410" s="21" t="s">
        <v>1093</v>
      </c>
      <c r="C410" s="55"/>
      <c r="D410" s="6" t="s">
        <v>39</v>
      </c>
      <c r="E410" s="6" t="s">
        <v>40</v>
      </c>
      <c r="F410" s="23">
        <v>46183.0</v>
      </c>
      <c r="G410" s="6" t="s">
        <v>41</v>
      </c>
      <c r="H410" s="23">
        <v>46183.0</v>
      </c>
      <c r="I410" s="21" t="s">
        <v>199</v>
      </c>
      <c r="J410" s="6">
        <v>22373.0</v>
      </c>
      <c r="K410" s="6" t="s">
        <v>200</v>
      </c>
      <c r="L410" s="6">
        <v>9920.0</v>
      </c>
      <c r="M410" s="55"/>
      <c r="N410" s="55"/>
      <c r="O410" s="55"/>
      <c r="P410" s="55"/>
      <c r="Q410" s="6">
        <v>1.0</v>
      </c>
      <c r="R410" s="23">
        <v>46183.0</v>
      </c>
      <c r="S410" s="23">
        <v>46189.0</v>
      </c>
      <c r="T410" s="23">
        <v>46183.0</v>
      </c>
      <c r="U410" s="55"/>
      <c r="V410" s="6" t="s">
        <v>44</v>
      </c>
      <c r="W410" s="55"/>
      <c r="X410" s="6" t="s">
        <v>45</v>
      </c>
      <c r="Y410" s="6" t="s">
        <v>46</v>
      </c>
      <c r="Z410" s="6">
        <v>3.040325007E9</v>
      </c>
      <c r="AA410" s="6" t="s">
        <v>45</v>
      </c>
      <c r="AB410" s="6" t="s">
        <v>1091</v>
      </c>
      <c r="AC410" s="6" t="s">
        <v>913</v>
      </c>
      <c r="AD410" s="55"/>
      <c r="AE410" s="55"/>
      <c r="AF410" s="55"/>
      <c r="AG410" s="55"/>
    </row>
    <row r="411">
      <c r="A411" s="21">
        <f>COUNTIF('Divulgação'!$B:$B,B411)</f>
        <v>1</v>
      </c>
      <c r="B411" s="21" t="s">
        <v>1097</v>
      </c>
      <c r="C411" s="55"/>
      <c r="D411" s="6" t="s">
        <v>39</v>
      </c>
      <c r="E411" s="6" t="s">
        <v>40</v>
      </c>
      <c r="F411" s="23">
        <v>46183.0</v>
      </c>
      <c r="G411" s="6" t="s">
        <v>41</v>
      </c>
      <c r="H411" s="23">
        <v>46183.0</v>
      </c>
      <c r="I411" s="21" t="s">
        <v>199</v>
      </c>
      <c r="J411" s="6">
        <v>22373.0</v>
      </c>
      <c r="K411" s="6" t="s">
        <v>200</v>
      </c>
      <c r="L411" s="6">
        <v>20528.0</v>
      </c>
      <c r="M411" s="55"/>
      <c r="N411" s="55"/>
      <c r="O411" s="55"/>
      <c r="P411" s="55"/>
      <c r="Q411" s="6">
        <v>1.0</v>
      </c>
      <c r="R411" s="23">
        <v>46183.0</v>
      </c>
      <c r="S411" s="23">
        <v>46189.0</v>
      </c>
      <c r="T411" s="23">
        <v>46183.0</v>
      </c>
      <c r="U411" s="55"/>
      <c r="V411" s="6" t="s">
        <v>44</v>
      </c>
      <c r="W411" s="55"/>
      <c r="X411" s="6" t="s">
        <v>45</v>
      </c>
      <c r="Y411" s="6" t="s">
        <v>46</v>
      </c>
      <c r="Z411" s="6">
        <v>3.040317877E9</v>
      </c>
      <c r="AA411" s="6" t="s">
        <v>304</v>
      </c>
      <c r="AB411" s="6" t="s">
        <v>306</v>
      </c>
      <c r="AC411" s="6" t="s">
        <v>296</v>
      </c>
      <c r="AD411" s="55"/>
      <c r="AE411" s="55"/>
      <c r="AF411" s="55"/>
      <c r="AG411" s="55"/>
    </row>
    <row r="412">
      <c r="A412" s="21">
        <f>COUNTIF('Divulgação'!$B:$B,B412)</f>
        <v>1</v>
      </c>
      <c r="B412" s="21" t="s">
        <v>1104</v>
      </c>
      <c r="C412" s="55"/>
      <c r="D412" s="6" t="s">
        <v>39</v>
      </c>
      <c r="E412" s="6" t="s">
        <v>40</v>
      </c>
      <c r="F412" s="23">
        <v>46188.0</v>
      </c>
      <c r="G412" s="6" t="s">
        <v>41</v>
      </c>
      <c r="H412" s="23">
        <v>46188.0</v>
      </c>
      <c r="I412" s="21" t="s">
        <v>854</v>
      </c>
      <c r="J412" s="6" t="s">
        <v>156</v>
      </c>
      <c r="K412" s="6" t="s">
        <v>855</v>
      </c>
      <c r="L412" s="6" t="s">
        <v>1105</v>
      </c>
      <c r="M412" s="55"/>
      <c r="N412" s="55"/>
      <c r="O412" s="55"/>
      <c r="P412" s="55"/>
      <c r="Q412" s="6">
        <v>1.0</v>
      </c>
      <c r="R412" s="23">
        <v>46184.0</v>
      </c>
      <c r="S412" s="23">
        <v>46190.0</v>
      </c>
      <c r="T412" s="23">
        <v>46188.0</v>
      </c>
      <c r="U412" s="55"/>
      <c r="V412" s="6" t="s">
        <v>44</v>
      </c>
      <c r="W412" s="55"/>
      <c r="X412" s="6" t="s">
        <v>45</v>
      </c>
      <c r="Y412" s="6" t="s">
        <v>46</v>
      </c>
      <c r="Z412" s="6">
        <v>3.04032297E9</v>
      </c>
      <c r="AA412" s="6" t="s">
        <v>63</v>
      </c>
      <c r="AB412" s="6" t="s">
        <v>857</v>
      </c>
      <c r="AC412" s="6" t="s">
        <v>858</v>
      </c>
      <c r="AD412" s="55"/>
      <c r="AE412" s="55"/>
      <c r="AF412" s="55"/>
      <c r="AG412" s="55"/>
    </row>
    <row r="413">
      <c r="A413" s="21">
        <f>COUNTIF('Divulgação'!$B:$B,B413)</f>
        <v>1</v>
      </c>
      <c r="B413" s="21" t="s">
        <v>1106</v>
      </c>
      <c r="C413" s="55"/>
      <c r="D413" s="6" t="s">
        <v>39</v>
      </c>
      <c r="E413" s="6" t="s">
        <v>40</v>
      </c>
      <c r="F413" s="23">
        <v>46188.0</v>
      </c>
      <c r="G413" s="6" t="s">
        <v>41</v>
      </c>
      <c r="H413" s="23">
        <v>46188.0</v>
      </c>
      <c r="I413" s="21" t="s">
        <v>854</v>
      </c>
      <c r="J413" s="6" t="s">
        <v>156</v>
      </c>
      <c r="K413" s="6" t="s">
        <v>855</v>
      </c>
      <c r="L413" s="6" t="s">
        <v>1107</v>
      </c>
      <c r="M413" s="55"/>
      <c r="N413" s="55"/>
      <c r="O413" s="55"/>
      <c r="P413" s="55"/>
      <c r="Q413" s="6">
        <v>1.0</v>
      </c>
      <c r="R413" s="23">
        <v>46184.0</v>
      </c>
      <c r="S413" s="23">
        <v>46190.0</v>
      </c>
      <c r="T413" s="23">
        <v>46188.0</v>
      </c>
      <c r="U413" s="55"/>
      <c r="V413" s="6" t="s">
        <v>44</v>
      </c>
      <c r="W413" s="55"/>
      <c r="X413" s="6" t="s">
        <v>45</v>
      </c>
      <c r="Y413" s="6" t="s">
        <v>46</v>
      </c>
      <c r="Z413" s="6">
        <v>3.040318246E9</v>
      </c>
      <c r="AA413" s="6" t="s">
        <v>304</v>
      </c>
      <c r="AB413" s="6" t="s">
        <v>306</v>
      </c>
      <c r="AC413" s="6" t="s">
        <v>1108</v>
      </c>
      <c r="AD413" s="55"/>
      <c r="AE413" s="55"/>
      <c r="AF413" s="55"/>
      <c r="AG413" s="55"/>
    </row>
    <row r="414">
      <c r="A414" s="21">
        <f>COUNTIF('Divulgação'!$B:$B,B414)</f>
        <v>1</v>
      </c>
      <c r="B414" s="21" t="s">
        <v>1098</v>
      </c>
      <c r="C414" s="55"/>
      <c r="D414" s="6" t="s">
        <v>39</v>
      </c>
      <c r="E414" s="6" t="s">
        <v>40</v>
      </c>
      <c r="F414" s="23">
        <v>46188.0</v>
      </c>
      <c r="G414" s="6" t="s">
        <v>41</v>
      </c>
      <c r="H414" s="23">
        <v>46188.0</v>
      </c>
      <c r="I414" s="21" t="s">
        <v>854</v>
      </c>
      <c r="J414" s="6" t="s">
        <v>156</v>
      </c>
      <c r="K414" s="6" t="s">
        <v>855</v>
      </c>
      <c r="L414" s="6" t="s">
        <v>1099</v>
      </c>
      <c r="M414" s="55"/>
      <c r="N414" s="55"/>
      <c r="O414" s="55"/>
      <c r="P414" s="55"/>
      <c r="Q414" s="6">
        <v>1.0</v>
      </c>
      <c r="R414" s="23">
        <v>46184.0</v>
      </c>
      <c r="S414" s="23">
        <v>46190.0</v>
      </c>
      <c r="T414" s="23">
        <v>46188.0</v>
      </c>
      <c r="U414" s="55"/>
      <c r="V414" s="6" t="s">
        <v>44</v>
      </c>
      <c r="W414" s="55"/>
      <c r="X414" s="6" t="s">
        <v>45</v>
      </c>
      <c r="Y414" s="6" t="s">
        <v>46</v>
      </c>
      <c r="Z414" s="6">
        <v>3.040318245E9</v>
      </c>
      <c r="AA414" s="6" t="s">
        <v>304</v>
      </c>
      <c r="AB414" s="6" t="s">
        <v>306</v>
      </c>
      <c r="AC414" s="6" t="s">
        <v>1100</v>
      </c>
      <c r="AD414" s="55"/>
      <c r="AE414" s="55"/>
      <c r="AF414" s="55"/>
      <c r="AG414" s="55"/>
    </row>
    <row r="415">
      <c r="A415" s="21">
        <f>COUNTIF('Divulgação'!$B:$B,B415)</f>
        <v>1</v>
      </c>
      <c r="B415" s="21" t="s">
        <v>1101</v>
      </c>
      <c r="C415" s="55"/>
      <c r="D415" s="6" t="s">
        <v>39</v>
      </c>
      <c r="E415" s="6" t="s">
        <v>40</v>
      </c>
      <c r="F415" s="23">
        <v>46188.0</v>
      </c>
      <c r="G415" s="6" t="s">
        <v>41</v>
      </c>
      <c r="H415" s="23">
        <v>46188.0</v>
      </c>
      <c r="I415" s="21" t="s">
        <v>854</v>
      </c>
      <c r="J415" s="6" t="s">
        <v>156</v>
      </c>
      <c r="K415" s="6" t="s">
        <v>855</v>
      </c>
      <c r="L415" s="6" t="s">
        <v>1102</v>
      </c>
      <c r="M415" s="55"/>
      <c r="N415" s="55"/>
      <c r="O415" s="55"/>
      <c r="P415" s="55"/>
      <c r="Q415" s="6">
        <v>1.0</v>
      </c>
      <c r="R415" s="23">
        <v>46184.0</v>
      </c>
      <c r="S415" s="23">
        <v>46190.0</v>
      </c>
      <c r="T415" s="23">
        <v>46188.0</v>
      </c>
      <c r="U415" s="55"/>
      <c r="V415" s="6" t="s">
        <v>44</v>
      </c>
      <c r="W415" s="55"/>
      <c r="X415" s="6" t="s">
        <v>45</v>
      </c>
      <c r="Y415" s="6" t="s">
        <v>46</v>
      </c>
      <c r="Z415" s="6">
        <v>3.040318244E9</v>
      </c>
      <c r="AA415" s="6" t="s">
        <v>304</v>
      </c>
      <c r="AB415" s="6" t="s">
        <v>306</v>
      </c>
      <c r="AC415" s="6" t="s">
        <v>1103</v>
      </c>
      <c r="AD415" s="55"/>
      <c r="AE415" s="55"/>
      <c r="AF415" s="55"/>
      <c r="AG415" s="55"/>
    </row>
    <row r="416">
      <c r="A416" s="21">
        <f>COUNTIF('Divulgação'!$B:$B,B416)</f>
        <v>1</v>
      </c>
      <c r="B416" s="21" t="s">
        <v>1109</v>
      </c>
      <c r="C416" s="55"/>
      <c r="D416" s="6" t="s">
        <v>39</v>
      </c>
      <c r="E416" s="6" t="s">
        <v>40</v>
      </c>
      <c r="F416" s="23">
        <v>46188.0</v>
      </c>
      <c r="G416" s="6" t="s">
        <v>41</v>
      </c>
      <c r="H416" s="23">
        <v>46188.0</v>
      </c>
      <c r="I416" s="21" t="s">
        <v>576</v>
      </c>
      <c r="J416" s="6">
        <v>7213.0</v>
      </c>
      <c r="K416" s="6" t="s">
        <v>577</v>
      </c>
      <c r="L416" s="6" t="s">
        <v>1110</v>
      </c>
      <c r="M416" s="55"/>
      <c r="N416" s="55"/>
      <c r="O416" s="55"/>
      <c r="P416" s="55"/>
      <c r="Q416" s="6">
        <v>1.0</v>
      </c>
      <c r="R416" s="23">
        <v>46188.0</v>
      </c>
      <c r="S416" s="23">
        <v>46192.0</v>
      </c>
      <c r="T416" s="23">
        <v>46188.0</v>
      </c>
      <c r="U416" s="55"/>
      <c r="V416" s="6" t="s">
        <v>44</v>
      </c>
      <c r="W416" s="55"/>
      <c r="X416" s="6" t="s">
        <v>45</v>
      </c>
      <c r="Y416" s="6" t="s">
        <v>46</v>
      </c>
      <c r="Z416" s="6">
        <v>3.040327877E9</v>
      </c>
      <c r="AA416" s="6" t="s">
        <v>60</v>
      </c>
      <c r="AB416" s="6" t="s">
        <v>1111</v>
      </c>
      <c r="AC416" s="6" t="s">
        <v>1112</v>
      </c>
      <c r="AD416" s="55"/>
      <c r="AE416" s="55"/>
      <c r="AF416" s="55"/>
      <c r="AG416" s="55"/>
    </row>
    <row r="417">
      <c r="A417" s="21">
        <f>COUNTIF('Divulgação'!$B:$B,B417)</f>
        <v>1</v>
      </c>
      <c r="B417" s="21" t="s">
        <v>1157</v>
      </c>
      <c r="C417" s="55"/>
      <c r="D417" s="6" t="s">
        <v>39</v>
      </c>
      <c r="E417" s="6" t="s">
        <v>1222</v>
      </c>
      <c r="F417" s="23">
        <v>46188.0</v>
      </c>
      <c r="G417" s="6" t="s">
        <v>41</v>
      </c>
      <c r="H417" s="55"/>
      <c r="I417" s="21" t="s">
        <v>372</v>
      </c>
      <c r="J417" s="6" t="s">
        <v>373</v>
      </c>
      <c r="K417" s="6" t="s">
        <v>374</v>
      </c>
      <c r="L417" s="6">
        <v>5844.0</v>
      </c>
      <c r="M417" s="55"/>
      <c r="N417" s="55"/>
      <c r="O417" s="55"/>
      <c r="P417" s="55"/>
      <c r="Q417" s="6">
        <v>1.0</v>
      </c>
      <c r="R417" s="23">
        <v>46143.0</v>
      </c>
      <c r="S417" s="23">
        <v>46173.0</v>
      </c>
      <c r="T417" s="55"/>
      <c r="U417" s="55"/>
      <c r="V417" s="6" t="s">
        <v>44</v>
      </c>
      <c r="W417" s="55"/>
      <c r="X417" s="6" t="s">
        <v>45</v>
      </c>
      <c r="Y417" s="6" t="s">
        <v>46</v>
      </c>
      <c r="Z417" s="6">
        <v>3.04032664E9</v>
      </c>
      <c r="AA417" s="6" t="s">
        <v>304</v>
      </c>
      <c r="AB417" s="6" t="s">
        <v>306</v>
      </c>
      <c r="AC417" s="6" t="s">
        <v>1158</v>
      </c>
      <c r="AD417" s="55"/>
      <c r="AE417" s="55"/>
      <c r="AF417" s="55"/>
      <c r="AG417" s="55"/>
    </row>
    <row r="418">
      <c r="A418" s="21">
        <f>COUNTIF('Divulgação'!$B:$B,B418)</f>
        <v>1</v>
      </c>
      <c r="B418" s="21" t="s">
        <v>1119</v>
      </c>
      <c r="C418" s="55"/>
      <c r="D418" s="6" t="s">
        <v>39</v>
      </c>
      <c r="E418" s="6" t="s">
        <v>1222</v>
      </c>
      <c r="F418" s="23">
        <v>46188.0</v>
      </c>
      <c r="G418" s="6" t="s">
        <v>41</v>
      </c>
      <c r="H418" s="55"/>
      <c r="I418" s="21" t="s">
        <v>1114</v>
      </c>
      <c r="J418" s="6">
        <v>95270.0</v>
      </c>
      <c r="K418" s="6" t="s">
        <v>1115</v>
      </c>
      <c r="L418" s="6" t="s">
        <v>1120</v>
      </c>
      <c r="M418" s="55"/>
      <c r="N418" s="55"/>
      <c r="O418" s="55"/>
      <c r="P418" s="55"/>
      <c r="Q418" s="6">
        <v>1.0</v>
      </c>
      <c r="R418" s="23">
        <v>46188.0</v>
      </c>
      <c r="S418" s="23">
        <v>46192.0</v>
      </c>
      <c r="T418" s="55"/>
      <c r="U418" s="55"/>
      <c r="V418" s="6" t="s">
        <v>44</v>
      </c>
      <c r="W418" s="55"/>
      <c r="X418" s="6" t="s">
        <v>45</v>
      </c>
      <c r="Y418" s="6" t="s">
        <v>46</v>
      </c>
      <c r="Z418" s="6">
        <v>3.040320864E9</v>
      </c>
      <c r="AA418" s="6" t="s">
        <v>70</v>
      </c>
      <c r="AB418" s="6" t="s">
        <v>152</v>
      </c>
      <c r="AC418" s="6" t="s">
        <v>1121</v>
      </c>
      <c r="AD418" s="55"/>
      <c r="AE418" s="55"/>
      <c r="AF418" s="55"/>
      <c r="AG418" s="55"/>
    </row>
    <row r="419">
      <c r="A419" s="21">
        <f>COUNTIF('Divulgação'!$B:$B,B419)</f>
        <v>1</v>
      </c>
      <c r="B419" s="21" t="s">
        <v>1113</v>
      </c>
      <c r="C419" s="55"/>
      <c r="D419" s="6" t="s">
        <v>39</v>
      </c>
      <c r="E419" s="6" t="s">
        <v>1222</v>
      </c>
      <c r="F419" s="23">
        <v>46188.0</v>
      </c>
      <c r="G419" s="6" t="s">
        <v>41</v>
      </c>
      <c r="H419" s="55"/>
      <c r="I419" s="21" t="s">
        <v>1114</v>
      </c>
      <c r="J419" s="6">
        <v>95270.0</v>
      </c>
      <c r="K419" s="6" t="s">
        <v>1115</v>
      </c>
      <c r="L419" s="6" t="s">
        <v>1116</v>
      </c>
      <c r="M419" s="55"/>
      <c r="N419" s="55"/>
      <c r="O419" s="55"/>
      <c r="P419" s="55"/>
      <c r="Q419" s="6">
        <v>1.0</v>
      </c>
      <c r="R419" s="23">
        <v>46188.0</v>
      </c>
      <c r="S419" s="23">
        <v>46192.0</v>
      </c>
      <c r="T419" s="55"/>
      <c r="U419" s="55"/>
      <c r="V419" s="6" t="s">
        <v>44</v>
      </c>
      <c r="W419" s="55"/>
      <c r="X419" s="6" t="s">
        <v>45</v>
      </c>
      <c r="Y419" s="6" t="s">
        <v>46</v>
      </c>
      <c r="Z419" s="6">
        <v>3.040322114E9</v>
      </c>
      <c r="AA419" s="6" t="s">
        <v>304</v>
      </c>
      <c r="AB419" s="6" t="s">
        <v>306</v>
      </c>
      <c r="AC419" s="6" t="s">
        <v>1117</v>
      </c>
      <c r="AD419" s="55"/>
      <c r="AE419" s="55"/>
      <c r="AF419" s="55"/>
      <c r="AG419" s="55"/>
    </row>
    <row r="420">
      <c r="A420" s="21">
        <f>COUNTIF('Divulgação'!$B:$B,B420)</f>
        <v>1</v>
      </c>
      <c r="B420" s="21" t="s">
        <v>1154</v>
      </c>
      <c r="C420" s="55"/>
      <c r="D420" s="6" t="s">
        <v>39</v>
      </c>
      <c r="E420" s="6" t="s">
        <v>1222</v>
      </c>
      <c r="F420" s="23">
        <v>46188.0</v>
      </c>
      <c r="G420" s="6" t="s">
        <v>41</v>
      </c>
      <c r="H420" s="55"/>
      <c r="I420" s="21" t="s">
        <v>1114</v>
      </c>
      <c r="J420" s="6">
        <v>95270.0</v>
      </c>
      <c r="K420" s="6" t="s">
        <v>1115</v>
      </c>
      <c r="L420" s="6" t="s">
        <v>1155</v>
      </c>
      <c r="M420" s="55"/>
      <c r="N420" s="55"/>
      <c r="O420" s="55"/>
      <c r="P420" s="55"/>
      <c r="Q420" s="6">
        <v>1.0</v>
      </c>
      <c r="R420" s="23">
        <v>46188.0</v>
      </c>
      <c r="S420" s="23">
        <v>46192.0</v>
      </c>
      <c r="T420" s="55"/>
      <c r="U420" s="55"/>
      <c r="V420" s="6" t="s">
        <v>44</v>
      </c>
      <c r="W420" s="55"/>
      <c r="X420" s="6" t="s">
        <v>45</v>
      </c>
      <c r="Y420" s="6" t="s">
        <v>46</v>
      </c>
      <c r="Z420" s="6">
        <v>3.040326086E9</v>
      </c>
      <c r="AA420" s="6" t="s">
        <v>62</v>
      </c>
      <c r="AB420" s="6" t="s">
        <v>120</v>
      </c>
      <c r="AC420" s="6" t="s">
        <v>121</v>
      </c>
      <c r="AD420" s="55"/>
      <c r="AE420" s="55"/>
      <c r="AF420" s="55"/>
      <c r="AG420" s="55"/>
    </row>
    <row r="421">
      <c r="A421" s="21">
        <f>COUNTIF('Divulgação'!$B:$B,B421)</f>
        <v>1</v>
      </c>
      <c r="B421" s="21" t="s">
        <v>1132</v>
      </c>
      <c r="C421" s="55"/>
      <c r="D421" s="6" t="s">
        <v>39</v>
      </c>
      <c r="E421" s="6" t="s">
        <v>1222</v>
      </c>
      <c r="F421" s="23">
        <v>46188.0</v>
      </c>
      <c r="G421" s="6" t="s">
        <v>41</v>
      </c>
      <c r="H421" s="55"/>
      <c r="I421" s="21" t="s">
        <v>579</v>
      </c>
      <c r="J421" s="6" t="s">
        <v>156</v>
      </c>
      <c r="K421" s="6" t="s">
        <v>1076</v>
      </c>
      <c r="L421" s="6">
        <v>580.0</v>
      </c>
      <c r="M421" s="55"/>
      <c r="N421" s="55"/>
      <c r="O421" s="55"/>
      <c r="P421" s="55"/>
      <c r="Q421" s="6">
        <v>1.0</v>
      </c>
      <c r="R421" s="23">
        <v>46188.0</v>
      </c>
      <c r="S421" s="23">
        <v>46192.0</v>
      </c>
      <c r="T421" s="55"/>
      <c r="U421" s="55"/>
      <c r="V421" s="6" t="s">
        <v>44</v>
      </c>
      <c r="W421" s="55"/>
      <c r="X421" s="6" t="s">
        <v>45</v>
      </c>
      <c r="Y421" s="6" t="s">
        <v>46</v>
      </c>
      <c r="Z421" s="6">
        <v>3.040248874E9</v>
      </c>
      <c r="AA421" s="6" t="s">
        <v>45</v>
      </c>
      <c r="AB421" s="6" t="s">
        <v>220</v>
      </c>
      <c r="AC421" s="6" t="s">
        <v>386</v>
      </c>
      <c r="AD421" s="55"/>
      <c r="AE421" s="55"/>
      <c r="AF421" s="55"/>
      <c r="AG421" s="55"/>
    </row>
    <row r="422">
      <c r="A422" s="21">
        <f>COUNTIF('Divulgação'!$B:$B,B422)</f>
        <v>1</v>
      </c>
      <c r="B422" s="21" t="s">
        <v>1133</v>
      </c>
      <c r="C422" s="55"/>
      <c r="D422" s="6" t="s">
        <v>39</v>
      </c>
      <c r="E422" s="6" t="s">
        <v>1222</v>
      </c>
      <c r="F422" s="23">
        <v>46188.0</v>
      </c>
      <c r="G422" s="6" t="s">
        <v>41</v>
      </c>
      <c r="H422" s="55"/>
      <c r="I422" s="21" t="s">
        <v>585</v>
      </c>
      <c r="J422" s="6">
        <v>86887.0</v>
      </c>
      <c r="K422" s="6" t="s">
        <v>1134</v>
      </c>
      <c r="L422" s="6" t="s">
        <v>1135</v>
      </c>
      <c r="M422" s="55"/>
      <c r="N422" s="55"/>
      <c r="O422" s="55"/>
      <c r="P422" s="55"/>
      <c r="Q422" s="6">
        <v>1.0</v>
      </c>
      <c r="R422" s="23">
        <v>46188.0</v>
      </c>
      <c r="S422" s="23">
        <v>46192.0</v>
      </c>
      <c r="T422" s="55"/>
      <c r="U422" s="55"/>
      <c r="V422" s="6" t="s">
        <v>44</v>
      </c>
      <c r="W422" s="55"/>
      <c r="X422" s="6" t="s">
        <v>45</v>
      </c>
      <c r="Y422" s="6" t="s">
        <v>46</v>
      </c>
      <c r="Z422" s="6">
        <v>3.040277243E9</v>
      </c>
      <c r="AA422" s="6" t="s">
        <v>389</v>
      </c>
      <c r="AB422" s="6" t="s">
        <v>390</v>
      </c>
      <c r="AC422" s="6" t="s">
        <v>355</v>
      </c>
      <c r="AD422" s="55"/>
      <c r="AE422" s="55"/>
      <c r="AF422" s="55"/>
      <c r="AG422" s="55"/>
    </row>
    <row r="423">
      <c r="A423" s="21">
        <f>COUNTIF('Divulgação'!$B:$B,B423)</f>
        <v>1</v>
      </c>
      <c r="B423" s="21" t="s">
        <v>1140</v>
      </c>
      <c r="C423" s="55"/>
      <c r="D423" s="6" t="s">
        <v>39</v>
      </c>
      <c r="E423" s="6" t="s">
        <v>1222</v>
      </c>
      <c r="F423" s="23">
        <v>46188.0</v>
      </c>
      <c r="G423" s="6" t="s">
        <v>41</v>
      </c>
      <c r="H423" s="55"/>
      <c r="I423" s="21" t="s">
        <v>585</v>
      </c>
      <c r="J423" s="6">
        <v>86887.0</v>
      </c>
      <c r="K423" s="6" t="s">
        <v>1134</v>
      </c>
      <c r="L423" s="6" t="s">
        <v>1141</v>
      </c>
      <c r="M423" s="55"/>
      <c r="N423" s="55"/>
      <c r="O423" s="55"/>
      <c r="P423" s="55"/>
      <c r="Q423" s="6">
        <v>1.0</v>
      </c>
      <c r="R423" s="23">
        <v>46188.0</v>
      </c>
      <c r="S423" s="23">
        <v>46192.0</v>
      </c>
      <c r="T423" s="55"/>
      <c r="U423" s="55"/>
      <c r="V423" s="6" t="s">
        <v>44</v>
      </c>
      <c r="W423" s="55"/>
      <c r="X423" s="6" t="s">
        <v>45</v>
      </c>
      <c r="Y423" s="6" t="s">
        <v>46</v>
      </c>
      <c r="Z423" s="6">
        <v>3.040313107E9</v>
      </c>
      <c r="AA423" s="6" t="s">
        <v>45</v>
      </c>
      <c r="AB423" s="6" t="s">
        <v>46</v>
      </c>
      <c r="AC423" s="6" t="s">
        <v>80</v>
      </c>
      <c r="AD423" s="55"/>
      <c r="AE423" s="55"/>
      <c r="AF423" s="55"/>
      <c r="AG423" s="55"/>
    </row>
    <row r="424">
      <c r="A424" s="21">
        <f>COUNTIF('Divulgação'!$B:$B,B424)</f>
        <v>1</v>
      </c>
      <c r="B424" s="21" t="s">
        <v>1138</v>
      </c>
      <c r="C424" s="55"/>
      <c r="D424" s="6" t="s">
        <v>39</v>
      </c>
      <c r="E424" s="6" t="s">
        <v>1222</v>
      </c>
      <c r="F424" s="23">
        <v>46188.0</v>
      </c>
      <c r="G424" s="6" t="s">
        <v>41</v>
      </c>
      <c r="H424" s="55"/>
      <c r="I424" s="21" t="s">
        <v>585</v>
      </c>
      <c r="J424" s="6">
        <v>86887.0</v>
      </c>
      <c r="K424" s="6" t="s">
        <v>1134</v>
      </c>
      <c r="L424" s="6" t="s">
        <v>1139</v>
      </c>
      <c r="M424" s="55"/>
      <c r="N424" s="55"/>
      <c r="O424" s="55"/>
      <c r="P424" s="55"/>
      <c r="Q424" s="6">
        <v>1.0</v>
      </c>
      <c r="R424" s="23">
        <v>46188.0</v>
      </c>
      <c r="S424" s="23">
        <v>46192.0</v>
      </c>
      <c r="T424" s="55"/>
      <c r="U424" s="55"/>
      <c r="V424" s="6" t="s">
        <v>44</v>
      </c>
      <c r="W424" s="55"/>
      <c r="X424" s="6" t="s">
        <v>45</v>
      </c>
      <c r="Y424" s="6" t="s">
        <v>46</v>
      </c>
      <c r="Z424" s="6">
        <v>3.040317875E9</v>
      </c>
      <c r="AA424" s="6" t="s">
        <v>304</v>
      </c>
      <c r="AB424" s="6" t="s">
        <v>306</v>
      </c>
      <c r="AC424" s="6" t="s">
        <v>882</v>
      </c>
      <c r="AD424" s="55"/>
      <c r="AE424" s="55"/>
      <c r="AF424" s="55"/>
      <c r="AG424" s="55"/>
    </row>
    <row r="425">
      <c r="A425" s="21">
        <f>COUNTIF('Divulgação'!$B:$B,B425)</f>
        <v>1</v>
      </c>
      <c r="B425" s="21" t="s">
        <v>1122</v>
      </c>
      <c r="C425" s="55"/>
      <c r="D425" s="6" t="s">
        <v>39</v>
      </c>
      <c r="E425" s="6" t="s">
        <v>1222</v>
      </c>
      <c r="F425" s="23">
        <v>46188.0</v>
      </c>
      <c r="G425" s="6" t="s">
        <v>41</v>
      </c>
      <c r="H425" s="55"/>
      <c r="I425" s="21" t="s">
        <v>461</v>
      </c>
      <c r="J425" s="6">
        <v>26055.0</v>
      </c>
      <c r="K425" s="6" t="s">
        <v>462</v>
      </c>
      <c r="L425" s="6" t="s">
        <v>1123</v>
      </c>
      <c r="M425" s="55"/>
      <c r="N425" s="55"/>
      <c r="O425" s="55"/>
      <c r="P425" s="55"/>
      <c r="Q425" s="6">
        <v>1.0</v>
      </c>
      <c r="R425" s="23">
        <v>46188.0</v>
      </c>
      <c r="S425" s="23">
        <v>46192.0</v>
      </c>
      <c r="T425" s="55"/>
      <c r="U425" s="55"/>
      <c r="V425" s="6" t="s">
        <v>44</v>
      </c>
      <c r="W425" s="55"/>
      <c r="X425" s="6" t="s">
        <v>45</v>
      </c>
      <c r="Y425" s="6" t="s">
        <v>46</v>
      </c>
      <c r="Z425" s="6">
        <v>3.040304977E9</v>
      </c>
      <c r="AA425" s="6" t="s">
        <v>66</v>
      </c>
      <c r="AB425" s="6" t="s">
        <v>394</v>
      </c>
      <c r="AC425" s="6" t="s">
        <v>296</v>
      </c>
      <c r="AD425" s="55"/>
      <c r="AE425" s="55"/>
      <c r="AF425" s="55"/>
      <c r="AG425" s="55"/>
    </row>
    <row r="426">
      <c r="A426" s="21">
        <f>COUNTIF('Divulgação'!$B:$B,B426)</f>
        <v>1</v>
      </c>
      <c r="B426" s="21" t="s">
        <v>1152</v>
      </c>
      <c r="C426" s="55"/>
      <c r="D426" s="6" t="s">
        <v>39</v>
      </c>
      <c r="E426" s="6" t="s">
        <v>1222</v>
      </c>
      <c r="F426" s="23">
        <v>46188.0</v>
      </c>
      <c r="G426" s="6" t="s">
        <v>41</v>
      </c>
      <c r="H426" s="55"/>
      <c r="I426" s="21" t="s">
        <v>461</v>
      </c>
      <c r="J426" s="6">
        <v>26055.0</v>
      </c>
      <c r="K426" s="6" t="s">
        <v>462</v>
      </c>
      <c r="L426" s="6" t="s">
        <v>1153</v>
      </c>
      <c r="M426" s="55"/>
      <c r="N426" s="55"/>
      <c r="O426" s="55"/>
      <c r="P426" s="55"/>
      <c r="Q426" s="6">
        <v>1.0</v>
      </c>
      <c r="R426" s="23">
        <v>46188.0</v>
      </c>
      <c r="S426" s="23">
        <v>46192.0</v>
      </c>
      <c r="T426" s="55"/>
      <c r="U426" s="55"/>
      <c r="V426" s="6" t="s">
        <v>44</v>
      </c>
      <c r="W426" s="55"/>
      <c r="X426" s="6" t="s">
        <v>45</v>
      </c>
      <c r="Y426" s="6" t="s">
        <v>46</v>
      </c>
      <c r="Z426" s="6">
        <v>3.040310003E9</v>
      </c>
      <c r="AA426" s="6" t="s">
        <v>57</v>
      </c>
      <c r="AB426" s="6" t="s">
        <v>410</v>
      </c>
      <c r="AC426" s="6" t="s">
        <v>411</v>
      </c>
      <c r="AD426" s="55"/>
      <c r="AE426" s="55"/>
      <c r="AF426" s="55"/>
      <c r="AG426" s="55"/>
    </row>
    <row r="427">
      <c r="A427" s="21">
        <f>COUNTIF('Divulgação'!$B:$B,B427)</f>
        <v>1</v>
      </c>
      <c r="B427" s="21" t="s">
        <v>1150</v>
      </c>
      <c r="C427" s="55"/>
      <c r="D427" s="6" t="s">
        <v>39</v>
      </c>
      <c r="E427" s="6" t="s">
        <v>1222</v>
      </c>
      <c r="F427" s="23">
        <v>46188.0</v>
      </c>
      <c r="G427" s="6" t="s">
        <v>41</v>
      </c>
      <c r="H427" s="55"/>
      <c r="I427" s="21" t="s">
        <v>649</v>
      </c>
      <c r="J427" s="6" t="s">
        <v>650</v>
      </c>
      <c r="K427" s="6" t="s">
        <v>651</v>
      </c>
      <c r="L427" s="6" t="s">
        <v>1151</v>
      </c>
      <c r="M427" s="55"/>
      <c r="N427" s="55"/>
      <c r="O427" s="55"/>
      <c r="P427" s="55"/>
      <c r="Q427" s="6">
        <v>1.0</v>
      </c>
      <c r="R427" s="23">
        <v>46188.0</v>
      </c>
      <c r="S427" s="23">
        <v>46192.0</v>
      </c>
      <c r="T427" s="55"/>
      <c r="U427" s="55"/>
      <c r="V427" s="6" t="s">
        <v>44</v>
      </c>
      <c r="W427" s="55"/>
      <c r="X427" s="6" t="s">
        <v>45</v>
      </c>
      <c r="Y427" s="6" t="s">
        <v>46</v>
      </c>
      <c r="Z427" s="6">
        <v>3.040324064E9</v>
      </c>
      <c r="AA427" s="6" t="s">
        <v>64</v>
      </c>
      <c r="AB427" s="6" t="s">
        <v>399</v>
      </c>
      <c r="AC427" s="6" t="s">
        <v>894</v>
      </c>
      <c r="AD427" s="55"/>
      <c r="AE427" s="55"/>
      <c r="AF427" s="55"/>
      <c r="AG427" s="55"/>
    </row>
    <row r="428">
      <c r="A428" s="21">
        <f>COUNTIF('Divulgação'!$B:$B,B428)</f>
        <v>1</v>
      </c>
      <c r="B428" s="21" t="s">
        <v>1128</v>
      </c>
      <c r="C428" s="55"/>
      <c r="D428" s="6" t="s">
        <v>39</v>
      </c>
      <c r="E428" s="6" t="s">
        <v>1222</v>
      </c>
      <c r="F428" s="23">
        <v>46188.0</v>
      </c>
      <c r="G428" s="6" t="s">
        <v>41</v>
      </c>
      <c r="H428" s="55"/>
      <c r="I428" s="21" t="s">
        <v>1129</v>
      </c>
      <c r="J428" s="6" t="s">
        <v>156</v>
      </c>
      <c r="K428" s="6" t="s">
        <v>1126</v>
      </c>
      <c r="L428" s="6">
        <v>6309.0</v>
      </c>
      <c r="M428" s="55"/>
      <c r="N428" s="55"/>
      <c r="O428" s="55"/>
      <c r="P428" s="55"/>
      <c r="Q428" s="6">
        <v>1.0</v>
      </c>
      <c r="R428" s="23">
        <v>46188.0</v>
      </c>
      <c r="S428" s="23">
        <v>46192.0</v>
      </c>
      <c r="T428" s="55"/>
      <c r="U428" s="55"/>
      <c r="V428" s="6" t="s">
        <v>44</v>
      </c>
      <c r="W428" s="55"/>
      <c r="X428" s="6" t="s">
        <v>45</v>
      </c>
      <c r="Y428" s="6" t="s">
        <v>46</v>
      </c>
      <c r="Z428" s="6">
        <v>3.040228584E9</v>
      </c>
      <c r="AA428" s="6" t="s">
        <v>262</v>
      </c>
      <c r="AB428" s="6" t="s">
        <v>1130</v>
      </c>
      <c r="AC428" s="6" t="s">
        <v>1131</v>
      </c>
      <c r="AD428" s="55"/>
      <c r="AE428" s="55"/>
      <c r="AF428" s="55"/>
      <c r="AG428" s="55"/>
    </row>
    <row r="429">
      <c r="A429" s="21">
        <f>COUNTIF('Divulgação'!$B:$B,B429)</f>
        <v>1</v>
      </c>
      <c r="B429" s="21" t="s">
        <v>1127</v>
      </c>
      <c r="C429" s="55"/>
      <c r="D429" s="6" t="s">
        <v>39</v>
      </c>
      <c r="E429" s="6" t="s">
        <v>1222</v>
      </c>
      <c r="F429" s="23">
        <v>46188.0</v>
      </c>
      <c r="G429" s="6" t="s">
        <v>41</v>
      </c>
      <c r="H429" s="55"/>
      <c r="I429" s="21" t="s">
        <v>1125</v>
      </c>
      <c r="J429" s="6" t="s">
        <v>156</v>
      </c>
      <c r="K429" s="6" t="s">
        <v>1126</v>
      </c>
      <c r="L429" s="6">
        <v>5.04011190625165E14</v>
      </c>
      <c r="M429" s="55"/>
      <c r="N429" s="55"/>
      <c r="O429" s="55"/>
      <c r="P429" s="55"/>
      <c r="Q429" s="6">
        <v>1.0</v>
      </c>
      <c r="R429" s="23">
        <v>46188.0</v>
      </c>
      <c r="S429" s="23">
        <v>46192.0</v>
      </c>
      <c r="T429" s="55"/>
      <c r="U429" s="55"/>
      <c r="V429" s="6" t="s">
        <v>44</v>
      </c>
      <c r="W429" s="55"/>
      <c r="X429" s="6" t="s">
        <v>45</v>
      </c>
      <c r="Y429" s="6" t="s">
        <v>46</v>
      </c>
      <c r="Z429" s="6">
        <v>3.040265829E9</v>
      </c>
      <c r="AA429" s="6" t="s">
        <v>45</v>
      </c>
      <c r="AB429" s="6" t="s">
        <v>203</v>
      </c>
      <c r="AC429" s="6" t="s">
        <v>204</v>
      </c>
      <c r="AD429" s="55"/>
      <c r="AE429" s="55"/>
      <c r="AF429" s="55"/>
      <c r="AG429" s="55"/>
    </row>
    <row r="430">
      <c r="A430" s="21">
        <f>COUNTIF('Divulgação'!$B:$B,B430)</f>
        <v>1</v>
      </c>
      <c r="B430" s="21" t="s">
        <v>1124</v>
      </c>
      <c r="C430" s="55"/>
      <c r="D430" s="6" t="s">
        <v>39</v>
      </c>
      <c r="E430" s="6" t="s">
        <v>1222</v>
      </c>
      <c r="F430" s="23">
        <v>46188.0</v>
      </c>
      <c r="G430" s="6" t="s">
        <v>41</v>
      </c>
      <c r="H430" s="55"/>
      <c r="I430" s="21" t="s">
        <v>1125</v>
      </c>
      <c r="J430" s="6" t="s">
        <v>156</v>
      </c>
      <c r="K430" s="6" t="s">
        <v>1126</v>
      </c>
      <c r="L430" s="6">
        <v>5.04011190625185E14</v>
      </c>
      <c r="M430" s="55"/>
      <c r="N430" s="55"/>
      <c r="O430" s="55"/>
      <c r="P430" s="55"/>
      <c r="Q430" s="6">
        <v>1.0</v>
      </c>
      <c r="R430" s="23">
        <v>46188.0</v>
      </c>
      <c r="S430" s="23">
        <v>46192.0</v>
      </c>
      <c r="T430" s="55"/>
      <c r="U430" s="55"/>
      <c r="V430" s="6" t="s">
        <v>44</v>
      </c>
      <c r="W430" s="55"/>
      <c r="X430" s="6" t="s">
        <v>45</v>
      </c>
      <c r="Y430" s="6" t="s">
        <v>46</v>
      </c>
      <c r="Z430" s="6">
        <v>3.040311509E9</v>
      </c>
      <c r="AA430" s="6" t="s">
        <v>62</v>
      </c>
      <c r="AB430" s="6" t="s">
        <v>120</v>
      </c>
      <c r="AC430" s="6" t="s">
        <v>662</v>
      </c>
      <c r="AD430" s="55"/>
      <c r="AE430" s="55"/>
      <c r="AF430" s="55"/>
      <c r="AG430" s="55"/>
    </row>
    <row r="431">
      <c r="A431" s="21">
        <f>COUNTIF('Divulgação'!$B:$B,B431)</f>
        <v>1</v>
      </c>
      <c r="B431" s="21" t="s">
        <v>1164</v>
      </c>
      <c r="C431" s="55"/>
      <c r="D431" s="6" t="s">
        <v>39</v>
      </c>
      <c r="E431" s="6" t="s">
        <v>1222</v>
      </c>
      <c r="F431" s="23">
        <v>46188.0</v>
      </c>
      <c r="G431" s="6" t="s">
        <v>41</v>
      </c>
      <c r="H431" s="55"/>
      <c r="I431" s="21" t="s">
        <v>1165</v>
      </c>
      <c r="J431" s="6">
        <v>66503.0</v>
      </c>
      <c r="K431" s="6" t="s">
        <v>1166</v>
      </c>
      <c r="L431" s="6" t="s">
        <v>1167</v>
      </c>
      <c r="M431" s="55"/>
      <c r="N431" s="55"/>
      <c r="O431" s="55"/>
      <c r="P431" s="55"/>
      <c r="Q431" s="6">
        <v>1.0</v>
      </c>
      <c r="R431" s="23">
        <v>46188.0</v>
      </c>
      <c r="S431" s="23">
        <v>46248.0</v>
      </c>
      <c r="T431" s="55"/>
      <c r="U431" s="55"/>
      <c r="V431" s="6" t="s">
        <v>44</v>
      </c>
      <c r="W431" s="55"/>
      <c r="X431" s="6" t="s">
        <v>45</v>
      </c>
      <c r="Y431" s="6" t="s">
        <v>46</v>
      </c>
      <c r="Z431" s="6">
        <v>3.040317908E9</v>
      </c>
      <c r="AA431" s="6" t="s">
        <v>304</v>
      </c>
      <c r="AB431" s="6" t="s">
        <v>306</v>
      </c>
      <c r="AC431" s="6" t="s">
        <v>1168</v>
      </c>
      <c r="AD431" s="55"/>
      <c r="AE431" s="55"/>
      <c r="AF431" s="55"/>
      <c r="AG431" s="55"/>
    </row>
    <row r="432">
      <c r="A432" s="21">
        <f>COUNTIF('Divulgação'!$B:$B,B432)</f>
        <v>1</v>
      </c>
      <c r="B432" s="21" t="s">
        <v>1169</v>
      </c>
      <c r="C432" s="55"/>
      <c r="D432" s="6" t="s">
        <v>39</v>
      </c>
      <c r="E432" s="6" t="s">
        <v>1222</v>
      </c>
      <c r="F432" s="23">
        <v>46188.0</v>
      </c>
      <c r="G432" s="6" t="s">
        <v>41</v>
      </c>
      <c r="H432" s="55"/>
      <c r="I432" s="21" t="s">
        <v>533</v>
      </c>
      <c r="J432" s="6">
        <v>66503.0</v>
      </c>
      <c r="K432" s="6" t="s">
        <v>1160</v>
      </c>
      <c r="L432" s="6" t="s">
        <v>1170</v>
      </c>
      <c r="M432" s="55"/>
      <c r="N432" s="55"/>
      <c r="O432" s="55"/>
      <c r="P432" s="55"/>
      <c r="Q432" s="6">
        <v>1.0</v>
      </c>
      <c r="R432" s="23">
        <v>46188.0</v>
      </c>
      <c r="S432" s="23">
        <v>46192.0</v>
      </c>
      <c r="T432" s="55"/>
      <c r="U432" s="55"/>
      <c r="V432" s="6" t="s">
        <v>44</v>
      </c>
      <c r="W432" s="55"/>
      <c r="X432" s="6" t="s">
        <v>45</v>
      </c>
      <c r="Y432" s="6" t="s">
        <v>46</v>
      </c>
      <c r="Z432" s="6">
        <v>3.040317906E9</v>
      </c>
      <c r="AA432" s="6" t="s">
        <v>304</v>
      </c>
      <c r="AB432" s="6" t="s">
        <v>306</v>
      </c>
      <c r="AC432" s="6" t="s">
        <v>1112</v>
      </c>
      <c r="AD432" s="55"/>
      <c r="AE432" s="55"/>
      <c r="AF432" s="55"/>
      <c r="AG432" s="55"/>
    </row>
    <row r="433">
      <c r="A433" s="21">
        <f>COUNTIF('Divulgação'!$B:$B,B433)</f>
        <v>1</v>
      </c>
      <c r="B433" s="21" t="s">
        <v>1159</v>
      </c>
      <c r="C433" s="55"/>
      <c r="D433" s="6" t="s">
        <v>39</v>
      </c>
      <c r="E433" s="6" t="s">
        <v>1222</v>
      </c>
      <c r="F433" s="23">
        <v>46188.0</v>
      </c>
      <c r="G433" s="6" t="s">
        <v>41</v>
      </c>
      <c r="H433" s="55"/>
      <c r="I433" s="21" t="s">
        <v>533</v>
      </c>
      <c r="J433" s="6">
        <v>66503.0</v>
      </c>
      <c r="K433" s="6" t="s">
        <v>1160</v>
      </c>
      <c r="L433" s="6" t="s">
        <v>1161</v>
      </c>
      <c r="M433" s="55"/>
      <c r="N433" s="55"/>
      <c r="O433" s="55"/>
      <c r="P433" s="55"/>
      <c r="Q433" s="6">
        <v>1.0</v>
      </c>
      <c r="R433" s="23">
        <v>46188.0</v>
      </c>
      <c r="S433" s="23">
        <v>46192.0</v>
      </c>
      <c r="T433" s="55"/>
      <c r="U433" s="55"/>
      <c r="V433" s="6" t="s">
        <v>44</v>
      </c>
      <c r="W433" s="55"/>
      <c r="X433" s="6" t="s">
        <v>45</v>
      </c>
      <c r="Y433" s="6" t="s">
        <v>46</v>
      </c>
      <c r="Z433" s="6">
        <v>3.040324072E9</v>
      </c>
      <c r="AA433" s="6" t="s">
        <v>63</v>
      </c>
      <c r="AB433" s="6" t="s">
        <v>1162</v>
      </c>
      <c r="AC433" s="6" t="s">
        <v>1163</v>
      </c>
      <c r="AD433" s="55"/>
      <c r="AE433" s="55"/>
      <c r="AF433" s="55"/>
      <c r="AG433" s="55"/>
    </row>
    <row r="434">
      <c r="A434" s="21">
        <f>COUNTIF('Divulgação'!$B:$B,B434)</f>
        <v>1</v>
      </c>
      <c r="B434" s="21" t="s">
        <v>1136</v>
      </c>
      <c r="C434" s="55"/>
      <c r="D434" s="6" t="s">
        <v>39</v>
      </c>
      <c r="E434" s="6" t="s">
        <v>1222</v>
      </c>
      <c r="F434" s="23">
        <v>46188.0</v>
      </c>
      <c r="G434" s="6" t="s">
        <v>41</v>
      </c>
      <c r="H434" s="55"/>
      <c r="I434" s="21" t="s">
        <v>223</v>
      </c>
      <c r="J434" s="6">
        <v>33269.0</v>
      </c>
      <c r="K434" s="6" t="s">
        <v>224</v>
      </c>
      <c r="L434" s="6" t="s">
        <v>1137</v>
      </c>
      <c r="M434" s="55"/>
      <c r="N434" s="55"/>
      <c r="O434" s="55"/>
      <c r="P434" s="55"/>
      <c r="Q434" s="6">
        <v>1.0</v>
      </c>
      <c r="R434" s="23">
        <v>46188.0</v>
      </c>
      <c r="S434" s="23">
        <v>46192.0</v>
      </c>
      <c r="T434" s="55"/>
      <c r="U434" s="55"/>
      <c r="V434" s="6" t="s">
        <v>44</v>
      </c>
      <c r="W434" s="55"/>
      <c r="X434" s="6" t="s">
        <v>45</v>
      </c>
      <c r="Y434" s="6" t="s">
        <v>46</v>
      </c>
      <c r="Z434" s="6">
        <v>3.040325528E9</v>
      </c>
      <c r="AA434" s="6" t="s">
        <v>63</v>
      </c>
      <c r="AB434" s="6" t="s">
        <v>241</v>
      </c>
      <c r="AC434" s="6" t="s">
        <v>583</v>
      </c>
      <c r="AD434" s="55"/>
      <c r="AE434" s="55"/>
      <c r="AF434" s="55"/>
      <c r="AG434" s="55"/>
    </row>
    <row r="435">
      <c r="A435" s="21">
        <f>COUNTIF('Divulgação'!$B:$B,B435)</f>
        <v>1</v>
      </c>
      <c r="B435" s="21" t="s">
        <v>1144</v>
      </c>
      <c r="C435" s="55"/>
      <c r="D435" s="6" t="s">
        <v>39</v>
      </c>
      <c r="E435" s="6" t="s">
        <v>1222</v>
      </c>
      <c r="F435" s="23">
        <v>46188.0</v>
      </c>
      <c r="G435" s="6" t="s">
        <v>41</v>
      </c>
      <c r="H435" s="55"/>
      <c r="I435" s="21" t="s">
        <v>223</v>
      </c>
      <c r="J435" s="6">
        <v>33269.0</v>
      </c>
      <c r="K435" s="6" t="s">
        <v>224</v>
      </c>
      <c r="L435" s="6">
        <v>328.0</v>
      </c>
      <c r="M435" s="55"/>
      <c r="N435" s="55"/>
      <c r="O435" s="55"/>
      <c r="P435" s="55"/>
      <c r="Q435" s="6">
        <v>1.0</v>
      </c>
      <c r="R435" s="23">
        <v>46188.0</v>
      </c>
      <c r="S435" s="23">
        <v>46192.0</v>
      </c>
      <c r="T435" s="55"/>
      <c r="U435" s="55"/>
      <c r="V435" s="6" t="s">
        <v>44</v>
      </c>
      <c r="W435" s="55"/>
      <c r="X435" s="6" t="s">
        <v>45</v>
      </c>
      <c r="Y435" s="6" t="s">
        <v>46</v>
      </c>
      <c r="Z435" s="6">
        <v>3.040325529E9</v>
      </c>
      <c r="AA435" s="6" t="s">
        <v>63</v>
      </c>
      <c r="AB435" s="6" t="s">
        <v>241</v>
      </c>
      <c r="AC435" s="6" t="s">
        <v>583</v>
      </c>
      <c r="AD435" s="55"/>
      <c r="AE435" s="55"/>
      <c r="AF435" s="55"/>
      <c r="AG435" s="55"/>
    </row>
    <row r="436">
      <c r="A436" s="21">
        <f>COUNTIF('Divulgação'!$B:$B,B436)</f>
        <v>1</v>
      </c>
      <c r="B436" s="21" t="s">
        <v>1147</v>
      </c>
      <c r="C436" s="55"/>
      <c r="D436" s="6" t="s">
        <v>39</v>
      </c>
      <c r="E436" s="6" t="s">
        <v>1222</v>
      </c>
      <c r="F436" s="23">
        <v>46188.0</v>
      </c>
      <c r="G436" s="6" t="s">
        <v>41</v>
      </c>
      <c r="H436" s="55"/>
      <c r="I436" s="21" t="s">
        <v>231</v>
      </c>
      <c r="J436" s="6">
        <v>71513.0</v>
      </c>
      <c r="K436" s="6" t="s">
        <v>232</v>
      </c>
      <c r="L436" s="6">
        <v>277.0</v>
      </c>
      <c r="M436" s="55"/>
      <c r="N436" s="55"/>
      <c r="O436" s="55"/>
      <c r="P436" s="55"/>
      <c r="Q436" s="6">
        <v>1.0</v>
      </c>
      <c r="R436" s="23">
        <v>46188.0</v>
      </c>
      <c r="S436" s="23">
        <v>46192.0</v>
      </c>
      <c r="T436" s="55"/>
      <c r="U436" s="55"/>
      <c r="V436" s="6" t="s">
        <v>44</v>
      </c>
      <c r="W436" s="55"/>
      <c r="X436" s="6" t="s">
        <v>45</v>
      </c>
      <c r="Y436" s="6" t="s">
        <v>46</v>
      </c>
      <c r="Z436" s="6">
        <v>3.040326277E9</v>
      </c>
      <c r="AA436" s="6" t="s">
        <v>45</v>
      </c>
      <c r="AB436" s="6" t="s">
        <v>46</v>
      </c>
      <c r="AC436" s="6" t="s">
        <v>80</v>
      </c>
      <c r="AD436" s="55"/>
      <c r="AE436" s="55"/>
      <c r="AF436" s="55"/>
      <c r="AG436" s="55"/>
    </row>
    <row r="437">
      <c r="A437" s="21">
        <f>COUNTIF('Divulgação'!$B:$B,B437)</f>
        <v>1</v>
      </c>
      <c r="B437" s="21" t="s">
        <v>1145</v>
      </c>
      <c r="C437" s="55"/>
      <c r="D437" s="6" t="s">
        <v>39</v>
      </c>
      <c r="E437" s="6" t="s">
        <v>1222</v>
      </c>
      <c r="F437" s="23">
        <v>46188.0</v>
      </c>
      <c r="G437" s="6" t="s">
        <v>41</v>
      </c>
      <c r="H437" s="55"/>
      <c r="I437" s="21" t="s">
        <v>226</v>
      </c>
      <c r="J437" s="6">
        <v>71513.0</v>
      </c>
      <c r="K437" s="6" t="s">
        <v>320</v>
      </c>
      <c r="L437" s="6">
        <v>477.0</v>
      </c>
      <c r="M437" s="55"/>
      <c r="N437" s="55"/>
      <c r="O437" s="55"/>
      <c r="P437" s="55"/>
      <c r="Q437" s="6">
        <v>1.0</v>
      </c>
      <c r="R437" s="23">
        <v>46188.0</v>
      </c>
      <c r="S437" s="23">
        <v>46192.0</v>
      </c>
      <c r="T437" s="55"/>
      <c r="U437" s="55"/>
      <c r="V437" s="6" t="s">
        <v>44</v>
      </c>
      <c r="W437" s="55"/>
      <c r="X437" s="6" t="s">
        <v>45</v>
      </c>
      <c r="Y437" s="6" t="s">
        <v>46</v>
      </c>
      <c r="Z437" s="6">
        <v>3.040326033E9</v>
      </c>
      <c r="AA437" s="6" t="s">
        <v>57</v>
      </c>
      <c r="AB437" s="6" t="s">
        <v>367</v>
      </c>
      <c r="AC437" s="6" t="s">
        <v>1146</v>
      </c>
      <c r="AD437" s="55"/>
      <c r="AE437" s="55"/>
      <c r="AF437" s="55"/>
      <c r="AG437" s="55"/>
    </row>
    <row r="438">
      <c r="A438" s="21">
        <f>COUNTIF('Divulgação'!$B:$B,B438)</f>
        <v>1</v>
      </c>
      <c r="B438" s="21" t="s">
        <v>1224</v>
      </c>
      <c r="C438" s="55"/>
      <c r="D438" s="6" t="s">
        <v>39</v>
      </c>
      <c r="E438" s="6" t="s">
        <v>1222</v>
      </c>
      <c r="F438" s="23">
        <v>46188.0</v>
      </c>
      <c r="G438" s="6" t="s">
        <v>41</v>
      </c>
      <c r="H438" s="55"/>
      <c r="I438" s="21" t="s">
        <v>226</v>
      </c>
      <c r="J438" s="6">
        <v>71513.0</v>
      </c>
      <c r="K438" s="6" t="s">
        <v>320</v>
      </c>
      <c r="L438" s="6">
        <v>11.0</v>
      </c>
      <c r="M438" s="55"/>
      <c r="N438" s="55"/>
      <c r="O438" s="55"/>
      <c r="P438" s="55"/>
      <c r="Q438" s="6">
        <v>1.0</v>
      </c>
      <c r="R438" s="23">
        <v>46188.0</v>
      </c>
      <c r="S438" s="23">
        <v>46192.0</v>
      </c>
      <c r="T438" s="55"/>
      <c r="U438" s="55"/>
      <c r="V438" s="6" t="s">
        <v>44</v>
      </c>
      <c r="W438" s="55"/>
      <c r="X438" s="6" t="s">
        <v>45</v>
      </c>
      <c r="Y438" s="6" t="s">
        <v>46</v>
      </c>
      <c r="Z438" s="6">
        <v>3.040326276E9</v>
      </c>
      <c r="AA438" s="6" t="s">
        <v>45</v>
      </c>
      <c r="AB438" s="6" t="s">
        <v>46</v>
      </c>
      <c r="AC438" s="6" t="s">
        <v>80</v>
      </c>
      <c r="AD438" s="55"/>
      <c r="AE438" s="55"/>
      <c r="AF438" s="55"/>
      <c r="AG438" s="55"/>
    </row>
    <row r="439">
      <c r="A439" s="21">
        <f>COUNTIF('Divulgação'!$B:$B,B439)</f>
        <v>1</v>
      </c>
      <c r="B439" s="21" t="s">
        <v>1225</v>
      </c>
      <c r="C439" s="55"/>
      <c r="D439" s="6" t="s">
        <v>39</v>
      </c>
      <c r="E439" s="6" t="s">
        <v>1222</v>
      </c>
      <c r="F439" s="23">
        <v>46188.0</v>
      </c>
      <c r="G439" s="6" t="s">
        <v>41</v>
      </c>
      <c r="H439" s="55"/>
      <c r="I439" s="21" t="s">
        <v>335</v>
      </c>
      <c r="J439" s="6">
        <v>71513.0</v>
      </c>
      <c r="K439" s="6" t="s">
        <v>336</v>
      </c>
      <c r="L439" s="6" t="s">
        <v>1226</v>
      </c>
      <c r="M439" s="55"/>
      <c r="N439" s="55"/>
      <c r="O439" s="55"/>
      <c r="P439" s="55"/>
      <c r="Q439" s="6">
        <v>1.0</v>
      </c>
      <c r="R439" s="23">
        <v>46188.0</v>
      </c>
      <c r="S439" s="23">
        <v>46192.0</v>
      </c>
      <c r="T439" s="55"/>
      <c r="U439" s="55"/>
      <c r="V439" s="6" t="s">
        <v>44</v>
      </c>
      <c r="W439" s="55"/>
      <c r="X439" s="6" t="s">
        <v>45</v>
      </c>
      <c r="Y439" s="6" t="s">
        <v>46</v>
      </c>
      <c r="Z439" s="6">
        <v>3.040327144E9</v>
      </c>
      <c r="AA439" s="6" t="s">
        <v>143</v>
      </c>
      <c r="AB439" s="6" t="s">
        <v>316</v>
      </c>
      <c r="AC439" s="6" t="s">
        <v>1227</v>
      </c>
      <c r="AD439" s="55"/>
      <c r="AE439" s="55"/>
      <c r="AF439" s="55"/>
      <c r="AG439" s="55"/>
    </row>
    <row r="440">
      <c r="A440" s="21">
        <f>COUNTIF('Divulgação'!$B:$B,B440)</f>
        <v>1</v>
      </c>
      <c r="B440" s="21" t="s">
        <v>1171</v>
      </c>
      <c r="C440" s="9"/>
      <c r="D440" s="21" t="s">
        <v>39</v>
      </c>
      <c r="E440" s="21" t="s">
        <v>40</v>
      </c>
      <c r="F440" s="21" t="s">
        <v>2371</v>
      </c>
      <c r="G440" s="21" t="s">
        <v>41</v>
      </c>
      <c r="H440" s="21" t="s">
        <v>2371</v>
      </c>
      <c r="I440" s="21" t="s">
        <v>469</v>
      </c>
      <c r="J440" s="21" t="s">
        <v>275</v>
      </c>
      <c r="K440" s="21" t="s">
        <v>470</v>
      </c>
      <c r="L440" s="6" t="s">
        <v>1172</v>
      </c>
      <c r="M440" s="9"/>
      <c r="N440" s="9"/>
      <c r="O440" s="9"/>
      <c r="P440" s="9"/>
      <c r="Q440" s="21" t="s">
        <v>140</v>
      </c>
      <c r="R440" s="21" t="s">
        <v>2372</v>
      </c>
      <c r="S440" s="21" t="s">
        <v>2373</v>
      </c>
      <c r="T440" s="21" t="s">
        <v>2371</v>
      </c>
      <c r="U440" s="9"/>
      <c r="V440" s="21" t="s">
        <v>44</v>
      </c>
      <c r="W440" s="9"/>
      <c r="X440" s="21" t="s">
        <v>45</v>
      </c>
      <c r="Y440" s="21" t="s">
        <v>46</v>
      </c>
      <c r="Z440" s="21" t="s">
        <v>2374</v>
      </c>
      <c r="AA440" s="21" t="s">
        <v>389</v>
      </c>
      <c r="AB440" s="21" t="s">
        <v>390</v>
      </c>
      <c r="AC440" s="21" t="s">
        <v>1173</v>
      </c>
      <c r="AD440" s="9"/>
      <c r="AE440" s="9"/>
      <c r="AF440" s="9"/>
      <c r="AG440" s="9"/>
    </row>
    <row r="441">
      <c r="A441" s="21">
        <f>COUNTIF('Divulgação'!$B:$B,B441)</f>
        <v>1</v>
      </c>
      <c r="B441" s="21" t="s">
        <v>1174</v>
      </c>
      <c r="C441" s="9"/>
      <c r="D441" s="21" t="s">
        <v>39</v>
      </c>
      <c r="E441" s="21" t="s">
        <v>40</v>
      </c>
      <c r="F441" s="21" t="s">
        <v>2371</v>
      </c>
      <c r="G441" s="21" t="s">
        <v>41</v>
      </c>
      <c r="H441" s="21" t="s">
        <v>2371</v>
      </c>
      <c r="I441" s="21" t="s">
        <v>469</v>
      </c>
      <c r="J441" s="21" t="s">
        <v>275</v>
      </c>
      <c r="K441" s="21" t="s">
        <v>470</v>
      </c>
      <c r="L441" s="6" t="s">
        <v>1175</v>
      </c>
      <c r="M441" s="9"/>
      <c r="N441" s="9"/>
      <c r="O441" s="9"/>
      <c r="P441" s="9"/>
      <c r="Q441" s="21" t="s">
        <v>140</v>
      </c>
      <c r="R441" s="21" t="s">
        <v>2372</v>
      </c>
      <c r="S441" s="21" t="s">
        <v>2373</v>
      </c>
      <c r="T441" s="21" t="s">
        <v>2371</v>
      </c>
      <c r="U441" s="9"/>
      <c r="V441" s="21" t="s">
        <v>44</v>
      </c>
      <c r="W441" s="9"/>
      <c r="X441" s="21" t="s">
        <v>45</v>
      </c>
      <c r="Y441" s="21" t="s">
        <v>46</v>
      </c>
      <c r="Z441" s="21" t="s">
        <v>2381</v>
      </c>
      <c r="AA441" s="21" t="s">
        <v>63</v>
      </c>
      <c r="AB441" s="21" t="s">
        <v>72</v>
      </c>
      <c r="AC441" s="21" t="s">
        <v>74</v>
      </c>
      <c r="AD441" s="9"/>
      <c r="AE441" s="9"/>
      <c r="AF441" s="9"/>
      <c r="AG441" s="9"/>
    </row>
    <row r="442">
      <c r="A442" s="21">
        <f>COUNTIF('Divulgação'!$B:$B,B442)</f>
        <v>1</v>
      </c>
      <c r="B442" s="21" t="s">
        <v>1177</v>
      </c>
      <c r="C442" s="9"/>
      <c r="D442" s="6" t="s">
        <v>39</v>
      </c>
      <c r="E442" s="6" t="s">
        <v>40</v>
      </c>
      <c r="F442" s="23">
        <v>46203.0</v>
      </c>
      <c r="G442" s="6" t="s">
        <v>41</v>
      </c>
      <c r="H442" s="23">
        <v>46203.0</v>
      </c>
      <c r="I442" s="21" t="s">
        <v>1011</v>
      </c>
      <c r="J442" s="6" t="s">
        <v>275</v>
      </c>
      <c r="K442" s="6" t="s">
        <v>1012</v>
      </c>
      <c r="L442" s="6">
        <v>8.6815651E7</v>
      </c>
      <c r="M442" s="9"/>
      <c r="N442" s="9"/>
      <c r="O442" s="9"/>
      <c r="P442" s="9"/>
      <c r="Q442" s="6">
        <v>1.0</v>
      </c>
      <c r="R442" s="23">
        <v>46199.0</v>
      </c>
      <c r="S442" s="23">
        <v>46205.0</v>
      </c>
      <c r="T442" s="23">
        <v>46203.0</v>
      </c>
      <c r="U442" s="9"/>
      <c r="V442" s="6" t="s">
        <v>44</v>
      </c>
      <c r="W442" s="9"/>
      <c r="X442" s="6" t="s">
        <v>45</v>
      </c>
      <c r="Y442" s="6" t="s">
        <v>46</v>
      </c>
      <c r="Z442" s="6">
        <v>3.040307753E9</v>
      </c>
      <c r="AA442" s="6" t="s">
        <v>63</v>
      </c>
      <c r="AB442" s="6" t="s">
        <v>72</v>
      </c>
      <c r="AC442" s="6" t="s">
        <v>451</v>
      </c>
      <c r="AD442" s="55"/>
      <c r="AE442" s="55"/>
      <c r="AF442" s="55"/>
      <c r="AG442" s="55"/>
    </row>
    <row r="443">
      <c r="A443" s="21">
        <f>COUNTIF('Divulgação'!$B:$B,B443)</f>
        <v>1</v>
      </c>
      <c r="B443" s="21" t="s">
        <v>1176</v>
      </c>
      <c r="C443" s="9"/>
      <c r="D443" s="6" t="s">
        <v>39</v>
      </c>
      <c r="E443" s="6" t="s">
        <v>40</v>
      </c>
      <c r="F443" s="23">
        <v>46203.0</v>
      </c>
      <c r="G443" s="6" t="s">
        <v>41</v>
      </c>
      <c r="H443" s="23">
        <v>46203.0</v>
      </c>
      <c r="I443" s="21" t="s">
        <v>1011</v>
      </c>
      <c r="J443" s="6" t="s">
        <v>275</v>
      </c>
      <c r="K443" s="6" t="s">
        <v>1012</v>
      </c>
      <c r="L443" s="6">
        <v>8.6817554E7</v>
      </c>
      <c r="M443" s="9"/>
      <c r="N443" s="9"/>
      <c r="O443" s="9"/>
      <c r="P443" s="9"/>
      <c r="Q443" s="6">
        <v>1.0</v>
      </c>
      <c r="R443" s="23">
        <v>46199.0</v>
      </c>
      <c r="S443" s="23">
        <v>46205.0</v>
      </c>
      <c r="T443" s="23">
        <v>46203.0</v>
      </c>
      <c r="U443" s="9"/>
      <c r="V443" s="6" t="s">
        <v>44</v>
      </c>
      <c r="W443" s="9"/>
      <c r="X443" s="6" t="s">
        <v>45</v>
      </c>
      <c r="Y443" s="6" t="s">
        <v>46</v>
      </c>
      <c r="Z443" s="6">
        <v>3.040309513E9</v>
      </c>
      <c r="AA443" s="6" t="s">
        <v>66</v>
      </c>
      <c r="AB443" s="6" t="s">
        <v>228</v>
      </c>
      <c r="AC443" s="6" t="s">
        <v>926</v>
      </c>
      <c r="AD443" s="55"/>
      <c r="AE443" s="55"/>
      <c r="AF443" s="55"/>
      <c r="AG443" s="55"/>
    </row>
    <row r="444">
      <c r="A444" s="21">
        <f>COUNTIF('Divulgação'!$B:$B,B444)</f>
        <v>1</v>
      </c>
      <c r="B444" s="21" t="s">
        <v>1178</v>
      </c>
      <c r="C444" s="9"/>
      <c r="D444" s="6" t="s">
        <v>39</v>
      </c>
      <c r="E444" s="6" t="s">
        <v>40</v>
      </c>
      <c r="F444" s="23">
        <v>46205.0</v>
      </c>
      <c r="G444" s="6" t="s">
        <v>41</v>
      </c>
      <c r="H444" s="23">
        <v>46205.0</v>
      </c>
      <c r="I444" s="21" t="s">
        <v>1179</v>
      </c>
      <c r="J444" s="6">
        <v>6848.0</v>
      </c>
      <c r="K444" s="6" t="s">
        <v>577</v>
      </c>
      <c r="L444" s="6" t="s">
        <v>1180</v>
      </c>
      <c r="M444" s="9"/>
      <c r="N444" s="9"/>
      <c r="O444" s="9"/>
      <c r="P444" s="9"/>
      <c r="Q444" s="6">
        <v>1.0</v>
      </c>
      <c r="R444" s="23">
        <v>46205.0</v>
      </c>
      <c r="S444" s="23">
        <v>46211.0</v>
      </c>
      <c r="T444" s="23">
        <v>46205.0</v>
      </c>
      <c r="U444" s="9"/>
      <c r="V444" s="6" t="s">
        <v>44</v>
      </c>
      <c r="W444" s="9"/>
      <c r="X444" s="6" t="s">
        <v>45</v>
      </c>
      <c r="Y444" s="6" t="s">
        <v>46</v>
      </c>
      <c r="Z444" s="6">
        <v>3.040328401E9</v>
      </c>
      <c r="AA444" s="6" t="s">
        <v>63</v>
      </c>
      <c r="AB444" s="6" t="s">
        <v>1162</v>
      </c>
      <c r="AC444" s="6" t="s">
        <v>1181</v>
      </c>
      <c r="AD444" s="9"/>
      <c r="AE444" s="55"/>
      <c r="AF444" s="55"/>
      <c r="AG444" s="55"/>
    </row>
    <row r="445">
      <c r="A445" s="21">
        <f>COUNTIF('Divulgação'!$B:$B,B445)</f>
        <v>1</v>
      </c>
      <c r="B445" s="21" t="s">
        <v>1184</v>
      </c>
      <c r="C445" s="9"/>
      <c r="D445" s="6" t="s">
        <v>39</v>
      </c>
      <c r="E445" s="6" t="s">
        <v>40</v>
      </c>
      <c r="F445" s="23">
        <v>46205.0</v>
      </c>
      <c r="G445" s="6" t="s">
        <v>41</v>
      </c>
      <c r="H445" s="23">
        <v>46205.0</v>
      </c>
      <c r="I445" s="21" t="s">
        <v>436</v>
      </c>
      <c r="J445" s="6">
        <v>7213.0</v>
      </c>
      <c r="K445" s="6" t="s">
        <v>778</v>
      </c>
      <c r="L445" s="6" t="s">
        <v>1185</v>
      </c>
      <c r="M445" s="9"/>
      <c r="N445" s="9"/>
      <c r="O445" s="9"/>
      <c r="P445" s="9"/>
      <c r="Q445" s="6">
        <v>1.0</v>
      </c>
      <c r="R445" s="23">
        <v>46205.0</v>
      </c>
      <c r="S445" s="23">
        <v>46211.0</v>
      </c>
      <c r="T445" s="23">
        <v>46205.0</v>
      </c>
      <c r="U445" s="9"/>
      <c r="V445" s="6" t="s">
        <v>44</v>
      </c>
      <c r="W445" s="9"/>
      <c r="X445" s="6" t="s">
        <v>45</v>
      </c>
      <c r="Y445" s="6" t="s">
        <v>46</v>
      </c>
      <c r="Z445" s="6">
        <v>3.04032826E9</v>
      </c>
      <c r="AA445" s="6" t="s">
        <v>70</v>
      </c>
      <c r="AB445" s="6" t="s">
        <v>152</v>
      </c>
      <c r="AC445" s="6" t="s">
        <v>1121</v>
      </c>
      <c r="AD445" s="9"/>
      <c r="AE445" s="55"/>
      <c r="AF445" s="55"/>
      <c r="AG445" s="55"/>
    </row>
    <row r="446">
      <c r="A446" s="21">
        <f>COUNTIF('Divulgação'!$B:$B,B446)</f>
        <v>1</v>
      </c>
      <c r="B446" s="21" t="s">
        <v>1182</v>
      </c>
      <c r="C446" s="9"/>
      <c r="D446" s="6" t="s">
        <v>39</v>
      </c>
      <c r="E446" s="6" t="s">
        <v>40</v>
      </c>
      <c r="F446" s="23">
        <v>46205.0</v>
      </c>
      <c r="G446" s="6" t="s">
        <v>41</v>
      </c>
      <c r="H446" s="23">
        <v>46205.0</v>
      </c>
      <c r="I446" s="21" t="s">
        <v>1392</v>
      </c>
      <c r="J446" s="6">
        <v>198.0</v>
      </c>
      <c r="K446" s="6" t="s">
        <v>78</v>
      </c>
      <c r="L446" s="6">
        <v>4134.0</v>
      </c>
      <c r="M446" s="9"/>
      <c r="N446" s="9"/>
      <c r="O446" s="9"/>
      <c r="P446" s="9"/>
      <c r="Q446" s="6">
        <v>1.0</v>
      </c>
      <c r="R446" s="23">
        <v>46205.0</v>
      </c>
      <c r="S446" s="23">
        <v>46211.0</v>
      </c>
      <c r="T446" s="23">
        <v>46205.0</v>
      </c>
      <c r="U446" s="9"/>
      <c r="V446" s="6" t="s">
        <v>44</v>
      </c>
      <c r="W446" s="9"/>
      <c r="X446" s="6" t="s">
        <v>45</v>
      </c>
      <c r="Y446" s="6" t="s">
        <v>46</v>
      </c>
      <c r="Z446" s="6">
        <v>3.040328259E9</v>
      </c>
      <c r="AA446" s="6" t="s">
        <v>70</v>
      </c>
      <c r="AB446" s="6" t="s">
        <v>152</v>
      </c>
      <c r="AC446" s="6" t="s">
        <v>1121</v>
      </c>
      <c r="AD446" s="9"/>
      <c r="AE446" s="55"/>
      <c r="AF446" s="55"/>
      <c r="AG446" s="55"/>
    </row>
    <row r="447">
      <c r="A447" s="21">
        <f>COUNTIF('Divulgação'!$B:$B,B447)</f>
        <v>1</v>
      </c>
      <c r="B447" s="21" t="s">
        <v>1186</v>
      </c>
      <c r="C447" s="9"/>
      <c r="D447" s="6" t="s">
        <v>39</v>
      </c>
      <c r="E447" s="6" t="s">
        <v>40</v>
      </c>
      <c r="F447" s="23">
        <v>46211.0</v>
      </c>
      <c r="G447" s="6" t="s">
        <v>41</v>
      </c>
      <c r="H447" s="23">
        <v>46211.0</v>
      </c>
      <c r="I447" s="21" t="s">
        <v>796</v>
      </c>
      <c r="J447" s="6" t="s">
        <v>275</v>
      </c>
      <c r="K447" s="6" t="s">
        <v>798</v>
      </c>
      <c r="L447" s="6">
        <v>2.2006508E7</v>
      </c>
      <c r="M447" s="9"/>
      <c r="N447" s="9"/>
      <c r="O447" s="9"/>
      <c r="P447" s="9"/>
      <c r="Q447" s="6">
        <v>1.0</v>
      </c>
      <c r="R447" s="23">
        <v>46210.0</v>
      </c>
      <c r="S447" s="23">
        <v>46216.0</v>
      </c>
      <c r="T447" s="23">
        <v>46211.0</v>
      </c>
      <c r="U447" s="9"/>
      <c r="V447" s="6" t="s">
        <v>44</v>
      </c>
      <c r="W447" s="9"/>
      <c r="X447" s="6" t="s">
        <v>45</v>
      </c>
      <c r="Y447" s="6" t="s">
        <v>46</v>
      </c>
      <c r="Z447" s="6">
        <v>3.040328109E9</v>
      </c>
      <c r="AA447" s="6" t="s">
        <v>60</v>
      </c>
      <c r="AB447" s="6" t="s">
        <v>194</v>
      </c>
      <c r="AC447" s="6" t="s">
        <v>616</v>
      </c>
      <c r="AD447" s="9"/>
      <c r="AE447" s="55"/>
      <c r="AF447" s="55"/>
      <c r="AG447" s="55"/>
    </row>
    <row r="448">
      <c r="A448" s="21">
        <f>COUNTIF('Divulgação'!$B:$B,B448)</f>
        <v>1</v>
      </c>
      <c r="B448" s="21" t="s">
        <v>1187</v>
      </c>
      <c r="C448" s="9"/>
      <c r="D448" s="6" t="s">
        <v>39</v>
      </c>
      <c r="E448" s="6" t="s">
        <v>40</v>
      </c>
      <c r="F448" s="23">
        <v>46211.0</v>
      </c>
      <c r="G448" s="6" t="s">
        <v>41</v>
      </c>
      <c r="H448" s="23">
        <v>46211.0</v>
      </c>
      <c r="I448" s="21" t="s">
        <v>796</v>
      </c>
      <c r="J448" s="6" t="s">
        <v>275</v>
      </c>
      <c r="K448" s="6" t="s">
        <v>798</v>
      </c>
      <c r="L448" s="6">
        <v>2.2005733E7</v>
      </c>
      <c r="M448" s="9"/>
      <c r="N448" s="9"/>
      <c r="O448" s="9"/>
      <c r="P448" s="9"/>
      <c r="Q448" s="6">
        <v>1.0</v>
      </c>
      <c r="R448" s="23">
        <v>46210.0</v>
      </c>
      <c r="S448" s="23">
        <v>46216.0</v>
      </c>
      <c r="T448" s="23">
        <v>46211.0</v>
      </c>
      <c r="U448" s="9"/>
      <c r="V448" s="6" t="s">
        <v>44</v>
      </c>
      <c r="W448" s="9"/>
      <c r="X448" s="6" t="s">
        <v>45</v>
      </c>
      <c r="Y448" s="6" t="s">
        <v>46</v>
      </c>
      <c r="Z448" s="6">
        <v>3.040325767E9</v>
      </c>
      <c r="AA448" s="6" t="s">
        <v>60</v>
      </c>
      <c r="AB448" s="6" t="s">
        <v>194</v>
      </c>
      <c r="AC448" s="6" t="s">
        <v>635</v>
      </c>
      <c r="AD448" s="9"/>
      <c r="AE448" s="55"/>
      <c r="AF448" s="55"/>
      <c r="AG448" s="55"/>
    </row>
    <row r="449">
      <c r="A449" s="21">
        <f>COUNTIF('Divulgação'!$B:$B,B449)</f>
        <v>1</v>
      </c>
      <c r="B449" s="21" t="s">
        <v>1188</v>
      </c>
      <c r="C449" s="9"/>
      <c r="D449" s="6" t="s">
        <v>39</v>
      </c>
      <c r="E449" s="6" t="s">
        <v>40</v>
      </c>
      <c r="F449" s="23">
        <v>46226.0</v>
      </c>
      <c r="G449" s="6" t="s">
        <v>41</v>
      </c>
      <c r="H449" s="23">
        <v>46226.0</v>
      </c>
      <c r="I449" s="21" t="s">
        <v>452</v>
      </c>
      <c r="J449" s="6">
        <v>22373.0</v>
      </c>
      <c r="K449" s="6" t="s">
        <v>1044</v>
      </c>
      <c r="L449" s="6">
        <v>3357.0</v>
      </c>
      <c r="M449" s="9"/>
      <c r="N449" s="9"/>
      <c r="O449" s="9"/>
      <c r="P449" s="9"/>
      <c r="Q449" s="6">
        <v>1.0</v>
      </c>
      <c r="R449" s="23">
        <v>46225.0</v>
      </c>
      <c r="S449" s="23">
        <v>46231.0</v>
      </c>
      <c r="T449" s="23">
        <v>46226.0</v>
      </c>
      <c r="U449" s="9"/>
      <c r="V449" s="6" t="s">
        <v>44</v>
      </c>
      <c r="W449" s="9"/>
      <c r="X449" s="6" t="s">
        <v>45</v>
      </c>
      <c r="Y449" s="6" t="s">
        <v>46</v>
      </c>
      <c r="Z449" s="6">
        <v>3.040322966E9</v>
      </c>
      <c r="AA449" s="6" t="s">
        <v>57</v>
      </c>
      <c r="AB449" s="6" t="s">
        <v>58</v>
      </c>
      <c r="AC449" s="6" t="s">
        <v>59</v>
      </c>
      <c r="AD449" s="55"/>
      <c r="AE449" s="55"/>
      <c r="AF449" s="55"/>
      <c r="AG449" s="55"/>
    </row>
    <row r="450">
      <c r="A450" s="21">
        <f>COUNTIF('Divulgação'!$B:$B,B450)</f>
        <v>1</v>
      </c>
      <c r="B450" s="21" t="s">
        <v>1189</v>
      </c>
      <c r="C450" s="9"/>
      <c r="D450" s="6" t="s">
        <v>39</v>
      </c>
      <c r="E450" s="6" t="s">
        <v>40</v>
      </c>
      <c r="F450" s="23">
        <v>46226.0</v>
      </c>
      <c r="G450" s="6" t="s">
        <v>41</v>
      </c>
      <c r="H450" s="23">
        <v>46226.0</v>
      </c>
      <c r="I450" s="21" t="s">
        <v>452</v>
      </c>
      <c r="J450" s="6">
        <v>22373.0</v>
      </c>
      <c r="K450" s="6" t="s">
        <v>1044</v>
      </c>
      <c r="L450" s="6">
        <v>25031.0</v>
      </c>
      <c r="M450" s="9"/>
      <c r="N450" s="9"/>
      <c r="O450" s="9"/>
      <c r="P450" s="9"/>
      <c r="Q450" s="6">
        <v>1.0</v>
      </c>
      <c r="R450" s="23">
        <v>46225.0</v>
      </c>
      <c r="S450" s="23">
        <v>46231.0</v>
      </c>
      <c r="T450" s="23">
        <v>46226.0</v>
      </c>
      <c r="U450" s="9"/>
      <c r="V450" s="6" t="s">
        <v>44</v>
      </c>
      <c r="W450" s="9"/>
      <c r="X450" s="6" t="s">
        <v>45</v>
      </c>
      <c r="Y450" s="6" t="s">
        <v>46</v>
      </c>
      <c r="Z450" s="6">
        <v>3.040320686E9</v>
      </c>
      <c r="AA450" s="6" t="s">
        <v>64</v>
      </c>
      <c r="AB450" s="6" t="s">
        <v>399</v>
      </c>
      <c r="AC450" s="6" t="s">
        <v>710</v>
      </c>
      <c r="AD450" s="55"/>
      <c r="AE450" s="55"/>
      <c r="AF450" s="55"/>
      <c r="AG450" s="55"/>
    </row>
    <row r="451">
      <c r="A451" s="21">
        <f>COUNTIF('Divulgação'!$B:$B,B451)</f>
        <v>1</v>
      </c>
      <c r="B451" s="21" t="s">
        <v>1190</v>
      </c>
      <c r="C451" s="9"/>
      <c r="D451" s="6" t="s">
        <v>39</v>
      </c>
      <c r="E451" s="6" t="s">
        <v>40</v>
      </c>
      <c r="F451" s="23">
        <v>46226.0</v>
      </c>
      <c r="G451" s="6" t="s">
        <v>41</v>
      </c>
      <c r="H451" s="23">
        <v>46226.0</v>
      </c>
      <c r="I451" s="21" t="s">
        <v>452</v>
      </c>
      <c r="J451" s="6">
        <v>22373.0</v>
      </c>
      <c r="K451" s="6" t="s">
        <v>1044</v>
      </c>
      <c r="L451" s="6">
        <v>23874.0</v>
      </c>
      <c r="M451" s="9"/>
      <c r="N451" s="9"/>
      <c r="O451" s="9"/>
      <c r="P451" s="9"/>
      <c r="Q451" s="6">
        <v>1.0</v>
      </c>
      <c r="R451" s="23">
        <v>46225.0</v>
      </c>
      <c r="S451" s="23">
        <v>46231.0</v>
      </c>
      <c r="T451" s="23">
        <v>46226.0</v>
      </c>
      <c r="U451" s="9"/>
      <c r="V451" s="6" t="s">
        <v>44</v>
      </c>
      <c r="W451" s="9"/>
      <c r="X451" s="6" t="s">
        <v>45</v>
      </c>
      <c r="Y451" s="6" t="s">
        <v>46</v>
      </c>
      <c r="Z451" s="6">
        <v>3.040314606E9</v>
      </c>
      <c r="AA451" s="6" t="s">
        <v>57</v>
      </c>
      <c r="AB451" s="6" t="s">
        <v>58</v>
      </c>
      <c r="AC451" s="6" t="s">
        <v>1031</v>
      </c>
      <c r="AD451" s="55"/>
      <c r="AE451" s="55"/>
      <c r="AF451" s="55"/>
      <c r="AG451" s="55"/>
    </row>
    <row r="452">
      <c r="A452" s="21">
        <f>COUNTIF('Divulgação'!$B:$B,B452)</f>
        <v>1</v>
      </c>
      <c r="B452" s="21" t="s">
        <v>1191</v>
      </c>
      <c r="C452" s="9"/>
      <c r="D452" s="6" t="s">
        <v>39</v>
      </c>
      <c r="E452" s="6" t="s">
        <v>40</v>
      </c>
      <c r="F452" s="23">
        <v>46230.0</v>
      </c>
      <c r="G452" s="6" t="s">
        <v>41</v>
      </c>
      <c r="H452" s="23">
        <v>46230.0</v>
      </c>
      <c r="I452" s="21" t="s">
        <v>164</v>
      </c>
      <c r="J452" s="6">
        <v>71653.0</v>
      </c>
      <c r="K452" s="6" t="s">
        <v>165</v>
      </c>
      <c r="L452" s="6" t="s">
        <v>1192</v>
      </c>
      <c r="M452" s="9"/>
      <c r="N452" s="9"/>
      <c r="O452" s="9"/>
      <c r="P452" s="9"/>
      <c r="Q452" s="6">
        <v>1.0</v>
      </c>
      <c r="R452" s="23">
        <v>46226.0</v>
      </c>
      <c r="S452" s="23">
        <v>46232.0</v>
      </c>
      <c r="T452" s="23">
        <v>46230.0</v>
      </c>
      <c r="U452" s="9"/>
      <c r="V452" s="6" t="s">
        <v>44</v>
      </c>
      <c r="W452" s="9"/>
      <c r="X452" s="6" t="s">
        <v>45</v>
      </c>
      <c r="Y452" s="6" t="s">
        <v>46</v>
      </c>
      <c r="Z452" s="6">
        <v>3.040325921E9</v>
      </c>
      <c r="AA452" s="6" t="s">
        <v>45</v>
      </c>
      <c r="AB452" s="6" t="s">
        <v>46</v>
      </c>
      <c r="AC452" s="6" t="s">
        <v>80</v>
      </c>
      <c r="AD452" s="55"/>
      <c r="AE452" s="55"/>
      <c r="AF452" s="55"/>
      <c r="AG452" s="55"/>
    </row>
    <row r="453">
      <c r="A453" s="21">
        <f>COUNTIF('Divulgação'!$B:$B,B453)</f>
        <v>1</v>
      </c>
      <c r="B453" s="21" t="s">
        <v>1193</v>
      </c>
      <c r="C453" s="9"/>
      <c r="D453" s="6" t="s">
        <v>39</v>
      </c>
      <c r="E453" s="6" t="s">
        <v>40</v>
      </c>
      <c r="F453" s="23">
        <v>46230.0</v>
      </c>
      <c r="G453" s="6" t="s">
        <v>41</v>
      </c>
      <c r="H453" s="23">
        <v>46230.0</v>
      </c>
      <c r="I453" s="21" t="s">
        <v>164</v>
      </c>
      <c r="J453" s="6">
        <v>71653.0</v>
      </c>
      <c r="K453" s="6" t="s">
        <v>165</v>
      </c>
      <c r="L453" s="6" t="s">
        <v>1194</v>
      </c>
      <c r="M453" s="9"/>
      <c r="N453" s="9"/>
      <c r="O453" s="9"/>
      <c r="P453" s="9"/>
      <c r="Q453" s="6">
        <v>1.0</v>
      </c>
      <c r="R453" s="23">
        <v>46226.0</v>
      </c>
      <c r="S453" s="23">
        <v>46232.0</v>
      </c>
      <c r="T453" s="23">
        <v>46230.0</v>
      </c>
      <c r="U453" s="9"/>
      <c r="V453" s="6" t="s">
        <v>44</v>
      </c>
      <c r="W453" s="9"/>
      <c r="X453" s="6" t="s">
        <v>45</v>
      </c>
      <c r="Y453" s="6" t="s">
        <v>46</v>
      </c>
      <c r="Z453" s="6">
        <v>3.040323045E9</v>
      </c>
      <c r="AA453" s="6" t="s">
        <v>57</v>
      </c>
      <c r="AB453" s="6" t="s">
        <v>410</v>
      </c>
      <c r="AC453" s="6" t="s">
        <v>411</v>
      </c>
      <c r="AD453" s="55"/>
      <c r="AE453" s="55"/>
      <c r="AF453" s="55"/>
      <c r="AG453" s="55"/>
    </row>
    <row r="454">
      <c r="A454" s="21">
        <f>COUNTIF('Divulgação'!$B:$B,B454)</f>
        <v>1</v>
      </c>
      <c r="B454" s="21" t="s">
        <v>1197</v>
      </c>
      <c r="C454" s="9"/>
      <c r="D454" s="6" t="s">
        <v>39</v>
      </c>
      <c r="E454" s="6" t="s">
        <v>40</v>
      </c>
      <c r="F454" s="23">
        <v>46230.0</v>
      </c>
      <c r="G454" s="6" t="s">
        <v>41</v>
      </c>
      <c r="H454" s="23">
        <v>46230.0</v>
      </c>
      <c r="I454" s="21" t="s">
        <v>721</v>
      </c>
      <c r="J454" s="6" t="s">
        <v>156</v>
      </c>
      <c r="K454" s="6" t="s">
        <v>722</v>
      </c>
      <c r="L454" s="6" t="s">
        <v>1198</v>
      </c>
      <c r="M454" s="9"/>
      <c r="N454" s="9"/>
      <c r="O454" s="9"/>
      <c r="P454" s="9"/>
      <c r="Q454" s="6">
        <v>1.0</v>
      </c>
      <c r="R454" s="23">
        <v>46226.0</v>
      </c>
      <c r="S454" s="23">
        <v>46232.0</v>
      </c>
      <c r="T454" s="23">
        <v>46230.0</v>
      </c>
      <c r="U454" s="9"/>
      <c r="V454" s="6" t="s">
        <v>44</v>
      </c>
      <c r="W454" s="9"/>
      <c r="X454" s="6" t="s">
        <v>45</v>
      </c>
      <c r="Y454" s="6" t="s">
        <v>46</v>
      </c>
      <c r="Z454" s="6">
        <v>3.040312639E9</v>
      </c>
      <c r="AA454" s="6" t="s">
        <v>57</v>
      </c>
      <c r="AB454" s="6" t="s">
        <v>410</v>
      </c>
      <c r="AC454" s="6" t="s">
        <v>994</v>
      </c>
      <c r="AD454" s="55"/>
      <c r="AE454" s="55"/>
      <c r="AF454" s="55"/>
      <c r="AG454" s="55"/>
    </row>
    <row r="455">
      <c r="A455" s="21">
        <f>COUNTIF('Divulgação'!$B:$B,B455)</f>
        <v>1</v>
      </c>
      <c r="B455" s="21" t="s">
        <v>1199</v>
      </c>
      <c r="C455" s="9"/>
      <c r="D455" s="6" t="s">
        <v>39</v>
      </c>
      <c r="E455" s="6" t="s">
        <v>40</v>
      </c>
      <c r="F455" s="23">
        <v>46230.0</v>
      </c>
      <c r="G455" s="6" t="s">
        <v>41</v>
      </c>
      <c r="H455" s="23">
        <v>46230.0</v>
      </c>
      <c r="I455" s="21" t="s">
        <v>777</v>
      </c>
      <c r="J455" s="6">
        <v>7213.0</v>
      </c>
      <c r="K455" s="6" t="s">
        <v>778</v>
      </c>
      <c r="L455" s="6" t="s">
        <v>1200</v>
      </c>
      <c r="M455" s="9"/>
      <c r="N455" s="9"/>
      <c r="O455" s="9"/>
      <c r="P455" s="9"/>
      <c r="Q455" s="6">
        <v>1.0</v>
      </c>
      <c r="R455" s="23">
        <v>46226.0</v>
      </c>
      <c r="S455" s="23">
        <v>46232.0</v>
      </c>
      <c r="T455" s="23">
        <v>46230.0</v>
      </c>
      <c r="U455" s="9"/>
      <c r="V455" s="6" t="s">
        <v>44</v>
      </c>
      <c r="W455" s="9"/>
      <c r="X455" s="6" t="s">
        <v>45</v>
      </c>
      <c r="Y455" s="6" t="s">
        <v>46</v>
      </c>
      <c r="Z455" s="6">
        <v>3.040326393E9</v>
      </c>
      <c r="AA455" s="6" t="s">
        <v>57</v>
      </c>
      <c r="AB455" s="6" t="s">
        <v>1201</v>
      </c>
      <c r="AC455" s="6" t="s">
        <v>1202</v>
      </c>
      <c r="AD455" s="55"/>
      <c r="AE455" s="55"/>
      <c r="AF455" s="55"/>
      <c r="AG455" s="55"/>
    </row>
    <row r="456">
      <c r="A456" s="21">
        <f>COUNTIF('Divulgação'!$B:$B,B456)</f>
        <v>1</v>
      </c>
      <c r="B456" s="21" t="s">
        <v>1203</v>
      </c>
      <c r="C456" s="9"/>
      <c r="D456" s="6" t="s">
        <v>39</v>
      </c>
      <c r="E456" s="6" t="s">
        <v>40</v>
      </c>
      <c r="F456" s="23">
        <v>46230.0</v>
      </c>
      <c r="G456" s="6" t="s">
        <v>41</v>
      </c>
      <c r="H456" s="23">
        <v>46230.0</v>
      </c>
      <c r="I456" s="21" t="s">
        <v>1204</v>
      </c>
      <c r="J456" s="6" t="s">
        <v>156</v>
      </c>
      <c r="K456" s="6" t="s">
        <v>165</v>
      </c>
      <c r="L456" s="6">
        <v>2316.0</v>
      </c>
      <c r="M456" s="9"/>
      <c r="N456" s="9"/>
      <c r="O456" s="9"/>
      <c r="P456" s="9"/>
      <c r="Q456" s="6">
        <v>1.0</v>
      </c>
      <c r="R456" s="23">
        <v>46226.0</v>
      </c>
      <c r="S456" s="23">
        <v>46232.0</v>
      </c>
      <c r="T456" s="23">
        <v>46230.0</v>
      </c>
      <c r="U456" s="9"/>
      <c r="V456" s="6" t="s">
        <v>44</v>
      </c>
      <c r="W456" s="9"/>
      <c r="X456" s="6" t="s">
        <v>45</v>
      </c>
      <c r="Y456" s="6" t="s">
        <v>46</v>
      </c>
      <c r="Z456" s="6">
        <v>3.040297932E9</v>
      </c>
      <c r="AA456" s="6" t="s">
        <v>64</v>
      </c>
      <c r="AB456" s="6" t="s">
        <v>94</v>
      </c>
      <c r="AC456" s="6" t="s">
        <v>95</v>
      </c>
      <c r="AD456" s="55"/>
      <c r="AE456" s="55"/>
      <c r="AF456" s="55"/>
      <c r="AG456" s="55"/>
    </row>
    <row r="457">
      <c r="A457" s="21">
        <f>COUNTIF('Divulgação'!$B:$B,B457)</f>
        <v>1</v>
      </c>
      <c r="B457" s="21" t="s">
        <v>1207</v>
      </c>
      <c r="C457" s="9"/>
      <c r="D457" s="6" t="s">
        <v>39</v>
      </c>
      <c r="E457" s="6" t="s">
        <v>40</v>
      </c>
      <c r="F457" s="23">
        <v>46230.0</v>
      </c>
      <c r="G457" s="6" t="s">
        <v>41</v>
      </c>
      <c r="H457" s="23">
        <v>46230.0</v>
      </c>
      <c r="I457" s="21" t="s">
        <v>1204</v>
      </c>
      <c r="J457" s="6" t="s">
        <v>156</v>
      </c>
      <c r="K457" s="6" t="s">
        <v>165</v>
      </c>
      <c r="L457" s="6" t="s">
        <v>1208</v>
      </c>
      <c r="M457" s="9"/>
      <c r="N457" s="9"/>
      <c r="O457" s="9"/>
      <c r="P457" s="9"/>
      <c r="Q457" s="6">
        <v>1.0</v>
      </c>
      <c r="R457" s="23">
        <v>46226.0</v>
      </c>
      <c r="S457" s="23">
        <v>46232.0</v>
      </c>
      <c r="T457" s="23">
        <v>46230.0</v>
      </c>
      <c r="U457" s="9"/>
      <c r="V457" s="6" t="s">
        <v>44</v>
      </c>
      <c r="W457" s="9"/>
      <c r="X457" s="6" t="s">
        <v>45</v>
      </c>
      <c r="Y457" s="6" t="s">
        <v>46</v>
      </c>
      <c r="Z457" s="6">
        <v>3.04029216E9</v>
      </c>
      <c r="AA457" s="6" t="s">
        <v>66</v>
      </c>
      <c r="AB457" s="6" t="s">
        <v>228</v>
      </c>
      <c r="AC457" s="6" t="s">
        <v>296</v>
      </c>
      <c r="AD457" s="55"/>
      <c r="AE457" s="55"/>
      <c r="AF457" s="55"/>
      <c r="AG457" s="55"/>
    </row>
    <row r="458">
      <c r="A458" s="21">
        <f>COUNTIF('Divulgação'!$B:$B,B458)</f>
        <v>1</v>
      </c>
      <c r="B458" s="21" t="s">
        <v>1209</v>
      </c>
      <c r="C458" s="9"/>
      <c r="D458" s="6" t="s">
        <v>39</v>
      </c>
      <c r="E458" s="6" t="s">
        <v>40</v>
      </c>
      <c r="F458" s="23">
        <v>46230.0</v>
      </c>
      <c r="G458" s="6" t="s">
        <v>41</v>
      </c>
      <c r="H458" s="23">
        <v>46230.0</v>
      </c>
      <c r="I458" s="21" t="s">
        <v>721</v>
      </c>
      <c r="J458" s="6" t="s">
        <v>156</v>
      </c>
      <c r="K458" s="6" t="s">
        <v>722</v>
      </c>
      <c r="L458" s="6">
        <v>7.0</v>
      </c>
      <c r="M458" s="9"/>
      <c r="N458" s="9"/>
      <c r="O458" s="9"/>
      <c r="P458" s="9"/>
      <c r="Q458" s="6">
        <v>1.0</v>
      </c>
      <c r="R458" s="23">
        <v>46226.0</v>
      </c>
      <c r="S458" s="23">
        <v>46232.0</v>
      </c>
      <c r="T458" s="23">
        <v>46230.0</v>
      </c>
      <c r="U458" s="9"/>
      <c r="V458" s="6" t="s">
        <v>44</v>
      </c>
      <c r="W458" s="9"/>
      <c r="X458" s="6" t="s">
        <v>45</v>
      </c>
      <c r="Y458" s="6" t="s">
        <v>46</v>
      </c>
      <c r="Z458" s="6">
        <v>3.04031264E9</v>
      </c>
      <c r="AA458" s="6" t="s">
        <v>57</v>
      </c>
      <c r="AB458" s="6" t="s">
        <v>410</v>
      </c>
      <c r="AC458" s="6" t="s">
        <v>994</v>
      </c>
      <c r="AD458" s="55"/>
      <c r="AE458" s="55"/>
      <c r="AF458" s="55"/>
      <c r="AG458" s="55"/>
    </row>
    <row r="459">
      <c r="A459" s="21">
        <f>COUNTIF('Divulgação'!$B:$B,B459)</f>
        <v>1</v>
      </c>
      <c r="B459" s="21" t="s">
        <v>1210</v>
      </c>
      <c r="C459" s="9"/>
      <c r="D459" s="6" t="s">
        <v>39</v>
      </c>
      <c r="E459" s="6" t="s">
        <v>40</v>
      </c>
      <c r="F459" s="23">
        <v>46231.0</v>
      </c>
      <c r="G459" s="6" t="s">
        <v>41</v>
      </c>
      <c r="H459" s="23">
        <v>46231.0</v>
      </c>
      <c r="I459" s="21" t="s">
        <v>436</v>
      </c>
      <c r="J459" s="6">
        <v>7213.0</v>
      </c>
      <c r="K459" s="6" t="s">
        <v>778</v>
      </c>
      <c r="L459" s="6" t="s">
        <v>1211</v>
      </c>
      <c r="M459" s="9"/>
      <c r="N459" s="9"/>
      <c r="O459" s="9"/>
      <c r="P459" s="9"/>
      <c r="Q459" s="6">
        <v>1.0</v>
      </c>
      <c r="R459" s="23">
        <v>46231.0</v>
      </c>
      <c r="S459" s="23">
        <v>46237.0</v>
      </c>
      <c r="T459" s="23">
        <v>46231.0</v>
      </c>
      <c r="U459" s="9"/>
      <c r="V459" s="6" t="s">
        <v>44</v>
      </c>
      <c r="W459" s="9"/>
      <c r="X459" s="6" t="s">
        <v>45</v>
      </c>
      <c r="Y459" s="6" t="s">
        <v>46</v>
      </c>
      <c r="Z459" s="6">
        <v>3.040329193E9</v>
      </c>
      <c r="AA459" s="6" t="s">
        <v>70</v>
      </c>
      <c r="AB459" s="6" t="s">
        <v>152</v>
      </c>
      <c r="AC459" s="6" t="s">
        <v>737</v>
      </c>
      <c r="AD459" s="55"/>
      <c r="AE459" s="55"/>
      <c r="AF459" s="55"/>
      <c r="AG459" s="55"/>
    </row>
    <row r="460">
      <c r="A460" s="21">
        <f>COUNTIF('Divulgação'!$B:$B,B460)</f>
        <v>1</v>
      </c>
      <c r="B460" s="21" t="s">
        <v>1212</v>
      </c>
      <c r="C460" s="9"/>
      <c r="D460" s="6" t="s">
        <v>39</v>
      </c>
      <c r="E460" s="6" t="s">
        <v>40</v>
      </c>
      <c r="F460" s="23">
        <v>46233.0</v>
      </c>
      <c r="G460" s="6" t="s">
        <v>41</v>
      </c>
      <c r="H460" s="23">
        <v>46233.0</v>
      </c>
      <c r="I460" s="21" t="s">
        <v>251</v>
      </c>
      <c r="J460" s="6" t="s">
        <v>156</v>
      </c>
      <c r="K460" s="6" t="s">
        <v>252</v>
      </c>
      <c r="L460" s="6" t="s">
        <v>1213</v>
      </c>
      <c r="M460" s="9"/>
      <c r="N460" s="9"/>
      <c r="O460" s="9"/>
      <c r="P460" s="9"/>
      <c r="Q460" s="6">
        <v>1.0</v>
      </c>
      <c r="R460" s="23">
        <v>46224.0</v>
      </c>
      <c r="S460" s="23">
        <v>46230.0</v>
      </c>
      <c r="T460" s="23">
        <v>46233.0</v>
      </c>
      <c r="U460" s="9"/>
      <c r="V460" s="6" t="s">
        <v>44</v>
      </c>
      <c r="W460" s="9"/>
      <c r="X460" s="6" t="s">
        <v>45</v>
      </c>
      <c r="Y460" s="6" t="s">
        <v>46</v>
      </c>
      <c r="Z460" s="6">
        <v>3.040264307E9</v>
      </c>
      <c r="AA460" s="6" t="s">
        <v>45</v>
      </c>
      <c r="AB460" s="6" t="s">
        <v>220</v>
      </c>
      <c r="AC460" s="6" t="s">
        <v>1062</v>
      </c>
      <c r="AD460" s="55"/>
      <c r="AE460" s="55"/>
      <c r="AF460" s="55"/>
      <c r="AG460" s="55"/>
    </row>
    <row r="461">
      <c r="A461" s="21">
        <f>COUNTIF('Divulgação'!$B:$B,B461)</f>
        <v>1</v>
      </c>
      <c r="B461" s="21" t="s">
        <v>1215</v>
      </c>
      <c r="C461" s="9"/>
      <c r="D461" s="6" t="s">
        <v>39</v>
      </c>
      <c r="E461" s="6" t="s">
        <v>40</v>
      </c>
      <c r="F461" s="23">
        <v>46233.0</v>
      </c>
      <c r="G461" s="6" t="s">
        <v>41</v>
      </c>
      <c r="H461" s="23">
        <v>46233.0</v>
      </c>
      <c r="I461" s="21" t="s">
        <v>251</v>
      </c>
      <c r="J461" s="6" t="s">
        <v>156</v>
      </c>
      <c r="K461" s="6" t="s">
        <v>252</v>
      </c>
      <c r="L461" s="6" t="s">
        <v>1216</v>
      </c>
      <c r="M461" s="9"/>
      <c r="N461" s="9"/>
      <c r="O461" s="9"/>
      <c r="P461" s="9"/>
      <c r="Q461" s="6">
        <v>1.0</v>
      </c>
      <c r="R461" s="23">
        <v>46224.0</v>
      </c>
      <c r="S461" s="23">
        <v>46224.0</v>
      </c>
      <c r="T461" s="23">
        <v>46233.0</v>
      </c>
      <c r="U461" s="9"/>
      <c r="V461" s="6" t="s">
        <v>44</v>
      </c>
      <c r="W461" s="9"/>
      <c r="X461" s="6" t="s">
        <v>45</v>
      </c>
      <c r="Y461" s="6" t="s">
        <v>46</v>
      </c>
      <c r="Z461" s="6">
        <v>3.040285202E9</v>
      </c>
      <c r="AA461" s="6" t="s">
        <v>66</v>
      </c>
      <c r="AB461" s="6" t="s">
        <v>228</v>
      </c>
      <c r="AC461" s="6" t="s">
        <v>1217</v>
      </c>
      <c r="AD461" s="55"/>
      <c r="AE461" s="55"/>
      <c r="AF461" s="55"/>
      <c r="AG461" s="55"/>
    </row>
    <row r="462">
      <c r="A462" s="21">
        <f>COUNTIF('Divulgação'!$B:$B,B462)</f>
        <v>1</v>
      </c>
      <c r="B462" s="21" t="s">
        <v>1218</v>
      </c>
      <c r="C462" s="9"/>
      <c r="D462" s="6" t="s">
        <v>39</v>
      </c>
      <c r="E462" s="6" t="s">
        <v>40</v>
      </c>
      <c r="F462" s="23">
        <v>46233.0</v>
      </c>
      <c r="G462" s="6" t="s">
        <v>41</v>
      </c>
      <c r="H462" s="23">
        <v>46233.0</v>
      </c>
      <c r="I462" s="21" t="s">
        <v>251</v>
      </c>
      <c r="J462" s="6" t="s">
        <v>156</v>
      </c>
      <c r="K462" s="6" t="s">
        <v>252</v>
      </c>
      <c r="L462" s="6">
        <v>4100928.0</v>
      </c>
      <c r="M462" s="9"/>
      <c r="N462" s="9"/>
      <c r="O462" s="9"/>
      <c r="P462" s="9"/>
      <c r="Q462" s="6">
        <v>1.0</v>
      </c>
      <c r="R462" s="23">
        <v>46224.0</v>
      </c>
      <c r="S462" s="23">
        <v>46230.0</v>
      </c>
      <c r="T462" s="23">
        <v>46233.0</v>
      </c>
      <c r="U462" s="9"/>
      <c r="V462" s="6" t="s">
        <v>44</v>
      </c>
      <c r="W462" s="9"/>
      <c r="X462" s="6" t="s">
        <v>45</v>
      </c>
      <c r="Y462" s="6" t="s">
        <v>46</v>
      </c>
      <c r="Z462" s="6">
        <v>3.040312966E9</v>
      </c>
      <c r="AA462" s="6" t="s">
        <v>45</v>
      </c>
      <c r="AB462" s="6" t="s">
        <v>46</v>
      </c>
      <c r="AC462" s="6" t="s">
        <v>80</v>
      </c>
      <c r="AD462" s="55"/>
      <c r="AE462" s="55"/>
      <c r="AF462" s="55"/>
      <c r="AG462" s="55"/>
    </row>
    <row r="463">
      <c r="A463" s="21">
        <f>COUNTIF('Divulgação'!$B:$B,B463)</f>
        <v>1</v>
      </c>
      <c r="B463" s="21" t="s">
        <v>1219</v>
      </c>
      <c r="C463" s="9"/>
      <c r="D463" s="6" t="s">
        <v>39</v>
      </c>
      <c r="E463" s="6" t="s">
        <v>40</v>
      </c>
      <c r="F463" s="23">
        <v>46233.0</v>
      </c>
      <c r="G463" s="6" t="s">
        <v>41</v>
      </c>
      <c r="H463" s="23">
        <v>46233.0</v>
      </c>
      <c r="I463" s="21" t="s">
        <v>251</v>
      </c>
      <c r="J463" s="6" t="s">
        <v>156</v>
      </c>
      <c r="K463" s="6" t="s">
        <v>252</v>
      </c>
      <c r="L463" s="6">
        <v>1017.0</v>
      </c>
      <c r="M463" s="9"/>
      <c r="N463" s="9"/>
      <c r="O463" s="9"/>
      <c r="P463" s="9"/>
      <c r="Q463" s="6">
        <v>1.0</v>
      </c>
      <c r="R463" s="23">
        <v>46224.0</v>
      </c>
      <c r="S463" s="23">
        <v>46230.0</v>
      </c>
      <c r="T463" s="23">
        <v>46233.0</v>
      </c>
      <c r="U463" s="9"/>
      <c r="V463" s="6" t="s">
        <v>44</v>
      </c>
      <c r="W463" s="9"/>
      <c r="X463" s="6" t="s">
        <v>45</v>
      </c>
      <c r="Y463" s="6" t="s">
        <v>46</v>
      </c>
      <c r="Z463" s="6">
        <v>3.04031794E9</v>
      </c>
      <c r="AA463" s="6" t="s">
        <v>45</v>
      </c>
      <c r="AB463" s="6" t="s">
        <v>46</v>
      </c>
      <c r="AC463" s="6" t="s">
        <v>324</v>
      </c>
      <c r="AD463" s="55"/>
      <c r="AE463" s="55"/>
      <c r="AF463" s="55"/>
      <c r="AG463" s="55"/>
    </row>
    <row r="464">
      <c r="A464" s="21">
        <f>COUNTIF('Divulgação'!$B:$B,B464)</f>
        <v>1</v>
      </c>
      <c r="B464" s="21" t="s">
        <v>1220</v>
      </c>
      <c r="C464" s="9"/>
      <c r="D464" s="6" t="s">
        <v>39</v>
      </c>
      <c r="E464" s="6" t="s">
        <v>40</v>
      </c>
      <c r="F464" s="23">
        <v>46234.0</v>
      </c>
      <c r="G464" s="6" t="s">
        <v>41</v>
      </c>
      <c r="H464" s="23">
        <v>46234.0</v>
      </c>
      <c r="I464" s="21" t="s">
        <v>1011</v>
      </c>
      <c r="J464" s="6" t="s">
        <v>275</v>
      </c>
      <c r="K464" s="6" t="s">
        <v>1012</v>
      </c>
      <c r="L464" s="6">
        <v>8.6816876E7</v>
      </c>
      <c r="M464" s="9"/>
      <c r="N464" s="9"/>
      <c r="O464" s="9"/>
      <c r="P464" s="9"/>
      <c r="Q464" s="6">
        <v>1.0</v>
      </c>
      <c r="R464" s="23">
        <v>46230.0</v>
      </c>
      <c r="S464" s="23">
        <v>46234.0</v>
      </c>
      <c r="T464" s="23">
        <v>46234.0</v>
      </c>
      <c r="U464" s="9"/>
      <c r="V464" s="6" t="s">
        <v>44</v>
      </c>
      <c r="W464" s="9"/>
      <c r="X464" s="6" t="s">
        <v>45</v>
      </c>
      <c r="Y464" s="6" t="s">
        <v>46</v>
      </c>
      <c r="Z464" s="6">
        <v>3.040317296E9</v>
      </c>
      <c r="AA464" s="6" t="s">
        <v>63</v>
      </c>
      <c r="AB464" s="6" t="s">
        <v>72</v>
      </c>
      <c r="AC464" s="6" t="s">
        <v>451</v>
      </c>
      <c r="AD464" s="55"/>
      <c r="AE464" s="55"/>
      <c r="AF464" s="55"/>
      <c r="AG464" s="55"/>
    </row>
    <row r="465">
      <c r="A465" s="21">
        <f>COUNTIF('Divulgação'!$B:$B,B465)</f>
        <v>1</v>
      </c>
      <c r="B465" s="21" t="s">
        <v>1228</v>
      </c>
      <c r="C465" s="9"/>
      <c r="D465" s="6" t="s">
        <v>39</v>
      </c>
      <c r="E465" s="6" t="s">
        <v>1222</v>
      </c>
      <c r="F465" s="23">
        <v>46230.0</v>
      </c>
      <c r="G465" s="6" t="s">
        <v>41</v>
      </c>
      <c r="H465" s="9"/>
      <c r="I465" s="21" t="s">
        <v>274</v>
      </c>
      <c r="J465" s="6" t="s">
        <v>275</v>
      </c>
      <c r="K465" s="6" t="s">
        <v>276</v>
      </c>
      <c r="L465" s="6">
        <v>8.6800896E7</v>
      </c>
      <c r="M465" s="9"/>
      <c r="N465" s="9"/>
      <c r="O465" s="9"/>
      <c r="P465" s="9"/>
      <c r="Q465" s="6">
        <v>1.0</v>
      </c>
      <c r="R465" s="23">
        <v>46230.0</v>
      </c>
      <c r="S465" s="23">
        <v>46234.0</v>
      </c>
      <c r="T465" s="9"/>
      <c r="U465" s="9"/>
      <c r="V465" s="6" t="s">
        <v>44</v>
      </c>
      <c r="W465" s="9"/>
      <c r="X465" s="6" t="s">
        <v>45</v>
      </c>
      <c r="Y465" s="6" t="s">
        <v>46</v>
      </c>
      <c r="Z465" s="6">
        <v>3.04031289E9</v>
      </c>
      <c r="AA465" s="6" t="s">
        <v>45</v>
      </c>
      <c r="AB465" s="6" t="s">
        <v>46</v>
      </c>
      <c r="AC465" s="6" t="s">
        <v>324</v>
      </c>
      <c r="AD465" s="55"/>
      <c r="AE465" s="55"/>
      <c r="AF465" s="55"/>
      <c r="AG465" s="55"/>
    </row>
    <row r="466">
      <c r="A466" s="21">
        <f>COUNTIF('Divulgação'!$B:$B,B466)</f>
        <v>1</v>
      </c>
      <c r="B466" s="21" t="s">
        <v>1229</v>
      </c>
      <c r="C466" s="9"/>
      <c r="D466" s="6" t="s">
        <v>39</v>
      </c>
      <c r="E466" s="6" t="s">
        <v>1222</v>
      </c>
      <c r="F466" s="23">
        <v>46230.0</v>
      </c>
      <c r="G466" s="6" t="s">
        <v>41</v>
      </c>
      <c r="H466" s="9"/>
      <c r="I466" s="21" t="s">
        <v>274</v>
      </c>
      <c r="J466" s="6" t="s">
        <v>275</v>
      </c>
      <c r="K466" s="6" t="s">
        <v>276</v>
      </c>
      <c r="L466" s="6">
        <v>8.6801593E7</v>
      </c>
      <c r="M466" s="9"/>
      <c r="N466" s="9"/>
      <c r="O466" s="9"/>
      <c r="P466" s="9"/>
      <c r="Q466" s="6">
        <v>1.0</v>
      </c>
      <c r="R466" s="23">
        <v>46230.0</v>
      </c>
      <c r="S466" s="23">
        <v>46234.0</v>
      </c>
      <c r="T466" s="9"/>
      <c r="U466" s="9"/>
      <c r="V466" s="6" t="s">
        <v>44</v>
      </c>
      <c r="W466" s="9"/>
      <c r="X466" s="6" t="s">
        <v>45</v>
      </c>
      <c r="Y466" s="6" t="s">
        <v>46</v>
      </c>
      <c r="Z466" s="6">
        <v>3.040312961E9</v>
      </c>
      <c r="AA466" s="6" t="s">
        <v>45</v>
      </c>
      <c r="AB466" s="6" t="s">
        <v>46</v>
      </c>
      <c r="AC466" s="6" t="s">
        <v>324</v>
      </c>
      <c r="AD466" s="55"/>
      <c r="AE466" s="55"/>
      <c r="AF466" s="55"/>
      <c r="AG466" s="55"/>
    </row>
    <row r="467">
      <c r="A467" s="21">
        <f>COUNTIF('Divulgação'!$B:$B,B467)</f>
        <v>1</v>
      </c>
      <c r="B467" s="21" t="s">
        <v>1230</v>
      </c>
      <c r="C467" s="9"/>
      <c r="D467" s="6" t="s">
        <v>39</v>
      </c>
      <c r="E467" s="6" t="s">
        <v>1222</v>
      </c>
      <c r="F467" s="23">
        <v>46230.0</v>
      </c>
      <c r="G467" s="6" t="s">
        <v>41</v>
      </c>
      <c r="H467" s="9"/>
      <c r="I467" s="21" t="s">
        <v>1231</v>
      </c>
      <c r="J467" s="6" t="s">
        <v>156</v>
      </c>
      <c r="K467" s="6" t="s">
        <v>1232</v>
      </c>
      <c r="L467" s="6" t="s">
        <v>1233</v>
      </c>
      <c r="M467" s="9"/>
      <c r="N467" s="9"/>
      <c r="O467" s="9"/>
      <c r="P467" s="9"/>
      <c r="Q467" s="6">
        <v>1.0</v>
      </c>
      <c r="R467" s="23">
        <v>46230.0</v>
      </c>
      <c r="S467" s="23">
        <v>46234.0</v>
      </c>
      <c r="T467" s="9"/>
      <c r="U467" s="9"/>
      <c r="V467" s="6" t="s">
        <v>44</v>
      </c>
      <c r="W467" s="9"/>
      <c r="X467" s="6" t="s">
        <v>45</v>
      </c>
      <c r="Y467" s="6" t="s">
        <v>46</v>
      </c>
      <c r="Z467" s="6">
        <v>3.040295136E9</v>
      </c>
      <c r="AA467" s="6" t="s">
        <v>66</v>
      </c>
      <c r="AB467" s="6" t="s">
        <v>394</v>
      </c>
      <c r="AC467" s="6" t="s">
        <v>296</v>
      </c>
      <c r="AD467" s="55"/>
      <c r="AE467" s="55"/>
      <c r="AF467" s="55"/>
      <c r="AG467" s="55"/>
    </row>
    <row r="468">
      <c r="A468" s="21">
        <f>COUNTIF('Divulgação'!$B:$B,B468)</f>
        <v>1</v>
      </c>
      <c r="B468" s="21" t="s">
        <v>1234</v>
      </c>
      <c r="C468" s="9"/>
      <c r="D468" s="6" t="s">
        <v>39</v>
      </c>
      <c r="E468" s="6" t="s">
        <v>1222</v>
      </c>
      <c r="F468" s="23">
        <v>46230.0</v>
      </c>
      <c r="G468" s="6" t="s">
        <v>41</v>
      </c>
      <c r="H468" s="9"/>
      <c r="I468" s="21" t="s">
        <v>1231</v>
      </c>
      <c r="J468" s="6" t="s">
        <v>156</v>
      </c>
      <c r="K468" s="6" t="s">
        <v>1232</v>
      </c>
      <c r="L468" s="6" t="s">
        <v>1235</v>
      </c>
      <c r="M468" s="9"/>
      <c r="N468" s="9"/>
      <c r="O468" s="9"/>
      <c r="P468" s="9"/>
      <c r="Q468" s="6">
        <v>1.0</v>
      </c>
      <c r="R468" s="23">
        <v>46230.0</v>
      </c>
      <c r="S468" s="23">
        <v>46234.0</v>
      </c>
      <c r="T468" s="9"/>
      <c r="U468" s="9"/>
      <c r="V468" s="6" t="s">
        <v>44</v>
      </c>
      <c r="W468" s="9"/>
      <c r="X468" s="6" t="s">
        <v>45</v>
      </c>
      <c r="Y468" s="6" t="s">
        <v>46</v>
      </c>
      <c r="Z468" s="6">
        <v>3.040297179E9</v>
      </c>
      <c r="AA468" s="6" t="s">
        <v>71</v>
      </c>
      <c r="AB468" s="6" t="s">
        <v>827</v>
      </c>
      <c r="AC468" s="6" t="s">
        <v>1236</v>
      </c>
      <c r="AD468" s="55"/>
      <c r="AE468" s="55"/>
      <c r="AF468" s="55"/>
      <c r="AG468" s="55"/>
    </row>
    <row r="469">
      <c r="A469" s="21">
        <f>COUNTIF('Divulgação'!$B:$B,B469)</f>
        <v>1</v>
      </c>
      <c r="B469" s="21" t="s">
        <v>1237</v>
      </c>
      <c r="C469" s="9"/>
      <c r="D469" s="6" t="s">
        <v>39</v>
      </c>
      <c r="E469" s="6" t="s">
        <v>1222</v>
      </c>
      <c r="F469" s="23">
        <v>46230.0</v>
      </c>
      <c r="G469" s="6" t="s">
        <v>41</v>
      </c>
      <c r="H469" s="9"/>
      <c r="I469" s="21" t="s">
        <v>1231</v>
      </c>
      <c r="J469" s="6" t="s">
        <v>156</v>
      </c>
      <c r="K469" s="6" t="s">
        <v>1232</v>
      </c>
      <c r="L469" s="6" t="s">
        <v>1238</v>
      </c>
      <c r="M469" s="9"/>
      <c r="N469" s="9"/>
      <c r="O469" s="9"/>
      <c r="P469" s="9"/>
      <c r="Q469" s="6">
        <v>1.0</v>
      </c>
      <c r="R469" s="23">
        <v>46230.0</v>
      </c>
      <c r="S469" s="23">
        <v>46234.0</v>
      </c>
      <c r="T469" s="9"/>
      <c r="U469" s="9"/>
      <c r="V469" s="6" t="s">
        <v>44</v>
      </c>
      <c r="W469" s="9"/>
      <c r="X469" s="6" t="s">
        <v>45</v>
      </c>
      <c r="Y469" s="6" t="s">
        <v>46</v>
      </c>
      <c r="Z469" s="6">
        <v>3.040299234E9</v>
      </c>
      <c r="AA469" s="6" t="s">
        <v>66</v>
      </c>
      <c r="AB469" s="6" t="s">
        <v>394</v>
      </c>
      <c r="AC469" s="6" t="s">
        <v>1239</v>
      </c>
      <c r="AD469" s="55"/>
      <c r="AE469" s="55"/>
      <c r="AF469" s="55"/>
      <c r="AG469" s="55"/>
    </row>
    <row r="470">
      <c r="A470" s="21">
        <f>COUNTIF('Divulgação'!$B:$B,B470)</f>
        <v>1</v>
      </c>
      <c r="B470" s="21" t="s">
        <v>1240</v>
      </c>
      <c r="C470" s="9"/>
      <c r="D470" s="6" t="s">
        <v>39</v>
      </c>
      <c r="E470" s="6" t="s">
        <v>1222</v>
      </c>
      <c r="F470" s="23">
        <v>46230.0</v>
      </c>
      <c r="G470" s="6" t="s">
        <v>41</v>
      </c>
      <c r="H470" s="9"/>
      <c r="I470" s="21" t="s">
        <v>1231</v>
      </c>
      <c r="J470" s="6" t="s">
        <v>156</v>
      </c>
      <c r="K470" s="6" t="s">
        <v>1232</v>
      </c>
      <c r="L470" s="6" t="s">
        <v>1241</v>
      </c>
      <c r="M470" s="9"/>
      <c r="N470" s="9"/>
      <c r="O470" s="9"/>
      <c r="P470" s="9"/>
      <c r="Q470" s="6">
        <v>1.0</v>
      </c>
      <c r="R470" s="23">
        <v>46230.0</v>
      </c>
      <c r="S470" s="23">
        <v>46234.0</v>
      </c>
      <c r="T470" s="9"/>
      <c r="U470" s="9"/>
      <c r="V470" s="6" t="s">
        <v>44</v>
      </c>
      <c r="W470" s="9"/>
      <c r="X470" s="6" t="s">
        <v>45</v>
      </c>
      <c r="Y470" s="6" t="s">
        <v>46</v>
      </c>
      <c r="Z470" s="6">
        <v>3.040306368E9</v>
      </c>
      <c r="AA470" s="6" t="s">
        <v>66</v>
      </c>
      <c r="AB470" s="6" t="s">
        <v>394</v>
      </c>
      <c r="AC470" s="6" t="s">
        <v>296</v>
      </c>
      <c r="AD470" s="55"/>
      <c r="AE470" s="55"/>
      <c r="AF470" s="55"/>
      <c r="AG470" s="55"/>
    </row>
    <row r="471">
      <c r="A471" s="21">
        <f>COUNTIF('Divulgação'!$B:$B,B471)</f>
        <v>1</v>
      </c>
      <c r="B471" s="21" t="s">
        <v>1243</v>
      </c>
      <c r="C471" s="9"/>
      <c r="D471" s="6" t="s">
        <v>39</v>
      </c>
      <c r="E471" s="6" t="s">
        <v>1222</v>
      </c>
      <c r="F471" s="23">
        <v>46230.0</v>
      </c>
      <c r="G471" s="6" t="s">
        <v>41</v>
      </c>
      <c r="H471" s="9"/>
      <c r="I471" s="21" t="s">
        <v>721</v>
      </c>
      <c r="J471" s="6" t="s">
        <v>156</v>
      </c>
      <c r="K471" s="6" t="s">
        <v>722</v>
      </c>
      <c r="L471" s="6" t="s">
        <v>1245</v>
      </c>
      <c r="M471" s="9"/>
      <c r="N471" s="9"/>
      <c r="O471" s="9"/>
      <c r="P471" s="9"/>
      <c r="Q471" s="6">
        <v>1.0</v>
      </c>
      <c r="R471" s="23">
        <v>46230.0</v>
      </c>
      <c r="S471" s="23">
        <v>46234.0</v>
      </c>
      <c r="T471" s="9"/>
      <c r="U471" s="9"/>
      <c r="V471" s="6" t="s">
        <v>44</v>
      </c>
      <c r="W471" s="9"/>
      <c r="X471" s="6" t="s">
        <v>45</v>
      </c>
      <c r="Y471" s="6" t="s">
        <v>46</v>
      </c>
      <c r="Z471" s="6">
        <v>3.040313649E9</v>
      </c>
      <c r="AA471" s="6" t="s">
        <v>45</v>
      </c>
      <c r="AB471" s="6" t="s">
        <v>203</v>
      </c>
      <c r="AC471" s="6" t="s">
        <v>1057</v>
      </c>
      <c r="AD471" s="55"/>
      <c r="AE471" s="55"/>
      <c r="AF471" s="55"/>
      <c r="AG471" s="55"/>
    </row>
    <row r="472">
      <c r="A472" s="21">
        <f>COUNTIF('Divulgação'!$B:$B,B472)</f>
        <v>1</v>
      </c>
      <c r="B472" s="21" t="s">
        <v>1246</v>
      </c>
      <c r="C472" s="9"/>
      <c r="D472" s="6" t="s">
        <v>39</v>
      </c>
      <c r="E472" s="6" t="s">
        <v>1222</v>
      </c>
      <c r="F472" s="23">
        <v>46230.0</v>
      </c>
      <c r="G472" s="6" t="s">
        <v>41</v>
      </c>
      <c r="H472" s="9"/>
      <c r="I472" s="21" t="s">
        <v>721</v>
      </c>
      <c r="J472" s="6" t="s">
        <v>156</v>
      </c>
      <c r="K472" s="6" t="s">
        <v>722</v>
      </c>
      <c r="L472" s="6" t="s">
        <v>1247</v>
      </c>
      <c r="M472" s="9"/>
      <c r="N472" s="9"/>
      <c r="O472" s="9"/>
      <c r="P472" s="9"/>
      <c r="Q472" s="6">
        <v>1.0</v>
      </c>
      <c r="R472" s="23">
        <v>46230.0</v>
      </c>
      <c r="S472" s="23">
        <v>46234.0</v>
      </c>
      <c r="T472" s="9"/>
      <c r="U472" s="9"/>
      <c r="V472" s="6" t="s">
        <v>44</v>
      </c>
      <c r="W472" s="9"/>
      <c r="X472" s="6" t="s">
        <v>45</v>
      </c>
      <c r="Y472" s="6" t="s">
        <v>46</v>
      </c>
      <c r="Z472" s="6">
        <v>3.04032405E9</v>
      </c>
      <c r="AA472" s="6" t="s">
        <v>63</v>
      </c>
      <c r="AB472" s="6" t="s">
        <v>72</v>
      </c>
      <c r="AC472" s="6" t="s">
        <v>360</v>
      </c>
      <c r="AD472" s="55"/>
      <c r="AE472" s="55"/>
      <c r="AF472" s="55"/>
      <c r="AG472" s="55"/>
    </row>
    <row r="473">
      <c r="A473" s="21">
        <f>COUNTIF('Divulgação'!$B:$B,B473)</f>
        <v>1</v>
      </c>
      <c r="B473" s="21" t="s">
        <v>1248</v>
      </c>
      <c r="C473" s="9"/>
      <c r="D473" s="6" t="s">
        <v>39</v>
      </c>
      <c r="E473" s="6" t="s">
        <v>1222</v>
      </c>
      <c r="F473" s="23">
        <v>46230.0</v>
      </c>
      <c r="G473" s="6" t="s">
        <v>41</v>
      </c>
      <c r="H473" s="9"/>
      <c r="I473" s="21" t="s">
        <v>1204</v>
      </c>
      <c r="J473" s="6" t="s">
        <v>156</v>
      </c>
      <c r="K473" s="6" t="s">
        <v>165</v>
      </c>
      <c r="L473" s="6">
        <v>5.0</v>
      </c>
      <c r="M473" s="9"/>
      <c r="N473" s="9"/>
      <c r="O473" s="9"/>
      <c r="P473" s="9"/>
      <c r="Q473" s="6">
        <v>1.0</v>
      </c>
      <c r="R473" s="23">
        <v>46230.0</v>
      </c>
      <c r="S473" s="23">
        <v>46234.0</v>
      </c>
      <c r="T473" s="9"/>
      <c r="U473" s="9"/>
      <c r="V473" s="6" t="s">
        <v>44</v>
      </c>
      <c r="W473" s="9"/>
      <c r="X473" s="6" t="s">
        <v>45</v>
      </c>
      <c r="Y473" s="6" t="s">
        <v>46</v>
      </c>
      <c r="Z473" s="6">
        <v>3.04031309E9</v>
      </c>
      <c r="AA473" s="6" t="s">
        <v>45</v>
      </c>
      <c r="AB473" s="6" t="s">
        <v>46</v>
      </c>
      <c r="AC473" s="6" t="s">
        <v>324</v>
      </c>
      <c r="AD473" s="55"/>
      <c r="AE473" s="55"/>
      <c r="AF473" s="55"/>
      <c r="AG473" s="55"/>
    </row>
    <row r="474">
      <c r="A474" s="21">
        <f>COUNTIF('Divulgação'!$B:$B,B474)</f>
        <v>1</v>
      </c>
      <c r="B474" s="21" t="s">
        <v>1249</v>
      </c>
      <c r="C474" s="9"/>
      <c r="D474" s="6" t="s">
        <v>39</v>
      </c>
      <c r="E474" s="6" t="s">
        <v>1222</v>
      </c>
      <c r="F474" s="23">
        <v>46230.0</v>
      </c>
      <c r="G474" s="6" t="s">
        <v>41</v>
      </c>
      <c r="H474" s="9"/>
      <c r="I474" s="21" t="s">
        <v>1204</v>
      </c>
      <c r="J474" s="6" t="s">
        <v>156</v>
      </c>
      <c r="K474" s="6" t="s">
        <v>165</v>
      </c>
      <c r="L474" s="6">
        <v>2314.0</v>
      </c>
      <c r="M474" s="9"/>
      <c r="N474" s="9"/>
      <c r="O474" s="9"/>
      <c r="P474" s="9"/>
      <c r="Q474" s="6">
        <v>1.0</v>
      </c>
      <c r="R474" s="23">
        <v>46230.0</v>
      </c>
      <c r="S474" s="23">
        <v>46234.0</v>
      </c>
      <c r="T474" s="9"/>
      <c r="U474" s="9"/>
      <c r="V474" s="6" t="s">
        <v>44</v>
      </c>
      <c r="W474" s="9"/>
      <c r="X474" s="6" t="s">
        <v>45</v>
      </c>
      <c r="Y474" s="6" t="s">
        <v>46</v>
      </c>
      <c r="Z474" s="6">
        <v>3.040232792E9</v>
      </c>
      <c r="AA474" s="6" t="s">
        <v>389</v>
      </c>
      <c r="AB474" s="6" t="s">
        <v>390</v>
      </c>
      <c r="AC474" s="6" t="s">
        <v>814</v>
      </c>
      <c r="AD474" s="55"/>
      <c r="AE474" s="55"/>
      <c r="AF474" s="55"/>
      <c r="AG474" s="55"/>
    </row>
    <row r="475">
      <c r="A475" s="21">
        <f>COUNTIF('Divulgação'!$B:$B,B475)</f>
        <v>1</v>
      </c>
      <c r="B475" s="21" t="s">
        <v>1250</v>
      </c>
      <c r="C475" s="9"/>
      <c r="D475" s="6" t="s">
        <v>39</v>
      </c>
      <c r="E475" s="6" t="s">
        <v>1222</v>
      </c>
      <c r="F475" s="23">
        <v>46231.0</v>
      </c>
      <c r="G475" s="6" t="s">
        <v>41</v>
      </c>
      <c r="H475" s="9"/>
      <c r="I475" s="21" t="s">
        <v>375</v>
      </c>
      <c r="J475" s="6">
        <v>22373.0</v>
      </c>
      <c r="K475" s="6" t="s">
        <v>491</v>
      </c>
      <c r="L475" s="6">
        <v>4042.0</v>
      </c>
      <c r="M475" s="9"/>
      <c r="N475" s="9"/>
      <c r="O475" s="9"/>
      <c r="P475" s="9"/>
      <c r="Q475" s="6">
        <v>1.0</v>
      </c>
      <c r="R475" s="23">
        <v>46231.0</v>
      </c>
      <c r="S475" s="23">
        <v>46237.0</v>
      </c>
      <c r="T475" s="9"/>
      <c r="U475" s="9"/>
      <c r="V475" s="6" t="s">
        <v>44</v>
      </c>
      <c r="W475" s="9"/>
      <c r="X475" s="6" t="s">
        <v>45</v>
      </c>
      <c r="Y475" s="6" t="s">
        <v>46</v>
      </c>
      <c r="Z475" s="6">
        <v>3.040316667E9</v>
      </c>
      <c r="AA475" s="6" t="s">
        <v>45</v>
      </c>
      <c r="AB475" s="6" t="s">
        <v>46</v>
      </c>
      <c r="AC475" s="6" t="s">
        <v>324</v>
      </c>
      <c r="AD475" s="55"/>
      <c r="AE475" s="55"/>
      <c r="AF475" s="55"/>
      <c r="AG475" s="55"/>
    </row>
    <row r="476">
      <c r="A476" s="21">
        <f>COUNTIF('Divulgação'!$B:$B,B476)</f>
        <v>1</v>
      </c>
      <c r="B476" s="21" t="s">
        <v>1252</v>
      </c>
      <c r="C476" s="9"/>
      <c r="D476" s="6" t="s">
        <v>39</v>
      </c>
      <c r="E476" s="6" t="s">
        <v>1222</v>
      </c>
      <c r="F476" s="23">
        <v>46231.0</v>
      </c>
      <c r="G476" s="6" t="s">
        <v>41</v>
      </c>
      <c r="H476" s="9"/>
      <c r="I476" s="21" t="s">
        <v>375</v>
      </c>
      <c r="J476" s="6">
        <v>22373.0</v>
      </c>
      <c r="K476" s="6" t="s">
        <v>491</v>
      </c>
      <c r="L476" s="6" t="s">
        <v>1253</v>
      </c>
      <c r="M476" s="9"/>
      <c r="N476" s="9"/>
      <c r="O476" s="9"/>
      <c r="P476" s="9"/>
      <c r="Q476" s="6">
        <v>1.0</v>
      </c>
      <c r="R476" s="23">
        <v>46231.0</v>
      </c>
      <c r="S476" s="23">
        <v>46237.0</v>
      </c>
      <c r="T476" s="9"/>
      <c r="U476" s="9"/>
      <c r="V476" s="6" t="s">
        <v>44</v>
      </c>
      <c r="W476" s="9"/>
      <c r="X476" s="6" t="s">
        <v>45</v>
      </c>
      <c r="Y476" s="6" t="s">
        <v>46</v>
      </c>
      <c r="Z476" s="6">
        <v>3.040326958E9</v>
      </c>
      <c r="AA476" s="6" t="s">
        <v>70</v>
      </c>
      <c r="AB476" s="6" t="s">
        <v>152</v>
      </c>
      <c r="AC476" s="6" t="s">
        <v>737</v>
      </c>
      <c r="AD476" s="55"/>
      <c r="AE476" s="55"/>
      <c r="AF476" s="55"/>
      <c r="AG476" s="55"/>
    </row>
    <row r="477">
      <c r="A477" s="21">
        <f>COUNTIF('Divulgação'!$B:$B,B477)</f>
        <v>1</v>
      </c>
      <c r="B477" s="21" t="s">
        <v>1254</v>
      </c>
      <c r="C477" s="9"/>
      <c r="D477" s="6" t="s">
        <v>39</v>
      </c>
      <c r="E477" s="6" t="s">
        <v>1222</v>
      </c>
      <c r="F477" s="23">
        <v>46231.0</v>
      </c>
      <c r="G477" s="6" t="s">
        <v>41</v>
      </c>
      <c r="H477" s="9"/>
      <c r="I477" s="21" t="s">
        <v>310</v>
      </c>
      <c r="J477" s="6" t="s">
        <v>156</v>
      </c>
      <c r="K477" s="6" t="s">
        <v>311</v>
      </c>
      <c r="L477" s="6">
        <v>136.0</v>
      </c>
      <c r="M477" s="9"/>
      <c r="N477" s="9"/>
      <c r="O477" s="9"/>
      <c r="P477" s="9"/>
      <c r="Q477" s="6">
        <v>1.0</v>
      </c>
      <c r="R477" s="23">
        <v>46231.0</v>
      </c>
      <c r="S477" s="23">
        <v>46237.0</v>
      </c>
      <c r="T477" s="9"/>
      <c r="U477" s="9"/>
      <c r="V477" s="6" t="s">
        <v>44</v>
      </c>
      <c r="W477" s="9"/>
      <c r="X477" s="6" t="s">
        <v>45</v>
      </c>
      <c r="Y477" s="6" t="s">
        <v>46</v>
      </c>
      <c r="Z477" s="6">
        <v>3.040325527E9</v>
      </c>
      <c r="AA477" s="6" t="s">
        <v>63</v>
      </c>
      <c r="AB477" s="6" t="s">
        <v>241</v>
      </c>
      <c r="AC477" s="6" t="s">
        <v>583</v>
      </c>
      <c r="AD477" s="55"/>
      <c r="AE477" s="55"/>
      <c r="AF477" s="55"/>
      <c r="AG477" s="55"/>
    </row>
    <row r="478">
      <c r="A478" s="21">
        <f>COUNTIF('Divulgação'!$B:$B,B478)</f>
        <v>1</v>
      </c>
      <c r="B478" s="21" t="s">
        <v>1255</v>
      </c>
      <c r="C478" s="9"/>
      <c r="D478" s="6" t="s">
        <v>39</v>
      </c>
      <c r="E478" s="6" t="s">
        <v>1222</v>
      </c>
      <c r="F478" s="23">
        <v>46231.0</v>
      </c>
      <c r="G478" s="6" t="s">
        <v>41</v>
      </c>
      <c r="H478" s="9"/>
      <c r="I478" s="21" t="s">
        <v>684</v>
      </c>
      <c r="J478" s="6">
        <v>22373.0</v>
      </c>
      <c r="K478" s="6" t="s">
        <v>685</v>
      </c>
      <c r="L478" s="6">
        <v>83247.0</v>
      </c>
      <c r="M478" s="9"/>
      <c r="N478" s="9"/>
      <c r="O478" s="9"/>
      <c r="P478" s="9"/>
      <c r="Q478" s="6">
        <v>1.0</v>
      </c>
      <c r="R478" s="23">
        <v>46231.0</v>
      </c>
      <c r="S478" s="23">
        <v>46237.0</v>
      </c>
      <c r="T478" s="9"/>
      <c r="U478" s="9"/>
      <c r="V478" s="6" t="s">
        <v>44</v>
      </c>
      <c r="W478" s="9"/>
      <c r="X478" s="6" t="s">
        <v>45</v>
      </c>
      <c r="Y478" s="6" t="s">
        <v>46</v>
      </c>
      <c r="Z478" s="6">
        <v>3.040323038E9</v>
      </c>
      <c r="AA478" s="6" t="s">
        <v>57</v>
      </c>
      <c r="AB478" s="6" t="s">
        <v>410</v>
      </c>
      <c r="AC478" s="6" t="s">
        <v>411</v>
      </c>
      <c r="AD478" s="55"/>
      <c r="AE478" s="55"/>
      <c r="AF478" s="55"/>
      <c r="AG478" s="55"/>
    </row>
    <row r="479">
      <c r="A479" s="21">
        <f>COUNTIF('Divulgação'!$B:$B,B479)</f>
        <v>1</v>
      </c>
      <c r="B479" s="21" t="s">
        <v>1256</v>
      </c>
      <c r="C479" s="9"/>
      <c r="D479" s="6" t="s">
        <v>39</v>
      </c>
      <c r="E479" s="6" t="s">
        <v>1222</v>
      </c>
      <c r="F479" s="23">
        <v>46231.0</v>
      </c>
      <c r="G479" s="6" t="s">
        <v>41</v>
      </c>
      <c r="H479" s="9"/>
      <c r="I479" s="21" t="s">
        <v>684</v>
      </c>
      <c r="J479" s="6">
        <v>22373.0</v>
      </c>
      <c r="K479" s="6" t="s">
        <v>685</v>
      </c>
      <c r="L479" s="6">
        <v>84327.0</v>
      </c>
      <c r="M479" s="9"/>
      <c r="N479" s="9"/>
      <c r="O479" s="9"/>
      <c r="P479" s="9"/>
      <c r="Q479" s="6">
        <v>1.0</v>
      </c>
      <c r="R479" s="23">
        <v>46231.0</v>
      </c>
      <c r="S479" s="23">
        <v>46237.0</v>
      </c>
      <c r="T479" s="9"/>
      <c r="U479" s="9"/>
      <c r="V479" s="6" t="s">
        <v>44</v>
      </c>
      <c r="W479" s="9"/>
      <c r="X479" s="6" t="s">
        <v>45</v>
      </c>
      <c r="Y479" s="6" t="s">
        <v>46</v>
      </c>
      <c r="Z479" s="6">
        <v>3.040324061E9</v>
      </c>
      <c r="AA479" s="6" t="s">
        <v>64</v>
      </c>
      <c r="AB479" s="6" t="s">
        <v>399</v>
      </c>
      <c r="AC479" s="6" t="s">
        <v>894</v>
      </c>
      <c r="AD479" s="55"/>
      <c r="AE479" s="55"/>
      <c r="AF479" s="55"/>
      <c r="AG479" s="55"/>
    </row>
    <row r="480">
      <c r="A480" s="21">
        <f>COUNTIF('Divulgação'!$B:$B,B480)</f>
        <v>1</v>
      </c>
      <c r="B480" s="21" t="s">
        <v>1257</v>
      </c>
      <c r="C480" s="9"/>
      <c r="D480" s="6" t="s">
        <v>39</v>
      </c>
      <c r="E480" s="6" t="s">
        <v>1222</v>
      </c>
      <c r="F480" s="23">
        <v>46231.0</v>
      </c>
      <c r="G480" s="6" t="s">
        <v>41</v>
      </c>
      <c r="H480" s="9"/>
      <c r="I480" s="21" t="s">
        <v>684</v>
      </c>
      <c r="J480" s="6">
        <v>22373.0</v>
      </c>
      <c r="K480" s="6" t="s">
        <v>685</v>
      </c>
      <c r="L480" s="6">
        <v>88215.0</v>
      </c>
      <c r="M480" s="9"/>
      <c r="N480" s="9"/>
      <c r="O480" s="9"/>
      <c r="P480" s="9"/>
      <c r="Q480" s="6">
        <v>1.0</v>
      </c>
      <c r="R480" s="23">
        <v>46231.0</v>
      </c>
      <c r="S480" s="23">
        <v>46237.0</v>
      </c>
      <c r="T480" s="9"/>
      <c r="U480" s="9"/>
      <c r="V480" s="6" t="s">
        <v>44</v>
      </c>
      <c r="W480" s="9"/>
      <c r="X480" s="6" t="s">
        <v>45</v>
      </c>
      <c r="Y480" s="6" t="s">
        <v>46</v>
      </c>
      <c r="Z480" s="6">
        <v>3.040325526E9</v>
      </c>
      <c r="AA480" s="6" t="s">
        <v>75</v>
      </c>
      <c r="AB480" s="6" t="s">
        <v>152</v>
      </c>
      <c r="AC480" s="6" t="s">
        <v>153</v>
      </c>
      <c r="AD480" s="55"/>
      <c r="AE480" s="55"/>
      <c r="AF480" s="55"/>
      <c r="AG480" s="55"/>
    </row>
    <row r="481">
      <c r="A481" s="21">
        <f>COUNTIF('Divulgação'!$B:$B,B481)</f>
        <v>1</v>
      </c>
      <c r="B481" s="21" t="s">
        <v>1258</v>
      </c>
      <c r="C481" s="9"/>
      <c r="D481" s="6" t="s">
        <v>39</v>
      </c>
      <c r="E481" s="6" t="s">
        <v>1222</v>
      </c>
      <c r="F481" s="23">
        <v>46231.0</v>
      </c>
      <c r="G481" s="6" t="s">
        <v>41</v>
      </c>
      <c r="H481" s="9"/>
      <c r="I481" s="21" t="s">
        <v>684</v>
      </c>
      <c r="J481" s="6">
        <v>22373.0</v>
      </c>
      <c r="K481" s="6" t="s">
        <v>685</v>
      </c>
      <c r="L481" s="6">
        <v>89129.0</v>
      </c>
      <c r="M481" s="9"/>
      <c r="N481" s="9"/>
      <c r="O481" s="9"/>
      <c r="P481" s="9"/>
      <c r="Q481" s="6">
        <v>1.0</v>
      </c>
      <c r="R481" s="23">
        <v>46231.0</v>
      </c>
      <c r="S481" s="23">
        <v>46237.0</v>
      </c>
      <c r="T481" s="9"/>
      <c r="U481" s="9"/>
      <c r="V481" s="6" t="s">
        <v>44</v>
      </c>
      <c r="W481" s="9"/>
      <c r="X481" s="6" t="s">
        <v>45</v>
      </c>
      <c r="Y481" s="6" t="s">
        <v>46</v>
      </c>
      <c r="Z481" s="6">
        <v>3.040326257E9</v>
      </c>
      <c r="AA481" s="6" t="s">
        <v>70</v>
      </c>
      <c r="AB481" s="6" t="s">
        <v>152</v>
      </c>
      <c r="AC481" s="6" t="s">
        <v>1259</v>
      </c>
      <c r="AD481" s="55"/>
      <c r="AE481" s="55"/>
      <c r="AF481" s="55"/>
      <c r="AG481" s="55"/>
    </row>
    <row r="482">
      <c r="A482" s="21">
        <f>COUNTIF('Divulgação'!$B:$B,B482)</f>
        <v>1</v>
      </c>
      <c r="B482" s="21" t="s">
        <v>1260</v>
      </c>
      <c r="C482" s="9"/>
      <c r="D482" s="6" t="s">
        <v>39</v>
      </c>
      <c r="E482" s="6" t="s">
        <v>1222</v>
      </c>
      <c r="F482" s="23">
        <v>46231.0</v>
      </c>
      <c r="G482" s="6" t="s">
        <v>41</v>
      </c>
      <c r="H482" s="9"/>
      <c r="I482" s="21" t="s">
        <v>251</v>
      </c>
      <c r="J482" s="6" t="s">
        <v>156</v>
      </c>
      <c r="K482" s="6" t="s">
        <v>252</v>
      </c>
      <c r="L482" s="6">
        <v>662.0</v>
      </c>
      <c r="M482" s="9"/>
      <c r="N482" s="9"/>
      <c r="O482" s="9"/>
      <c r="P482" s="9"/>
      <c r="Q482" s="6">
        <v>1.0</v>
      </c>
      <c r="R482" s="23">
        <v>46231.0</v>
      </c>
      <c r="S482" s="23">
        <v>46231.0</v>
      </c>
      <c r="T482" s="9"/>
      <c r="U482" s="9"/>
      <c r="V482" s="6" t="s">
        <v>44</v>
      </c>
      <c r="W482" s="9"/>
      <c r="X482" s="6" t="s">
        <v>45</v>
      </c>
      <c r="Y482" s="6" t="s">
        <v>46</v>
      </c>
      <c r="Z482" s="6">
        <v>3.040285201E9</v>
      </c>
      <c r="AA482" s="6" t="s">
        <v>66</v>
      </c>
      <c r="AB482" s="6" t="s">
        <v>228</v>
      </c>
      <c r="AC482" s="6" t="s">
        <v>1217</v>
      </c>
      <c r="AD482" s="55"/>
      <c r="AE482" s="55"/>
      <c r="AF482" s="55"/>
      <c r="AG482" s="55"/>
    </row>
    <row r="483">
      <c r="A483" s="21">
        <f>COUNTIF('Divulgação'!$B:$B,B483)</f>
        <v>1</v>
      </c>
      <c r="B483" s="21" t="s">
        <v>1261</v>
      </c>
      <c r="C483" s="9"/>
      <c r="D483" s="6" t="s">
        <v>39</v>
      </c>
      <c r="E483" s="6" t="s">
        <v>1222</v>
      </c>
      <c r="F483" s="23">
        <v>46231.0</v>
      </c>
      <c r="G483" s="6" t="s">
        <v>41</v>
      </c>
      <c r="H483" s="9"/>
      <c r="I483" s="21" t="s">
        <v>251</v>
      </c>
      <c r="J483" s="6" t="s">
        <v>156</v>
      </c>
      <c r="K483" s="6" t="s">
        <v>252</v>
      </c>
      <c r="L483" s="6">
        <v>1306.0</v>
      </c>
      <c r="M483" s="9"/>
      <c r="N483" s="9"/>
      <c r="O483" s="9"/>
      <c r="P483" s="9"/>
      <c r="Q483" s="6">
        <v>1.0</v>
      </c>
      <c r="R483" s="23">
        <v>46231.0</v>
      </c>
      <c r="S483" s="23">
        <v>46237.0</v>
      </c>
      <c r="T483" s="9"/>
      <c r="U483" s="9"/>
      <c r="V483" s="6" t="s">
        <v>44</v>
      </c>
      <c r="W483" s="9"/>
      <c r="X483" s="6" t="s">
        <v>45</v>
      </c>
      <c r="Y483" s="6" t="s">
        <v>46</v>
      </c>
      <c r="Z483" s="6">
        <v>3.040289265E9</v>
      </c>
      <c r="AA483" s="6" t="s">
        <v>75</v>
      </c>
      <c r="AB483" s="6" t="s">
        <v>152</v>
      </c>
      <c r="AC483" s="6" t="s">
        <v>153</v>
      </c>
      <c r="AD483" s="55"/>
      <c r="AE483" s="55"/>
      <c r="AF483" s="55"/>
      <c r="AG483" s="55"/>
    </row>
    <row r="484">
      <c r="A484" s="21">
        <f>COUNTIF('Divulgação'!$B:$B,B484)</f>
        <v>1</v>
      </c>
      <c r="B484" s="21" t="s">
        <v>1262</v>
      </c>
      <c r="C484" s="9"/>
      <c r="D484" s="6" t="s">
        <v>39</v>
      </c>
      <c r="E484" s="6" t="s">
        <v>1222</v>
      </c>
      <c r="F484" s="23">
        <v>46231.0</v>
      </c>
      <c r="G484" s="6" t="s">
        <v>41</v>
      </c>
      <c r="H484" s="9"/>
      <c r="I484" s="21" t="s">
        <v>251</v>
      </c>
      <c r="J484" s="6" t="s">
        <v>156</v>
      </c>
      <c r="K484" s="6" t="s">
        <v>252</v>
      </c>
      <c r="L484" s="6">
        <v>5091817.0</v>
      </c>
      <c r="M484" s="9"/>
      <c r="N484" s="9"/>
      <c r="O484" s="9"/>
      <c r="P484" s="9"/>
      <c r="Q484" s="6">
        <v>1.0</v>
      </c>
      <c r="R484" s="23">
        <v>46231.0</v>
      </c>
      <c r="S484" s="23">
        <v>46237.0</v>
      </c>
      <c r="T484" s="9"/>
      <c r="U484" s="9"/>
      <c r="V484" s="6" t="s">
        <v>44</v>
      </c>
      <c r="W484" s="9"/>
      <c r="X484" s="6" t="s">
        <v>45</v>
      </c>
      <c r="Y484" s="6" t="s">
        <v>46</v>
      </c>
      <c r="Z484" s="6">
        <v>3.040294656E9</v>
      </c>
      <c r="AA484" s="6" t="s">
        <v>45</v>
      </c>
      <c r="AB484" s="6" t="s">
        <v>203</v>
      </c>
      <c r="AC484" s="6" t="s">
        <v>1263</v>
      </c>
      <c r="AD484" s="55"/>
      <c r="AE484" s="55"/>
      <c r="AF484" s="55"/>
      <c r="AG484" s="55"/>
    </row>
    <row r="485">
      <c r="A485" s="21">
        <f>COUNTIF('Divulgação'!$B:$B,B485)</f>
        <v>1</v>
      </c>
      <c r="B485" s="21" t="s">
        <v>1264</v>
      </c>
      <c r="C485" s="9"/>
      <c r="D485" s="6" t="s">
        <v>39</v>
      </c>
      <c r="E485" s="6" t="s">
        <v>1222</v>
      </c>
      <c r="F485" s="23">
        <v>46231.0</v>
      </c>
      <c r="G485" s="6" t="s">
        <v>41</v>
      </c>
      <c r="H485" s="9"/>
      <c r="I485" s="21" t="s">
        <v>251</v>
      </c>
      <c r="J485" s="6" t="s">
        <v>156</v>
      </c>
      <c r="K485" s="6" t="s">
        <v>252</v>
      </c>
      <c r="L485" s="6" t="s">
        <v>1265</v>
      </c>
      <c r="M485" s="9"/>
      <c r="N485" s="9"/>
      <c r="O485" s="9"/>
      <c r="P485" s="9"/>
      <c r="Q485" s="6">
        <v>1.0</v>
      </c>
      <c r="R485" s="23">
        <v>46231.0</v>
      </c>
      <c r="S485" s="23">
        <v>46237.0</v>
      </c>
      <c r="T485" s="9"/>
      <c r="U485" s="9"/>
      <c r="V485" s="6" t="s">
        <v>44</v>
      </c>
      <c r="W485" s="9"/>
      <c r="X485" s="6" t="s">
        <v>45</v>
      </c>
      <c r="Y485" s="6" t="s">
        <v>46</v>
      </c>
      <c r="Z485" s="6">
        <v>3.040297627E9</v>
      </c>
      <c r="AA485" s="6" t="s">
        <v>64</v>
      </c>
      <c r="AB485" s="6" t="s">
        <v>94</v>
      </c>
      <c r="AC485" s="6" t="s">
        <v>95</v>
      </c>
      <c r="AD485" s="55"/>
      <c r="AE485" s="55"/>
      <c r="AF485" s="55"/>
      <c r="AG485" s="55"/>
    </row>
    <row r="486">
      <c r="A486" s="21">
        <f>COUNTIF('Divulgação'!$B:$B,B486)</f>
        <v>1</v>
      </c>
      <c r="B486" s="21" t="s">
        <v>1266</v>
      </c>
      <c r="C486" s="9"/>
      <c r="D486" s="6" t="s">
        <v>39</v>
      </c>
      <c r="E486" s="6" t="s">
        <v>1222</v>
      </c>
      <c r="F486" s="23">
        <v>46231.0</v>
      </c>
      <c r="G486" s="6" t="s">
        <v>41</v>
      </c>
      <c r="H486" s="9"/>
      <c r="I486" s="21" t="s">
        <v>251</v>
      </c>
      <c r="J486" s="6" t="s">
        <v>156</v>
      </c>
      <c r="K486" s="6" t="s">
        <v>252</v>
      </c>
      <c r="L486" s="6">
        <v>4051378.0</v>
      </c>
      <c r="M486" s="9"/>
      <c r="N486" s="9"/>
      <c r="O486" s="9"/>
      <c r="P486" s="9"/>
      <c r="Q486" s="6">
        <v>1.0</v>
      </c>
      <c r="R486" s="23">
        <v>46231.0</v>
      </c>
      <c r="S486" s="23">
        <v>46237.0</v>
      </c>
      <c r="T486" s="9"/>
      <c r="U486" s="9"/>
      <c r="V486" s="6" t="s">
        <v>44</v>
      </c>
      <c r="W486" s="9"/>
      <c r="X486" s="6" t="s">
        <v>45</v>
      </c>
      <c r="Y486" s="6" t="s">
        <v>46</v>
      </c>
      <c r="Z486" s="6">
        <v>3.040306738E9</v>
      </c>
      <c r="AA486" s="6" t="s">
        <v>60</v>
      </c>
      <c r="AB486" s="6" t="s">
        <v>189</v>
      </c>
      <c r="AC486" s="6" t="s">
        <v>810</v>
      </c>
      <c r="AD486" s="55"/>
      <c r="AE486" s="55"/>
      <c r="AF486" s="55"/>
      <c r="AG486" s="55"/>
    </row>
    <row r="487">
      <c r="A487" s="21">
        <f>COUNTIF('Divulgação'!$B:$B,B487)</f>
        <v>1</v>
      </c>
      <c r="B487" s="21" t="s">
        <v>1267</v>
      </c>
      <c r="C487" s="9"/>
      <c r="D487" s="6" t="s">
        <v>39</v>
      </c>
      <c r="E487" s="6" t="s">
        <v>1222</v>
      </c>
      <c r="F487" s="23">
        <v>46231.0</v>
      </c>
      <c r="G487" s="6" t="s">
        <v>41</v>
      </c>
      <c r="H487" s="9"/>
      <c r="I487" s="21" t="s">
        <v>251</v>
      </c>
      <c r="J487" s="6" t="s">
        <v>156</v>
      </c>
      <c r="K487" s="6" t="s">
        <v>252</v>
      </c>
      <c r="L487" s="6">
        <v>5091750.0</v>
      </c>
      <c r="M487" s="9"/>
      <c r="N487" s="9"/>
      <c r="O487" s="9"/>
      <c r="P487" s="9"/>
      <c r="Q487" s="6">
        <v>1.0</v>
      </c>
      <c r="R487" s="23">
        <v>46231.0</v>
      </c>
      <c r="S487" s="23">
        <v>46237.0</v>
      </c>
      <c r="T487" s="9"/>
      <c r="U487" s="9"/>
      <c r="V487" s="6" t="s">
        <v>44</v>
      </c>
      <c r="W487" s="9"/>
      <c r="X487" s="6" t="s">
        <v>45</v>
      </c>
      <c r="Y487" s="6" t="s">
        <v>46</v>
      </c>
      <c r="Z487" s="6">
        <v>3.040308003E9</v>
      </c>
      <c r="AA487" s="6" t="s">
        <v>57</v>
      </c>
      <c r="AB487" s="6" t="s">
        <v>410</v>
      </c>
      <c r="AC487" s="6" t="s">
        <v>411</v>
      </c>
      <c r="AD487" s="55"/>
      <c r="AE487" s="55"/>
      <c r="AF487" s="55"/>
      <c r="AG487" s="55"/>
    </row>
    <row r="488">
      <c r="A488" s="21">
        <f>COUNTIF('Divulgação'!$B:$B,B488)</f>
        <v>1</v>
      </c>
      <c r="B488" s="21" t="s">
        <v>1268</v>
      </c>
      <c r="C488" s="9"/>
      <c r="D488" s="6" t="s">
        <v>39</v>
      </c>
      <c r="E488" s="6" t="s">
        <v>1222</v>
      </c>
      <c r="F488" s="23">
        <v>46231.0</v>
      </c>
      <c r="G488" s="6" t="s">
        <v>41</v>
      </c>
      <c r="H488" s="9"/>
      <c r="I488" s="21" t="s">
        <v>302</v>
      </c>
      <c r="J488" s="6">
        <v>22373.0</v>
      </c>
      <c r="K488" s="6" t="s">
        <v>303</v>
      </c>
      <c r="L488" s="6">
        <v>73267.0</v>
      </c>
      <c r="M488" s="9"/>
      <c r="N488" s="9"/>
      <c r="O488" s="9"/>
      <c r="P488" s="9"/>
      <c r="Q488" s="6">
        <v>1.0</v>
      </c>
      <c r="R488" s="23">
        <v>46231.0</v>
      </c>
      <c r="S488" s="23">
        <v>46237.0</v>
      </c>
      <c r="T488" s="9"/>
      <c r="U488" s="9"/>
      <c r="V488" s="6" t="s">
        <v>44</v>
      </c>
      <c r="W488" s="9"/>
      <c r="X488" s="6" t="s">
        <v>45</v>
      </c>
      <c r="Y488" s="6" t="s">
        <v>46</v>
      </c>
      <c r="Z488" s="6">
        <v>3.040308519E9</v>
      </c>
      <c r="AA488" s="6" t="s">
        <v>62</v>
      </c>
      <c r="AB488" s="6" t="s">
        <v>120</v>
      </c>
      <c r="AC488" s="6" t="s">
        <v>662</v>
      </c>
      <c r="AD488" s="55"/>
      <c r="AE488" s="55"/>
      <c r="AF488" s="55"/>
      <c r="AG488" s="55"/>
    </row>
    <row r="489">
      <c r="A489" s="21">
        <f>COUNTIF('Divulgação'!$B:$B,B489)</f>
        <v>1</v>
      </c>
      <c r="B489" s="21" t="s">
        <v>1271</v>
      </c>
      <c r="C489" s="9"/>
      <c r="D489" s="6" t="s">
        <v>39</v>
      </c>
      <c r="E489" s="6" t="s">
        <v>1222</v>
      </c>
      <c r="F489" s="23">
        <v>46231.0</v>
      </c>
      <c r="G489" s="6" t="s">
        <v>41</v>
      </c>
      <c r="H489" s="9"/>
      <c r="I489" s="21" t="s">
        <v>302</v>
      </c>
      <c r="J489" s="6">
        <v>22373.0</v>
      </c>
      <c r="K489" s="6" t="s">
        <v>303</v>
      </c>
      <c r="L489" s="6">
        <v>71067.0</v>
      </c>
      <c r="M489" s="9"/>
      <c r="N489" s="9"/>
      <c r="O489" s="9"/>
      <c r="P489" s="9"/>
      <c r="Q489" s="6">
        <v>1.0</v>
      </c>
      <c r="R489" s="23">
        <v>46231.0</v>
      </c>
      <c r="S489" s="23">
        <v>46237.0</v>
      </c>
      <c r="T489" s="9"/>
      <c r="U489" s="9"/>
      <c r="V489" s="6" t="s">
        <v>44</v>
      </c>
      <c r="W489" s="9"/>
      <c r="X489" s="6" t="s">
        <v>45</v>
      </c>
      <c r="Y489" s="6" t="s">
        <v>46</v>
      </c>
      <c r="Z489" s="6">
        <v>3.040310009E9</v>
      </c>
      <c r="AA489" s="6" t="s">
        <v>63</v>
      </c>
      <c r="AB489" s="6" t="s">
        <v>72</v>
      </c>
      <c r="AC489" s="6" t="s">
        <v>74</v>
      </c>
      <c r="AD489" s="55"/>
      <c r="AE489" s="55"/>
      <c r="AF489" s="55"/>
      <c r="AG489" s="55"/>
    </row>
    <row r="490">
      <c r="A490" s="21">
        <f>COUNTIF('Divulgação'!$B:$B,B490)</f>
        <v>1</v>
      </c>
      <c r="B490" s="21" t="s">
        <v>1272</v>
      </c>
      <c r="C490" s="9"/>
      <c r="D490" s="6" t="s">
        <v>39</v>
      </c>
      <c r="E490" s="6" t="s">
        <v>1222</v>
      </c>
      <c r="F490" s="23">
        <v>46231.0</v>
      </c>
      <c r="G490" s="6" t="s">
        <v>41</v>
      </c>
      <c r="H490" s="9"/>
      <c r="I490" s="21" t="s">
        <v>302</v>
      </c>
      <c r="J490" s="6">
        <v>22373.0</v>
      </c>
      <c r="K490" s="6" t="s">
        <v>303</v>
      </c>
      <c r="L490" s="6">
        <v>67239.0</v>
      </c>
      <c r="M490" s="9"/>
      <c r="N490" s="9"/>
      <c r="O490" s="9"/>
      <c r="P490" s="9"/>
      <c r="Q490" s="6">
        <v>1.0</v>
      </c>
      <c r="R490" s="23">
        <v>46231.0</v>
      </c>
      <c r="S490" s="23">
        <v>46237.0</v>
      </c>
      <c r="T490" s="9"/>
      <c r="U490" s="9"/>
      <c r="V490" s="6" t="s">
        <v>44</v>
      </c>
      <c r="W490" s="9"/>
      <c r="X490" s="6" t="s">
        <v>45</v>
      </c>
      <c r="Y490" s="6" t="s">
        <v>46</v>
      </c>
      <c r="Z490" s="6">
        <v>3.040312888E9</v>
      </c>
      <c r="AA490" s="6" t="s">
        <v>45</v>
      </c>
      <c r="AB490" s="6" t="s">
        <v>46</v>
      </c>
      <c r="AC490" s="6" t="s">
        <v>324</v>
      </c>
      <c r="AD490" s="55"/>
      <c r="AE490" s="55"/>
      <c r="AF490" s="55"/>
      <c r="AG490" s="55"/>
    </row>
    <row r="491">
      <c r="A491" s="21">
        <f>COUNTIF('Divulgação'!$B:$B,B491)</f>
        <v>1</v>
      </c>
      <c r="B491" s="21" t="s">
        <v>1273</v>
      </c>
      <c r="C491" s="9"/>
      <c r="D491" s="6" t="s">
        <v>39</v>
      </c>
      <c r="E491" s="6" t="s">
        <v>1222</v>
      </c>
      <c r="F491" s="23">
        <v>46231.0</v>
      </c>
      <c r="G491" s="6" t="s">
        <v>41</v>
      </c>
      <c r="H491" s="9"/>
      <c r="I491" s="21" t="s">
        <v>452</v>
      </c>
      <c r="J491" s="6">
        <v>22373.0</v>
      </c>
      <c r="K491" s="6" t="s">
        <v>1044</v>
      </c>
      <c r="L491" s="6">
        <v>22401.0</v>
      </c>
      <c r="M491" s="9"/>
      <c r="N491" s="9"/>
      <c r="O491" s="9"/>
      <c r="P491" s="9"/>
      <c r="Q491" s="6">
        <v>1.0</v>
      </c>
      <c r="R491" s="23">
        <v>46231.0</v>
      </c>
      <c r="S491" s="23">
        <v>46237.0</v>
      </c>
      <c r="T491" s="9"/>
      <c r="U491" s="9"/>
      <c r="V491" s="6" t="s">
        <v>44</v>
      </c>
      <c r="W491" s="9"/>
      <c r="X491" s="6" t="s">
        <v>45</v>
      </c>
      <c r="Y491" s="6" t="s">
        <v>46</v>
      </c>
      <c r="Z491" s="6">
        <v>3.040313661E9</v>
      </c>
      <c r="AA491" s="6" t="s">
        <v>45</v>
      </c>
      <c r="AB491" s="6" t="s">
        <v>46</v>
      </c>
      <c r="AC491" s="6" t="s">
        <v>324</v>
      </c>
      <c r="AD491" s="55"/>
      <c r="AE491" s="55"/>
      <c r="AF491" s="55"/>
      <c r="AG491" s="55"/>
    </row>
    <row r="492">
      <c r="A492" s="21">
        <f>COUNTIF('Divulgação'!$B:$B,B492)</f>
        <v>1</v>
      </c>
      <c r="B492" s="21" t="s">
        <v>1274</v>
      </c>
      <c r="C492" s="9"/>
      <c r="D492" s="6" t="s">
        <v>39</v>
      </c>
      <c r="E492" s="6" t="s">
        <v>1222</v>
      </c>
      <c r="F492" s="23">
        <v>46231.0</v>
      </c>
      <c r="G492" s="6" t="s">
        <v>41</v>
      </c>
      <c r="H492" s="9"/>
      <c r="I492" s="21" t="s">
        <v>452</v>
      </c>
      <c r="J492" s="6">
        <v>22373.0</v>
      </c>
      <c r="K492" s="6" t="s">
        <v>1044</v>
      </c>
      <c r="L492" s="6">
        <v>25098.0</v>
      </c>
      <c r="M492" s="9"/>
      <c r="N492" s="9"/>
      <c r="O492" s="9"/>
      <c r="P492" s="9"/>
      <c r="Q492" s="6">
        <v>1.0</v>
      </c>
      <c r="R492" s="23">
        <v>46231.0</v>
      </c>
      <c r="S492" s="23">
        <v>46237.0</v>
      </c>
      <c r="T492" s="9"/>
      <c r="U492" s="9"/>
      <c r="V492" s="6" t="s">
        <v>44</v>
      </c>
      <c r="W492" s="9"/>
      <c r="X492" s="6" t="s">
        <v>45</v>
      </c>
      <c r="Y492" s="6" t="s">
        <v>46</v>
      </c>
      <c r="Z492" s="6">
        <v>3.040313662E9</v>
      </c>
      <c r="AA492" s="6" t="s">
        <v>45</v>
      </c>
      <c r="AB492" s="6" t="s">
        <v>46</v>
      </c>
      <c r="AC492" s="6" t="s">
        <v>324</v>
      </c>
      <c r="AD492" s="55"/>
      <c r="AE492" s="55"/>
      <c r="AF492" s="55"/>
      <c r="AG492" s="55"/>
    </row>
    <row r="493">
      <c r="A493" s="21">
        <f>COUNTIF('Divulgação'!$B:$B,B493)</f>
        <v>1</v>
      </c>
      <c r="B493" s="21" t="s">
        <v>1277</v>
      </c>
      <c r="C493" s="9"/>
      <c r="D493" s="6" t="s">
        <v>39</v>
      </c>
      <c r="E493" s="6" t="s">
        <v>1222</v>
      </c>
      <c r="F493" s="23">
        <v>46231.0</v>
      </c>
      <c r="G493" s="6" t="s">
        <v>41</v>
      </c>
      <c r="H493" s="9"/>
      <c r="I493" s="21" t="s">
        <v>1278</v>
      </c>
      <c r="J493" s="6">
        <v>74025.0</v>
      </c>
      <c r="K493" s="6" t="s">
        <v>1279</v>
      </c>
      <c r="L493" s="6">
        <v>1.0603744E7</v>
      </c>
      <c r="M493" s="9"/>
      <c r="N493" s="9"/>
      <c r="O493" s="9"/>
      <c r="P493" s="9"/>
      <c r="Q493" s="6">
        <v>1.0</v>
      </c>
      <c r="R493" s="23">
        <v>46231.0</v>
      </c>
      <c r="S493" s="23">
        <v>46237.0</v>
      </c>
      <c r="T493" s="9"/>
      <c r="U493" s="9"/>
      <c r="V493" s="6" t="s">
        <v>44</v>
      </c>
      <c r="W493" s="9"/>
      <c r="X493" s="6" t="s">
        <v>45</v>
      </c>
      <c r="Y493" s="6" t="s">
        <v>46</v>
      </c>
      <c r="Z493" s="6">
        <v>3.040328253E9</v>
      </c>
      <c r="AA493" s="6" t="s">
        <v>45</v>
      </c>
      <c r="AB493" s="6" t="s">
        <v>46</v>
      </c>
      <c r="AC493" s="6" t="s">
        <v>177</v>
      </c>
      <c r="AD493" s="55"/>
      <c r="AE493" s="55"/>
      <c r="AF493" s="55"/>
      <c r="AG493" s="55"/>
    </row>
    <row r="494">
      <c r="A494" s="21">
        <f>COUNTIF('Divulgação'!$B:$B,B494)</f>
        <v>1</v>
      </c>
      <c r="B494" s="21" t="s">
        <v>1280</v>
      </c>
      <c r="C494" s="9"/>
      <c r="D494" s="6" t="s">
        <v>39</v>
      </c>
      <c r="E494" s="6" t="s">
        <v>1222</v>
      </c>
      <c r="F494" s="23">
        <v>46231.0</v>
      </c>
      <c r="G494" s="6" t="s">
        <v>41</v>
      </c>
      <c r="H494" s="9"/>
      <c r="I494" s="21" t="s">
        <v>1278</v>
      </c>
      <c r="J494" s="6">
        <v>74025.0</v>
      </c>
      <c r="K494" s="6" t="s">
        <v>1279</v>
      </c>
      <c r="L494" s="6">
        <v>1.0603742E7</v>
      </c>
      <c r="M494" s="9"/>
      <c r="N494" s="9"/>
      <c r="O494" s="9"/>
      <c r="P494" s="9"/>
      <c r="Q494" s="6">
        <v>1.0</v>
      </c>
      <c r="R494" s="23">
        <v>46231.0</v>
      </c>
      <c r="S494" s="23">
        <v>46237.0</v>
      </c>
      <c r="T494" s="9"/>
      <c r="U494" s="9"/>
      <c r="V494" s="6" t="s">
        <v>44</v>
      </c>
      <c r="W494" s="9"/>
      <c r="X494" s="6" t="s">
        <v>45</v>
      </c>
      <c r="Y494" s="6" t="s">
        <v>46</v>
      </c>
      <c r="Z494" s="6">
        <v>3.040328254E9</v>
      </c>
      <c r="AA494" s="6" t="s">
        <v>45</v>
      </c>
      <c r="AB494" s="6" t="s">
        <v>46</v>
      </c>
      <c r="AC494" s="6" t="s">
        <v>177</v>
      </c>
      <c r="AD494" s="55"/>
      <c r="AE494" s="55"/>
      <c r="AF494" s="55"/>
      <c r="AG494" s="55"/>
    </row>
    <row r="495">
      <c r="A495" s="21">
        <f>COUNTIF('Divulgação'!$B:$B,B495)</f>
        <v>1</v>
      </c>
      <c r="B495" s="21" t="s">
        <v>1281</v>
      </c>
      <c r="C495" s="9"/>
      <c r="D495" s="6" t="s">
        <v>39</v>
      </c>
      <c r="E495" s="6" t="s">
        <v>1222</v>
      </c>
      <c r="F495" s="23">
        <v>46231.0</v>
      </c>
      <c r="G495" s="6" t="s">
        <v>41</v>
      </c>
      <c r="H495" s="9"/>
      <c r="I495" s="21" t="s">
        <v>1278</v>
      </c>
      <c r="J495" s="6">
        <v>74025.0</v>
      </c>
      <c r="K495" s="6" t="s">
        <v>1279</v>
      </c>
      <c r="L495" s="6">
        <v>1.0603745E7</v>
      </c>
      <c r="M495" s="9"/>
      <c r="N495" s="9"/>
      <c r="O495" s="9"/>
      <c r="P495" s="9"/>
      <c r="Q495" s="6">
        <v>1.0</v>
      </c>
      <c r="R495" s="23">
        <v>46231.0</v>
      </c>
      <c r="S495" s="23">
        <v>46237.0</v>
      </c>
      <c r="T495" s="9"/>
      <c r="U495" s="9"/>
      <c r="V495" s="6" t="s">
        <v>44</v>
      </c>
      <c r="W495" s="9"/>
      <c r="X495" s="6" t="s">
        <v>45</v>
      </c>
      <c r="Y495" s="6" t="s">
        <v>46</v>
      </c>
      <c r="Z495" s="6">
        <v>3.040328255E9</v>
      </c>
      <c r="AA495" s="6" t="s">
        <v>45</v>
      </c>
      <c r="AB495" s="6" t="s">
        <v>46</v>
      </c>
      <c r="AC495" s="6" t="s">
        <v>177</v>
      </c>
      <c r="AD495" s="55"/>
      <c r="AE495" s="55"/>
      <c r="AF495" s="55"/>
      <c r="AG495" s="55"/>
    </row>
    <row r="496">
      <c r="A496" s="21">
        <f>COUNTIF('Divulgação'!$B:$B,B496)</f>
        <v>1</v>
      </c>
      <c r="B496" s="21" t="s">
        <v>1282</v>
      </c>
      <c r="C496" s="9"/>
      <c r="D496" s="6" t="s">
        <v>39</v>
      </c>
      <c r="E496" s="6" t="s">
        <v>1222</v>
      </c>
      <c r="F496" s="23">
        <v>46231.0</v>
      </c>
      <c r="G496" s="6" t="s">
        <v>41</v>
      </c>
      <c r="H496" s="9"/>
      <c r="I496" s="21" t="s">
        <v>1278</v>
      </c>
      <c r="J496" s="6">
        <v>74025.0</v>
      </c>
      <c r="K496" s="6" t="s">
        <v>1279</v>
      </c>
      <c r="L496" s="6">
        <v>1.1200477E7</v>
      </c>
      <c r="M496" s="9"/>
      <c r="N496" s="9"/>
      <c r="O496" s="9"/>
      <c r="P496" s="9"/>
      <c r="Q496" s="6">
        <v>1.0</v>
      </c>
      <c r="R496" s="23">
        <v>46231.0</v>
      </c>
      <c r="S496" s="23">
        <v>46237.0</v>
      </c>
      <c r="T496" s="9"/>
      <c r="U496" s="9"/>
      <c r="V496" s="6" t="s">
        <v>44</v>
      </c>
      <c r="W496" s="9"/>
      <c r="X496" s="6" t="s">
        <v>45</v>
      </c>
      <c r="Y496" s="6" t="s">
        <v>46</v>
      </c>
      <c r="Z496" s="6">
        <v>3.040328256E9</v>
      </c>
      <c r="AA496" s="6" t="s">
        <v>45</v>
      </c>
      <c r="AB496" s="6" t="s">
        <v>46</v>
      </c>
      <c r="AC496" s="6" t="s">
        <v>177</v>
      </c>
      <c r="AD496" s="55"/>
      <c r="AE496" s="55"/>
      <c r="AF496" s="55"/>
      <c r="AG496" s="55"/>
    </row>
    <row r="497">
      <c r="A497" s="21">
        <f>COUNTIF('Divulgação'!$B:$B,B497)</f>
        <v>1</v>
      </c>
      <c r="B497" s="21" t="s">
        <v>1284</v>
      </c>
      <c r="C497" s="9"/>
      <c r="D497" s="6" t="s">
        <v>39</v>
      </c>
      <c r="E497" s="6" t="s">
        <v>1222</v>
      </c>
      <c r="F497" s="23">
        <v>46231.0</v>
      </c>
      <c r="G497" s="6" t="s">
        <v>41</v>
      </c>
      <c r="H497" s="9"/>
      <c r="I497" s="21" t="s">
        <v>1278</v>
      </c>
      <c r="J497" s="6">
        <v>74025.0</v>
      </c>
      <c r="K497" s="6" t="s">
        <v>1279</v>
      </c>
      <c r="L497" s="6" t="s">
        <v>1286</v>
      </c>
      <c r="M497" s="9"/>
      <c r="N497" s="9"/>
      <c r="O497" s="9"/>
      <c r="P497" s="9"/>
      <c r="Q497" s="6">
        <v>1.0</v>
      </c>
      <c r="R497" s="23">
        <v>46231.0</v>
      </c>
      <c r="S497" s="23">
        <v>46237.0</v>
      </c>
      <c r="T497" s="9"/>
      <c r="U497" s="9"/>
      <c r="V497" s="6" t="s">
        <v>44</v>
      </c>
      <c r="W497" s="9"/>
      <c r="X497" s="6" t="s">
        <v>45</v>
      </c>
      <c r="Y497" s="6" t="s">
        <v>46</v>
      </c>
      <c r="Z497" s="6">
        <v>3.040328257E9</v>
      </c>
      <c r="AA497" s="6" t="s">
        <v>45</v>
      </c>
      <c r="AB497" s="6" t="s">
        <v>46</v>
      </c>
      <c r="AC497" s="6" t="s">
        <v>177</v>
      </c>
      <c r="AD497" s="55"/>
      <c r="AE497" s="55"/>
      <c r="AF497" s="55"/>
      <c r="AG497" s="55"/>
    </row>
    <row r="498">
      <c r="A498" s="21">
        <f>COUNTIF('Divulgação'!$B:$B,B498)</f>
        <v>1</v>
      </c>
      <c r="B498" s="21" t="s">
        <v>1287</v>
      </c>
      <c r="C498" s="9"/>
      <c r="D498" s="6" t="s">
        <v>39</v>
      </c>
      <c r="E498" s="6" t="s">
        <v>1222</v>
      </c>
      <c r="F498" s="23">
        <v>46231.0</v>
      </c>
      <c r="G498" s="6" t="s">
        <v>41</v>
      </c>
      <c r="H498" s="9"/>
      <c r="I498" s="21" t="s">
        <v>949</v>
      </c>
      <c r="J498" s="6" t="s">
        <v>156</v>
      </c>
      <c r="K498" s="6" t="s">
        <v>950</v>
      </c>
      <c r="L498" s="6" t="s">
        <v>1288</v>
      </c>
      <c r="M498" s="9"/>
      <c r="N498" s="9"/>
      <c r="O498" s="9"/>
      <c r="P498" s="9"/>
      <c r="Q498" s="6">
        <v>1.0</v>
      </c>
      <c r="R498" s="23">
        <v>46231.0</v>
      </c>
      <c r="S498" s="23">
        <v>46237.0</v>
      </c>
      <c r="T498" s="9"/>
      <c r="U498" s="9"/>
      <c r="V498" s="6" t="s">
        <v>44</v>
      </c>
      <c r="W498" s="9"/>
      <c r="X498" s="6" t="s">
        <v>45</v>
      </c>
      <c r="Y498" s="6" t="s">
        <v>46</v>
      </c>
      <c r="Z498" s="6">
        <v>3.040328927E9</v>
      </c>
      <c r="AA498" s="6" t="s">
        <v>63</v>
      </c>
      <c r="AB498" s="6" t="s">
        <v>241</v>
      </c>
      <c r="AC498" s="6" t="s">
        <v>583</v>
      </c>
      <c r="AD498" s="55"/>
      <c r="AE498" s="55"/>
      <c r="AF498" s="55"/>
      <c r="AG498" s="55"/>
    </row>
    <row r="499">
      <c r="A499" s="21">
        <f>COUNTIF('Divulgação'!$B:$B,B499)</f>
        <v>1</v>
      </c>
      <c r="B499" s="21" t="s">
        <v>1296</v>
      </c>
      <c r="C499" s="9"/>
      <c r="D499" s="6" t="s">
        <v>39</v>
      </c>
      <c r="E499" s="6" t="s">
        <v>1222</v>
      </c>
      <c r="F499" s="23">
        <v>46231.0</v>
      </c>
      <c r="G499" s="6" t="s">
        <v>41</v>
      </c>
      <c r="H499" s="9"/>
      <c r="I499" s="21" t="s">
        <v>949</v>
      </c>
      <c r="J499" s="6" t="s">
        <v>156</v>
      </c>
      <c r="K499" s="6" t="s">
        <v>950</v>
      </c>
      <c r="L499" s="123" t="s">
        <v>1297</v>
      </c>
      <c r="M499" s="9"/>
      <c r="N499" s="9"/>
      <c r="O499" s="9"/>
      <c r="P499" s="9"/>
      <c r="Q499" s="6">
        <v>1.0</v>
      </c>
      <c r="R499" s="23">
        <v>46231.0</v>
      </c>
      <c r="S499" s="23">
        <v>46237.0</v>
      </c>
      <c r="T499" s="9"/>
      <c r="U499" s="9"/>
      <c r="V499" s="6" t="s">
        <v>44</v>
      </c>
      <c r="W499" s="9"/>
      <c r="X499" s="6" t="s">
        <v>45</v>
      </c>
      <c r="Y499" s="6" t="s">
        <v>46</v>
      </c>
      <c r="Z499" s="6">
        <v>3.040328928E9</v>
      </c>
      <c r="AA499" s="6" t="s">
        <v>63</v>
      </c>
      <c r="AB499" s="6" t="s">
        <v>241</v>
      </c>
      <c r="AC499" s="6" t="s">
        <v>583</v>
      </c>
      <c r="AD499" s="55"/>
      <c r="AE499" s="55"/>
      <c r="AF499" s="55"/>
      <c r="AG499" s="55"/>
    </row>
    <row r="500">
      <c r="A500" s="21">
        <f>COUNTIF('Divulgação'!$B:$B,B500)</f>
        <v>1</v>
      </c>
      <c r="B500" s="21" t="s">
        <v>1298</v>
      </c>
      <c r="C500" s="9"/>
      <c r="D500" s="6" t="s">
        <v>39</v>
      </c>
      <c r="E500" s="6" t="s">
        <v>1222</v>
      </c>
      <c r="F500" s="23">
        <v>46231.0</v>
      </c>
      <c r="G500" s="6" t="s">
        <v>41</v>
      </c>
      <c r="H500" s="9"/>
      <c r="I500" s="21" t="s">
        <v>231</v>
      </c>
      <c r="J500" s="6">
        <v>71513.0</v>
      </c>
      <c r="K500" s="6" t="s">
        <v>232</v>
      </c>
      <c r="L500" s="6" t="s">
        <v>1299</v>
      </c>
      <c r="M500" s="9"/>
      <c r="N500" s="9"/>
      <c r="O500" s="9"/>
      <c r="P500" s="9"/>
      <c r="Q500" s="6">
        <v>1.0</v>
      </c>
      <c r="R500" s="23">
        <v>46231.0</v>
      </c>
      <c r="S500" s="23">
        <v>46237.0</v>
      </c>
      <c r="T500" s="9"/>
      <c r="U500" s="9"/>
      <c r="V500" s="6" t="s">
        <v>44</v>
      </c>
      <c r="W500" s="9"/>
      <c r="X500" s="6" t="s">
        <v>45</v>
      </c>
      <c r="Y500" s="6" t="s">
        <v>46</v>
      </c>
      <c r="Z500" s="6">
        <v>3.040327143E9</v>
      </c>
      <c r="AA500" s="6" t="s">
        <v>143</v>
      </c>
      <c r="AB500" s="6" t="s">
        <v>316</v>
      </c>
      <c r="AC500" s="6" t="s">
        <v>1227</v>
      </c>
      <c r="AD500" s="55"/>
      <c r="AE500" s="55"/>
      <c r="AF500" s="55"/>
      <c r="AG500" s="55"/>
    </row>
    <row r="501">
      <c r="A501" s="21">
        <f>COUNTIF('Divulgação'!$B:$B,B501)</f>
        <v>1</v>
      </c>
      <c r="B501" s="21" t="s">
        <v>1300</v>
      </c>
      <c r="C501" s="9"/>
      <c r="D501" s="6" t="s">
        <v>39</v>
      </c>
      <c r="E501" s="6" t="s">
        <v>1222</v>
      </c>
      <c r="F501" s="23">
        <v>46231.0</v>
      </c>
      <c r="G501" s="6" t="s">
        <v>41</v>
      </c>
      <c r="H501" s="9"/>
      <c r="I501" s="21" t="s">
        <v>226</v>
      </c>
      <c r="J501" s="6">
        <v>71513.0</v>
      </c>
      <c r="K501" s="6" t="s">
        <v>320</v>
      </c>
      <c r="L501" s="6">
        <v>40.0</v>
      </c>
      <c r="M501" s="9"/>
      <c r="N501" s="9"/>
      <c r="O501" s="9"/>
      <c r="P501" s="9"/>
      <c r="Q501" s="6">
        <v>1.0</v>
      </c>
      <c r="R501" s="23">
        <v>46231.0</v>
      </c>
      <c r="S501" s="23">
        <v>46237.0</v>
      </c>
      <c r="T501" s="9"/>
      <c r="U501" s="9"/>
      <c r="V501" s="6" t="s">
        <v>44</v>
      </c>
      <c r="W501" s="9"/>
      <c r="X501" s="6" t="s">
        <v>45</v>
      </c>
      <c r="Y501" s="6" t="s">
        <v>46</v>
      </c>
      <c r="Z501" s="6">
        <v>3.040329227E9</v>
      </c>
      <c r="AA501" s="6" t="s">
        <v>60</v>
      </c>
      <c r="AB501" s="6" t="s">
        <v>367</v>
      </c>
      <c r="AC501" s="6" t="s">
        <v>977</v>
      </c>
      <c r="AD501" s="55"/>
      <c r="AE501" s="55"/>
      <c r="AF501" s="55"/>
      <c r="AG501" s="55"/>
    </row>
    <row r="502">
      <c r="A502" s="21">
        <f>COUNTIF('Divulgação'!$B:$B,B502)</f>
        <v>1</v>
      </c>
      <c r="B502" s="21" t="s">
        <v>1301</v>
      </c>
      <c r="C502" s="9"/>
      <c r="D502" s="6" t="s">
        <v>39</v>
      </c>
      <c r="E502" s="6" t="s">
        <v>1222</v>
      </c>
      <c r="F502" s="23">
        <v>46231.0</v>
      </c>
      <c r="G502" s="6" t="s">
        <v>41</v>
      </c>
      <c r="H502" s="9"/>
      <c r="I502" s="21" t="s">
        <v>837</v>
      </c>
      <c r="J502" s="6">
        <v>22373.0</v>
      </c>
      <c r="K502" s="6" t="s">
        <v>303</v>
      </c>
      <c r="L502" s="6">
        <v>12185.0</v>
      </c>
      <c r="M502" s="9"/>
      <c r="N502" s="9"/>
      <c r="O502" s="9"/>
      <c r="P502" s="9"/>
      <c r="Q502" s="6">
        <v>1.0</v>
      </c>
      <c r="R502" s="23">
        <v>46231.0</v>
      </c>
      <c r="S502" s="23">
        <v>46237.0</v>
      </c>
      <c r="T502" s="9"/>
      <c r="U502" s="9"/>
      <c r="V502" s="6" t="s">
        <v>44</v>
      </c>
      <c r="W502" s="9"/>
      <c r="X502" s="6" t="s">
        <v>45</v>
      </c>
      <c r="Y502" s="6" t="s">
        <v>46</v>
      </c>
      <c r="Z502" s="6">
        <v>3.040312895E9</v>
      </c>
      <c r="AA502" s="6" t="s">
        <v>45</v>
      </c>
      <c r="AB502" s="6" t="s">
        <v>46</v>
      </c>
      <c r="AC502" s="6" t="s">
        <v>324</v>
      </c>
      <c r="AD502" s="55"/>
      <c r="AE502" s="55"/>
      <c r="AF502" s="55"/>
      <c r="AG502" s="55"/>
    </row>
    <row r="503">
      <c r="A503" s="21">
        <f>COUNTIF('Divulgação'!$B:$B,B503)</f>
        <v>1</v>
      </c>
      <c r="B503" s="21" t="s">
        <v>1302</v>
      </c>
      <c r="C503" s="9"/>
      <c r="D503" s="6" t="s">
        <v>39</v>
      </c>
      <c r="E503" s="6" t="s">
        <v>1222</v>
      </c>
      <c r="F503" s="23">
        <v>46231.0</v>
      </c>
      <c r="G503" s="6" t="s">
        <v>41</v>
      </c>
      <c r="H503" s="9"/>
      <c r="I503" s="21" t="s">
        <v>837</v>
      </c>
      <c r="J503" s="6">
        <v>22373.0</v>
      </c>
      <c r="K503" s="6" t="s">
        <v>303</v>
      </c>
      <c r="L503" s="6">
        <v>16013.0</v>
      </c>
      <c r="M503" s="9"/>
      <c r="N503" s="9"/>
      <c r="O503" s="9"/>
      <c r="P503" s="9"/>
      <c r="Q503" s="6">
        <v>1.0</v>
      </c>
      <c r="R503" s="23">
        <v>46231.0</v>
      </c>
      <c r="S503" s="23">
        <v>46237.0</v>
      </c>
      <c r="T503" s="9"/>
      <c r="U503" s="9"/>
      <c r="V503" s="6" t="s">
        <v>44</v>
      </c>
      <c r="W503" s="9"/>
      <c r="X503" s="6" t="s">
        <v>45</v>
      </c>
      <c r="Y503" s="6" t="s">
        <v>46</v>
      </c>
      <c r="Z503" s="6">
        <v>3.040312896E9</v>
      </c>
      <c r="AA503" s="6" t="s">
        <v>45</v>
      </c>
      <c r="AB503" s="6" t="s">
        <v>46</v>
      </c>
      <c r="AC503" s="6" t="s">
        <v>324</v>
      </c>
      <c r="AD503" s="55"/>
      <c r="AE503" s="55"/>
      <c r="AF503" s="55"/>
      <c r="AG503" s="55"/>
    </row>
    <row r="504">
      <c r="A504" s="21">
        <f>COUNTIF('Divulgação'!$B:$B,B504)</f>
        <v>1</v>
      </c>
      <c r="B504" s="21" t="s">
        <v>1303</v>
      </c>
      <c r="C504" s="9"/>
      <c r="D504" s="6" t="s">
        <v>39</v>
      </c>
      <c r="E504" s="6" t="s">
        <v>1222</v>
      </c>
      <c r="F504" s="23">
        <v>46231.0</v>
      </c>
      <c r="G504" s="6" t="s">
        <v>41</v>
      </c>
      <c r="H504" s="9"/>
      <c r="I504" s="21" t="s">
        <v>383</v>
      </c>
      <c r="J504" s="6">
        <v>71379.0</v>
      </c>
      <c r="K504" s="6" t="s">
        <v>384</v>
      </c>
      <c r="L504" s="6" t="s">
        <v>1304</v>
      </c>
      <c r="M504" s="9"/>
      <c r="N504" s="9"/>
      <c r="O504" s="9"/>
      <c r="P504" s="9"/>
      <c r="Q504" s="6">
        <v>1.0</v>
      </c>
      <c r="R504" s="23">
        <v>46231.0</v>
      </c>
      <c r="S504" s="23">
        <v>46237.0</v>
      </c>
      <c r="T504" s="9"/>
      <c r="U504" s="9"/>
      <c r="V504" s="6" t="s">
        <v>44</v>
      </c>
      <c r="W504" s="9"/>
      <c r="X504" s="6" t="s">
        <v>45</v>
      </c>
      <c r="Y504" s="6" t="s">
        <v>46</v>
      </c>
      <c r="Z504" s="6">
        <v>3.040148938E9</v>
      </c>
      <c r="AA504" s="6" t="s">
        <v>465</v>
      </c>
      <c r="AB504" s="6" t="s">
        <v>466</v>
      </c>
      <c r="AC504" s="6" t="s">
        <v>1305</v>
      </c>
      <c r="AD504" s="55"/>
      <c r="AE504" s="55"/>
      <c r="AF504" s="55"/>
      <c r="AG504" s="55"/>
    </row>
    <row r="505">
      <c r="A505" s="21">
        <f>COUNTIF('Divulgação'!$B:$B,B505)</f>
        <v>1</v>
      </c>
      <c r="B505" s="21" t="s">
        <v>1306</v>
      </c>
      <c r="C505" s="9"/>
      <c r="D505" s="6" t="s">
        <v>39</v>
      </c>
      <c r="E505" s="6" t="s">
        <v>1222</v>
      </c>
      <c r="F505" s="23">
        <v>46232.0</v>
      </c>
      <c r="G505" s="6" t="s">
        <v>41</v>
      </c>
      <c r="H505" s="9"/>
      <c r="I505" s="21" t="s">
        <v>1307</v>
      </c>
      <c r="J505" s="6" t="s">
        <v>1308</v>
      </c>
      <c r="K505" s="6" t="s">
        <v>1309</v>
      </c>
      <c r="L505" s="6" t="s">
        <v>1310</v>
      </c>
      <c r="M505" s="9"/>
      <c r="N505" s="9"/>
      <c r="O505" s="9"/>
      <c r="P505" s="9"/>
      <c r="Q505" s="6">
        <v>1.0</v>
      </c>
      <c r="R505" s="23">
        <v>46232.0</v>
      </c>
      <c r="S505" s="23">
        <v>46238.0</v>
      </c>
      <c r="T505" s="9"/>
      <c r="U505" s="9"/>
      <c r="V505" s="6" t="s">
        <v>44</v>
      </c>
      <c r="W505" s="9"/>
      <c r="X505" s="6" t="s">
        <v>45</v>
      </c>
      <c r="Y505" s="6" t="s">
        <v>46</v>
      </c>
      <c r="Z505" s="6">
        <v>3.040325543E9</v>
      </c>
      <c r="AA505" s="6" t="s">
        <v>68</v>
      </c>
      <c r="AB505" s="6" t="s">
        <v>827</v>
      </c>
      <c r="AC505" s="6" t="s">
        <v>1311</v>
      </c>
      <c r="AD505" s="55"/>
      <c r="AE505" s="55"/>
      <c r="AF505" s="55"/>
      <c r="AG505" s="55"/>
    </row>
    <row r="506">
      <c r="A506" s="21">
        <f>COUNTIF('Divulgação'!$B:$B,B506)</f>
        <v>1</v>
      </c>
      <c r="B506" s="21" t="s">
        <v>1312</v>
      </c>
      <c r="C506" s="9"/>
      <c r="D506" s="6" t="s">
        <v>39</v>
      </c>
      <c r="E506" s="6" t="s">
        <v>1222</v>
      </c>
      <c r="F506" s="23">
        <v>46232.0</v>
      </c>
      <c r="G506" s="6" t="s">
        <v>41</v>
      </c>
      <c r="H506" s="9"/>
      <c r="I506" s="21" t="s">
        <v>1313</v>
      </c>
      <c r="J506" s="6" t="s">
        <v>156</v>
      </c>
      <c r="K506" s="6" t="s">
        <v>1314</v>
      </c>
      <c r="L506" s="6" t="s">
        <v>1315</v>
      </c>
      <c r="M506" s="9"/>
      <c r="N506" s="9"/>
      <c r="O506" s="9"/>
      <c r="P506" s="9"/>
      <c r="Q506" s="6">
        <v>1.0</v>
      </c>
      <c r="R506" s="23">
        <v>46232.0</v>
      </c>
      <c r="S506" s="23">
        <v>46238.0</v>
      </c>
      <c r="T506" s="9"/>
      <c r="U506" s="9"/>
      <c r="V506" s="6" t="s">
        <v>44</v>
      </c>
      <c r="W506" s="9"/>
      <c r="X506" s="6" t="s">
        <v>45</v>
      </c>
      <c r="Y506" s="6" t="s">
        <v>46</v>
      </c>
      <c r="Z506" s="6">
        <v>3.040326169E9</v>
      </c>
      <c r="AA506" s="6" t="s">
        <v>45</v>
      </c>
      <c r="AB506" s="6" t="s">
        <v>203</v>
      </c>
      <c r="AC506" s="6" t="s">
        <v>1316</v>
      </c>
      <c r="AD506" s="55"/>
      <c r="AE506" s="55"/>
      <c r="AF506" s="55"/>
      <c r="AG506" s="55"/>
    </row>
    <row r="507">
      <c r="A507" s="21">
        <f>COUNTIF('Divulgação'!$B:$B,B507)</f>
        <v>1</v>
      </c>
      <c r="B507" s="21" t="s">
        <v>1317</v>
      </c>
      <c r="C507" s="9"/>
      <c r="D507" s="6" t="s">
        <v>39</v>
      </c>
      <c r="E507" s="6" t="s">
        <v>1222</v>
      </c>
      <c r="F507" s="23">
        <v>46232.0</v>
      </c>
      <c r="G507" s="6" t="s">
        <v>41</v>
      </c>
      <c r="H507" s="9"/>
      <c r="I507" s="21" t="s">
        <v>1313</v>
      </c>
      <c r="J507" s="6" t="s">
        <v>156</v>
      </c>
      <c r="K507" s="6" t="s">
        <v>1314</v>
      </c>
      <c r="L507" s="6" t="s">
        <v>1318</v>
      </c>
      <c r="M507" s="9"/>
      <c r="N507" s="9"/>
      <c r="O507" s="9"/>
      <c r="P507" s="9"/>
      <c r="Q507" s="6">
        <v>1.0</v>
      </c>
      <c r="R507" s="23">
        <v>46232.0</v>
      </c>
      <c r="S507" s="23">
        <v>46238.0</v>
      </c>
      <c r="T507" s="9"/>
      <c r="U507" s="9"/>
      <c r="V507" s="6" t="s">
        <v>44</v>
      </c>
      <c r="W507" s="9"/>
      <c r="X507" s="6" t="s">
        <v>45</v>
      </c>
      <c r="Y507" s="6" t="s">
        <v>46</v>
      </c>
      <c r="Z507" s="6">
        <v>3.040328944E9</v>
      </c>
      <c r="AA507" s="6" t="s">
        <v>45</v>
      </c>
      <c r="AB507" s="6" t="s">
        <v>203</v>
      </c>
      <c r="AC507" s="6" t="s">
        <v>1316</v>
      </c>
      <c r="AD507" s="55"/>
      <c r="AE507" s="55"/>
      <c r="AF507" s="55"/>
      <c r="AG507" s="55"/>
    </row>
    <row r="508">
      <c r="A508" s="21">
        <f>COUNTIF('Divulgação'!$B:$B,B508)</f>
        <v>1</v>
      </c>
      <c r="B508" s="21" t="s">
        <v>1319</v>
      </c>
      <c r="C508" s="9"/>
      <c r="D508" s="6" t="s">
        <v>39</v>
      </c>
      <c r="E508" s="6" t="s">
        <v>1222</v>
      </c>
      <c r="F508" s="23">
        <v>46237.0</v>
      </c>
      <c r="G508" s="6" t="s">
        <v>41</v>
      </c>
      <c r="H508" s="9"/>
      <c r="I508" s="21" t="s">
        <v>1320</v>
      </c>
      <c r="J508" s="6">
        <v>53468.0</v>
      </c>
      <c r="K508" s="6" t="s">
        <v>698</v>
      </c>
      <c r="L508" s="6" t="s">
        <v>1321</v>
      </c>
      <c r="M508" s="9"/>
      <c r="N508" s="9"/>
      <c r="O508" s="9"/>
      <c r="P508" s="9"/>
      <c r="Q508" s="6">
        <v>1.0</v>
      </c>
      <c r="R508" s="23">
        <v>46237.0</v>
      </c>
      <c r="S508" s="23">
        <v>46241.0</v>
      </c>
      <c r="T508" s="9"/>
      <c r="U508" s="9"/>
      <c r="V508" s="6" t="s">
        <v>44</v>
      </c>
      <c r="W508" s="9"/>
      <c r="X508" s="6" t="s">
        <v>45</v>
      </c>
      <c r="Y508" s="6" t="s">
        <v>46</v>
      </c>
      <c r="Z508" s="6">
        <v>3.040317035E9</v>
      </c>
      <c r="AA508" s="6" t="s">
        <v>45</v>
      </c>
      <c r="AB508" s="6" t="s">
        <v>46</v>
      </c>
      <c r="AC508" s="6" t="s">
        <v>177</v>
      </c>
      <c r="AD508" s="55"/>
      <c r="AE508" s="55"/>
      <c r="AF508" s="55"/>
      <c r="AG508" s="55"/>
    </row>
    <row r="509">
      <c r="A509" s="21">
        <f>COUNTIF('Divulgação'!$B:$B,B509)</f>
        <v>1</v>
      </c>
      <c r="B509" s="21" t="s">
        <v>1322</v>
      </c>
      <c r="C509" s="9"/>
      <c r="D509" s="6" t="s">
        <v>39</v>
      </c>
      <c r="E509" s="6" t="s">
        <v>1222</v>
      </c>
      <c r="F509" s="23">
        <v>46237.0</v>
      </c>
      <c r="G509" s="6" t="s">
        <v>41</v>
      </c>
      <c r="H509" s="9"/>
      <c r="I509" s="21" t="s">
        <v>1320</v>
      </c>
      <c r="J509" s="6">
        <v>53468.0</v>
      </c>
      <c r="K509" s="6" t="s">
        <v>698</v>
      </c>
      <c r="L509" s="6" t="s">
        <v>1323</v>
      </c>
      <c r="M509" s="9"/>
      <c r="N509" s="9"/>
      <c r="O509" s="9"/>
      <c r="P509" s="9"/>
      <c r="Q509" s="6">
        <v>1.0</v>
      </c>
      <c r="R509" s="23">
        <v>46237.0</v>
      </c>
      <c r="S509" s="23">
        <v>46272.0</v>
      </c>
      <c r="T509" s="9"/>
      <c r="U509" s="9"/>
      <c r="V509" s="6" t="s">
        <v>44</v>
      </c>
      <c r="W509" s="9"/>
      <c r="X509" s="6" t="s">
        <v>45</v>
      </c>
      <c r="Y509" s="6" t="s">
        <v>46</v>
      </c>
      <c r="Z509" s="6">
        <v>3.040317036E9</v>
      </c>
      <c r="AA509" s="6" t="s">
        <v>45</v>
      </c>
      <c r="AB509" s="6" t="s">
        <v>46</v>
      </c>
      <c r="AC509" s="6" t="s">
        <v>177</v>
      </c>
      <c r="AD509" s="55"/>
      <c r="AE509" s="55"/>
      <c r="AF509" s="55"/>
      <c r="AG509" s="55"/>
    </row>
    <row r="510">
      <c r="A510" s="21">
        <f>COUNTIF('Divulgação'!$B:$B,B510)</f>
        <v>1</v>
      </c>
      <c r="B510" s="21" t="s">
        <v>1324</v>
      </c>
      <c r="C510" s="9"/>
      <c r="D510" s="6" t="s">
        <v>39</v>
      </c>
      <c r="E510" s="6" t="s">
        <v>1222</v>
      </c>
      <c r="F510" s="23">
        <v>46237.0</v>
      </c>
      <c r="G510" s="6" t="s">
        <v>41</v>
      </c>
      <c r="H510" s="9"/>
      <c r="I510" s="21" t="s">
        <v>1320</v>
      </c>
      <c r="J510" s="6">
        <v>53468.0</v>
      </c>
      <c r="K510" s="6" t="s">
        <v>698</v>
      </c>
      <c r="L510" s="6" t="s">
        <v>1326</v>
      </c>
      <c r="M510" s="9"/>
      <c r="N510" s="9"/>
      <c r="O510" s="9"/>
      <c r="P510" s="9"/>
      <c r="Q510" s="6">
        <v>1.0</v>
      </c>
      <c r="R510" s="23">
        <v>46237.0</v>
      </c>
      <c r="S510" s="23">
        <v>46241.0</v>
      </c>
      <c r="T510" s="9"/>
      <c r="U510" s="9"/>
      <c r="V510" s="6" t="s">
        <v>44</v>
      </c>
      <c r="W510" s="9"/>
      <c r="X510" s="6" t="s">
        <v>45</v>
      </c>
      <c r="Y510" s="6" t="s">
        <v>46</v>
      </c>
      <c r="Z510" s="6">
        <v>3.040317037E9</v>
      </c>
      <c r="AA510" s="6" t="s">
        <v>45</v>
      </c>
      <c r="AB510" s="6" t="s">
        <v>46</v>
      </c>
      <c r="AC510" s="6" t="s">
        <v>177</v>
      </c>
      <c r="AD510" s="55"/>
      <c r="AE510" s="55"/>
      <c r="AF510" s="55"/>
      <c r="AG510" s="55"/>
    </row>
    <row r="511">
      <c r="A511" s="21">
        <f>COUNTIF('Divulgação'!$B:$B,B511)</f>
        <v>1</v>
      </c>
      <c r="B511" s="21" t="s">
        <v>1327</v>
      </c>
      <c r="C511" s="9"/>
      <c r="D511" s="6" t="s">
        <v>39</v>
      </c>
      <c r="E511" s="6" t="s">
        <v>1222</v>
      </c>
      <c r="F511" s="23">
        <v>46237.0</v>
      </c>
      <c r="G511" s="6" t="s">
        <v>41</v>
      </c>
      <c r="H511" s="9"/>
      <c r="I511" s="21" t="s">
        <v>1320</v>
      </c>
      <c r="J511" s="6">
        <v>53468.0</v>
      </c>
      <c r="K511" s="6" t="s">
        <v>698</v>
      </c>
      <c r="L511" s="6" t="s">
        <v>1328</v>
      </c>
      <c r="M511" s="9"/>
      <c r="N511" s="9"/>
      <c r="O511" s="9"/>
      <c r="P511" s="9"/>
      <c r="Q511" s="6">
        <v>1.0</v>
      </c>
      <c r="R511" s="23">
        <v>46237.0</v>
      </c>
      <c r="S511" s="23">
        <v>46272.0</v>
      </c>
      <c r="T511" s="9"/>
      <c r="U511" s="9"/>
      <c r="V511" s="6" t="s">
        <v>44</v>
      </c>
      <c r="W511" s="9"/>
      <c r="X511" s="6" t="s">
        <v>45</v>
      </c>
      <c r="Y511" s="6" t="s">
        <v>46</v>
      </c>
      <c r="Z511" s="6">
        <v>3.040317038E9</v>
      </c>
      <c r="AA511" s="6" t="s">
        <v>45</v>
      </c>
      <c r="AB511" s="6" t="s">
        <v>46</v>
      </c>
      <c r="AC511" s="6" t="s">
        <v>177</v>
      </c>
      <c r="AD511" s="55"/>
      <c r="AE511" s="55"/>
      <c r="AF511" s="55"/>
      <c r="AG511" s="55"/>
    </row>
    <row r="512">
      <c r="A512" s="9"/>
      <c r="B512" s="9"/>
      <c r="C512" s="55"/>
      <c r="D512" s="55"/>
      <c r="E512" s="55"/>
      <c r="F512" s="55"/>
      <c r="G512" s="55"/>
      <c r="H512" s="55"/>
      <c r="I512" s="55"/>
      <c r="J512" s="55"/>
      <c r="K512" s="55"/>
      <c r="L512" s="59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</row>
    <row r="513">
      <c r="A513" s="9"/>
      <c r="B513" s="9"/>
      <c r="C513" s="55"/>
      <c r="D513" s="55"/>
      <c r="E513" s="55"/>
      <c r="F513" s="55"/>
      <c r="G513" s="55"/>
      <c r="H513" s="55"/>
      <c r="I513" s="55"/>
      <c r="J513" s="55"/>
      <c r="K513" s="55"/>
      <c r="L513" s="59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</row>
    <row r="514">
      <c r="A514" s="9"/>
      <c r="B514" s="9"/>
      <c r="C514" s="55"/>
      <c r="D514" s="55"/>
      <c r="E514" s="55"/>
      <c r="F514" s="55"/>
      <c r="G514" s="55"/>
      <c r="H514" s="55"/>
      <c r="I514" s="55"/>
      <c r="J514" s="55"/>
      <c r="K514" s="55"/>
      <c r="L514" s="59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</row>
    <row r="515">
      <c r="A515" s="9"/>
      <c r="B515" s="9"/>
      <c r="C515" s="55"/>
      <c r="D515" s="55"/>
      <c r="E515" s="55"/>
      <c r="F515" s="55"/>
      <c r="G515" s="55"/>
      <c r="H515" s="55"/>
      <c r="I515" s="55"/>
      <c r="J515" s="55"/>
      <c r="K515" s="55"/>
      <c r="L515" s="59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</row>
    <row r="516">
      <c r="A516" s="9"/>
      <c r="B516" s="9"/>
      <c r="C516" s="55"/>
      <c r="D516" s="55"/>
      <c r="E516" s="55"/>
      <c r="F516" s="55"/>
      <c r="G516" s="55"/>
      <c r="H516" s="55"/>
      <c r="I516" s="55"/>
      <c r="J516" s="55"/>
      <c r="K516" s="55"/>
      <c r="L516" s="59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</row>
    <row r="517">
      <c r="A517" s="9"/>
      <c r="B517" s="9"/>
      <c r="C517" s="55"/>
      <c r="D517" s="55"/>
      <c r="E517" s="55"/>
      <c r="F517" s="55"/>
      <c r="G517" s="55"/>
      <c r="H517" s="55"/>
      <c r="I517" s="55"/>
      <c r="J517" s="55"/>
      <c r="K517" s="55"/>
      <c r="L517" s="59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</row>
    <row r="518">
      <c r="A518" s="9"/>
      <c r="B518" s="9"/>
      <c r="C518" s="55"/>
      <c r="D518" s="55"/>
      <c r="E518" s="55"/>
      <c r="F518" s="55"/>
      <c r="G518" s="55"/>
      <c r="H518" s="55"/>
      <c r="I518" s="55"/>
      <c r="J518" s="55"/>
      <c r="K518" s="55"/>
      <c r="L518" s="59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</row>
    <row r="519">
      <c r="A519" s="9"/>
      <c r="B519" s="9"/>
      <c r="C519" s="55"/>
      <c r="D519" s="55"/>
      <c r="E519" s="55"/>
      <c r="F519" s="55"/>
      <c r="G519" s="55"/>
      <c r="H519" s="55"/>
      <c r="I519" s="55"/>
      <c r="J519" s="55"/>
      <c r="K519" s="55"/>
      <c r="L519" s="59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</row>
    <row r="520">
      <c r="A520" s="9"/>
      <c r="B520" s="9"/>
      <c r="C520" s="55"/>
      <c r="D520" s="55"/>
      <c r="E520" s="55"/>
      <c r="F520" s="55"/>
      <c r="G520" s="55"/>
      <c r="H520" s="55"/>
      <c r="I520" s="55"/>
      <c r="J520" s="55"/>
      <c r="K520" s="55"/>
      <c r="L520" s="59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</row>
    <row r="521">
      <c r="A521" s="9"/>
      <c r="B521" s="9"/>
      <c r="C521" s="55"/>
      <c r="D521" s="55"/>
      <c r="E521" s="55"/>
      <c r="F521" s="55"/>
      <c r="G521" s="55"/>
      <c r="H521" s="55"/>
      <c r="I521" s="55"/>
      <c r="J521" s="55"/>
      <c r="K521" s="55"/>
      <c r="L521" s="59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</row>
    <row r="522">
      <c r="A522" s="9"/>
      <c r="B522" s="9"/>
      <c r="C522" s="55"/>
      <c r="D522" s="55"/>
      <c r="E522" s="55"/>
      <c r="F522" s="55"/>
      <c r="G522" s="55"/>
      <c r="H522" s="55"/>
      <c r="I522" s="55"/>
      <c r="J522" s="55"/>
      <c r="K522" s="55"/>
      <c r="L522" s="59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</row>
    <row r="523">
      <c r="A523" s="9"/>
      <c r="B523" s="9"/>
      <c r="C523" s="55"/>
      <c r="D523" s="55"/>
      <c r="E523" s="55"/>
      <c r="F523" s="55"/>
      <c r="G523" s="55"/>
      <c r="H523" s="55"/>
      <c r="I523" s="55"/>
      <c r="J523" s="55"/>
      <c r="K523" s="55"/>
      <c r="L523" s="59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</row>
    <row r="524">
      <c r="A524" s="9"/>
      <c r="B524" s="9"/>
      <c r="C524" s="55"/>
      <c r="D524" s="55"/>
      <c r="E524" s="55"/>
      <c r="F524" s="55"/>
      <c r="G524" s="55"/>
      <c r="H524" s="55"/>
      <c r="I524" s="55"/>
      <c r="J524" s="55"/>
      <c r="K524" s="55"/>
      <c r="L524" s="59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</row>
    <row r="525">
      <c r="A525" s="9"/>
      <c r="B525" s="9"/>
      <c r="C525" s="55"/>
      <c r="D525" s="55"/>
      <c r="E525" s="55"/>
      <c r="F525" s="55"/>
      <c r="G525" s="55"/>
      <c r="H525" s="55"/>
      <c r="I525" s="55"/>
      <c r="J525" s="55"/>
      <c r="K525" s="55"/>
      <c r="L525" s="59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</row>
    <row r="526">
      <c r="A526" s="9"/>
      <c r="B526" s="9"/>
      <c r="C526" s="55"/>
      <c r="D526" s="55"/>
      <c r="E526" s="55"/>
      <c r="F526" s="55"/>
      <c r="G526" s="55"/>
      <c r="H526" s="55"/>
      <c r="I526" s="55"/>
      <c r="J526" s="55"/>
      <c r="K526" s="55"/>
      <c r="L526" s="59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</row>
    <row r="527">
      <c r="A527" s="9"/>
      <c r="B527" s="9"/>
      <c r="C527" s="55"/>
      <c r="D527" s="55"/>
      <c r="E527" s="55"/>
      <c r="F527" s="55"/>
      <c r="G527" s="55"/>
      <c r="H527" s="55"/>
      <c r="I527" s="55"/>
      <c r="J527" s="55"/>
      <c r="K527" s="55"/>
      <c r="L527" s="5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9"/>
      <c r="B528" s="9"/>
      <c r="C528" s="55"/>
      <c r="D528" s="55"/>
      <c r="E528" s="55"/>
      <c r="F528" s="55"/>
      <c r="G528" s="55"/>
      <c r="H528" s="55"/>
      <c r="I528" s="55"/>
      <c r="J528" s="55"/>
      <c r="K528" s="55"/>
      <c r="L528" s="5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9"/>
      <c r="B529" s="9"/>
      <c r="C529" s="55"/>
      <c r="D529" s="55"/>
      <c r="E529" s="55"/>
      <c r="F529" s="55"/>
      <c r="G529" s="55"/>
      <c r="H529" s="55"/>
      <c r="I529" s="55"/>
      <c r="J529" s="55"/>
      <c r="K529" s="55"/>
      <c r="L529" s="5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9"/>
      <c r="B530" s="9"/>
      <c r="C530" s="55"/>
      <c r="D530" s="55"/>
      <c r="E530" s="55"/>
      <c r="F530" s="55"/>
      <c r="G530" s="55"/>
      <c r="H530" s="55"/>
      <c r="I530" s="55"/>
      <c r="J530" s="55"/>
      <c r="K530" s="55"/>
      <c r="L530" s="5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9"/>
      <c r="B531" s="9"/>
      <c r="C531" s="55"/>
      <c r="D531" s="55"/>
      <c r="E531" s="55"/>
      <c r="F531" s="55"/>
      <c r="G531" s="55"/>
      <c r="H531" s="55"/>
      <c r="I531" s="55"/>
      <c r="J531" s="55"/>
      <c r="K531" s="55"/>
      <c r="L531" s="5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9"/>
      <c r="B532" s="9"/>
      <c r="C532" s="55"/>
      <c r="D532" s="55"/>
      <c r="E532" s="55"/>
      <c r="F532" s="55"/>
      <c r="G532" s="55"/>
      <c r="H532" s="55"/>
      <c r="I532" s="55"/>
      <c r="J532" s="55"/>
      <c r="K532" s="55"/>
      <c r="L532" s="5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9"/>
      <c r="B533" s="9"/>
      <c r="C533" s="55"/>
      <c r="D533" s="55"/>
      <c r="E533" s="55"/>
      <c r="F533" s="55"/>
      <c r="G533" s="55"/>
      <c r="H533" s="55"/>
      <c r="I533" s="55"/>
      <c r="J533" s="55"/>
      <c r="K533" s="55"/>
      <c r="L533" s="5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9"/>
      <c r="B534" s="9"/>
      <c r="C534" s="55"/>
      <c r="D534" s="55"/>
      <c r="E534" s="55"/>
      <c r="F534" s="55"/>
      <c r="G534" s="55"/>
      <c r="H534" s="55"/>
      <c r="I534" s="55"/>
      <c r="J534" s="55"/>
      <c r="K534" s="55"/>
      <c r="L534" s="5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9"/>
      <c r="B535" s="9"/>
      <c r="C535" s="55"/>
      <c r="D535" s="55"/>
      <c r="E535" s="55"/>
      <c r="F535" s="55"/>
      <c r="G535" s="55"/>
      <c r="H535" s="55"/>
      <c r="I535" s="55"/>
      <c r="J535" s="55"/>
      <c r="K535" s="55"/>
      <c r="L535" s="5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9"/>
      <c r="B536" s="9"/>
      <c r="C536" s="55"/>
      <c r="D536" s="55"/>
      <c r="E536" s="55"/>
      <c r="F536" s="55"/>
      <c r="G536" s="55"/>
      <c r="H536" s="55"/>
      <c r="I536" s="55"/>
      <c r="J536" s="55"/>
      <c r="K536" s="55"/>
      <c r="L536" s="5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9"/>
      <c r="B537" s="9"/>
      <c r="C537" s="55"/>
      <c r="D537" s="55"/>
      <c r="E537" s="55"/>
      <c r="F537" s="55"/>
      <c r="G537" s="55"/>
      <c r="H537" s="55"/>
      <c r="I537" s="55"/>
      <c r="J537" s="55"/>
      <c r="K537" s="55"/>
      <c r="L537" s="5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9"/>
      <c r="B538" s="9"/>
      <c r="C538" s="55"/>
      <c r="D538" s="55"/>
      <c r="E538" s="55"/>
      <c r="F538" s="55"/>
      <c r="G538" s="55"/>
      <c r="H538" s="55"/>
      <c r="I538" s="55"/>
      <c r="J538" s="55"/>
      <c r="K538" s="55"/>
      <c r="L538" s="5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9"/>
      <c r="B539" s="9"/>
      <c r="C539" s="55"/>
      <c r="D539" s="55"/>
      <c r="E539" s="55"/>
      <c r="F539" s="55"/>
      <c r="G539" s="55"/>
      <c r="H539" s="55"/>
      <c r="I539" s="55"/>
      <c r="J539" s="55"/>
      <c r="K539" s="55"/>
      <c r="L539" s="5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9"/>
      <c r="B540" s="9"/>
      <c r="C540" s="55"/>
      <c r="D540" s="55"/>
      <c r="E540" s="55"/>
      <c r="F540" s="55"/>
      <c r="G540" s="55"/>
      <c r="H540" s="55"/>
      <c r="I540" s="55"/>
      <c r="J540" s="55"/>
      <c r="K540" s="55"/>
      <c r="L540" s="5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9"/>
      <c r="B541" s="9"/>
      <c r="C541" s="55"/>
      <c r="D541" s="55"/>
      <c r="E541" s="55"/>
      <c r="F541" s="55"/>
      <c r="G541" s="55"/>
      <c r="H541" s="55"/>
      <c r="I541" s="55"/>
      <c r="J541" s="55"/>
      <c r="K541" s="55"/>
      <c r="L541" s="5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9"/>
      <c r="B542" s="9"/>
      <c r="C542" s="55"/>
      <c r="D542" s="55"/>
      <c r="E542" s="55"/>
      <c r="F542" s="55"/>
      <c r="G542" s="55"/>
      <c r="H542" s="55"/>
      <c r="I542" s="55"/>
      <c r="J542" s="55"/>
      <c r="K542" s="55"/>
      <c r="L542" s="5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9"/>
      <c r="B543" s="9"/>
      <c r="C543" s="55"/>
      <c r="D543" s="55"/>
      <c r="E543" s="55"/>
      <c r="F543" s="55"/>
      <c r="G543" s="55"/>
      <c r="H543" s="55"/>
      <c r="I543" s="55"/>
      <c r="J543" s="55"/>
      <c r="K543" s="55"/>
      <c r="L543" s="5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9"/>
      <c r="B544" s="9"/>
      <c r="C544" s="55"/>
      <c r="D544" s="55"/>
      <c r="E544" s="55"/>
      <c r="F544" s="55"/>
      <c r="G544" s="55"/>
      <c r="H544" s="55"/>
      <c r="I544" s="55"/>
      <c r="J544" s="55"/>
      <c r="K544" s="55"/>
      <c r="L544" s="5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9"/>
      <c r="B545" s="9"/>
      <c r="C545" s="55"/>
      <c r="D545" s="55"/>
      <c r="E545" s="55"/>
      <c r="F545" s="55"/>
      <c r="G545" s="55"/>
      <c r="H545" s="55"/>
      <c r="I545" s="55"/>
      <c r="J545" s="55"/>
      <c r="K545" s="55"/>
      <c r="L545" s="5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9"/>
      <c r="B546" s="9"/>
      <c r="C546" s="55"/>
      <c r="D546" s="55"/>
      <c r="E546" s="55"/>
      <c r="F546" s="55"/>
      <c r="G546" s="55"/>
      <c r="H546" s="55"/>
      <c r="I546" s="55"/>
      <c r="J546" s="55"/>
      <c r="K546" s="55"/>
      <c r="L546" s="5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9"/>
      <c r="B547" s="9"/>
      <c r="C547" s="55"/>
      <c r="D547" s="55"/>
      <c r="E547" s="55"/>
      <c r="F547" s="55"/>
      <c r="G547" s="55"/>
      <c r="H547" s="55"/>
      <c r="I547" s="55"/>
      <c r="J547" s="55"/>
      <c r="K547" s="55"/>
      <c r="L547" s="5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9"/>
      <c r="B548" s="9"/>
      <c r="C548" s="55"/>
      <c r="D548" s="55"/>
      <c r="E548" s="55"/>
      <c r="F548" s="55"/>
      <c r="G548" s="55"/>
      <c r="H548" s="55"/>
      <c r="I548" s="55"/>
      <c r="J548" s="55"/>
      <c r="K548" s="55"/>
      <c r="L548" s="5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9"/>
      <c r="B549" s="9"/>
      <c r="C549" s="55"/>
      <c r="D549" s="55"/>
      <c r="E549" s="55"/>
      <c r="F549" s="55"/>
      <c r="G549" s="55"/>
      <c r="H549" s="55"/>
      <c r="I549" s="55"/>
      <c r="J549" s="55"/>
      <c r="K549" s="55"/>
      <c r="L549" s="5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9"/>
      <c r="B550" s="9"/>
      <c r="C550" s="55"/>
      <c r="D550" s="55"/>
      <c r="E550" s="55"/>
      <c r="F550" s="55"/>
      <c r="G550" s="55"/>
      <c r="H550" s="55"/>
      <c r="I550" s="55"/>
      <c r="J550" s="55"/>
      <c r="K550" s="55"/>
      <c r="L550" s="5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9"/>
      <c r="B551" s="9"/>
      <c r="C551" s="55"/>
      <c r="D551" s="55"/>
      <c r="E551" s="55"/>
      <c r="F551" s="55"/>
      <c r="G551" s="55"/>
      <c r="H551" s="55"/>
      <c r="I551" s="55"/>
      <c r="J551" s="55"/>
      <c r="K551" s="55"/>
      <c r="L551" s="5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9"/>
      <c r="B552" s="9"/>
      <c r="C552" s="55"/>
      <c r="D552" s="55"/>
      <c r="E552" s="55"/>
      <c r="F552" s="55"/>
      <c r="G552" s="55"/>
      <c r="H552" s="55"/>
      <c r="I552" s="55"/>
      <c r="J552" s="55"/>
      <c r="K552" s="55"/>
      <c r="L552" s="5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9"/>
      <c r="B553" s="9"/>
      <c r="C553" s="55"/>
      <c r="D553" s="55"/>
      <c r="E553" s="55"/>
      <c r="F553" s="55"/>
      <c r="G553" s="55"/>
      <c r="H553" s="55"/>
      <c r="I553" s="55"/>
      <c r="J553" s="55"/>
      <c r="K553" s="55"/>
      <c r="L553" s="5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9"/>
      <c r="B554" s="9"/>
      <c r="C554" s="55"/>
      <c r="D554" s="55"/>
      <c r="E554" s="55"/>
      <c r="F554" s="55"/>
      <c r="G554" s="55"/>
      <c r="H554" s="55"/>
      <c r="I554" s="55"/>
      <c r="J554" s="55"/>
      <c r="K554" s="55"/>
      <c r="L554" s="5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9"/>
      <c r="B555" s="9"/>
      <c r="C555" s="55"/>
      <c r="D555" s="55"/>
      <c r="E555" s="55"/>
      <c r="F555" s="55"/>
      <c r="G555" s="55"/>
      <c r="H555" s="55"/>
      <c r="I555" s="55"/>
      <c r="J555" s="55"/>
      <c r="K555" s="55"/>
      <c r="L555" s="5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9"/>
      <c r="B556" s="9"/>
      <c r="C556" s="55"/>
      <c r="D556" s="55"/>
      <c r="E556" s="55"/>
      <c r="F556" s="55"/>
      <c r="G556" s="55"/>
      <c r="H556" s="55"/>
      <c r="I556" s="55"/>
      <c r="J556" s="55"/>
      <c r="K556" s="55"/>
      <c r="L556" s="5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9"/>
      <c r="B557" s="9"/>
      <c r="C557" s="55"/>
      <c r="D557" s="55"/>
      <c r="E557" s="55"/>
      <c r="F557" s="55"/>
      <c r="G557" s="55"/>
      <c r="H557" s="55"/>
      <c r="I557" s="55"/>
      <c r="J557" s="55"/>
      <c r="K557" s="55"/>
      <c r="L557" s="5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9"/>
      <c r="B558" s="9"/>
      <c r="C558" s="55"/>
      <c r="D558" s="55"/>
      <c r="E558" s="55"/>
      <c r="F558" s="55"/>
      <c r="G558" s="55"/>
      <c r="H558" s="55"/>
      <c r="I558" s="55"/>
      <c r="J558" s="55"/>
      <c r="K558" s="55"/>
      <c r="L558" s="5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9"/>
      <c r="B559" s="9"/>
      <c r="C559" s="55"/>
      <c r="D559" s="55"/>
      <c r="E559" s="55"/>
      <c r="F559" s="55"/>
      <c r="G559" s="55"/>
      <c r="H559" s="55"/>
      <c r="I559" s="55"/>
      <c r="J559" s="55"/>
      <c r="K559" s="55"/>
      <c r="L559" s="5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9"/>
      <c r="B560" s="9"/>
      <c r="C560" s="55"/>
      <c r="D560" s="55"/>
      <c r="E560" s="55"/>
      <c r="F560" s="55"/>
      <c r="G560" s="55"/>
      <c r="H560" s="55"/>
      <c r="I560" s="55"/>
      <c r="J560" s="55"/>
      <c r="K560" s="55"/>
      <c r="L560" s="5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9"/>
      <c r="B561" s="9"/>
      <c r="C561" s="55"/>
      <c r="D561" s="55"/>
      <c r="E561" s="55"/>
      <c r="F561" s="55"/>
      <c r="G561" s="55"/>
      <c r="H561" s="55"/>
      <c r="I561" s="55"/>
      <c r="J561" s="55"/>
      <c r="K561" s="55"/>
      <c r="L561" s="5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9"/>
      <c r="B562" s="9"/>
      <c r="C562" s="55"/>
      <c r="D562" s="55"/>
      <c r="E562" s="55"/>
      <c r="F562" s="55"/>
      <c r="G562" s="55"/>
      <c r="H562" s="55"/>
      <c r="I562" s="55"/>
      <c r="J562" s="55"/>
      <c r="K562" s="55"/>
      <c r="L562" s="5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9"/>
      <c r="B563" s="9"/>
      <c r="C563" s="55"/>
      <c r="D563" s="55"/>
      <c r="E563" s="55"/>
      <c r="F563" s="55"/>
      <c r="G563" s="55"/>
      <c r="H563" s="55"/>
      <c r="I563" s="55"/>
      <c r="J563" s="55"/>
      <c r="K563" s="55"/>
      <c r="L563" s="5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9"/>
      <c r="B564" s="9"/>
      <c r="C564" s="55"/>
      <c r="D564" s="55"/>
      <c r="E564" s="55"/>
      <c r="F564" s="55"/>
      <c r="G564" s="55"/>
      <c r="H564" s="55"/>
      <c r="I564" s="55"/>
      <c r="J564" s="55"/>
      <c r="K564" s="55"/>
      <c r="L564" s="5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9"/>
      <c r="B565" s="9"/>
      <c r="C565" s="55"/>
      <c r="D565" s="55"/>
      <c r="E565" s="55"/>
      <c r="F565" s="55"/>
      <c r="G565" s="55"/>
      <c r="H565" s="55"/>
      <c r="I565" s="55"/>
      <c r="J565" s="55"/>
      <c r="K565" s="55"/>
      <c r="L565" s="5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9"/>
      <c r="B566" s="9"/>
      <c r="C566" s="55"/>
      <c r="D566" s="55"/>
      <c r="E566" s="55"/>
      <c r="F566" s="55"/>
      <c r="G566" s="55"/>
      <c r="H566" s="55"/>
      <c r="I566" s="55"/>
      <c r="J566" s="55"/>
      <c r="K566" s="55"/>
      <c r="L566" s="5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9"/>
      <c r="B567" s="9"/>
      <c r="C567" s="55"/>
      <c r="D567" s="55"/>
      <c r="E567" s="55"/>
      <c r="F567" s="55"/>
      <c r="G567" s="55"/>
      <c r="H567" s="55"/>
      <c r="I567" s="55"/>
      <c r="J567" s="55"/>
      <c r="K567" s="55"/>
      <c r="L567" s="5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9"/>
      <c r="B568" s="9"/>
      <c r="C568" s="55"/>
      <c r="D568" s="55"/>
      <c r="E568" s="55"/>
      <c r="F568" s="55"/>
      <c r="G568" s="55"/>
      <c r="H568" s="55"/>
      <c r="I568" s="55"/>
      <c r="J568" s="55"/>
      <c r="K568" s="55"/>
      <c r="L568" s="5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9"/>
      <c r="B569" s="9"/>
      <c r="C569" s="55"/>
      <c r="D569" s="55"/>
      <c r="E569" s="55"/>
      <c r="F569" s="55"/>
      <c r="G569" s="55"/>
      <c r="H569" s="55"/>
      <c r="I569" s="55"/>
      <c r="J569" s="55"/>
      <c r="K569" s="55"/>
      <c r="L569" s="5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9"/>
      <c r="B570" s="9"/>
      <c r="C570" s="55"/>
      <c r="D570" s="55"/>
      <c r="E570" s="55"/>
      <c r="F570" s="55"/>
      <c r="G570" s="55"/>
      <c r="H570" s="55"/>
      <c r="I570" s="55"/>
      <c r="J570" s="55"/>
      <c r="K570" s="55"/>
      <c r="L570" s="5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9"/>
      <c r="B571" s="9"/>
      <c r="C571" s="55"/>
      <c r="D571" s="55"/>
      <c r="E571" s="55"/>
      <c r="F571" s="55"/>
      <c r="G571" s="55"/>
      <c r="H571" s="55"/>
      <c r="I571" s="55"/>
      <c r="J571" s="55"/>
      <c r="K571" s="55"/>
      <c r="L571" s="5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9"/>
      <c r="B572" s="9"/>
      <c r="C572" s="55"/>
      <c r="D572" s="55"/>
      <c r="E572" s="55"/>
      <c r="F572" s="55"/>
      <c r="G572" s="55"/>
      <c r="H572" s="55"/>
      <c r="I572" s="55"/>
      <c r="J572" s="55"/>
      <c r="K572" s="55"/>
      <c r="L572" s="5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9"/>
      <c r="B573" s="9"/>
      <c r="C573" s="55"/>
      <c r="D573" s="55"/>
      <c r="E573" s="55"/>
      <c r="F573" s="55"/>
      <c r="G573" s="55"/>
      <c r="H573" s="55"/>
      <c r="I573" s="55"/>
      <c r="J573" s="55"/>
      <c r="K573" s="55"/>
      <c r="L573" s="5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9"/>
      <c r="B574" s="9"/>
      <c r="C574" s="55"/>
      <c r="D574" s="55"/>
      <c r="E574" s="55"/>
      <c r="F574" s="55"/>
      <c r="G574" s="55"/>
      <c r="H574" s="55"/>
      <c r="I574" s="55"/>
      <c r="J574" s="55"/>
      <c r="K574" s="55"/>
      <c r="L574" s="5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9"/>
      <c r="B575" s="9"/>
      <c r="C575" s="55"/>
      <c r="D575" s="55"/>
      <c r="E575" s="55"/>
      <c r="F575" s="55"/>
      <c r="G575" s="55"/>
      <c r="H575" s="55"/>
      <c r="I575" s="55"/>
      <c r="J575" s="55"/>
      <c r="K575" s="55"/>
      <c r="L575" s="5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9"/>
      <c r="B576" s="9"/>
      <c r="C576" s="55"/>
      <c r="D576" s="55"/>
      <c r="E576" s="55"/>
      <c r="F576" s="55"/>
      <c r="G576" s="55"/>
      <c r="H576" s="55"/>
      <c r="I576" s="55"/>
      <c r="J576" s="55"/>
      <c r="K576" s="55"/>
      <c r="L576" s="5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9"/>
      <c r="B577" s="9"/>
      <c r="C577" s="55"/>
      <c r="D577" s="55"/>
      <c r="E577" s="55"/>
      <c r="F577" s="55"/>
      <c r="G577" s="55"/>
      <c r="H577" s="55"/>
      <c r="I577" s="55"/>
      <c r="J577" s="55"/>
      <c r="K577" s="55"/>
      <c r="L577" s="5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9"/>
      <c r="B578" s="9"/>
      <c r="C578" s="55"/>
      <c r="D578" s="55"/>
      <c r="E578" s="55"/>
      <c r="F578" s="55"/>
      <c r="G578" s="55"/>
      <c r="H578" s="55"/>
      <c r="I578" s="55"/>
      <c r="J578" s="55"/>
      <c r="K578" s="55"/>
      <c r="L578" s="5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9"/>
      <c r="B579" s="9"/>
      <c r="C579" s="55"/>
      <c r="D579" s="55"/>
      <c r="E579" s="55"/>
      <c r="F579" s="55"/>
      <c r="G579" s="55"/>
      <c r="H579" s="55"/>
      <c r="I579" s="55"/>
      <c r="J579" s="55"/>
      <c r="K579" s="55"/>
      <c r="L579" s="5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9"/>
      <c r="B580" s="9"/>
      <c r="C580" s="55"/>
      <c r="D580" s="55"/>
      <c r="E580" s="55"/>
      <c r="F580" s="55"/>
      <c r="G580" s="55"/>
      <c r="H580" s="55"/>
      <c r="I580" s="55"/>
      <c r="J580" s="55"/>
      <c r="K580" s="55"/>
      <c r="L580" s="5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9"/>
      <c r="B581" s="9"/>
      <c r="C581" s="55"/>
      <c r="D581" s="55"/>
      <c r="E581" s="55"/>
      <c r="F581" s="55"/>
      <c r="G581" s="55"/>
      <c r="H581" s="55"/>
      <c r="I581" s="55"/>
      <c r="J581" s="55"/>
      <c r="K581" s="55"/>
      <c r="L581" s="5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9"/>
      <c r="B582" s="9"/>
      <c r="C582" s="55"/>
      <c r="D582" s="55"/>
      <c r="E582" s="55"/>
      <c r="F582" s="55"/>
      <c r="G582" s="55"/>
      <c r="H582" s="55"/>
      <c r="I582" s="55"/>
      <c r="J582" s="55"/>
      <c r="K582" s="55"/>
      <c r="L582" s="5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9"/>
      <c r="B583" s="9"/>
      <c r="C583" s="55"/>
      <c r="D583" s="55"/>
      <c r="E583" s="55"/>
      <c r="F583" s="55"/>
      <c r="G583" s="55"/>
      <c r="H583" s="55"/>
      <c r="I583" s="55"/>
      <c r="J583" s="55"/>
      <c r="K583" s="55"/>
      <c r="L583" s="5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9"/>
      <c r="B584" s="9"/>
      <c r="C584" s="55"/>
      <c r="D584" s="55"/>
      <c r="E584" s="55"/>
      <c r="F584" s="55"/>
      <c r="G584" s="55"/>
      <c r="H584" s="55"/>
      <c r="I584" s="55"/>
      <c r="J584" s="55"/>
      <c r="K584" s="55"/>
      <c r="L584" s="5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9"/>
      <c r="B585" s="9"/>
      <c r="C585" s="55"/>
      <c r="D585" s="55"/>
      <c r="E585" s="55"/>
      <c r="F585" s="55"/>
      <c r="G585" s="55"/>
      <c r="H585" s="55"/>
      <c r="I585" s="55"/>
      <c r="J585" s="55"/>
      <c r="K585" s="55"/>
      <c r="L585" s="5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9"/>
      <c r="B586" s="9"/>
      <c r="C586" s="55"/>
      <c r="D586" s="55"/>
      <c r="E586" s="55"/>
      <c r="F586" s="55"/>
      <c r="G586" s="55"/>
      <c r="H586" s="55"/>
      <c r="I586" s="55"/>
      <c r="J586" s="55"/>
      <c r="K586" s="55"/>
      <c r="L586" s="5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9"/>
      <c r="B587" s="9"/>
      <c r="C587" s="55"/>
      <c r="D587" s="55"/>
      <c r="E587" s="55"/>
      <c r="F587" s="55"/>
      <c r="G587" s="55"/>
      <c r="H587" s="55"/>
      <c r="I587" s="55"/>
      <c r="J587" s="55"/>
      <c r="K587" s="55"/>
      <c r="L587" s="5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9"/>
      <c r="B588" s="9"/>
      <c r="C588" s="55"/>
      <c r="D588" s="55"/>
      <c r="E588" s="55"/>
      <c r="F588" s="55"/>
      <c r="G588" s="55"/>
      <c r="H588" s="55"/>
      <c r="I588" s="55"/>
      <c r="J588" s="55"/>
      <c r="K588" s="55"/>
      <c r="L588" s="5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9"/>
      <c r="B589" s="9"/>
      <c r="C589" s="55"/>
      <c r="D589" s="55"/>
      <c r="E589" s="55"/>
      <c r="F589" s="55"/>
      <c r="G589" s="55"/>
      <c r="H589" s="55"/>
      <c r="I589" s="55"/>
      <c r="J589" s="55"/>
      <c r="K589" s="55"/>
      <c r="L589" s="5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9"/>
      <c r="B590" s="9"/>
      <c r="C590" s="55"/>
      <c r="D590" s="55"/>
      <c r="E590" s="55"/>
      <c r="F590" s="55"/>
      <c r="G590" s="55"/>
      <c r="H590" s="55"/>
      <c r="I590" s="55"/>
      <c r="J590" s="55"/>
      <c r="K590" s="55"/>
      <c r="L590" s="5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9"/>
      <c r="B591" s="9"/>
      <c r="C591" s="55"/>
      <c r="D591" s="55"/>
      <c r="E591" s="55"/>
      <c r="F591" s="55"/>
      <c r="G591" s="55"/>
      <c r="H591" s="55"/>
      <c r="I591" s="55"/>
      <c r="J591" s="55"/>
      <c r="K591" s="55"/>
      <c r="L591" s="5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9"/>
      <c r="B592" s="9"/>
      <c r="C592" s="55"/>
      <c r="D592" s="55"/>
      <c r="E592" s="55"/>
      <c r="F592" s="55"/>
      <c r="G592" s="55"/>
      <c r="H592" s="55"/>
      <c r="I592" s="55"/>
      <c r="J592" s="55"/>
      <c r="K592" s="55"/>
      <c r="L592" s="5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9"/>
      <c r="B593" s="9"/>
      <c r="C593" s="55"/>
      <c r="D593" s="55"/>
      <c r="E593" s="55"/>
      <c r="F593" s="55"/>
      <c r="G593" s="55"/>
      <c r="H593" s="55"/>
      <c r="I593" s="55"/>
      <c r="J593" s="55"/>
      <c r="K593" s="55"/>
      <c r="L593" s="5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9"/>
      <c r="B594" s="9"/>
      <c r="C594" s="55"/>
      <c r="D594" s="55"/>
      <c r="E594" s="55"/>
      <c r="F594" s="55"/>
      <c r="G594" s="55"/>
      <c r="H594" s="55"/>
      <c r="I594" s="55"/>
      <c r="J594" s="55"/>
      <c r="K594" s="55"/>
      <c r="L594" s="5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9"/>
      <c r="B595" s="9"/>
      <c r="C595" s="55"/>
      <c r="D595" s="55"/>
      <c r="E595" s="55"/>
      <c r="F595" s="55"/>
      <c r="G595" s="55"/>
      <c r="H595" s="55"/>
      <c r="I595" s="55"/>
      <c r="J595" s="55"/>
      <c r="K595" s="55"/>
      <c r="L595" s="5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9"/>
      <c r="B596" s="9"/>
      <c r="C596" s="55"/>
      <c r="D596" s="55"/>
      <c r="E596" s="55"/>
      <c r="F596" s="55"/>
      <c r="G596" s="55"/>
      <c r="H596" s="55"/>
      <c r="I596" s="55"/>
      <c r="J596" s="55"/>
      <c r="K596" s="55"/>
      <c r="L596" s="5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9"/>
      <c r="B597" s="9"/>
      <c r="C597" s="55"/>
      <c r="D597" s="55"/>
      <c r="E597" s="55"/>
      <c r="F597" s="55"/>
      <c r="G597" s="55"/>
      <c r="H597" s="55"/>
      <c r="I597" s="55"/>
      <c r="J597" s="55"/>
      <c r="K597" s="55"/>
      <c r="L597" s="5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9"/>
      <c r="B598" s="9"/>
      <c r="C598" s="55"/>
      <c r="D598" s="55"/>
      <c r="E598" s="55"/>
      <c r="F598" s="55"/>
      <c r="G598" s="55"/>
      <c r="H598" s="55"/>
      <c r="I598" s="55"/>
      <c r="J598" s="55"/>
      <c r="K598" s="55"/>
      <c r="L598" s="5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9"/>
      <c r="B599" s="9"/>
      <c r="C599" s="55"/>
      <c r="D599" s="55"/>
      <c r="E599" s="55"/>
      <c r="F599" s="55"/>
      <c r="G599" s="55"/>
      <c r="H599" s="55"/>
      <c r="I599" s="55"/>
      <c r="J599" s="55"/>
      <c r="K599" s="55"/>
      <c r="L599" s="5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9"/>
      <c r="B600" s="9"/>
      <c r="C600" s="55"/>
      <c r="D600" s="55"/>
      <c r="E600" s="55"/>
      <c r="F600" s="55"/>
      <c r="G600" s="55"/>
      <c r="H600" s="55"/>
      <c r="I600" s="55"/>
      <c r="J600" s="55"/>
      <c r="K600" s="55"/>
      <c r="L600" s="5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9"/>
      <c r="B601" s="9"/>
      <c r="C601" s="55"/>
      <c r="D601" s="55"/>
      <c r="E601" s="55"/>
      <c r="F601" s="55"/>
      <c r="G601" s="55"/>
      <c r="H601" s="55"/>
      <c r="I601" s="55"/>
      <c r="J601" s="55"/>
      <c r="K601" s="55"/>
      <c r="L601" s="5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9"/>
      <c r="B602" s="9"/>
      <c r="C602" s="55"/>
      <c r="D602" s="55"/>
      <c r="E602" s="55"/>
      <c r="F602" s="55"/>
      <c r="G602" s="55"/>
      <c r="H602" s="55"/>
      <c r="I602" s="55"/>
      <c r="J602" s="55"/>
      <c r="K602" s="55"/>
      <c r="L602" s="5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9"/>
      <c r="B603" s="9"/>
      <c r="C603" s="55"/>
      <c r="D603" s="55"/>
      <c r="E603" s="55"/>
      <c r="F603" s="55"/>
      <c r="G603" s="55"/>
      <c r="H603" s="55"/>
      <c r="I603" s="55"/>
      <c r="J603" s="55"/>
      <c r="K603" s="55"/>
      <c r="L603" s="5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9"/>
      <c r="B604" s="9"/>
      <c r="C604" s="55"/>
      <c r="D604" s="55"/>
      <c r="E604" s="55"/>
      <c r="F604" s="55"/>
      <c r="G604" s="55"/>
      <c r="H604" s="55"/>
      <c r="I604" s="55"/>
      <c r="J604" s="55"/>
      <c r="K604" s="55"/>
      <c r="L604" s="5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9"/>
      <c r="B605" s="9"/>
      <c r="C605" s="55"/>
      <c r="D605" s="55"/>
      <c r="E605" s="55"/>
      <c r="F605" s="55"/>
      <c r="G605" s="55"/>
      <c r="H605" s="55"/>
      <c r="I605" s="55"/>
      <c r="J605" s="55"/>
      <c r="K605" s="55"/>
      <c r="L605" s="5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9"/>
      <c r="B606" s="9"/>
      <c r="C606" s="55"/>
      <c r="D606" s="55"/>
      <c r="E606" s="55"/>
      <c r="F606" s="55"/>
      <c r="G606" s="55"/>
      <c r="H606" s="55"/>
      <c r="I606" s="55"/>
      <c r="J606" s="55"/>
      <c r="K606" s="55"/>
      <c r="L606" s="5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9"/>
      <c r="B607" s="9"/>
      <c r="C607" s="55"/>
      <c r="D607" s="55"/>
      <c r="E607" s="55"/>
      <c r="F607" s="55"/>
      <c r="G607" s="55"/>
      <c r="H607" s="55"/>
      <c r="I607" s="55"/>
      <c r="J607" s="55"/>
      <c r="K607" s="55"/>
      <c r="L607" s="5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9"/>
      <c r="B608" s="9"/>
      <c r="C608" s="55"/>
      <c r="D608" s="55"/>
      <c r="E608" s="55"/>
      <c r="F608" s="55"/>
      <c r="G608" s="55"/>
      <c r="H608" s="55"/>
      <c r="I608" s="55"/>
      <c r="J608" s="55"/>
      <c r="K608" s="55"/>
      <c r="L608" s="5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9"/>
      <c r="B609" s="9"/>
      <c r="C609" s="55"/>
      <c r="D609" s="55"/>
      <c r="E609" s="55"/>
      <c r="F609" s="55"/>
      <c r="G609" s="55"/>
      <c r="H609" s="55"/>
      <c r="I609" s="55"/>
      <c r="J609" s="55"/>
      <c r="K609" s="55"/>
      <c r="L609" s="5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9"/>
      <c r="B610" s="9"/>
      <c r="C610" s="55"/>
      <c r="D610" s="55"/>
      <c r="E610" s="55"/>
      <c r="F610" s="55"/>
      <c r="G610" s="55"/>
      <c r="H610" s="55"/>
      <c r="I610" s="55"/>
      <c r="J610" s="55"/>
      <c r="K610" s="55"/>
      <c r="L610" s="5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9"/>
      <c r="B611" s="9"/>
      <c r="C611" s="55"/>
      <c r="D611" s="55"/>
      <c r="E611" s="55"/>
      <c r="F611" s="55"/>
      <c r="G611" s="55"/>
      <c r="H611" s="55"/>
      <c r="I611" s="55"/>
      <c r="J611" s="55"/>
      <c r="K611" s="55"/>
      <c r="L611" s="5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9"/>
      <c r="B612" s="9"/>
      <c r="C612" s="55"/>
      <c r="D612" s="55"/>
      <c r="E612" s="55"/>
      <c r="F612" s="55"/>
      <c r="G612" s="55"/>
      <c r="H612" s="55"/>
      <c r="I612" s="55"/>
      <c r="J612" s="55"/>
      <c r="K612" s="55"/>
      <c r="L612" s="5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9"/>
      <c r="B613" s="9"/>
      <c r="C613" s="55"/>
      <c r="D613" s="55"/>
      <c r="E613" s="55"/>
      <c r="F613" s="55"/>
      <c r="G613" s="55"/>
      <c r="H613" s="55"/>
      <c r="I613" s="55"/>
      <c r="J613" s="55"/>
      <c r="K613" s="55"/>
      <c r="L613" s="5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9"/>
      <c r="B614" s="9"/>
      <c r="C614" s="55"/>
      <c r="D614" s="55"/>
      <c r="E614" s="55"/>
      <c r="F614" s="55"/>
      <c r="G614" s="55"/>
      <c r="H614" s="55"/>
      <c r="I614" s="55"/>
      <c r="J614" s="55"/>
      <c r="K614" s="55"/>
      <c r="L614" s="5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9"/>
      <c r="B615" s="9"/>
      <c r="C615" s="55"/>
      <c r="D615" s="55"/>
      <c r="E615" s="55"/>
      <c r="F615" s="55"/>
      <c r="G615" s="55"/>
      <c r="H615" s="55"/>
      <c r="I615" s="55"/>
      <c r="J615" s="55"/>
      <c r="K615" s="55"/>
      <c r="L615" s="5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9"/>
      <c r="B616" s="9"/>
      <c r="C616" s="55"/>
      <c r="D616" s="55"/>
      <c r="E616" s="55"/>
      <c r="F616" s="55"/>
      <c r="G616" s="55"/>
      <c r="H616" s="55"/>
      <c r="I616" s="55"/>
      <c r="J616" s="55"/>
      <c r="K616" s="55"/>
      <c r="L616" s="5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9"/>
      <c r="B617" s="9"/>
      <c r="C617" s="55"/>
      <c r="D617" s="55"/>
      <c r="E617" s="55"/>
      <c r="F617" s="55"/>
      <c r="G617" s="55"/>
      <c r="H617" s="55"/>
      <c r="I617" s="55"/>
      <c r="J617" s="55"/>
      <c r="K617" s="55"/>
      <c r="L617" s="5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9"/>
      <c r="B618" s="9"/>
      <c r="C618" s="55"/>
      <c r="D618" s="55"/>
      <c r="E618" s="55"/>
      <c r="F618" s="55"/>
      <c r="G618" s="55"/>
      <c r="H618" s="55"/>
      <c r="I618" s="55"/>
      <c r="J618" s="55"/>
      <c r="K618" s="55"/>
      <c r="L618" s="5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9"/>
      <c r="B619" s="9"/>
      <c r="C619" s="55"/>
      <c r="D619" s="55"/>
      <c r="E619" s="55"/>
      <c r="F619" s="55"/>
      <c r="G619" s="55"/>
      <c r="H619" s="55"/>
      <c r="I619" s="55"/>
      <c r="J619" s="55"/>
      <c r="K619" s="55"/>
      <c r="L619" s="5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9"/>
      <c r="B620" s="9"/>
      <c r="C620" s="55"/>
      <c r="D620" s="55"/>
      <c r="E620" s="55"/>
      <c r="F620" s="55"/>
      <c r="G620" s="55"/>
      <c r="H620" s="55"/>
      <c r="I620" s="55"/>
      <c r="J620" s="55"/>
      <c r="K620" s="55"/>
      <c r="L620" s="5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9"/>
      <c r="B621" s="9"/>
      <c r="C621" s="55"/>
      <c r="D621" s="55"/>
      <c r="E621" s="55"/>
      <c r="F621" s="55"/>
      <c r="G621" s="55"/>
      <c r="H621" s="55"/>
      <c r="I621" s="55"/>
      <c r="J621" s="55"/>
      <c r="K621" s="55"/>
      <c r="L621" s="5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9"/>
      <c r="B622" s="9"/>
      <c r="C622" s="55"/>
      <c r="D622" s="55"/>
      <c r="E622" s="55"/>
      <c r="F622" s="55"/>
      <c r="G622" s="55"/>
      <c r="H622" s="55"/>
      <c r="I622" s="55"/>
      <c r="J622" s="55"/>
      <c r="K622" s="55"/>
      <c r="L622" s="5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9"/>
      <c r="B623" s="9"/>
      <c r="C623" s="55"/>
      <c r="D623" s="55"/>
      <c r="E623" s="55"/>
      <c r="F623" s="55"/>
      <c r="G623" s="55"/>
      <c r="H623" s="55"/>
      <c r="I623" s="55"/>
      <c r="J623" s="55"/>
      <c r="K623" s="55"/>
      <c r="L623" s="5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9"/>
      <c r="B624" s="9"/>
      <c r="C624" s="55"/>
      <c r="D624" s="55"/>
      <c r="E624" s="55"/>
      <c r="F624" s="55"/>
      <c r="G624" s="55"/>
      <c r="H624" s="55"/>
      <c r="I624" s="55"/>
      <c r="J624" s="55"/>
      <c r="K624" s="55"/>
      <c r="L624" s="5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9"/>
      <c r="B625" s="9"/>
      <c r="C625" s="55"/>
      <c r="D625" s="55"/>
      <c r="E625" s="55"/>
      <c r="F625" s="55"/>
      <c r="G625" s="55"/>
      <c r="H625" s="55"/>
      <c r="I625" s="55"/>
      <c r="J625" s="55"/>
      <c r="K625" s="55"/>
      <c r="L625" s="5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9"/>
      <c r="B626" s="9"/>
      <c r="C626" s="55"/>
      <c r="D626" s="55"/>
      <c r="E626" s="55"/>
      <c r="F626" s="55"/>
      <c r="G626" s="55"/>
      <c r="H626" s="55"/>
      <c r="I626" s="55"/>
      <c r="J626" s="55"/>
      <c r="K626" s="55"/>
      <c r="L626" s="5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9"/>
      <c r="B627" s="9"/>
      <c r="C627" s="55"/>
      <c r="D627" s="55"/>
      <c r="E627" s="55"/>
      <c r="F627" s="55"/>
      <c r="G627" s="55"/>
      <c r="H627" s="55"/>
      <c r="I627" s="55"/>
      <c r="J627" s="55"/>
      <c r="K627" s="55"/>
      <c r="L627" s="5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9"/>
      <c r="B628" s="9"/>
      <c r="C628" s="55"/>
      <c r="D628" s="55"/>
      <c r="E628" s="55"/>
      <c r="F628" s="55"/>
      <c r="G628" s="55"/>
      <c r="H628" s="55"/>
      <c r="I628" s="55"/>
      <c r="J628" s="55"/>
      <c r="K628" s="55"/>
      <c r="L628" s="5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9"/>
      <c r="B629" s="9"/>
      <c r="C629" s="55"/>
      <c r="D629" s="55"/>
      <c r="E629" s="55"/>
      <c r="F629" s="55"/>
      <c r="G629" s="55"/>
      <c r="H629" s="55"/>
      <c r="I629" s="55"/>
      <c r="J629" s="55"/>
      <c r="K629" s="55"/>
      <c r="L629" s="5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9"/>
      <c r="B630" s="9"/>
      <c r="C630" s="55"/>
      <c r="D630" s="55"/>
      <c r="E630" s="55"/>
      <c r="F630" s="55"/>
      <c r="G630" s="55"/>
      <c r="H630" s="55"/>
      <c r="I630" s="55"/>
      <c r="J630" s="55"/>
      <c r="K630" s="55"/>
      <c r="L630" s="5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9"/>
      <c r="B631" s="9"/>
      <c r="C631" s="55"/>
      <c r="D631" s="55"/>
      <c r="E631" s="55"/>
      <c r="F631" s="55"/>
      <c r="G631" s="55"/>
      <c r="H631" s="55"/>
      <c r="I631" s="55"/>
      <c r="J631" s="55"/>
      <c r="K631" s="55"/>
      <c r="L631" s="5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9"/>
      <c r="B632" s="9"/>
      <c r="C632" s="55"/>
      <c r="D632" s="55"/>
      <c r="E632" s="55"/>
      <c r="F632" s="55"/>
      <c r="G632" s="55"/>
      <c r="H632" s="55"/>
      <c r="I632" s="55"/>
      <c r="J632" s="55"/>
      <c r="K632" s="55"/>
      <c r="L632" s="5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9"/>
      <c r="B633" s="9"/>
      <c r="C633" s="55"/>
      <c r="D633" s="55"/>
      <c r="E633" s="55"/>
      <c r="F633" s="55"/>
      <c r="G633" s="55"/>
      <c r="H633" s="55"/>
      <c r="I633" s="55"/>
      <c r="J633" s="55"/>
      <c r="K633" s="55"/>
      <c r="L633" s="5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9"/>
      <c r="B634" s="9"/>
      <c r="C634" s="55"/>
      <c r="D634" s="55"/>
      <c r="E634" s="55"/>
      <c r="F634" s="55"/>
      <c r="G634" s="55"/>
      <c r="H634" s="55"/>
      <c r="I634" s="55"/>
      <c r="J634" s="55"/>
      <c r="K634" s="55"/>
      <c r="L634" s="5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9"/>
      <c r="B635" s="9"/>
      <c r="C635" s="55"/>
      <c r="D635" s="55"/>
      <c r="E635" s="55"/>
      <c r="F635" s="55"/>
      <c r="G635" s="55"/>
      <c r="H635" s="55"/>
      <c r="I635" s="55"/>
      <c r="J635" s="55"/>
      <c r="K635" s="55"/>
      <c r="L635" s="5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9"/>
      <c r="B636" s="9"/>
      <c r="C636" s="55"/>
      <c r="D636" s="55"/>
      <c r="E636" s="55"/>
      <c r="F636" s="55"/>
      <c r="G636" s="55"/>
      <c r="H636" s="55"/>
      <c r="I636" s="55"/>
      <c r="J636" s="55"/>
      <c r="K636" s="55"/>
      <c r="L636" s="5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9"/>
      <c r="B637" s="9"/>
      <c r="C637" s="55"/>
      <c r="D637" s="55"/>
      <c r="E637" s="55"/>
      <c r="F637" s="55"/>
      <c r="G637" s="55"/>
      <c r="H637" s="55"/>
      <c r="I637" s="55"/>
      <c r="J637" s="55"/>
      <c r="K637" s="55"/>
      <c r="L637" s="5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9"/>
      <c r="B638" s="9"/>
      <c r="C638" s="55"/>
      <c r="D638" s="55"/>
      <c r="E638" s="55"/>
      <c r="F638" s="55"/>
      <c r="G638" s="55"/>
      <c r="H638" s="55"/>
      <c r="I638" s="55"/>
      <c r="J638" s="55"/>
      <c r="K638" s="55"/>
      <c r="L638" s="5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9"/>
      <c r="B639" s="9"/>
      <c r="C639" s="55"/>
      <c r="D639" s="55"/>
      <c r="E639" s="55"/>
      <c r="F639" s="55"/>
      <c r="G639" s="55"/>
      <c r="H639" s="55"/>
      <c r="I639" s="55"/>
      <c r="J639" s="55"/>
      <c r="K639" s="55"/>
      <c r="L639" s="5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9"/>
      <c r="B640" s="9"/>
      <c r="C640" s="55"/>
      <c r="D640" s="55"/>
      <c r="E640" s="55"/>
      <c r="F640" s="55"/>
      <c r="G640" s="55"/>
      <c r="H640" s="55"/>
      <c r="I640" s="55"/>
      <c r="J640" s="55"/>
      <c r="K640" s="55"/>
      <c r="L640" s="5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9"/>
      <c r="B641" s="9"/>
      <c r="C641" s="55"/>
      <c r="D641" s="55"/>
      <c r="E641" s="55"/>
      <c r="F641" s="55"/>
      <c r="G641" s="55"/>
      <c r="H641" s="55"/>
      <c r="I641" s="55"/>
      <c r="J641" s="55"/>
      <c r="K641" s="55"/>
      <c r="L641" s="5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9"/>
      <c r="B642" s="9"/>
      <c r="C642" s="55"/>
      <c r="D642" s="55"/>
      <c r="E642" s="55"/>
      <c r="F642" s="55"/>
      <c r="G642" s="55"/>
      <c r="H642" s="55"/>
      <c r="I642" s="55"/>
      <c r="J642" s="55"/>
      <c r="K642" s="55"/>
      <c r="L642" s="5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9"/>
      <c r="B643" s="9"/>
      <c r="C643" s="55"/>
      <c r="D643" s="55"/>
      <c r="E643" s="55"/>
      <c r="F643" s="55"/>
      <c r="G643" s="55"/>
      <c r="H643" s="55"/>
      <c r="I643" s="55"/>
      <c r="J643" s="55"/>
      <c r="K643" s="55"/>
      <c r="L643" s="5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9"/>
      <c r="B644" s="9"/>
      <c r="C644" s="55"/>
      <c r="D644" s="55"/>
      <c r="E644" s="55"/>
      <c r="F644" s="55"/>
      <c r="G644" s="55"/>
      <c r="H644" s="55"/>
      <c r="I644" s="55"/>
      <c r="J644" s="55"/>
      <c r="K644" s="55"/>
      <c r="L644" s="5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9"/>
      <c r="B645" s="9"/>
      <c r="C645" s="55"/>
      <c r="D645" s="55"/>
      <c r="E645" s="55"/>
      <c r="F645" s="55"/>
      <c r="G645" s="55"/>
      <c r="H645" s="55"/>
      <c r="I645" s="55"/>
      <c r="J645" s="55"/>
      <c r="K645" s="55"/>
      <c r="L645" s="5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9"/>
      <c r="B646" s="9"/>
      <c r="C646" s="55"/>
      <c r="D646" s="55"/>
      <c r="E646" s="55"/>
      <c r="F646" s="55"/>
      <c r="G646" s="55"/>
      <c r="H646" s="55"/>
      <c r="I646" s="55"/>
      <c r="J646" s="55"/>
      <c r="K646" s="55"/>
      <c r="L646" s="5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9"/>
      <c r="B647" s="9"/>
      <c r="C647" s="55"/>
      <c r="D647" s="55"/>
      <c r="E647" s="55"/>
      <c r="F647" s="55"/>
      <c r="G647" s="55"/>
      <c r="H647" s="55"/>
      <c r="I647" s="55"/>
      <c r="J647" s="55"/>
      <c r="K647" s="55"/>
      <c r="L647" s="5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9"/>
      <c r="B648" s="9"/>
      <c r="C648" s="55"/>
      <c r="D648" s="55"/>
      <c r="E648" s="55"/>
      <c r="F648" s="55"/>
      <c r="G648" s="55"/>
      <c r="H648" s="55"/>
      <c r="I648" s="55"/>
      <c r="J648" s="55"/>
      <c r="K648" s="55"/>
      <c r="L648" s="5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9"/>
      <c r="B649" s="9"/>
      <c r="C649" s="55"/>
      <c r="D649" s="55"/>
      <c r="E649" s="55"/>
      <c r="F649" s="55"/>
      <c r="G649" s="55"/>
      <c r="H649" s="55"/>
      <c r="I649" s="55"/>
      <c r="J649" s="55"/>
      <c r="K649" s="55"/>
      <c r="L649" s="5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9"/>
      <c r="B650" s="9"/>
      <c r="C650" s="55"/>
      <c r="D650" s="55"/>
      <c r="E650" s="55"/>
      <c r="F650" s="55"/>
      <c r="G650" s="55"/>
      <c r="H650" s="55"/>
      <c r="I650" s="55"/>
      <c r="J650" s="55"/>
      <c r="K650" s="55"/>
      <c r="L650" s="5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9"/>
      <c r="B651" s="9"/>
      <c r="C651" s="55"/>
      <c r="D651" s="55"/>
      <c r="E651" s="55"/>
      <c r="F651" s="55"/>
      <c r="G651" s="55"/>
      <c r="H651" s="55"/>
      <c r="I651" s="55"/>
      <c r="J651" s="55"/>
      <c r="K651" s="55"/>
      <c r="L651" s="5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9"/>
      <c r="B652" s="9"/>
      <c r="C652" s="55"/>
      <c r="D652" s="55"/>
      <c r="E652" s="55"/>
      <c r="F652" s="55"/>
      <c r="G652" s="55"/>
      <c r="H652" s="55"/>
      <c r="I652" s="55"/>
      <c r="J652" s="55"/>
      <c r="K652" s="55"/>
      <c r="L652" s="5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9"/>
      <c r="B653" s="9"/>
      <c r="C653" s="55"/>
      <c r="D653" s="55"/>
      <c r="E653" s="55"/>
      <c r="F653" s="55"/>
      <c r="G653" s="55"/>
      <c r="H653" s="55"/>
      <c r="I653" s="55"/>
      <c r="J653" s="55"/>
      <c r="K653" s="55"/>
      <c r="L653" s="5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9"/>
      <c r="B654" s="9"/>
      <c r="C654" s="55"/>
      <c r="D654" s="55"/>
      <c r="E654" s="55"/>
      <c r="F654" s="55"/>
      <c r="G654" s="55"/>
      <c r="H654" s="55"/>
      <c r="I654" s="55"/>
      <c r="J654" s="55"/>
      <c r="K654" s="55"/>
      <c r="L654" s="5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9"/>
      <c r="B655" s="9"/>
      <c r="C655" s="55"/>
      <c r="D655" s="55"/>
      <c r="E655" s="55"/>
      <c r="F655" s="55"/>
      <c r="G655" s="55"/>
      <c r="H655" s="55"/>
      <c r="I655" s="55"/>
      <c r="J655" s="55"/>
      <c r="K655" s="55"/>
      <c r="L655" s="5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9"/>
      <c r="B656" s="9"/>
      <c r="C656" s="55"/>
      <c r="D656" s="55"/>
      <c r="E656" s="55"/>
      <c r="F656" s="55"/>
      <c r="G656" s="55"/>
      <c r="H656" s="55"/>
      <c r="I656" s="55"/>
      <c r="J656" s="55"/>
      <c r="K656" s="55"/>
      <c r="L656" s="5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9"/>
      <c r="B657" s="9"/>
      <c r="C657" s="55"/>
      <c r="D657" s="55"/>
      <c r="E657" s="55"/>
      <c r="F657" s="55"/>
      <c r="G657" s="55"/>
      <c r="H657" s="55"/>
      <c r="I657" s="55"/>
      <c r="J657" s="55"/>
      <c r="K657" s="55"/>
      <c r="L657" s="5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9"/>
      <c r="B658" s="9"/>
      <c r="C658" s="55"/>
      <c r="D658" s="55"/>
      <c r="E658" s="55"/>
      <c r="F658" s="55"/>
      <c r="G658" s="55"/>
      <c r="H658" s="55"/>
      <c r="I658" s="55"/>
      <c r="J658" s="55"/>
      <c r="K658" s="55"/>
      <c r="L658" s="5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9"/>
      <c r="B659" s="9"/>
      <c r="C659" s="55"/>
      <c r="D659" s="55"/>
      <c r="E659" s="55"/>
      <c r="F659" s="55"/>
      <c r="G659" s="55"/>
      <c r="H659" s="55"/>
      <c r="I659" s="55"/>
      <c r="J659" s="55"/>
      <c r="K659" s="55"/>
      <c r="L659" s="5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9"/>
      <c r="B660" s="9"/>
      <c r="C660" s="55"/>
      <c r="D660" s="55"/>
      <c r="E660" s="55"/>
      <c r="F660" s="55"/>
      <c r="G660" s="55"/>
      <c r="H660" s="55"/>
      <c r="I660" s="55"/>
      <c r="J660" s="55"/>
      <c r="K660" s="55"/>
      <c r="L660" s="5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9"/>
      <c r="B661" s="9"/>
      <c r="C661" s="55"/>
      <c r="D661" s="55"/>
      <c r="E661" s="55"/>
      <c r="F661" s="55"/>
      <c r="G661" s="55"/>
      <c r="H661" s="55"/>
      <c r="I661" s="55"/>
      <c r="J661" s="55"/>
      <c r="K661" s="55"/>
      <c r="L661" s="5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9"/>
      <c r="B662" s="9"/>
      <c r="C662" s="55"/>
      <c r="D662" s="55"/>
      <c r="E662" s="55"/>
      <c r="F662" s="55"/>
      <c r="G662" s="55"/>
      <c r="H662" s="55"/>
      <c r="I662" s="55"/>
      <c r="J662" s="55"/>
      <c r="K662" s="55"/>
      <c r="L662" s="5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9"/>
      <c r="B663" s="9"/>
      <c r="C663" s="55"/>
      <c r="D663" s="55"/>
      <c r="E663" s="55"/>
      <c r="F663" s="55"/>
      <c r="G663" s="55"/>
      <c r="H663" s="55"/>
      <c r="I663" s="55"/>
      <c r="J663" s="55"/>
      <c r="K663" s="55"/>
      <c r="L663" s="5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9"/>
      <c r="B664" s="9"/>
      <c r="C664" s="55"/>
      <c r="D664" s="55"/>
      <c r="E664" s="55"/>
      <c r="F664" s="55"/>
      <c r="G664" s="55"/>
      <c r="H664" s="55"/>
      <c r="I664" s="55"/>
      <c r="J664" s="55"/>
      <c r="K664" s="55"/>
      <c r="L664" s="5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9"/>
      <c r="B665" s="9"/>
      <c r="C665" s="55"/>
      <c r="D665" s="55"/>
      <c r="E665" s="55"/>
      <c r="F665" s="55"/>
      <c r="G665" s="55"/>
      <c r="H665" s="55"/>
      <c r="I665" s="55"/>
      <c r="J665" s="55"/>
      <c r="K665" s="55"/>
      <c r="L665" s="5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9"/>
      <c r="B666" s="9"/>
      <c r="C666" s="55"/>
      <c r="D666" s="55"/>
      <c r="E666" s="55"/>
      <c r="F666" s="55"/>
      <c r="G666" s="55"/>
      <c r="H666" s="55"/>
      <c r="I666" s="55"/>
      <c r="J666" s="55"/>
      <c r="K666" s="55"/>
      <c r="L666" s="5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9"/>
      <c r="B667" s="9"/>
      <c r="C667" s="55"/>
      <c r="D667" s="55"/>
      <c r="E667" s="55"/>
      <c r="F667" s="55"/>
      <c r="G667" s="55"/>
      <c r="H667" s="55"/>
      <c r="I667" s="55"/>
      <c r="J667" s="55"/>
      <c r="K667" s="55"/>
      <c r="L667" s="5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9"/>
      <c r="B668" s="9"/>
      <c r="C668" s="55"/>
      <c r="D668" s="55"/>
      <c r="E668" s="55"/>
      <c r="F668" s="55"/>
      <c r="G668" s="55"/>
      <c r="H668" s="55"/>
      <c r="I668" s="55"/>
      <c r="J668" s="55"/>
      <c r="K668" s="55"/>
      <c r="L668" s="5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9"/>
      <c r="B669" s="9"/>
      <c r="C669" s="55"/>
      <c r="D669" s="55"/>
      <c r="E669" s="55"/>
      <c r="F669" s="55"/>
      <c r="G669" s="55"/>
      <c r="H669" s="55"/>
      <c r="I669" s="55"/>
      <c r="J669" s="55"/>
      <c r="K669" s="55"/>
      <c r="L669" s="5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9"/>
      <c r="B670" s="9"/>
      <c r="C670" s="55"/>
      <c r="D670" s="55"/>
      <c r="E670" s="55"/>
      <c r="F670" s="55"/>
      <c r="G670" s="55"/>
      <c r="H670" s="55"/>
      <c r="I670" s="55"/>
      <c r="J670" s="55"/>
      <c r="K670" s="55"/>
      <c r="L670" s="5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9"/>
      <c r="B671" s="9"/>
      <c r="C671" s="55"/>
      <c r="D671" s="55"/>
      <c r="E671" s="55"/>
      <c r="F671" s="55"/>
      <c r="G671" s="55"/>
      <c r="H671" s="55"/>
      <c r="I671" s="55"/>
      <c r="J671" s="55"/>
      <c r="K671" s="55"/>
      <c r="L671" s="5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9"/>
      <c r="B672" s="9"/>
      <c r="C672" s="55"/>
      <c r="D672" s="55"/>
      <c r="E672" s="55"/>
      <c r="F672" s="55"/>
      <c r="G672" s="55"/>
      <c r="H672" s="55"/>
      <c r="I672" s="55"/>
      <c r="J672" s="55"/>
      <c r="K672" s="55"/>
      <c r="L672" s="5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9"/>
      <c r="B673" s="9"/>
      <c r="C673" s="55"/>
      <c r="D673" s="55"/>
      <c r="E673" s="55"/>
      <c r="F673" s="55"/>
      <c r="G673" s="55"/>
      <c r="H673" s="55"/>
      <c r="I673" s="55"/>
      <c r="J673" s="55"/>
      <c r="K673" s="55"/>
      <c r="L673" s="5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9"/>
      <c r="B674" s="9"/>
      <c r="C674" s="55"/>
      <c r="D674" s="55"/>
      <c r="E674" s="55"/>
      <c r="F674" s="55"/>
      <c r="G674" s="55"/>
      <c r="H674" s="55"/>
      <c r="I674" s="55"/>
      <c r="J674" s="55"/>
      <c r="K674" s="55"/>
      <c r="L674" s="5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9"/>
      <c r="B675" s="9"/>
      <c r="C675" s="55"/>
      <c r="D675" s="55"/>
      <c r="E675" s="55"/>
      <c r="F675" s="55"/>
      <c r="G675" s="55"/>
      <c r="H675" s="55"/>
      <c r="I675" s="55"/>
      <c r="J675" s="55"/>
      <c r="K675" s="55"/>
      <c r="L675" s="5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9"/>
      <c r="B676" s="9"/>
      <c r="C676" s="55"/>
      <c r="D676" s="55"/>
      <c r="E676" s="55"/>
      <c r="F676" s="55"/>
      <c r="G676" s="55"/>
      <c r="H676" s="55"/>
      <c r="I676" s="55"/>
      <c r="J676" s="55"/>
      <c r="K676" s="55"/>
      <c r="L676" s="5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9"/>
      <c r="B677" s="9"/>
      <c r="C677" s="55"/>
      <c r="D677" s="55"/>
      <c r="E677" s="55"/>
      <c r="F677" s="55"/>
      <c r="G677" s="55"/>
      <c r="H677" s="55"/>
      <c r="I677" s="55"/>
      <c r="J677" s="55"/>
      <c r="K677" s="55"/>
      <c r="L677" s="5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9"/>
      <c r="B678" s="9"/>
      <c r="C678" s="55"/>
      <c r="D678" s="55"/>
      <c r="E678" s="55"/>
      <c r="F678" s="55"/>
      <c r="G678" s="55"/>
      <c r="H678" s="55"/>
      <c r="I678" s="55"/>
      <c r="J678" s="55"/>
      <c r="K678" s="55"/>
      <c r="L678" s="5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9"/>
      <c r="B679" s="9"/>
      <c r="C679" s="55"/>
      <c r="D679" s="55"/>
      <c r="E679" s="55"/>
      <c r="F679" s="55"/>
      <c r="G679" s="55"/>
      <c r="H679" s="55"/>
      <c r="I679" s="55"/>
      <c r="J679" s="55"/>
      <c r="K679" s="55"/>
      <c r="L679" s="5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9"/>
      <c r="B680" s="9"/>
      <c r="C680" s="55"/>
      <c r="D680" s="55"/>
      <c r="E680" s="55"/>
      <c r="F680" s="55"/>
      <c r="G680" s="55"/>
      <c r="H680" s="55"/>
      <c r="I680" s="55"/>
      <c r="J680" s="55"/>
      <c r="K680" s="55"/>
      <c r="L680" s="5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9"/>
      <c r="B681" s="9"/>
      <c r="C681" s="55"/>
      <c r="D681" s="55"/>
      <c r="E681" s="55"/>
      <c r="F681" s="55"/>
      <c r="G681" s="55"/>
      <c r="H681" s="55"/>
      <c r="I681" s="55"/>
      <c r="J681" s="55"/>
      <c r="K681" s="55"/>
      <c r="L681" s="5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9"/>
      <c r="B682" s="9"/>
      <c r="C682" s="55"/>
      <c r="D682" s="55"/>
      <c r="E682" s="55"/>
      <c r="F682" s="55"/>
      <c r="G682" s="55"/>
      <c r="H682" s="55"/>
      <c r="I682" s="55"/>
      <c r="J682" s="55"/>
      <c r="K682" s="55"/>
      <c r="L682" s="5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9"/>
      <c r="B683" s="9"/>
      <c r="C683" s="55"/>
      <c r="D683" s="55"/>
      <c r="E683" s="55"/>
      <c r="F683" s="55"/>
      <c r="G683" s="55"/>
      <c r="H683" s="55"/>
      <c r="I683" s="55"/>
      <c r="J683" s="55"/>
      <c r="K683" s="55"/>
      <c r="L683" s="5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9"/>
      <c r="B684" s="9"/>
      <c r="C684" s="55"/>
      <c r="D684" s="55"/>
      <c r="E684" s="55"/>
      <c r="F684" s="55"/>
      <c r="G684" s="55"/>
      <c r="H684" s="55"/>
      <c r="I684" s="55"/>
      <c r="J684" s="55"/>
      <c r="K684" s="55"/>
      <c r="L684" s="5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9"/>
      <c r="B685" s="9"/>
      <c r="C685" s="55"/>
      <c r="D685" s="55"/>
      <c r="E685" s="55"/>
      <c r="F685" s="55"/>
      <c r="G685" s="55"/>
      <c r="H685" s="55"/>
      <c r="I685" s="55"/>
      <c r="J685" s="55"/>
      <c r="K685" s="55"/>
      <c r="L685" s="5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9"/>
      <c r="B686" s="9"/>
      <c r="C686" s="55"/>
      <c r="D686" s="55"/>
      <c r="E686" s="55"/>
      <c r="F686" s="55"/>
      <c r="G686" s="55"/>
      <c r="H686" s="55"/>
      <c r="I686" s="55"/>
      <c r="J686" s="55"/>
      <c r="K686" s="55"/>
      <c r="L686" s="5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9"/>
      <c r="B687" s="9"/>
      <c r="C687" s="55"/>
      <c r="D687" s="55"/>
      <c r="E687" s="55"/>
      <c r="F687" s="55"/>
      <c r="G687" s="55"/>
      <c r="H687" s="55"/>
      <c r="I687" s="55"/>
      <c r="J687" s="55"/>
      <c r="K687" s="55"/>
      <c r="L687" s="5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9"/>
      <c r="B688" s="9"/>
      <c r="C688" s="55"/>
      <c r="D688" s="55"/>
      <c r="E688" s="55"/>
      <c r="F688" s="55"/>
      <c r="G688" s="55"/>
      <c r="H688" s="55"/>
      <c r="I688" s="55"/>
      <c r="J688" s="55"/>
      <c r="K688" s="55"/>
      <c r="L688" s="5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9"/>
      <c r="B689" s="9"/>
      <c r="C689" s="55"/>
      <c r="D689" s="55"/>
      <c r="E689" s="55"/>
      <c r="F689" s="55"/>
      <c r="G689" s="55"/>
      <c r="H689" s="55"/>
      <c r="I689" s="55"/>
      <c r="J689" s="55"/>
      <c r="K689" s="55"/>
      <c r="L689" s="5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9"/>
      <c r="B690" s="9"/>
      <c r="C690" s="55"/>
      <c r="D690" s="55"/>
      <c r="E690" s="55"/>
      <c r="F690" s="55"/>
      <c r="G690" s="55"/>
      <c r="H690" s="55"/>
      <c r="I690" s="55"/>
      <c r="J690" s="55"/>
      <c r="K690" s="55"/>
      <c r="L690" s="5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9"/>
      <c r="B691" s="9"/>
      <c r="C691" s="55"/>
      <c r="D691" s="55"/>
      <c r="E691" s="55"/>
      <c r="F691" s="55"/>
      <c r="G691" s="55"/>
      <c r="H691" s="55"/>
      <c r="I691" s="55"/>
      <c r="J691" s="55"/>
      <c r="K691" s="55"/>
      <c r="L691" s="5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9"/>
      <c r="B692" s="9"/>
      <c r="C692" s="55"/>
      <c r="D692" s="55"/>
      <c r="E692" s="55"/>
      <c r="F692" s="55"/>
      <c r="G692" s="55"/>
      <c r="H692" s="55"/>
      <c r="I692" s="55"/>
      <c r="J692" s="55"/>
      <c r="K692" s="55"/>
      <c r="L692" s="5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9"/>
      <c r="B693" s="9"/>
      <c r="C693" s="55"/>
      <c r="D693" s="55"/>
      <c r="E693" s="55"/>
      <c r="F693" s="55"/>
      <c r="G693" s="55"/>
      <c r="H693" s="55"/>
      <c r="I693" s="55"/>
      <c r="J693" s="55"/>
      <c r="K693" s="55"/>
      <c r="L693" s="5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9"/>
      <c r="B694" s="9"/>
      <c r="C694" s="55"/>
      <c r="D694" s="55"/>
      <c r="E694" s="55"/>
      <c r="F694" s="55"/>
      <c r="G694" s="55"/>
      <c r="H694" s="55"/>
      <c r="I694" s="55"/>
      <c r="J694" s="55"/>
      <c r="K694" s="55"/>
      <c r="L694" s="5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9"/>
      <c r="B695" s="9"/>
      <c r="C695" s="55"/>
      <c r="D695" s="55"/>
      <c r="E695" s="55"/>
      <c r="F695" s="55"/>
      <c r="G695" s="55"/>
      <c r="H695" s="55"/>
      <c r="I695" s="55"/>
      <c r="J695" s="55"/>
      <c r="K695" s="55"/>
      <c r="L695" s="5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9"/>
      <c r="B696" s="9"/>
      <c r="C696" s="55"/>
      <c r="D696" s="55"/>
      <c r="E696" s="55"/>
      <c r="F696" s="55"/>
      <c r="G696" s="55"/>
      <c r="H696" s="55"/>
      <c r="I696" s="55"/>
      <c r="J696" s="55"/>
      <c r="K696" s="55"/>
      <c r="L696" s="5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9"/>
      <c r="B697" s="9"/>
      <c r="C697" s="55"/>
      <c r="D697" s="55"/>
      <c r="E697" s="55"/>
      <c r="F697" s="55"/>
      <c r="G697" s="55"/>
      <c r="H697" s="55"/>
      <c r="I697" s="55"/>
      <c r="J697" s="55"/>
      <c r="K697" s="55"/>
      <c r="L697" s="5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9"/>
      <c r="B698" s="9"/>
      <c r="C698" s="55"/>
      <c r="D698" s="55"/>
      <c r="E698" s="55"/>
      <c r="F698" s="55"/>
      <c r="G698" s="55"/>
      <c r="H698" s="55"/>
      <c r="I698" s="55"/>
      <c r="J698" s="55"/>
      <c r="K698" s="55"/>
      <c r="L698" s="5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9"/>
      <c r="B699" s="9"/>
      <c r="C699" s="55"/>
      <c r="D699" s="55"/>
      <c r="E699" s="55"/>
      <c r="F699" s="55"/>
      <c r="G699" s="55"/>
      <c r="H699" s="55"/>
      <c r="I699" s="55"/>
      <c r="J699" s="55"/>
      <c r="K699" s="55"/>
      <c r="L699" s="5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9"/>
      <c r="B700" s="9"/>
      <c r="C700" s="55"/>
      <c r="D700" s="55"/>
      <c r="E700" s="55"/>
      <c r="F700" s="55"/>
      <c r="G700" s="55"/>
      <c r="H700" s="55"/>
      <c r="I700" s="55"/>
      <c r="J700" s="55"/>
      <c r="K700" s="55"/>
      <c r="L700" s="5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9"/>
      <c r="B701" s="9"/>
      <c r="C701" s="55"/>
      <c r="D701" s="55"/>
      <c r="E701" s="55"/>
      <c r="F701" s="55"/>
      <c r="G701" s="55"/>
      <c r="H701" s="55"/>
      <c r="I701" s="55"/>
      <c r="J701" s="55"/>
      <c r="K701" s="55"/>
      <c r="L701" s="5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9"/>
      <c r="B702" s="9"/>
      <c r="C702" s="55"/>
      <c r="D702" s="55"/>
      <c r="E702" s="55"/>
      <c r="F702" s="55"/>
      <c r="G702" s="55"/>
      <c r="H702" s="55"/>
      <c r="I702" s="55"/>
      <c r="J702" s="55"/>
      <c r="K702" s="55"/>
      <c r="L702" s="5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9"/>
      <c r="B703" s="9"/>
      <c r="C703" s="55"/>
      <c r="D703" s="55"/>
      <c r="E703" s="55"/>
      <c r="F703" s="55"/>
      <c r="G703" s="55"/>
      <c r="H703" s="55"/>
      <c r="I703" s="55"/>
      <c r="J703" s="55"/>
      <c r="K703" s="55"/>
      <c r="L703" s="5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9"/>
      <c r="B704" s="9"/>
      <c r="C704" s="55"/>
      <c r="D704" s="55"/>
      <c r="E704" s="55"/>
      <c r="F704" s="55"/>
      <c r="G704" s="55"/>
      <c r="H704" s="55"/>
      <c r="I704" s="55"/>
      <c r="J704" s="55"/>
      <c r="K704" s="55"/>
      <c r="L704" s="5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9"/>
      <c r="B705" s="9"/>
      <c r="C705" s="55"/>
      <c r="D705" s="55"/>
      <c r="E705" s="55"/>
      <c r="F705" s="55"/>
      <c r="G705" s="55"/>
      <c r="H705" s="55"/>
      <c r="I705" s="55"/>
      <c r="J705" s="55"/>
      <c r="K705" s="55"/>
      <c r="L705" s="5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9"/>
      <c r="B706" s="9"/>
      <c r="C706" s="55"/>
      <c r="D706" s="55"/>
      <c r="E706" s="55"/>
      <c r="F706" s="55"/>
      <c r="G706" s="55"/>
      <c r="H706" s="55"/>
      <c r="I706" s="55"/>
      <c r="J706" s="55"/>
      <c r="K706" s="55"/>
      <c r="L706" s="5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9"/>
      <c r="B707" s="9"/>
      <c r="C707" s="55"/>
      <c r="D707" s="55"/>
      <c r="E707" s="55"/>
      <c r="F707" s="55"/>
      <c r="G707" s="55"/>
      <c r="H707" s="55"/>
      <c r="I707" s="55"/>
      <c r="J707" s="55"/>
      <c r="K707" s="55"/>
      <c r="L707" s="5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9"/>
      <c r="B708" s="9"/>
      <c r="C708" s="55"/>
      <c r="D708" s="55"/>
      <c r="E708" s="55"/>
      <c r="F708" s="55"/>
      <c r="G708" s="55"/>
      <c r="H708" s="55"/>
      <c r="I708" s="55"/>
      <c r="J708" s="55"/>
      <c r="K708" s="55"/>
      <c r="L708" s="5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9"/>
      <c r="B709" s="9"/>
      <c r="C709" s="55"/>
      <c r="D709" s="55"/>
      <c r="E709" s="55"/>
      <c r="F709" s="55"/>
      <c r="G709" s="55"/>
      <c r="H709" s="55"/>
      <c r="I709" s="55"/>
      <c r="J709" s="55"/>
      <c r="K709" s="55"/>
      <c r="L709" s="5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9"/>
      <c r="B710" s="9"/>
      <c r="C710" s="55"/>
      <c r="D710" s="55"/>
      <c r="E710" s="55"/>
      <c r="F710" s="55"/>
      <c r="G710" s="55"/>
      <c r="H710" s="55"/>
      <c r="I710" s="55"/>
      <c r="J710" s="55"/>
      <c r="K710" s="55"/>
      <c r="L710" s="5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9"/>
      <c r="B711" s="9"/>
      <c r="C711" s="55"/>
      <c r="D711" s="55"/>
      <c r="E711" s="55"/>
      <c r="F711" s="55"/>
      <c r="G711" s="55"/>
      <c r="H711" s="55"/>
      <c r="I711" s="55"/>
      <c r="J711" s="55"/>
      <c r="K711" s="55"/>
      <c r="L711" s="5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9"/>
      <c r="B712" s="9"/>
      <c r="C712" s="55"/>
      <c r="D712" s="55"/>
      <c r="E712" s="55"/>
      <c r="F712" s="55"/>
      <c r="G712" s="55"/>
      <c r="H712" s="55"/>
      <c r="I712" s="55"/>
      <c r="J712" s="55"/>
      <c r="K712" s="55"/>
      <c r="L712" s="5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9"/>
      <c r="B713" s="9"/>
      <c r="C713" s="55"/>
      <c r="D713" s="55"/>
      <c r="E713" s="55"/>
      <c r="F713" s="55"/>
      <c r="G713" s="55"/>
      <c r="H713" s="55"/>
      <c r="I713" s="55"/>
      <c r="J713" s="55"/>
      <c r="K713" s="55"/>
      <c r="L713" s="5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9"/>
      <c r="B714" s="9"/>
      <c r="C714" s="55"/>
      <c r="D714" s="55"/>
      <c r="E714" s="55"/>
      <c r="F714" s="55"/>
      <c r="G714" s="55"/>
      <c r="H714" s="55"/>
      <c r="I714" s="55"/>
      <c r="J714" s="55"/>
      <c r="K714" s="55"/>
      <c r="L714" s="5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9"/>
      <c r="B715" s="9"/>
      <c r="C715" s="55"/>
      <c r="D715" s="55"/>
      <c r="E715" s="55"/>
      <c r="F715" s="55"/>
      <c r="G715" s="55"/>
      <c r="H715" s="55"/>
      <c r="I715" s="55"/>
      <c r="J715" s="55"/>
      <c r="K715" s="55"/>
      <c r="L715" s="5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9"/>
      <c r="B716" s="9"/>
      <c r="C716" s="55"/>
      <c r="D716" s="55"/>
      <c r="E716" s="55"/>
      <c r="F716" s="55"/>
      <c r="G716" s="55"/>
      <c r="H716" s="55"/>
      <c r="I716" s="55"/>
      <c r="J716" s="55"/>
      <c r="K716" s="55"/>
      <c r="L716" s="5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9"/>
      <c r="B717" s="9"/>
      <c r="C717" s="55"/>
      <c r="D717" s="55"/>
      <c r="E717" s="55"/>
      <c r="F717" s="55"/>
      <c r="G717" s="55"/>
      <c r="H717" s="55"/>
      <c r="I717" s="55"/>
      <c r="J717" s="55"/>
      <c r="K717" s="55"/>
      <c r="L717" s="5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9"/>
      <c r="B718" s="9"/>
      <c r="C718" s="55"/>
      <c r="D718" s="55"/>
      <c r="E718" s="55"/>
      <c r="F718" s="55"/>
      <c r="G718" s="55"/>
      <c r="H718" s="55"/>
      <c r="I718" s="55"/>
      <c r="J718" s="55"/>
      <c r="K718" s="55"/>
      <c r="L718" s="5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9"/>
      <c r="B719" s="9"/>
      <c r="C719" s="55"/>
      <c r="D719" s="55"/>
      <c r="E719" s="55"/>
      <c r="F719" s="55"/>
      <c r="G719" s="55"/>
      <c r="H719" s="55"/>
      <c r="I719" s="55"/>
      <c r="J719" s="55"/>
      <c r="K719" s="55"/>
      <c r="L719" s="5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9"/>
      <c r="B720" s="9"/>
      <c r="C720" s="55"/>
      <c r="D720" s="55"/>
      <c r="E720" s="55"/>
      <c r="F720" s="55"/>
      <c r="G720" s="55"/>
      <c r="H720" s="55"/>
      <c r="I720" s="55"/>
      <c r="J720" s="55"/>
      <c r="K720" s="55"/>
      <c r="L720" s="5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9"/>
      <c r="B721" s="9"/>
      <c r="C721" s="55"/>
      <c r="D721" s="55"/>
      <c r="E721" s="55"/>
      <c r="F721" s="55"/>
      <c r="G721" s="55"/>
      <c r="H721" s="55"/>
      <c r="I721" s="55"/>
      <c r="J721" s="55"/>
      <c r="K721" s="55"/>
      <c r="L721" s="5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9"/>
      <c r="B722" s="9"/>
      <c r="C722" s="55"/>
      <c r="D722" s="55"/>
      <c r="E722" s="55"/>
      <c r="F722" s="55"/>
      <c r="G722" s="55"/>
      <c r="H722" s="55"/>
      <c r="I722" s="55"/>
      <c r="J722" s="55"/>
      <c r="K722" s="55"/>
      <c r="L722" s="5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9"/>
      <c r="B723" s="9"/>
      <c r="C723" s="55"/>
      <c r="D723" s="55"/>
      <c r="E723" s="55"/>
      <c r="F723" s="55"/>
      <c r="G723" s="55"/>
      <c r="H723" s="55"/>
      <c r="I723" s="55"/>
      <c r="J723" s="55"/>
      <c r="K723" s="55"/>
      <c r="L723" s="5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9"/>
      <c r="B724" s="9"/>
      <c r="C724" s="55"/>
      <c r="D724" s="55"/>
      <c r="E724" s="55"/>
      <c r="F724" s="55"/>
      <c r="G724" s="55"/>
      <c r="H724" s="55"/>
      <c r="I724" s="55"/>
      <c r="J724" s="55"/>
      <c r="K724" s="55"/>
      <c r="L724" s="5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9"/>
      <c r="B725" s="9"/>
      <c r="C725" s="55"/>
      <c r="D725" s="55"/>
      <c r="E725" s="55"/>
      <c r="F725" s="55"/>
      <c r="G725" s="55"/>
      <c r="H725" s="55"/>
      <c r="I725" s="55"/>
      <c r="J725" s="55"/>
      <c r="K725" s="55"/>
      <c r="L725" s="5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9"/>
      <c r="B726" s="9"/>
      <c r="C726" s="55"/>
      <c r="D726" s="55"/>
      <c r="E726" s="55"/>
      <c r="F726" s="55"/>
      <c r="G726" s="55"/>
      <c r="H726" s="55"/>
      <c r="I726" s="55"/>
      <c r="J726" s="55"/>
      <c r="K726" s="55"/>
      <c r="L726" s="5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9"/>
      <c r="B727" s="9"/>
      <c r="C727" s="55"/>
      <c r="D727" s="55"/>
      <c r="E727" s="55"/>
      <c r="F727" s="55"/>
      <c r="G727" s="55"/>
      <c r="H727" s="55"/>
      <c r="I727" s="55"/>
      <c r="J727" s="55"/>
      <c r="K727" s="55"/>
      <c r="L727" s="5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9"/>
      <c r="B728" s="9"/>
      <c r="C728" s="55"/>
      <c r="D728" s="55"/>
      <c r="E728" s="55"/>
      <c r="F728" s="55"/>
      <c r="G728" s="55"/>
      <c r="H728" s="55"/>
      <c r="I728" s="55"/>
      <c r="J728" s="55"/>
      <c r="K728" s="55"/>
      <c r="L728" s="5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9"/>
      <c r="B729" s="9"/>
      <c r="C729" s="55"/>
      <c r="D729" s="55"/>
      <c r="E729" s="55"/>
      <c r="F729" s="55"/>
      <c r="G729" s="55"/>
      <c r="H729" s="55"/>
      <c r="I729" s="55"/>
      <c r="J729" s="55"/>
      <c r="K729" s="55"/>
      <c r="L729" s="5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9"/>
      <c r="B730" s="9"/>
      <c r="C730" s="55"/>
      <c r="D730" s="55"/>
      <c r="E730" s="55"/>
      <c r="F730" s="55"/>
      <c r="G730" s="55"/>
      <c r="H730" s="55"/>
      <c r="I730" s="55"/>
      <c r="J730" s="55"/>
      <c r="K730" s="55"/>
      <c r="L730" s="5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9"/>
      <c r="B731" s="9"/>
      <c r="C731" s="55"/>
      <c r="D731" s="55"/>
      <c r="E731" s="55"/>
      <c r="F731" s="55"/>
      <c r="G731" s="55"/>
      <c r="H731" s="55"/>
      <c r="I731" s="55"/>
      <c r="J731" s="55"/>
      <c r="K731" s="55"/>
      <c r="L731" s="5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9"/>
      <c r="B732" s="9"/>
      <c r="C732" s="55"/>
      <c r="D732" s="55"/>
      <c r="E732" s="55"/>
      <c r="F732" s="55"/>
      <c r="G732" s="55"/>
      <c r="H732" s="55"/>
      <c r="I732" s="55"/>
      <c r="J732" s="55"/>
      <c r="K732" s="55"/>
      <c r="L732" s="5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9"/>
      <c r="B733" s="9"/>
      <c r="C733" s="55"/>
      <c r="D733" s="55"/>
      <c r="E733" s="55"/>
      <c r="F733" s="55"/>
      <c r="G733" s="55"/>
      <c r="H733" s="55"/>
      <c r="I733" s="55"/>
      <c r="J733" s="55"/>
      <c r="K733" s="55"/>
      <c r="L733" s="5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9"/>
      <c r="B734" s="9"/>
      <c r="C734" s="55"/>
      <c r="D734" s="55"/>
      <c r="E734" s="55"/>
      <c r="F734" s="55"/>
      <c r="G734" s="55"/>
      <c r="H734" s="55"/>
      <c r="I734" s="55"/>
      <c r="J734" s="55"/>
      <c r="K734" s="55"/>
      <c r="L734" s="5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9"/>
      <c r="B735" s="9"/>
      <c r="C735" s="55"/>
      <c r="D735" s="55"/>
      <c r="E735" s="55"/>
      <c r="F735" s="55"/>
      <c r="G735" s="55"/>
      <c r="H735" s="55"/>
      <c r="I735" s="55"/>
      <c r="J735" s="55"/>
      <c r="K735" s="55"/>
      <c r="L735" s="5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9"/>
      <c r="B736" s="9"/>
      <c r="C736" s="55"/>
      <c r="D736" s="55"/>
      <c r="E736" s="55"/>
      <c r="F736" s="55"/>
      <c r="G736" s="55"/>
      <c r="H736" s="55"/>
      <c r="I736" s="55"/>
      <c r="J736" s="55"/>
      <c r="K736" s="55"/>
      <c r="L736" s="5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9"/>
      <c r="B737" s="9"/>
      <c r="C737" s="55"/>
      <c r="D737" s="55"/>
      <c r="E737" s="55"/>
      <c r="F737" s="55"/>
      <c r="G737" s="55"/>
      <c r="H737" s="55"/>
      <c r="I737" s="55"/>
      <c r="J737" s="55"/>
      <c r="K737" s="55"/>
      <c r="L737" s="5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9"/>
      <c r="B738" s="9"/>
      <c r="C738" s="55"/>
      <c r="D738" s="55"/>
      <c r="E738" s="55"/>
      <c r="F738" s="55"/>
      <c r="G738" s="55"/>
      <c r="H738" s="55"/>
      <c r="I738" s="55"/>
      <c r="J738" s="55"/>
      <c r="K738" s="55"/>
      <c r="L738" s="5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9"/>
      <c r="B739" s="9"/>
      <c r="C739" s="55"/>
      <c r="D739" s="55"/>
      <c r="E739" s="55"/>
      <c r="F739" s="55"/>
      <c r="G739" s="55"/>
      <c r="H739" s="55"/>
      <c r="I739" s="55"/>
      <c r="J739" s="55"/>
      <c r="K739" s="55"/>
      <c r="L739" s="5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9"/>
      <c r="B740" s="9"/>
      <c r="C740" s="55"/>
      <c r="D740" s="55"/>
      <c r="E740" s="55"/>
      <c r="F740" s="55"/>
      <c r="G740" s="55"/>
      <c r="H740" s="55"/>
      <c r="I740" s="55"/>
      <c r="J740" s="55"/>
      <c r="K740" s="55"/>
      <c r="L740" s="5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9"/>
      <c r="B741" s="9"/>
      <c r="C741" s="55"/>
      <c r="D741" s="55"/>
      <c r="E741" s="55"/>
      <c r="F741" s="55"/>
      <c r="G741" s="55"/>
      <c r="H741" s="55"/>
      <c r="I741" s="55"/>
      <c r="J741" s="55"/>
      <c r="K741" s="55"/>
      <c r="L741" s="5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9"/>
      <c r="B742" s="9"/>
      <c r="C742" s="55"/>
      <c r="D742" s="55"/>
      <c r="E742" s="55"/>
      <c r="F742" s="55"/>
      <c r="G742" s="55"/>
      <c r="H742" s="55"/>
      <c r="I742" s="55"/>
      <c r="J742" s="55"/>
      <c r="K742" s="55"/>
      <c r="L742" s="5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9"/>
      <c r="B743" s="9"/>
      <c r="C743" s="55"/>
      <c r="D743" s="55"/>
      <c r="E743" s="55"/>
      <c r="F743" s="55"/>
      <c r="G743" s="55"/>
      <c r="H743" s="55"/>
      <c r="I743" s="55"/>
      <c r="J743" s="55"/>
      <c r="K743" s="55"/>
      <c r="L743" s="5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9"/>
      <c r="B744" s="9"/>
      <c r="C744" s="55"/>
      <c r="D744" s="55"/>
      <c r="E744" s="55"/>
      <c r="F744" s="55"/>
      <c r="G744" s="55"/>
      <c r="H744" s="55"/>
      <c r="I744" s="55"/>
      <c r="J744" s="55"/>
      <c r="K744" s="55"/>
      <c r="L744" s="5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9"/>
      <c r="B745" s="9"/>
      <c r="C745" s="55"/>
      <c r="D745" s="55"/>
      <c r="E745" s="55"/>
      <c r="F745" s="55"/>
      <c r="G745" s="55"/>
      <c r="H745" s="55"/>
      <c r="I745" s="55"/>
      <c r="J745" s="55"/>
      <c r="K745" s="55"/>
      <c r="L745" s="5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9"/>
      <c r="B746" s="9"/>
      <c r="C746" s="55"/>
      <c r="D746" s="55"/>
      <c r="E746" s="55"/>
      <c r="F746" s="55"/>
      <c r="G746" s="55"/>
      <c r="H746" s="55"/>
      <c r="I746" s="55"/>
      <c r="J746" s="55"/>
      <c r="K746" s="55"/>
      <c r="L746" s="5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9"/>
      <c r="B747" s="9"/>
      <c r="C747" s="55"/>
      <c r="D747" s="55"/>
      <c r="E747" s="55"/>
      <c r="F747" s="55"/>
      <c r="G747" s="55"/>
      <c r="H747" s="55"/>
      <c r="I747" s="55"/>
      <c r="J747" s="55"/>
      <c r="K747" s="55"/>
      <c r="L747" s="5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9"/>
      <c r="B748" s="9"/>
      <c r="C748" s="55"/>
      <c r="D748" s="55"/>
      <c r="E748" s="55"/>
      <c r="F748" s="55"/>
      <c r="G748" s="55"/>
      <c r="H748" s="55"/>
      <c r="I748" s="55"/>
      <c r="J748" s="55"/>
      <c r="K748" s="55"/>
      <c r="L748" s="5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9"/>
      <c r="B749" s="9"/>
      <c r="C749" s="55"/>
      <c r="D749" s="55"/>
      <c r="E749" s="55"/>
      <c r="F749" s="55"/>
      <c r="G749" s="55"/>
      <c r="H749" s="55"/>
      <c r="I749" s="55"/>
      <c r="J749" s="55"/>
      <c r="K749" s="55"/>
      <c r="L749" s="5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9"/>
      <c r="B750" s="9"/>
      <c r="C750" s="55"/>
      <c r="D750" s="55"/>
      <c r="E750" s="55"/>
      <c r="F750" s="55"/>
      <c r="G750" s="55"/>
      <c r="H750" s="55"/>
      <c r="I750" s="55"/>
      <c r="J750" s="55"/>
      <c r="K750" s="55"/>
      <c r="L750" s="5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9"/>
      <c r="B751" s="9"/>
      <c r="C751" s="55"/>
      <c r="D751" s="55"/>
      <c r="E751" s="55"/>
      <c r="F751" s="55"/>
      <c r="G751" s="55"/>
      <c r="H751" s="55"/>
      <c r="I751" s="55"/>
      <c r="J751" s="55"/>
      <c r="K751" s="55"/>
      <c r="L751" s="5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9"/>
      <c r="B752" s="9"/>
      <c r="C752" s="55"/>
      <c r="D752" s="55"/>
      <c r="E752" s="55"/>
      <c r="F752" s="55"/>
      <c r="G752" s="55"/>
      <c r="H752" s="55"/>
      <c r="I752" s="55"/>
      <c r="J752" s="55"/>
      <c r="K752" s="55"/>
      <c r="L752" s="5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9"/>
      <c r="B753" s="9"/>
      <c r="C753" s="55"/>
      <c r="D753" s="55"/>
      <c r="E753" s="55"/>
      <c r="F753" s="55"/>
      <c r="G753" s="55"/>
      <c r="H753" s="55"/>
      <c r="I753" s="55"/>
      <c r="J753" s="55"/>
      <c r="K753" s="55"/>
      <c r="L753" s="5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9"/>
      <c r="B754" s="9"/>
      <c r="C754" s="55"/>
      <c r="D754" s="55"/>
      <c r="E754" s="55"/>
      <c r="F754" s="55"/>
      <c r="G754" s="55"/>
      <c r="H754" s="55"/>
      <c r="I754" s="55"/>
      <c r="J754" s="55"/>
      <c r="K754" s="55"/>
      <c r="L754" s="5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9"/>
      <c r="B755" s="9"/>
      <c r="C755" s="55"/>
      <c r="D755" s="55"/>
      <c r="E755" s="55"/>
      <c r="F755" s="55"/>
      <c r="G755" s="55"/>
      <c r="H755" s="55"/>
      <c r="I755" s="55"/>
      <c r="J755" s="55"/>
      <c r="K755" s="55"/>
      <c r="L755" s="5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9"/>
      <c r="B756" s="9"/>
      <c r="C756" s="55"/>
      <c r="D756" s="55"/>
      <c r="E756" s="55"/>
      <c r="F756" s="55"/>
      <c r="G756" s="55"/>
      <c r="H756" s="55"/>
      <c r="I756" s="55"/>
      <c r="J756" s="55"/>
      <c r="K756" s="55"/>
      <c r="L756" s="5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9"/>
      <c r="B757" s="9"/>
      <c r="C757" s="55"/>
      <c r="D757" s="55"/>
      <c r="E757" s="55"/>
      <c r="F757" s="55"/>
      <c r="G757" s="55"/>
      <c r="H757" s="55"/>
      <c r="I757" s="55"/>
      <c r="J757" s="55"/>
      <c r="K757" s="55"/>
      <c r="L757" s="5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9"/>
      <c r="B758" s="9"/>
      <c r="C758" s="55"/>
      <c r="D758" s="55"/>
      <c r="E758" s="55"/>
      <c r="F758" s="55"/>
      <c r="G758" s="55"/>
      <c r="H758" s="55"/>
      <c r="I758" s="55"/>
      <c r="J758" s="55"/>
      <c r="K758" s="55"/>
      <c r="L758" s="5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9"/>
      <c r="B759" s="9"/>
      <c r="C759" s="55"/>
      <c r="D759" s="55"/>
      <c r="E759" s="55"/>
      <c r="F759" s="55"/>
      <c r="G759" s="55"/>
      <c r="H759" s="55"/>
      <c r="I759" s="55"/>
      <c r="J759" s="55"/>
      <c r="K759" s="55"/>
      <c r="L759" s="5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9"/>
      <c r="B760" s="9"/>
      <c r="C760" s="55"/>
      <c r="D760" s="55"/>
      <c r="E760" s="55"/>
      <c r="F760" s="55"/>
      <c r="G760" s="55"/>
      <c r="H760" s="55"/>
      <c r="I760" s="55"/>
      <c r="J760" s="55"/>
      <c r="K760" s="55"/>
      <c r="L760" s="5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9"/>
      <c r="B761" s="9"/>
      <c r="C761" s="55"/>
      <c r="D761" s="55"/>
      <c r="E761" s="55"/>
      <c r="F761" s="55"/>
      <c r="G761" s="55"/>
      <c r="H761" s="55"/>
      <c r="I761" s="55"/>
      <c r="J761" s="55"/>
      <c r="K761" s="55"/>
      <c r="L761" s="5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9"/>
      <c r="B762" s="9"/>
      <c r="C762" s="55"/>
      <c r="D762" s="55"/>
      <c r="E762" s="55"/>
      <c r="F762" s="55"/>
      <c r="G762" s="55"/>
      <c r="H762" s="55"/>
      <c r="I762" s="55"/>
      <c r="J762" s="55"/>
      <c r="K762" s="55"/>
      <c r="L762" s="5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9"/>
      <c r="B763" s="9"/>
      <c r="C763" s="55"/>
      <c r="D763" s="55"/>
      <c r="E763" s="55"/>
      <c r="F763" s="55"/>
      <c r="G763" s="55"/>
      <c r="H763" s="55"/>
      <c r="I763" s="55"/>
      <c r="J763" s="55"/>
      <c r="K763" s="55"/>
      <c r="L763" s="5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9"/>
      <c r="B764" s="9"/>
      <c r="C764" s="55"/>
      <c r="D764" s="55"/>
      <c r="E764" s="55"/>
      <c r="F764" s="55"/>
      <c r="G764" s="55"/>
      <c r="H764" s="55"/>
      <c r="I764" s="55"/>
      <c r="J764" s="55"/>
      <c r="K764" s="55"/>
      <c r="L764" s="5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9"/>
      <c r="B765" s="9"/>
      <c r="C765" s="55"/>
      <c r="D765" s="55"/>
      <c r="E765" s="55"/>
      <c r="F765" s="55"/>
      <c r="G765" s="55"/>
      <c r="H765" s="55"/>
      <c r="I765" s="55"/>
      <c r="J765" s="55"/>
      <c r="K765" s="55"/>
      <c r="L765" s="5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9"/>
      <c r="B766" s="9"/>
      <c r="C766" s="55"/>
      <c r="D766" s="55"/>
      <c r="E766" s="55"/>
      <c r="F766" s="55"/>
      <c r="G766" s="55"/>
      <c r="H766" s="55"/>
      <c r="I766" s="55"/>
      <c r="J766" s="55"/>
      <c r="K766" s="55"/>
      <c r="L766" s="5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9"/>
      <c r="B767" s="9"/>
      <c r="C767" s="55"/>
      <c r="D767" s="55"/>
      <c r="E767" s="55"/>
      <c r="F767" s="55"/>
      <c r="G767" s="55"/>
      <c r="H767" s="55"/>
      <c r="I767" s="55"/>
      <c r="J767" s="55"/>
      <c r="K767" s="55"/>
      <c r="L767" s="5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9"/>
      <c r="B768" s="9"/>
      <c r="C768" s="55"/>
      <c r="D768" s="55"/>
      <c r="E768" s="55"/>
      <c r="F768" s="55"/>
      <c r="G768" s="55"/>
      <c r="H768" s="55"/>
      <c r="I768" s="55"/>
      <c r="J768" s="55"/>
      <c r="K768" s="55"/>
      <c r="L768" s="5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9"/>
      <c r="B769" s="9"/>
      <c r="C769" s="55"/>
      <c r="D769" s="55"/>
      <c r="E769" s="55"/>
      <c r="F769" s="55"/>
      <c r="G769" s="55"/>
      <c r="H769" s="55"/>
      <c r="I769" s="55"/>
      <c r="J769" s="55"/>
      <c r="K769" s="55"/>
      <c r="L769" s="5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9"/>
      <c r="B770" s="9"/>
      <c r="C770" s="55"/>
      <c r="D770" s="55"/>
      <c r="E770" s="55"/>
      <c r="F770" s="55"/>
      <c r="G770" s="55"/>
      <c r="H770" s="55"/>
      <c r="I770" s="55"/>
      <c r="J770" s="55"/>
      <c r="K770" s="55"/>
      <c r="L770" s="5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9"/>
      <c r="B771" s="9"/>
      <c r="C771" s="55"/>
      <c r="D771" s="55"/>
      <c r="E771" s="55"/>
      <c r="F771" s="55"/>
      <c r="G771" s="55"/>
      <c r="H771" s="55"/>
      <c r="I771" s="55"/>
      <c r="J771" s="55"/>
      <c r="K771" s="55"/>
      <c r="L771" s="5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9"/>
      <c r="B772" s="9"/>
      <c r="C772" s="55"/>
      <c r="D772" s="55"/>
      <c r="E772" s="55"/>
      <c r="F772" s="55"/>
      <c r="G772" s="55"/>
      <c r="H772" s="55"/>
      <c r="I772" s="55"/>
      <c r="J772" s="55"/>
      <c r="K772" s="55"/>
      <c r="L772" s="5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9"/>
      <c r="B773" s="9"/>
      <c r="C773" s="55"/>
      <c r="D773" s="55"/>
      <c r="E773" s="55"/>
      <c r="F773" s="55"/>
      <c r="G773" s="55"/>
      <c r="H773" s="55"/>
      <c r="I773" s="55"/>
      <c r="J773" s="55"/>
      <c r="K773" s="55"/>
      <c r="L773" s="5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9"/>
      <c r="B774" s="9"/>
      <c r="C774" s="55"/>
      <c r="D774" s="55"/>
      <c r="E774" s="55"/>
      <c r="F774" s="55"/>
      <c r="G774" s="55"/>
      <c r="H774" s="55"/>
      <c r="I774" s="55"/>
      <c r="J774" s="55"/>
      <c r="K774" s="55"/>
      <c r="L774" s="5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9"/>
      <c r="B775" s="9"/>
      <c r="C775" s="55"/>
      <c r="D775" s="55"/>
      <c r="E775" s="55"/>
      <c r="F775" s="55"/>
      <c r="G775" s="55"/>
      <c r="H775" s="55"/>
      <c r="I775" s="55"/>
      <c r="J775" s="55"/>
      <c r="K775" s="55"/>
      <c r="L775" s="5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9"/>
      <c r="B776" s="9"/>
      <c r="C776" s="55"/>
      <c r="D776" s="55"/>
      <c r="E776" s="55"/>
      <c r="F776" s="55"/>
      <c r="G776" s="55"/>
      <c r="H776" s="55"/>
      <c r="I776" s="55"/>
      <c r="J776" s="55"/>
      <c r="K776" s="55"/>
      <c r="L776" s="5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9"/>
      <c r="B777" s="9"/>
      <c r="C777" s="55"/>
      <c r="D777" s="55"/>
      <c r="E777" s="55"/>
      <c r="F777" s="55"/>
      <c r="G777" s="55"/>
      <c r="H777" s="55"/>
      <c r="I777" s="55"/>
      <c r="J777" s="55"/>
      <c r="K777" s="55"/>
      <c r="L777" s="5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9"/>
      <c r="B778" s="9"/>
      <c r="C778" s="55"/>
      <c r="D778" s="55"/>
      <c r="E778" s="55"/>
      <c r="F778" s="55"/>
      <c r="G778" s="55"/>
      <c r="H778" s="55"/>
      <c r="I778" s="55"/>
      <c r="J778" s="55"/>
      <c r="K778" s="55"/>
      <c r="L778" s="5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9"/>
      <c r="B779" s="9"/>
      <c r="C779" s="55"/>
      <c r="D779" s="55"/>
      <c r="E779" s="55"/>
      <c r="F779" s="55"/>
      <c r="G779" s="55"/>
      <c r="H779" s="55"/>
      <c r="I779" s="55"/>
      <c r="J779" s="55"/>
      <c r="K779" s="55"/>
      <c r="L779" s="5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9"/>
      <c r="B780" s="9"/>
      <c r="C780" s="55"/>
      <c r="D780" s="55"/>
      <c r="E780" s="55"/>
      <c r="F780" s="55"/>
      <c r="G780" s="55"/>
      <c r="H780" s="55"/>
      <c r="I780" s="55"/>
      <c r="J780" s="55"/>
      <c r="K780" s="55"/>
      <c r="L780" s="5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9"/>
      <c r="B781" s="9"/>
      <c r="C781" s="55"/>
      <c r="D781" s="55"/>
      <c r="E781" s="55"/>
      <c r="F781" s="55"/>
      <c r="G781" s="55"/>
      <c r="H781" s="55"/>
      <c r="I781" s="55"/>
      <c r="J781" s="55"/>
      <c r="K781" s="55"/>
      <c r="L781" s="5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9"/>
      <c r="B782" s="9"/>
      <c r="C782" s="55"/>
      <c r="D782" s="55"/>
      <c r="E782" s="55"/>
      <c r="F782" s="55"/>
      <c r="G782" s="55"/>
      <c r="H782" s="55"/>
      <c r="I782" s="55"/>
      <c r="J782" s="55"/>
      <c r="K782" s="55"/>
      <c r="L782" s="5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9"/>
      <c r="B783" s="9"/>
      <c r="C783" s="55"/>
      <c r="D783" s="55"/>
      <c r="E783" s="55"/>
      <c r="F783" s="55"/>
      <c r="G783" s="55"/>
      <c r="H783" s="55"/>
      <c r="I783" s="55"/>
      <c r="J783" s="55"/>
      <c r="K783" s="55"/>
      <c r="L783" s="5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9"/>
      <c r="B784" s="9"/>
      <c r="C784" s="55"/>
      <c r="D784" s="55"/>
      <c r="E784" s="55"/>
      <c r="F784" s="55"/>
      <c r="G784" s="55"/>
      <c r="H784" s="55"/>
      <c r="I784" s="55"/>
      <c r="J784" s="55"/>
      <c r="K784" s="55"/>
      <c r="L784" s="5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9"/>
      <c r="B785" s="9"/>
      <c r="C785" s="55"/>
      <c r="D785" s="55"/>
      <c r="E785" s="55"/>
      <c r="F785" s="55"/>
      <c r="G785" s="55"/>
      <c r="H785" s="55"/>
      <c r="I785" s="55"/>
      <c r="J785" s="55"/>
      <c r="K785" s="55"/>
      <c r="L785" s="5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9"/>
      <c r="B786" s="9"/>
      <c r="C786" s="55"/>
      <c r="D786" s="55"/>
      <c r="E786" s="55"/>
      <c r="F786" s="55"/>
      <c r="G786" s="55"/>
      <c r="H786" s="55"/>
      <c r="I786" s="55"/>
      <c r="J786" s="55"/>
      <c r="K786" s="55"/>
      <c r="L786" s="5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9"/>
      <c r="B787" s="9"/>
      <c r="C787" s="55"/>
      <c r="D787" s="55"/>
      <c r="E787" s="55"/>
      <c r="F787" s="55"/>
      <c r="G787" s="55"/>
      <c r="H787" s="55"/>
      <c r="I787" s="55"/>
      <c r="J787" s="55"/>
      <c r="K787" s="55"/>
      <c r="L787" s="5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9"/>
      <c r="B788" s="9"/>
      <c r="C788" s="55"/>
      <c r="D788" s="55"/>
      <c r="E788" s="55"/>
      <c r="F788" s="55"/>
      <c r="G788" s="55"/>
      <c r="H788" s="55"/>
      <c r="I788" s="55"/>
      <c r="J788" s="55"/>
      <c r="K788" s="55"/>
      <c r="L788" s="5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9"/>
      <c r="B789" s="9"/>
      <c r="C789" s="55"/>
      <c r="D789" s="55"/>
      <c r="E789" s="55"/>
      <c r="F789" s="55"/>
      <c r="G789" s="55"/>
      <c r="H789" s="55"/>
      <c r="I789" s="55"/>
      <c r="J789" s="55"/>
      <c r="K789" s="55"/>
      <c r="L789" s="5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9"/>
      <c r="B790" s="9"/>
      <c r="C790" s="55"/>
      <c r="D790" s="55"/>
      <c r="E790" s="55"/>
      <c r="F790" s="55"/>
      <c r="G790" s="55"/>
      <c r="H790" s="55"/>
      <c r="I790" s="55"/>
      <c r="J790" s="55"/>
      <c r="K790" s="55"/>
      <c r="L790" s="5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9"/>
      <c r="B791" s="9"/>
      <c r="C791" s="55"/>
      <c r="D791" s="55"/>
      <c r="E791" s="55"/>
      <c r="F791" s="55"/>
      <c r="G791" s="55"/>
      <c r="H791" s="55"/>
      <c r="I791" s="55"/>
      <c r="J791" s="55"/>
      <c r="K791" s="55"/>
      <c r="L791" s="5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9"/>
      <c r="B792" s="9"/>
      <c r="C792" s="55"/>
      <c r="D792" s="55"/>
      <c r="E792" s="55"/>
      <c r="F792" s="55"/>
      <c r="G792" s="55"/>
      <c r="H792" s="55"/>
      <c r="I792" s="55"/>
      <c r="J792" s="55"/>
      <c r="K792" s="55"/>
      <c r="L792" s="5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9"/>
      <c r="B793" s="9"/>
      <c r="C793" s="55"/>
      <c r="D793" s="55"/>
      <c r="E793" s="55"/>
      <c r="F793" s="55"/>
      <c r="G793" s="55"/>
      <c r="H793" s="55"/>
      <c r="I793" s="55"/>
      <c r="J793" s="55"/>
      <c r="K793" s="55"/>
      <c r="L793" s="5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9"/>
      <c r="B794" s="9"/>
      <c r="C794" s="55"/>
      <c r="D794" s="55"/>
      <c r="E794" s="55"/>
      <c r="F794" s="55"/>
      <c r="G794" s="55"/>
      <c r="H794" s="55"/>
      <c r="I794" s="55"/>
      <c r="J794" s="55"/>
      <c r="K794" s="55"/>
      <c r="L794" s="5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9"/>
      <c r="B795" s="9"/>
      <c r="C795" s="55"/>
      <c r="D795" s="55"/>
      <c r="E795" s="55"/>
      <c r="F795" s="55"/>
      <c r="G795" s="55"/>
      <c r="H795" s="55"/>
      <c r="I795" s="55"/>
      <c r="J795" s="55"/>
      <c r="K795" s="55"/>
      <c r="L795" s="5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9"/>
      <c r="B796" s="9"/>
      <c r="C796" s="55"/>
      <c r="D796" s="55"/>
      <c r="E796" s="55"/>
      <c r="F796" s="55"/>
      <c r="G796" s="55"/>
      <c r="H796" s="55"/>
      <c r="I796" s="55"/>
      <c r="J796" s="55"/>
      <c r="K796" s="55"/>
      <c r="L796" s="5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9"/>
      <c r="B797" s="9"/>
      <c r="C797" s="55"/>
      <c r="D797" s="55"/>
      <c r="E797" s="55"/>
      <c r="F797" s="55"/>
      <c r="G797" s="55"/>
      <c r="H797" s="55"/>
      <c r="I797" s="55"/>
      <c r="J797" s="55"/>
      <c r="K797" s="55"/>
      <c r="L797" s="5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9"/>
      <c r="B798" s="9"/>
      <c r="C798" s="55"/>
      <c r="D798" s="55"/>
      <c r="E798" s="55"/>
      <c r="F798" s="55"/>
      <c r="G798" s="55"/>
      <c r="H798" s="55"/>
      <c r="I798" s="55"/>
      <c r="J798" s="55"/>
      <c r="K798" s="55"/>
      <c r="L798" s="5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9"/>
      <c r="B799" s="9"/>
      <c r="C799" s="55"/>
      <c r="D799" s="55"/>
      <c r="E799" s="55"/>
      <c r="F799" s="55"/>
      <c r="G799" s="55"/>
      <c r="H799" s="55"/>
      <c r="I799" s="55"/>
      <c r="J799" s="55"/>
      <c r="K799" s="55"/>
      <c r="L799" s="5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9"/>
      <c r="B800" s="9"/>
      <c r="C800" s="55"/>
      <c r="D800" s="55"/>
      <c r="E800" s="55"/>
      <c r="F800" s="55"/>
      <c r="G800" s="55"/>
      <c r="H800" s="55"/>
      <c r="I800" s="55"/>
      <c r="J800" s="55"/>
      <c r="K800" s="55"/>
      <c r="L800" s="5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9"/>
      <c r="B801" s="9"/>
      <c r="C801" s="55"/>
      <c r="D801" s="55"/>
      <c r="E801" s="55"/>
      <c r="F801" s="55"/>
      <c r="G801" s="55"/>
      <c r="H801" s="55"/>
      <c r="I801" s="55"/>
      <c r="J801" s="55"/>
      <c r="K801" s="55"/>
      <c r="L801" s="5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9"/>
      <c r="B802" s="9"/>
      <c r="C802" s="55"/>
      <c r="D802" s="55"/>
      <c r="E802" s="55"/>
      <c r="F802" s="55"/>
      <c r="G802" s="55"/>
      <c r="H802" s="55"/>
      <c r="I802" s="55"/>
      <c r="J802" s="55"/>
      <c r="K802" s="55"/>
      <c r="L802" s="5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9"/>
      <c r="B803" s="9"/>
      <c r="C803" s="55"/>
      <c r="D803" s="55"/>
      <c r="E803" s="55"/>
      <c r="F803" s="55"/>
      <c r="G803" s="55"/>
      <c r="H803" s="55"/>
      <c r="I803" s="55"/>
      <c r="J803" s="55"/>
      <c r="K803" s="55"/>
      <c r="L803" s="5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9"/>
      <c r="B804" s="9"/>
      <c r="C804" s="55"/>
      <c r="D804" s="55"/>
      <c r="E804" s="55"/>
      <c r="F804" s="55"/>
      <c r="G804" s="55"/>
      <c r="H804" s="55"/>
      <c r="I804" s="55"/>
      <c r="J804" s="55"/>
      <c r="K804" s="55"/>
      <c r="L804" s="5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9"/>
      <c r="B805" s="9"/>
      <c r="C805" s="55"/>
      <c r="D805" s="55"/>
      <c r="E805" s="55"/>
      <c r="F805" s="55"/>
      <c r="G805" s="55"/>
      <c r="H805" s="55"/>
      <c r="I805" s="55"/>
      <c r="J805" s="55"/>
      <c r="K805" s="55"/>
      <c r="L805" s="5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9"/>
      <c r="B806" s="9"/>
      <c r="C806" s="55"/>
      <c r="D806" s="55"/>
      <c r="E806" s="55"/>
      <c r="F806" s="55"/>
      <c r="G806" s="55"/>
      <c r="H806" s="55"/>
      <c r="I806" s="55"/>
      <c r="J806" s="55"/>
      <c r="K806" s="55"/>
      <c r="L806" s="5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9"/>
      <c r="B807" s="9"/>
      <c r="C807" s="55"/>
      <c r="D807" s="55"/>
      <c r="E807" s="55"/>
      <c r="F807" s="55"/>
      <c r="G807" s="55"/>
      <c r="H807" s="55"/>
      <c r="I807" s="55"/>
      <c r="J807" s="55"/>
      <c r="K807" s="55"/>
      <c r="L807" s="5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9"/>
      <c r="B808" s="9"/>
      <c r="C808" s="55"/>
      <c r="D808" s="55"/>
      <c r="E808" s="55"/>
      <c r="F808" s="55"/>
      <c r="G808" s="55"/>
      <c r="H808" s="55"/>
      <c r="I808" s="55"/>
      <c r="J808" s="55"/>
      <c r="K808" s="55"/>
      <c r="L808" s="5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9"/>
      <c r="B809" s="9"/>
      <c r="C809" s="55"/>
      <c r="D809" s="55"/>
      <c r="E809" s="55"/>
      <c r="F809" s="55"/>
      <c r="G809" s="55"/>
      <c r="H809" s="55"/>
      <c r="I809" s="55"/>
      <c r="J809" s="55"/>
      <c r="K809" s="55"/>
      <c r="L809" s="5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9"/>
      <c r="B810" s="9"/>
      <c r="C810" s="55"/>
      <c r="D810" s="55"/>
      <c r="E810" s="55"/>
      <c r="F810" s="55"/>
      <c r="G810" s="55"/>
      <c r="H810" s="55"/>
      <c r="I810" s="55"/>
      <c r="J810" s="55"/>
      <c r="K810" s="55"/>
      <c r="L810" s="5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9"/>
      <c r="B811" s="9"/>
      <c r="C811" s="55"/>
      <c r="D811" s="55"/>
      <c r="E811" s="55"/>
      <c r="F811" s="55"/>
      <c r="G811" s="55"/>
      <c r="H811" s="55"/>
      <c r="I811" s="55"/>
      <c r="J811" s="55"/>
      <c r="K811" s="55"/>
      <c r="L811" s="5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9"/>
      <c r="B812" s="9"/>
      <c r="C812" s="55"/>
      <c r="D812" s="55"/>
      <c r="E812" s="55"/>
      <c r="F812" s="55"/>
      <c r="G812" s="55"/>
      <c r="H812" s="55"/>
      <c r="I812" s="55"/>
      <c r="J812" s="55"/>
      <c r="K812" s="55"/>
      <c r="L812" s="5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9"/>
      <c r="B813" s="9"/>
      <c r="C813" s="55"/>
      <c r="D813" s="55"/>
      <c r="E813" s="55"/>
      <c r="F813" s="55"/>
      <c r="G813" s="55"/>
      <c r="H813" s="55"/>
      <c r="I813" s="55"/>
      <c r="J813" s="55"/>
      <c r="K813" s="55"/>
      <c r="L813" s="5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9"/>
      <c r="B814" s="9"/>
      <c r="C814" s="55"/>
      <c r="D814" s="55"/>
      <c r="E814" s="55"/>
      <c r="F814" s="55"/>
      <c r="G814" s="55"/>
      <c r="H814" s="55"/>
      <c r="I814" s="55"/>
      <c r="J814" s="55"/>
      <c r="K814" s="55"/>
      <c r="L814" s="5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9"/>
      <c r="B815" s="9"/>
      <c r="C815" s="55"/>
      <c r="D815" s="55"/>
      <c r="E815" s="55"/>
      <c r="F815" s="55"/>
      <c r="G815" s="55"/>
      <c r="H815" s="55"/>
      <c r="I815" s="55"/>
      <c r="J815" s="55"/>
      <c r="K815" s="55"/>
      <c r="L815" s="5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9"/>
      <c r="B816" s="9"/>
      <c r="C816" s="55"/>
      <c r="D816" s="55"/>
      <c r="E816" s="55"/>
      <c r="F816" s="55"/>
      <c r="G816" s="55"/>
      <c r="H816" s="55"/>
      <c r="I816" s="55"/>
      <c r="J816" s="55"/>
      <c r="K816" s="55"/>
      <c r="L816" s="5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9"/>
      <c r="B817" s="9"/>
      <c r="C817" s="55"/>
      <c r="D817" s="55"/>
      <c r="E817" s="55"/>
      <c r="F817" s="55"/>
      <c r="G817" s="55"/>
      <c r="H817" s="55"/>
      <c r="I817" s="55"/>
      <c r="J817" s="55"/>
      <c r="K817" s="55"/>
      <c r="L817" s="5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9"/>
      <c r="B818" s="9"/>
      <c r="C818" s="55"/>
      <c r="D818" s="55"/>
      <c r="E818" s="55"/>
      <c r="F818" s="55"/>
      <c r="G818" s="55"/>
      <c r="H818" s="55"/>
      <c r="I818" s="55"/>
      <c r="J818" s="55"/>
      <c r="K818" s="55"/>
      <c r="L818" s="5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9"/>
      <c r="B819" s="9"/>
      <c r="C819" s="55"/>
      <c r="D819" s="55"/>
      <c r="E819" s="55"/>
      <c r="F819" s="55"/>
      <c r="G819" s="55"/>
      <c r="H819" s="55"/>
      <c r="I819" s="55"/>
      <c r="J819" s="55"/>
      <c r="K819" s="55"/>
      <c r="L819" s="5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9"/>
      <c r="B820" s="9"/>
      <c r="C820" s="55"/>
      <c r="D820" s="55"/>
      <c r="E820" s="55"/>
      <c r="F820" s="55"/>
      <c r="G820" s="55"/>
      <c r="H820" s="55"/>
      <c r="I820" s="55"/>
      <c r="J820" s="55"/>
      <c r="K820" s="55"/>
      <c r="L820" s="5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9"/>
      <c r="B821" s="9"/>
      <c r="C821" s="55"/>
      <c r="D821" s="55"/>
      <c r="E821" s="55"/>
      <c r="F821" s="55"/>
      <c r="G821" s="55"/>
      <c r="H821" s="55"/>
      <c r="I821" s="55"/>
      <c r="J821" s="55"/>
      <c r="K821" s="55"/>
      <c r="L821" s="5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9"/>
      <c r="B822" s="9"/>
      <c r="C822" s="55"/>
      <c r="D822" s="55"/>
      <c r="E822" s="55"/>
      <c r="F822" s="55"/>
      <c r="G822" s="55"/>
      <c r="H822" s="55"/>
      <c r="I822" s="55"/>
      <c r="J822" s="55"/>
      <c r="K822" s="55"/>
      <c r="L822" s="5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9"/>
      <c r="B823" s="9"/>
      <c r="C823" s="55"/>
      <c r="D823" s="55"/>
      <c r="E823" s="55"/>
      <c r="F823" s="55"/>
      <c r="G823" s="55"/>
      <c r="H823" s="55"/>
      <c r="I823" s="55"/>
      <c r="J823" s="55"/>
      <c r="K823" s="55"/>
      <c r="L823" s="5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9"/>
      <c r="B824" s="9"/>
      <c r="C824" s="55"/>
      <c r="D824" s="55"/>
      <c r="E824" s="55"/>
      <c r="F824" s="55"/>
      <c r="G824" s="55"/>
      <c r="H824" s="55"/>
      <c r="I824" s="55"/>
      <c r="J824" s="55"/>
      <c r="K824" s="55"/>
      <c r="L824" s="5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9"/>
      <c r="B825" s="9"/>
      <c r="C825" s="55"/>
      <c r="D825" s="55"/>
      <c r="E825" s="55"/>
      <c r="F825" s="55"/>
      <c r="G825" s="55"/>
      <c r="H825" s="55"/>
      <c r="I825" s="55"/>
      <c r="J825" s="55"/>
      <c r="K825" s="55"/>
      <c r="L825" s="5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9"/>
      <c r="B826" s="9"/>
      <c r="C826" s="55"/>
      <c r="D826" s="55"/>
      <c r="E826" s="55"/>
      <c r="F826" s="55"/>
      <c r="G826" s="55"/>
      <c r="H826" s="55"/>
      <c r="I826" s="55"/>
      <c r="J826" s="55"/>
      <c r="K826" s="55"/>
      <c r="L826" s="5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9"/>
      <c r="B827" s="9"/>
      <c r="C827" s="55"/>
      <c r="D827" s="55"/>
      <c r="E827" s="55"/>
      <c r="F827" s="55"/>
      <c r="G827" s="55"/>
      <c r="H827" s="55"/>
      <c r="I827" s="55"/>
      <c r="J827" s="55"/>
      <c r="K827" s="55"/>
      <c r="L827" s="5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9"/>
      <c r="B828" s="9"/>
      <c r="C828" s="55"/>
      <c r="D828" s="55"/>
      <c r="E828" s="55"/>
      <c r="F828" s="55"/>
      <c r="G828" s="55"/>
      <c r="H828" s="55"/>
      <c r="I828" s="55"/>
      <c r="J828" s="55"/>
      <c r="K828" s="55"/>
      <c r="L828" s="5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9"/>
      <c r="B829" s="9"/>
      <c r="C829" s="55"/>
      <c r="D829" s="55"/>
      <c r="E829" s="55"/>
      <c r="F829" s="55"/>
      <c r="G829" s="55"/>
      <c r="H829" s="55"/>
      <c r="I829" s="55"/>
      <c r="J829" s="55"/>
      <c r="K829" s="55"/>
      <c r="L829" s="5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9"/>
      <c r="B830" s="9"/>
      <c r="C830" s="55"/>
      <c r="D830" s="55"/>
      <c r="E830" s="55"/>
      <c r="F830" s="55"/>
      <c r="G830" s="55"/>
      <c r="H830" s="55"/>
      <c r="I830" s="55"/>
      <c r="J830" s="55"/>
      <c r="K830" s="55"/>
      <c r="L830" s="5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9"/>
      <c r="B831" s="9"/>
      <c r="C831" s="55"/>
      <c r="D831" s="55"/>
      <c r="E831" s="55"/>
      <c r="F831" s="55"/>
      <c r="G831" s="55"/>
      <c r="H831" s="55"/>
      <c r="I831" s="55"/>
      <c r="J831" s="55"/>
      <c r="K831" s="55"/>
      <c r="L831" s="5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9"/>
      <c r="B832" s="9"/>
      <c r="C832" s="55"/>
      <c r="D832" s="55"/>
      <c r="E832" s="55"/>
      <c r="F832" s="55"/>
      <c r="G832" s="55"/>
      <c r="H832" s="55"/>
      <c r="I832" s="55"/>
      <c r="J832" s="55"/>
      <c r="K832" s="55"/>
      <c r="L832" s="5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9"/>
      <c r="B833" s="9"/>
      <c r="C833" s="55"/>
      <c r="D833" s="55"/>
      <c r="E833" s="55"/>
      <c r="F833" s="55"/>
      <c r="G833" s="55"/>
      <c r="H833" s="55"/>
      <c r="I833" s="55"/>
      <c r="J833" s="55"/>
      <c r="K833" s="55"/>
      <c r="L833" s="5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9"/>
      <c r="B834" s="9"/>
      <c r="C834" s="55"/>
      <c r="D834" s="55"/>
      <c r="E834" s="55"/>
      <c r="F834" s="55"/>
      <c r="G834" s="55"/>
      <c r="H834" s="55"/>
      <c r="I834" s="55"/>
      <c r="J834" s="55"/>
      <c r="K834" s="55"/>
      <c r="L834" s="5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9"/>
      <c r="B835" s="9"/>
      <c r="C835" s="55"/>
      <c r="D835" s="55"/>
      <c r="E835" s="55"/>
      <c r="F835" s="55"/>
      <c r="G835" s="55"/>
      <c r="H835" s="55"/>
      <c r="I835" s="55"/>
      <c r="J835" s="55"/>
      <c r="K835" s="55"/>
      <c r="L835" s="5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9"/>
      <c r="B836" s="9"/>
      <c r="C836" s="55"/>
      <c r="D836" s="55"/>
      <c r="E836" s="55"/>
      <c r="F836" s="55"/>
      <c r="G836" s="55"/>
      <c r="H836" s="55"/>
      <c r="I836" s="55"/>
      <c r="J836" s="55"/>
      <c r="K836" s="55"/>
      <c r="L836" s="5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9"/>
      <c r="B837" s="9"/>
      <c r="C837" s="55"/>
      <c r="D837" s="55"/>
      <c r="E837" s="55"/>
      <c r="F837" s="55"/>
      <c r="G837" s="55"/>
      <c r="H837" s="55"/>
      <c r="I837" s="55"/>
      <c r="J837" s="55"/>
      <c r="K837" s="55"/>
      <c r="L837" s="5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9"/>
      <c r="B838" s="9"/>
      <c r="C838" s="55"/>
      <c r="D838" s="55"/>
      <c r="E838" s="55"/>
      <c r="F838" s="55"/>
      <c r="G838" s="55"/>
      <c r="H838" s="55"/>
      <c r="I838" s="55"/>
      <c r="J838" s="55"/>
      <c r="K838" s="55"/>
      <c r="L838" s="5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9"/>
      <c r="B839" s="9"/>
      <c r="C839" s="55"/>
      <c r="D839" s="55"/>
      <c r="E839" s="55"/>
      <c r="F839" s="55"/>
      <c r="G839" s="55"/>
      <c r="H839" s="55"/>
      <c r="I839" s="55"/>
      <c r="J839" s="55"/>
      <c r="K839" s="55"/>
      <c r="L839" s="5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9"/>
      <c r="B840" s="9"/>
      <c r="C840" s="55"/>
      <c r="D840" s="55"/>
      <c r="E840" s="55"/>
      <c r="F840" s="55"/>
      <c r="G840" s="55"/>
      <c r="H840" s="55"/>
      <c r="I840" s="55"/>
      <c r="J840" s="55"/>
      <c r="K840" s="55"/>
      <c r="L840" s="5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9"/>
      <c r="B841" s="9"/>
      <c r="C841" s="55"/>
      <c r="D841" s="55"/>
      <c r="E841" s="55"/>
      <c r="F841" s="55"/>
      <c r="G841" s="55"/>
      <c r="H841" s="55"/>
      <c r="I841" s="55"/>
      <c r="J841" s="55"/>
      <c r="K841" s="55"/>
      <c r="L841" s="5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9"/>
      <c r="B842" s="9"/>
      <c r="C842" s="55"/>
      <c r="D842" s="55"/>
      <c r="E842" s="55"/>
      <c r="F842" s="55"/>
      <c r="G842" s="55"/>
      <c r="H842" s="55"/>
      <c r="I842" s="55"/>
      <c r="J842" s="55"/>
      <c r="K842" s="55"/>
      <c r="L842" s="5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9"/>
      <c r="B843" s="9"/>
      <c r="C843" s="55"/>
      <c r="D843" s="55"/>
      <c r="E843" s="55"/>
      <c r="F843" s="55"/>
      <c r="G843" s="55"/>
      <c r="H843" s="55"/>
      <c r="I843" s="55"/>
      <c r="J843" s="55"/>
      <c r="K843" s="55"/>
      <c r="L843" s="5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9"/>
      <c r="B844" s="9"/>
      <c r="C844" s="55"/>
      <c r="D844" s="55"/>
      <c r="E844" s="55"/>
      <c r="F844" s="55"/>
      <c r="G844" s="55"/>
      <c r="H844" s="55"/>
      <c r="I844" s="55"/>
      <c r="J844" s="55"/>
      <c r="K844" s="55"/>
      <c r="L844" s="5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9"/>
      <c r="B845" s="9"/>
      <c r="C845" s="55"/>
      <c r="D845" s="55"/>
      <c r="E845" s="55"/>
      <c r="F845" s="55"/>
      <c r="G845" s="55"/>
      <c r="H845" s="55"/>
      <c r="I845" s="55"/>
      <c r="J845" s="55"/>
      <c r="K845" s="55"/>
      <c r="L845" s="5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9"/>
      <c r="B846" s="9"/>
      <c r="C846" s="55"/>
      <c r="D846" s="55"/>
      <c r="E846" s="55"/>
      <c r="F846" s="55"/>
      <c r="G846" s="55"/>
      <c r="H846" s="55"/>
      <c r="I846" s="55"/>
      <c r="J846" s="55"/>
      <c r="K846" s="55"/>
      <c r="L846" s="5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9"/>
      <c r="B847" s="9"/>
      <c r="C847" s="55"/>
      <c r="D847" s="55"/>
      <c r="E847" s="55"/>
      <c r="F847" s="55"/>
      <c r="G847" s="55"/>
      <c r="H847" s="55"/>
      <c r="I847" s="55"/>
      <c r="J847" s="55"/>
      <c r="K847" s="55"/>
      <c r="L847" s="5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9"/>
      <c r="B848" s="9"/>
      <c r="C848" s="55"/>
      <c r="D848" s="55"/>
      <c r="E848" s="55"/>
      <c r="F848" s="55"/>
      <c r="G848" s="55"/>
      <c r="H848" s="55"/>
      <c r="I848" s="55"/>
      <c r="J848" s="55"/>
      <c r="K848" s="55"/>
      <c r="L848" s="5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9"/>
      <c r="B849" s="9"/>
      <c r="C849" s="55"/>
      <c r="D849" s="55"/>
      <c r="E849" s="55"/>
      <c r="F849" s="55"/>
      <c r="G849" s="55"/>
      <c r="H849" s="55"/>
      <c r="I849" s="55"/>
      <c r="J849" s="55"/>
      <c r="K849" s="55"/>
      <c r="L849" s="5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9"/>
      <c r="B850" s="9"/>
      <c r="C850" s="55"/>
      <c r="D850" s="55"/>
      <c r="E850" s="55"/>
      <c r="F850" s="55"/>
      <c r="G850" s="55"/>
      <c r="H850" s="55"/>
      <c r="I850" s="55"/>
      <c r="J850" s="55"/>
      <c r="K850" s="55"/>
      <c r="L850" s="5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9"/>
      <c r="B851" s="9"/>
      <c r="C851" s="55"/>
      <c r="D851" s="55"/>
      <c r="E851" s="55"/>
      <c r="F851" s="55"/>
      <c r="G851" s="55"/>
      <c r="H851" s="55"/>
      <c r="I851" s="55"/>
      <c r="J851" s="55"/>
      <c r="K851" s="55"/>
      <c r="L851" s="5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9"/>
      <c r="B852" s="9"/>
      <c r="C852" s="55"/>
      <c r="D852" s="55"/>
      <c r="E852" s="55"/>
      <c r="F852" s="55"/>
      <c r="G852" s="55"/>
      <c r="H852" s="55"/>
      <c r="I852" s="55"/>
      <c r="J852" s="55"/>
      <c r="K852" s="55"/>
      <c r="L852" s="5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9"/>
      <c r="B853" s="9"/>
      <c r="C853" s="55"/>
      <c r="D853" s="55"/>
      <c r="E853" s="55"/>
      <c r="F853" s="55"/>
      <c r="G853" s="55"/>
      <c r="H853" s="55"/>
      <c r="I853" s="55"/>
      <c r="J853" s="55"/>
      <c r="K853" s="55"/>
      <c r="L853" s="5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9"/>
      <c r="B854" s="9"/>
      <c r="C854" s="55"/>
      <c r="D854" s="55"/>
      <c r="E854" s="55"/>
      <c r="F854" s="55"/>
      <c r="G854" s="55"/>
      <c r="H854" s="55"/>
      <c r="I854" s="55"/>
      <c r="J854" s="55"/>
      <c r="K854" s="55"/>
      <c r="L854" s="5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9"/>
      <c r="B855" s="9"/>
      <c r="C855" s="55"/>
      <c r="D855" s="55"/>
      <c r="E855" s="55"/>
      <c r="F855" s="55"/>
      <c r="G855" s="55"/>
      <c r="H855" s="55"/>
      <c r="I855" s="55"/>
      <c r="J855" s="55"/>
      <c r="K855" s="55"/>
      <c r="L855" s="5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9"/>
      <c r="B856" s="9"/>
      <c r="C856" s="55"/>
      <c r="D856" s="55"/>
      <c r="E856" s="55"/>
      <c r="F856" s="55"/>
      <c r="G856" s="55"/>
      <c r="H856" s="55"/>
      <c r="I856" s="55"/>
      <c r="J856" s="55"/>
      <c r="K856" s="55"/>
      <c r="L856" s="5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9"/>
      <c r="B857" s="9"/>
      <c r="C857" s="55"/>
      <c r="D857" s="55"/>
      <c r="E857" s="55"/>
      <c r="F857" s="55"/>
      <c r="G857" s="55"/>
      <c r="H857" s="55"/>
      <c r="I857" s="55"/>
      <c r="J857" s="55"/>
      <c r="K857" s="55"/>
      <c r="L857" s="5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9"/>
      <c r="B858" s="9"/>
      <c r="C858" s="55"/>
      <c r="D858" s="55"/>
      <c r="E858" s="55"/>
      <c r="F858" s="55"/>
      <c r="G858" s="55"/>
      <c r="H858" s="55"/>
      <c r="I858" s="55"/>
      <c r="J858" s="55"/>
      <c r="K858" s="55"/>
      <c r="L858" s="5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9"/>
      <c r="B859" s="9"/>
      <c r="C859" s="55"/>
      <c r="D859" s="55"/>
      <c r="E859" s="55"/>
      <c r="F859" s="55"/>
      <c r="G859" s="55"/>
      <c r="H859" s="55"/>
      <c r="I859" s="55"/>
      <c r="J859" s="55"/>
      <c r="K859" s="55"/>
      <c r="L859" s="5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9"/>
      <c r="B860" s="9"/>
      <c r="C860" s="55"/>
      <c r="D860" s="55"/>
      <c r="E860" s="55"/>
      <c r="F860" s="55"/>
      <c r="G860" s="55"/>
      <c r="H860" s="55"/>
      <c r="I860" s="55"/>
      <c r="J860" s="55"/>
      <c r="K860" s="55"/>
      <c r="L860" s="5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9"/>
      <c r="B861" s="9"/>
      <c r="C861" s="55"/>
      <c r="D861" s="55"/>
      <c r="E861" s="55"/>
      <c r="F861" s="55"/>
      <c r="G861" s="55"/>
      <c r="H861" s="55"/>
      <c r="I861" s="55"/>
      <c r="J861" s="55"/>
      <c r="K861" s="55"/>
      <c r="L861" s="5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9"/>
      <c r="B862" s="9"/>
      <c r="C862" s="55"/>
      <c r="D862" s="55"/>
      <c r="E862" s="55"/>
      <c r="F862" s="55"/>
      <c r="G862" s="55"/>
      <c r="H862" s="55"/>
      <c r="I862" s="55"/>
      <c r="J862" s="55"/>
      <c r="K862" s="55"/>
      <c r="L862" s="5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9"/>
      <c r="B863" s="9"/>
      <c r="C863" s="55"/>
      <c r="D863" s="55"/>
      <c r="E863" s="55"/>
      <c r="F863" s="55"/>
      <c r="G863" s="55"/>
      <c r="H863" s="55"/>
      <c r="I863" s="55"/>
      <c r="J863" s="55"/>
      <c r="K863" s="55"/>
      <c r="L863" s="5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9"/>
      <c r="B864" s="9"/>
      <c r="C864" s="55"/>
      <c r="D864" s="55"/>
      <c r="E864" s="55"/>
      <c r="F864" s="55"/>
      <c r="G864" s="55"/>
      <c r="H864" s="55"/>
      <c r="I864" s="55"/>
      <c r="J864" s="55"/>
      <c r="K864" s="55"/>
      <c r="L864" s="5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9"/>
      <c r="B865" s="9"/>
      <c r="C865" s="55"/>
      <c r="D865" s="55"/>
      <c r="E865" s="55"/>
      <c r="F865" s="55"/>
      <c r="G865" s="55"/>
      <c r="H865" s="55"/>
      <c r="I865" s="55"/>
      <c r="J865" s="55"/>
      <c r="K865" s="55"/>
      <c r="L865" s="5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9"/>
      <c r="B866" s="9"/>
      <c r="C866" s="55"/>
      <c r="D866" s="55"/>
      <c r="E866" s="55"/>
      <c r="F866" s="55"/>
      <c r="G866" s="55"/>
      <c r="H866" s="55"/>
      <c r="I866" s="55"/>
      <c r="J866" s="55"/>
      <c r="K866" s="55"/>
      <c r="L866" s="5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9"/>
      <c r="B867" s="9"/>
      <c r="C867" s="55"/>
      <c r="D867" s="55"/>
      <c r="E867" s="55"/>
      <c r="F867" s="55"/>
      <c r="G867" s="55"/>
      <c r="H867" s="55"/>
      <c r="I867" s="55"/>
      <c r="J867" s="55"/>
      <c r="K867" s="55"/>
      <c r="L867" s="5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9"/>
      <c r="B868" s="9"/>
      <c r="C868" s="55"/>
      <c r="D868" s="55"/>
      <c r="E868" s="55"/>
      <c r="F868" s="55"/>
      <c r="G868" s="55"/>
      <c r="H868" s="55"/>
      <c r="I868" s="55"/>
      <c r="J868" s="55"/>
      <c r="K868" s="55"/>
      <c r="L868" s="5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9"/>
      <c r="B869" s="9"/>
      <c r="C869" s="55"/>
      <c r="D869" s="55"/>
      <c r="E869" s="55"/>
      <c r="F869" s="55"/>
      <c r="G869" s="55"/>
      <c r="H869" s="55"/>
      <c r="I869" s="55"/>
      <c r="J869" s="55"/>
      <c r="K869" s="55"/>
      <c r="L869" s="5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9"/>
      <c r="B870" s="9"/>
      <c r="C870" s="55"/>
      <c r="D870" s="55"/>
      <c r="E870" s="55"/>
      <c r="F870" s="55"/>
      <c r="G870" s="55"/>
      <c r="H870" s="55"/>
      <c r="I870" s="55"/>
      <c r="J870" s="55"/>
      <c r="K870" s="55"/>
      <c r="L870" s="5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9"/>
      <c r="B871" s="9"/>
      <c r="C871" s="55"/>
      <c r="D871" s="55"/>
      <c r="E871" s="55"/>
      <c r="F871" s="55"/>
      <c r="G871" s="55"/>
      <c r="H871" s="55"/>
      <c r="I871" s="55"/>
      <c r="J871" s="55"/>
      <c r="K871" s="55"/>
      <c r="L871" s="5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9"/>
      <c r="B872" s="9"/>
      <c r="C872" s="55"/>
      <c r="D872" s="55"/>
      <c r="E872" s="55"/>
      <c r="F872" s="55"/>
      <c r="G872" s="55"/>
      <c r="H872" s="55"/>
      <c r="I872" s="55"/>
      <c r="J872" s="55"/>
      <c r="K872" s="55"/>
      <c r="L872" s="5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9"/>
      <c r="B873" s="9"/>
      <c r="C873" s="55"/>
      <c r="D873" s="55"/>
      <c r="E873" s="55"/>
      <c r="F873" s="55"/>
      <c r="G873" s="55"/>
      <c r="H873" s="55"/>
      <c r="I873" s="55"/>
      <c r="J873" s="55"/>
      <c r="K873" s="55"/>
      <c r="L873" s="5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9"/>
      <c r="B874" s="9"/>
      <c r="C874" s="55"/>
      <c r="D874" s="55"/>
      <c r="E874" s="55"/>
      <c r="F874" s="55"/>
      <c r="G874" s="55"/>
      <c r="H874" s="55"/>
      <c r="I874" s="55"/>
      <c r="J874" s="55"/>
      <c r="K874" s="55"/>
      <c r="L874" s="5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9"/>
      <c r="B875" s="9"/>
      <c r="C875" s="55"/>
      <c r="D875" s="55"/>
      <c r="E875" s="55"/>
      <c r="F875" s="55"/>
      <c r="G875" s="55"/>
      <c r="H875" s="55"/>
      <c r="I875" s="55"/>
      <c r="J875" s="55"/>
      <c r="K875" s="55"/>
      <c r="L875" s="5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9"/>
      <c r="B876" s="9"/>
      <c r="C876" s="55"/>
      <c r="D876" s="55"/>
      <c r="E876" s="55"/>
      <c r="F876" s="55"/>
      <c r="G876" s="55"/>
      <c r="H876" s="55"/>
      <c r="I876" s="55"/>
      <c r="J876" s="55"/>
      <c r="K876" s="55"/>
      <c r="L876" s="5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9"/>
      <c r="B877" s="9"/>
      <c r="C877" s="55"/>
      <c r="D877" s="55"/>
      <c r="E877" s="55"/>
      <c r="F877" s="55"/>
      <c r="G877" s="55"/>
      <c r="H877" s="55"/>
      <c r="I877" s="55"/>
      <c r="J877" s="55"/>
      <c r="K877" s="55"/>
      <c r="L877" s="5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9"/>
      <c r="B878" s="9"/>
      <c r="C878" s="55"/>
      <c r="D878" s="55"/>
      <c r="E878" s="55"/>
      <c r="F878" s="55"/>
      <c r="G878" s="55"/>
      <c r="H878" s="55"/>
      <c r="I878" s="55"/>
      <c r="J878" s="55"/>
      <c r="K878" s="55"/>
      <c r="L878" s="5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9"/>
      <c r="B879" s="9"/>
      <c r="C879" s="55"/>
      <c r="D879" s="55"/>
      <c r="E879" s="55"/>
      <c r="F879" s="55"/>
      <c r="G879" s="55"/>
      <c r="H879" s="55"/>
      <c r="I879" s="55"/>
      <c r="J879" s="55"/>
      <c r="K879" s="55"/>
      <c r="L879" s="5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9"/>
      <c r="B880" s="9"/>
      <c r="C880" s="55"/>
      <c r="D880" s="55"/>
      <c r="E880" s="55"/>
      <c r="F880" s="55"/>
      <c r="G880" s="55"/>
      <c r="H880" s="55"/>
      <c r="I880" s="55"/>
      <c r="J880" s="55"/>
      <c r="K880" s="55"/>
      <c r="L880" s="5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9"/>
      <c r="B881" s="9"/>
      <c r="C881" s="55"/>
      <c r="D881" s="55"/>
      <c r="E881" s="55"/>
      <c r="F881" s="55"/>
      <c r="G881" s="55"/>
      <c r="H881" s="55"/>
      <c r="I881" s="55"/>
      <c r="J881" s="55"/>
      <c r="K881" s="55"/>
      <c r="L881" s="5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9"/>
      <c r="B882" s="9"/>
      <c r="C882" s="55"/>
      <c r="D882" s="55"/>
      <c r="E882" s="55"/>
      <c r="F882" s="55"/>
      <c r="G882" s="55"/>
      <c r="H882" s="55"/>
      <c r="I882" s="55"/>
      <c r="J882" s="55"/>
      <c r="K882" s="55"/>
      <c r="L882" s="5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9"/>
      <c r="B883" s="9"/>
      <c r="C883" s="55"/>
      <c r="D883" s="55"/>
      <c r="E883" s="55"/>
      <c r="F883" s="55"/>
      <c r="G883" s="55"/>
      <c r="H883" s="55"/>
      <c r="I883" s="55"/>
      <c r="J883" s="55"/>
      <c r="K883" s="55"/>
      <c r="L883" s="5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9"/>
      <c r="B884" s="9"/>
      <c r="C884" s="55"/>
      <c r="D884" s="55"/>
      <c r="E884" s="55"/>
      <c r="F884" s="55"/>
      <c r="G884" s="55"/>
      <c r="H884" s="55"/>
      <c r="I884" s="55"/>
      <c r="J884" s="55"/>
      <c r="K884" s="55"/>
      <c r="L884" s="5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9"/>
      <c r="B885" s="9"/>
      <c r="C885" s="55"/>
      <c r="D885" s="55"/>
      <c r="E885" s="55"/>
      <c r="F885" s="55"/>
      <c r="G885" s="55"/>
      <c r="H885" s="55"/>
      <c r="I885" s="55"/>
      <c r="J885" s="55"/>
      <c r="K885" s="55"/>
      <c r="L885" s="5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9"/>
      <c r="B886" s="9"/>
      <c r="C886" s="55"/>
      <c r="D886" s="55"/>
      <c r="E886" s="55"/>
      <c r="F886" s="55"/>
      <c r="G886" s="55"/>
      <c r="H886" s="55"/>
      <c r="I886" s="55"/>
      <c r="J886" s="55"/>
      <c r="K886" s="55"/>
      <c r="L886" s="5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9"/>
      <c r="B887" s="9"/>
      <c r="C887" s="55"/>
      <c r="D887" s="55"/>
      <c r="E887" s="55"/>
      <c r="F887" s="55"/>
      <c r="G887" s="55"/>
      <c r="H887" s="55"/>
      <c r="I887" s="55"/>
      <c r="J887" s="55"/>
      <c r="K887" s="55"/>
      <c r="L887" s="5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9"/>
      <c r="B888" s="9"/>
      <c r="C888" s="55"/>
      <c r="D888" s="55"/>
      <c r="E888" s="55"/>
      <c r="F888" s="55"/>
      <c r="G888" s="55"/>
      <c r="H888" s="55"/>
      <c r="I888" s="55"/>
      <c r="J888" s="55"/>
      <c r="K888" s="55"/>
      <c r="L888" s="5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9"/>
      <c r="B889" s="9"/>
      <c r="C889" s="55"/>
      <c r="D889" s="55"/>
      <c r="E889" s="55"/>
      <c r="F889" s="55"/>
      <c r="G889" s="55"/>
      <c r="H889" s="55"/>
      <c r="I889" s="55"/>
      <c r="J889" s="55"/>
      <c r="K889" s="55"/>
      <c r="L889" s="5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9"/>
      <c r="B890" s="9"/>
      <c r="C890" s="55"/>
      <c r="D890" s="55"/>
      <c r="E890" s="55"/>
      <c r="F890" s="55"/>
      <c r="G890" s="55"/>
      <c r="H890" s="55"/>
      <c r="I890" s="55"/>
      <c r="J890" s="55"/>
      <c r="K890" s="55"/>
      <c r="L890" s="5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9"/>
      <c r="B891" s="9"/>
      <c r="C891" s="55"/>
      <c r="D891" s="55"/>
      <c r="E891" s="55"/>
      <c r="F891" s="55"/>
      <c r="G891" s="55"/>
      <c r="H891" s="55"/>
      <c r="I891" s="55"/>
      <c r="J891" s="55"/>
      <c r="K891" s="55"/>
      <c r="L891" s="5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9"/>
      <c r="B892" s="9"/>
      <c r="C892" s="55"/>
      <c r="D892" s="55"/>
      <c r="E892" s="55"/>
      <c r="F892" s="55"/>
      <c r="G892" s="55"/>
      <c r="H892" s="55"/>
      <c r="I892" s="55"/>
      <c r="J892" s="55"/>
      <c r="K892" s="55"/>
      <c r="L892" s="5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9"/>
      <c r="B893" s="9"/>
      <c r="C893" s="55"/>
      <c r="D893" s="55"/>
      <c r="E893" s="55"/>
      <c r="F893" s="55"/>
      <c r="G893" s="55"/>
      <c r="H893" s="55"/>
      <c r="I893" s="55"/>
      <c r="J893" s="55"/>
      <c r="K893" s="55"/>
      <c r="L893" s="5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9"/>
      <c r="B894" s="9"/>
      <c r="C894" s="55"/>
      <c r="D894" s="55"/>
      <c r="E894" s="55"/>
      <c r="F894" s="55"/>
      <c r="G894" s="55"/>
      <c r="H894" s="55"/>
      <c r="I894" s="55"/>
      <c r="J894" s="55"/>
      <c r="K894" s="55"/>
      <c r="L894" s="5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9"/>
      <c r="B895" s="9"/>
      <c r="C895" s="55"/>
      <c r="D895" s="55"/>
      <c r="E895" s="55"/>
      <c r="F895" s="55"/>
      <c r="G895" s="55"/>
      <c r="H895" s="55"/>
      <c r="I895" s="55"/>
      <c r="J895" s="55"/>
      <c r="K895" s="55"/>
      <c r="L895" s="5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9"/>
      <c r="B896" s="9"/>
      <c r="C896" s="55"/>
      <c r="D896" s="55"/>
      <c r="E896" s="55"/>
      <c r="F896" s="55"/>
      <c r="G896" s="55"/>
      <c r="H896" s="55"/>
      <c r="I896" s="55"/>
      <c r="J896" s="55"/>
      <c r="K896" s="55"/>
      <c r="L896" s="5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9"/>
      <c r="B897" s="9"/>
      <c r="C897" s="55"/>
      <c r="D897" s="55"/>
      <c r="E897" s="55"/>
      <c r="F897" s="55"/>
      <c r="G897" s="55"/>
      <c r="H897" s="55"/>
      <c r="I897" s="55"/>
      <c r="J897" s="55"/>
      <c r="K897" s="55"/>
      <c r="L897" s="5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9"/>
      <c r="B898" s="9"/>
      <c r="C898" s="55"/>
      <c r="D898" s="55"/>
      <c r="E898" s="55"/>
      <c r="F898" s="55"/>
      <c r="G898" s="55"/>
      <c r="H898" s="55"/>
      <c r="I898" s="55"/>
      <c r="J898" s="55"/>
      <c r="K898" s="55"/>
      <c r="L898" s="5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9"/>
      <c r="B899" s="9"/>
      <c r="C899" s="55"/>
      <c r="D899" s="55"/>
      <c r="E899" s="55"/>
      <c r="F899" s="55"/>
      <c r="G899" s="55"/>
      <c r="H899" s="55"/>
      <c r="I899" s="55"/>
      <c r="J899" s="55"/>
      <c r="K899" s="55"/>
      <c r="L899" s="5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9"/>
      <c r="B900" s="9"/>
      <c r="C900" s="55"/>
      <c r="D900" s="55"/>
      <c r="E900" s="55"/>
      <c r="F900" s="55"/>
      <c r="G900" s="55"/>
      <c r="H900" s="55"/>
      <c r="I900" s="55"/>
      <c r="J900" s="55"/>
      <c r="K900" s="55"/>
      <c r="L900" s="5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9"/>
      <c r="B901" s="9"/>
      <c r="C901" s="55"/>
      <c r="D901" s="55"/>
      <c r="E901" s="55"/>
      <c r="F901" s="55"/>
      <c r="G901" s="55"/>
      <c r="H901" s="55"/>
      <c r="I901" s="55"/>
      <c r="J901" s="55"/>
      <c r="K901" s="55"/>
      <c r="L901" s="5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9"/>
      <c r="B902" s="9"/>
      <c r="C902" s="55"/>
      <c r="D902" s="55"/>
      <c r="E902" s="55"/>
      <c r="F902" s="55"/>
      <c r="G902" s="55"/>
      <c r="H902" s="55"/>
      <c r="I902" s="55"/>
      <c r="J902" s="55"/>
      <c r="K902" s="55"/>
      <c r="L902" s="5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9"/>
      <c r="B903" s="9"/>
      <c r="C903" s="55"/>
      <c r="D903" s="55"/>
      <c r="E903" s="55"/>
      <c r="F903" s="55"/>
      <c r="G903" s="55"/>
      <c r="H903" s="55"/>
      <c r="I903" s="55"/>
      <c r="J903" s="55"/>
      <c r="K903" s="55"/>
      <c r="L903" s="5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9"/>
      <c r="B904" s="9"/>
      <c r="C904" s="55"/>
      <c r="D904" s="55"/>
      <c r="E904" s="55"/>
      <c r="F904" s="55"/>
      <c r="G904" s="55"/>
      <c r="H904" s="55"/>
      <c r="I904" s="55"/>
      <c r="J904" s="55"/>
      <c r="K904" s="55"/>
      <c r="L904" s="5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9"/>
      <c r="B905" s="9"/>
      <c r="C905" s="55"/>
      <c r="D905" s="55"/>
      <c r="E905" s="55"/>
      <c r="F905" s="55"/>
      <c r="G905" s="55"/>
      <c r="H905" s="55"/>
      <c r="I905" s="55"/>
      <c r="J905" s="55"/>
      <c r="K905" s="55"/>
      <c r="L905" s="5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9"/>
      <c r="B906" s="9"/>
      <c r="C906" s="55"/>
      <c r="D906" s="55"/>
      <c r="E906" s="55"/>
      <c r="F906" s="55"/>
      <c r="G906" s="55"/>
      <c r="H906" s="55"/>
      <c r="I906" s="55"/>
      <c r="J906" s="55"/>
      <c r="K906" s="55"/>
      <c r="L906" s="5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9"/>
      <c r="B907" s="9"/>
      <c r="C907" s="55"/>
      <c r="D907" s="55"/>
      <c r="E907" s="55"/>
      <c r="F907" s="55"/>
      <c r="G907" s="55"/>
      <c r="H907" s="55"/>
      <c r="I907" s="55"/>
      <c r="J907" s="55"/>
      <c r="K907" s="55"/>
      <c r="L907" s="5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9"/>
      <c r="B908" s="9"/>
      <c r="C908" s="55"/>
      <c r="D908" s="55"/>
      <c r="E908" s="55"/>
      <c r="F908" s="55"/>
      <c r="G908" s="55"/>
      <c r="H908" s="55"/>
      <c r="I908" s="55"/>
      <c r="J908" s="55"/>
      <c r="K908" s="55"/>
      <c r="L908" s="5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9"/>
      <c r="B909" s="9"/>
      <c r="C909" s="55"/>
      <c r="D909" s="55"/>
      <c r="E909" s="55"/>
      <c r="F909" s="55"/>
      <c r="G909" s="55"/>
      <c r="H909" s="55"/>
      <c r="I909" s="55"/>
      <c r="J909" s="55"/>
      <c r="K909" s="55"/>
      <c r="L909" s="5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9"/>
      <c r="B910" s="9"/>
      <c r="C910" s="55"/>
      <c r="D910" s="55"/>
      <c r="E910" s="55"/>
      <c r="F910" s="55"/>
      <c r="G910" s="55"/>
      <c r="H910" s="55"/>
      <c r="I910" s="55"/>
      <c r="J910" s="55"/>
      <c r="K910" s="55"/>
      <c r="L910" s="5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9"/>
      <c r="B911" s="9"/>
      <c r="C911" s="55"/>
      <c r="D911" s="55"/>
      <c r="E911" s="55"/>
      <c r="F911" s="55"/>
      <c r="G911" s="55"/>
      <c r="H911" s="55"/>
      <c r="I911" s="55"/>
      <c r="J911" s="55"/>
      <c r="K911" s="55"/>
      <c r="L911" s="5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9"/>
      <c r="B912" s="9"/>
      <c r="C912" s="55"/>
      <c r="D912" s="55"/>
      <c r="E912" s="55"/>
      <c r="F912" s="55"/>
      <c r="G912" s="55"/>
      <c r="H912" s="55"/>
      <c r="I912" s="55"/>
      <c r="J912" s="55"/>
      <c r="K912" s="55"/>
      <c r="L912" s="5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9"/>
      <c r="B913" s="9"/>
      <c r="C913" s="55"/>
      <c r="D913" s="55"/>
      <c r="E913" s="55"/>
      <c r="F913" s="55"/>
      <c r="G913" s="55"/>
      <c r="H913" s="55"/>
      <c r="I913" s="55"/>
      <c r="J913" s="55"/>
      <c r="K913" s="55"/>
      <c r="L913" s="5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9"/>
      <c r="B914" s="9"/>
      <c r="C914" s="55"/>
      <c r="D914" s="55"/>
      <c r="E914" s="55"/>
      <c r="F914" s="55"/>
      <c r="G914" s="55"/>
      <c r="H914" s="55"/>
      <c r="I914" s="55"/>
      <c r="J914" s="55"/>
      <c r="K914" s="55"/>
      <c r="L914" s="5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9"/>
      <c r="B915" s="9"/>
      <c r="C915" s="55"/>
      <c r="D915" s="55"/>
      <c r="E915" s="55"/>
      <c r="F915" s="55"/>
      <c r="G915" s="55"/>
      <c r="H915" s="55"/>
      <c r="I915" s="55"/>
      <c r="J915" s="55"/>
      <c r="K915" s="55"/>
      <c r="L915" s="5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9"/>
      <c r="B916" s="9"/>
      <c r="C916" s="55"/>
      <c r="D916" s="55"/>
      <c r="E916" s="55"/>
      <c r="F916" s="55"/>
      <c r="G916" s="55"/>
      <c r="H916" s="55"/>
      <c r="I916" s="55"/>
      <c r="J916" s="55"/>
      <c r="K916" s="55"/>
      <c r="L916" s="5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9"/>
      <c r="B917" s="9"/>
      <c r="C917" s="55"/>
      <c r="D917" s="55"/>
      <c r="E917" s="55"/>
      <c r="F917" s="55"/>
      <c r="G917" s="55"/>
      <c r="H917" s="55"/>
      <c r="I917" s="55"/>
      <c r="J917" s="55"/>
      <c r="K917" s="55"/>
      <c r="L917" s="5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9"/>
      <c r="B918" s="9"/>
      <c r="C918" s="55"/>
      <c r="D918" s="55"/>
      <c r="E918" s="55"/>
      <c r="F918" s="55"/>
      <c r="G918" s="55"/>
      <c r="H918" s="55"/>
      <c r="I918" s="55"/>
      <c r="J918" s="55"/>
      <c r="K918" s="55"/>
      <c r="L918" s="5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9"/>
      <c r="B919" s="9"/>
      <c r="C919" s="55"/>
      <c r="D919" s="55"/>
      <c r="E919" s="55"/>
      <c r="F919" s="55"/>
      <c r="G919" s="55"/>
      <c r="H919" s="55"/>
      <c r="I919" s="55"/>
      <c r="J919" s="55"/>
      <c r="K919" s="55"/>
      <c r="L919" s="5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9"/>
      <c r="B920" s="9"/>
      <c r="C920" s="55"/>
      <c r="D920" s="55"/>
      <c r="E920" s="55"/>
      <c r="F920" s="55"/>
      <c r="G920" s="55"/>
      <c r="H920" s="55"/>
      <c r="I920" s="55"/>
      <c r="J920" s="55"/>
      <c r="K920" s="55"/>
      <c r="L920" s="5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9"/>
      <c r="B921" s="9"/>
      <c r="C921" s="55"/>
      <c r="D921" s="55"/>
      <c r="E921" s="55"/>
      <c r="F921" s="55"/>
      <c r="G921" s="55"/>
      <c r="H921" s="55"/>
      <c r="I921" s="55"/>
      <c r="J921" s="55"/>
      <c r="K921" s="55"/>
      <c r="L921" s="5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9"/>
      <c r="B922" s="9"/>
      <c r="C922" s="55"/>
      <c r="D922" s="55"/>
      <c r="E922" s="55"/>
      <c r="F922" s="55"/>
      <c r="G922" s="55"/>
      <c r="H922" s="55"/>
      <c r="I922" s="55"/>
      <c r="J922" s="55"/>
      <c r="K922" s="55"/>
      <c r="L922" s="5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9"/>
      <c r="B923" s="9"/>
      <c r="C923" s="55"/>
      <c r="D923" s="55"/>
      <c r="E923" s="55"/>
      <c r="F923" s="55"/>
      <c r="G923" s="55"/>
      <c r="H923" s="55"/>
      <c r="I923" s="55"/>
      <c r="J923" s="55"/>
      <c r="K923" s="55"/>
      <c r="L923" s="5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9"/>
      <c r="B924" s="9"/>
      <c r="C924" s="55"/>
      <c r="D924" s="55"/>
      <c r="E924" s="55"/>
      <c r="F924" s="55"/>
      <c r="G924" s="55"/>
      <c r="H924" s="55"/>
      <c r="I924" s="55"/>
      <c r="J924" s="55"/>
      <c r="K924" s="55"/>
      <c r="L924" s="5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9"/>
      <c r="B925" s="9"/>
      <c r="C925" s="55"/>
      <c r="D925" s="55"/>
      <c r="E925" s="55"/>
      <c r="F925" s="55"/>
      <c r="G925" s="55"/>
      <c r="H925" s="55"/>
      <c r="I925" s="55"/>
      <c r="J925" s="55"/>
      <c r="K925" s="55"/>
      <c r="L925" s="5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9"/>
      <c r="B926" s="9"/>
      <c r="C926" s="55"/>
      <c r="D926" s="55"/>
      <c r="E926" s="55"/>
      <c r="F926" s="55"/>
      <c r="G926" s="55"/>
      <c r="H926" s="55"/>
      <c r="I926" s="55"/>
      <c r="J926" s="55"/>
      <c r="K926" s="55"/>
      <c r="L926" s="5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9"/>
      <c r="B927" s="9"/>
      <c r="C927" s="55"/>
      <c r="D927" s="55"/>
      <c r="E927" s="55"/>
      <c r="F927" s="55"/>
      <c r="G927" s="55"/>
      <c r="H927" s="55"/>
      <c r="I927" s="55"/>
      <c r="J927" s="55"/>
      <c r="K927" s="55"/>
      <c r="L927" s="5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9"/>
      <c r="B928" s="9"/>
      <c r="C928" s="55"/>
      <c r="D928" s="55"/>
      <c r="E928" s="55"/>
      <c r="F928" s="55"/>
      <c r="G928" s="55"/>
      <c r="H928" s="55"/>
      <c r="I928" s="55"/>
      <c r="J928" s="55"/>
      <c r="K928" s="55"/>
      <c r="L928" s="5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9"/>
      <c r="B929" s="9"/>
      <c r="C929" s="55"/>
      <c r="D929" s="55"/>
      <c r="E929" s="55"/>
      <c r="F929" s="55"/>
      <c r="G929" s="55"/>
      <c r="H929" s="55"/>
      <c r="I929" s="55"/>
      <c r="J929" s="55"/>
      <c r="K929" s="55"/>
      <c r="L929" s="5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9"/>
      <c r="B930" s="9"/>
      <c r="C930" s="55"/>
      <c r="D930" s="55"/>
      <c r="E930" s="55"/>
      <c r="F930" s="55"/>
      <c r="G930" s="55"/>
      <c r="H930" s="55"/>
      <c r="I930" s="55"/>
      <c r="J930" s="55"/>
      <c r="K930" s="55"/>
      <c r="L930" s="5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9"/>
      <c r="B931" s="9"/>
      <c r="C931" s="55"/>
      <c r="D931" s="55"/>
      <c r="E931" s="55"/>
      <c r="F931" s="55"/>
      <c r="G931" s="55"/>
      <c r="H931" s="55"/>
      <c r="I931" s="55"/>
      <c r="J931" s="55"/>
      <c r="K931" s="55"/>
      <c r="L931" s="5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9"/>
      <c r="B932" s="9"/>
      <c r="C932" s="55"/>
      <c r="D932" s="55"/>
      <c r="E932" s="55"/>
      <c r="F932" s="55"/>
      <c r="G932" s="55"/>
      <c r="H932" s="55"/>
      <c r="I932" s="55"/>
      <c r="J932" s="55"/>
      <c r="K932" s="55"/>
      <c r="L932" s="5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9"/>
      <c r="B933" s="9"/>
      <c r="C933" s="55"/>
      <c r="D933" s="55"/>
      <c r="E933" s="55"/>
      <c r="F933" s="55"/>
      <c r="G933" s="55"/>
      <c r="H933" s="55"/>
      <c r="I933" s="55"/>
      <c r="J933" s="55"/>
      <c r="K933" s="55"/>
      <c r="L933" s="5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9"/>
      <c r="B934" s="9"/>
      <c r="C934" s="55"/>
      <c r="D934" s="55"/>
      <c r="E934" s="55"/>
      <c r="F934" s="55"/>
      <c r="G934" s="55"/>
      <c r="H934" s="55"/>
      <c r="I934" s="55"/>
      <c r="J934" s="55"/>
      <c r="K934" s="55"/>
      <c r="L934" s="5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9"/>
      <c r="B935" s="9"/>
      <c r="C935" s="55"/>
      <c r="D935" s="55"/>
      <c r="E935" s="55"/>
      <c r="F935" s="55"/>
      <c r="G935" s="55"/>
      <c r="H935" s="55"/>
      <c r="I935" s="55"/>
      <c r="J935" s="55"/>
      <c r="K935" s="55"/>
      <c r="L935" s="5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9"/>
      <c r="B936" s="9"/>
      <c r="C936" s="55"/>
      <c r="D936" s="55"/>
      <c r="E936" s="55"/>
      <c r="F936" s="55"/>
      <c r="G936" s="55"/>
      <c r="H936" s="55"/>
      <c r="I936" s="55"/>
      <c r="J936" s="55"/>
      <c r="K936" s="55"/>
      <c r="L936" s="5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9"/>
      <c r="B937" s="9"/>
      <c r="C937" s="55"/>
      <c r="D937" s="55"/>
      <c r="E937" s="55"/>
      <c r="F937" s="55"/>
      <c r="G937" s="55"/>
      <c r="H937" s="55"/>
      <c r="I937" s="55"/>
      <c r="J937" s="55"/>
      <c r="K937" s="55"/>
      <c r="L937" s="5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9"/>
      <c r="B938" s="9"/>
      <c r="C938" s="55"/>
      <c r="D938" s="55"/>
      <c r="E938" s="55"/>
      <c r="F938" s="55"/>
      <c r="G938" s="55"/>
      <c r="H938" s="55"/>
      <c r="I938" s="55"/>
      <c r="J938" s="55"/>
      <c r="K938" s="55"/>
      <c r="L938" s="5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9"/>
      <c r="B939" s="9"/>
      <c r="C939" s="55"/>
      <c r="D939" s="55"/>
      <c r="E939" s="55"/>
      <c r="F939" s="55"/>
      <c r="G939" s="55"/>
      <c r="H939" s="55"/>
      <c r="I939" s="55"/>
      <c r="J939" s="55"/>
      <c r="K939" s="55"/>
      <c r="L939" s="5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9"/>
      <c r="B940" s="9"/>
      <c r="C940" s="55"/>
      <c r="D940" s="55"/>
      <c r="E940" s="55"/>
      <c r="F940" s="55"/>
      <c r="G940" s="55"/>
      <c r="H940" s="55"/>
      <c r="I940" s="55"/>
      <c r="J940" s="55"/>
      <c r="K940" s="55"/>
      <c r="L940" s="5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9"/>
      <c r="B941" s="9"/>
      <c r="C941" s="55"/>
      <c r="D941" s="55"/>
      <c r="E941" s="55"/>
      <c r="F941" s="55"/>
      <c r="G941" s="55"/>
      <c r="H941" s="55"/>
      <c r="I941" s="55"/>
      <c r="J941" s="55"/>
      <c r="K941" s="55"/>
      <c r="L941" s="5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9"/>
      <c r="B942" s="9"/>
      <c r="C942" s="55"/>
      <c r="D942" s="55"/>
      <c r="E942" s="55"/>
      <c r="F942" s="55"/>
      <c r="G942" s="55"/>
      <c r="H942" s="55"/>
      <c r="I942" s="55"/>
      <c r="J942" s="55"/>
      <c r="K942" s="55"/>
      <c r="L942" s="5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9"/>
      <c r="B943" s="9"/>
      <c r="C943" s="55"/>
      <c r="D943" s="55"/>
      <c r="E943" s="55"/>
      <c r="F943" s="55"/>
      <c r="G943" s="55"/>
      <c r="H943" s="55"/>
      <c r="I943" s="55"/>
      <c r="J943" s="55"/>
      <c r="K943" s="55"/>
      <c r="L943" s="5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9"/>
      <c r="B944" s="9"/>
      <c r="C944" s="55"/>
      <c r="D944" s="55"/>
      <c r="E944" s="55"/>
      <c r="F944" s="55"/>
      <c r="G944" s="55"/>
      <c r="H944" s="55"/>
      <c r="I944" s="55"/>
      <c r="J944" s="55"/>
      <c r="K944" s="55"/>
      <c r="L944" s="5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9"/>
      <c r="B945" s="9"/>
      <c r="C945" s="55"/>
      <c r="D945" s="55"/>
      <c r="E945" s="55"/>
      <c r="F945" s="55"/>
      <c r="G945" s="55"/>
      <c r="H945" s="55"/>
      <c r="I945" s="55"/>
      <c r="J945" s="55"/>
      <c r="K945" s="55"/>
      <c r="L945" s="5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9"/>
      <c r="B946" s="9"/>
      <c r="C946" s="55"/>
      <c r="D946" s="55"/>
      <c r="E946" s="55"/>
      <c r="F946" s="55"/>
      <c r="G946" s="55"/>
      <c r="H946" s="55"/>
      <c r="I946" s="55"/>
      <c r="J946" s="55"/>
      <c r="K946" s="55"/>
      <c r="L946" s="5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9"/>
      <c r="B947" s="9"/>
      <c r="C947" s="55"/>
      <c r="D947" s="55"/>
      <c r="E947" s="55"/>
      <c r="F947" s="55"/>
      <c r="G947" s="55"/>
      <c r="H947" s="55"/>
      <c r="I947" s="55"/>
      <c r="J947" s="55"/>
      <c r="K947" s="55"/>
      <c r="L947" s="5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9"/>
      <c r="B948" s="9"/>
      <c r="C948" s="55"/>
      <c r="D948" s="55"/>
      <c r="E948" s="55"/>
      <c r="F948" s="55"/>
      <c r="G948" s="55"/>
      <c r="H948" s="55"/>
      <c r="I948" s="55"/>
      <c r="J948" s="55"/>
      <c r="K948" s="55"/>
      <c r="L948" s="5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9"/>
      <c r="B949" s="9"/>
      <c r="C949" s="55"/>
      <c r="D949" s="55"/>
      <c r="E949" s="55"/>
      <c r="F949" s="55"/>
      <c r="G949" s="55"/>
      <c r="H949" s="55"/>
      <c r="I949" s="55"/>
      <c r="J949" s="55"/>
      <c r="K949" s="55"/>
      <c r="L949" s="5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9"/>
      <c r="B950" s="9"/>
      <c r="C950" s="55"/>
      <c r="D950" s="55"/>
      <c r="E950" s="55"/>
      <c r="F950" s="55"/>
      <c r="G950" s="55"/>
      <c r="H950" s="55"/>
      <c r="I950" s="55"/>
      <c r="J950" s="55"/>
      <c r="K950" s="55"/>
      <c r="L950" s="5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9"/>
      <c r="B951" s="9"/>
      <c r="C951" s="55"/>
      <c r="D951" s="55"/>
      <c r="E951" s="55"/>
      <c r="F951" s="55"/>
      <c r="G951" s="55"/>
      <c r="H951" s="55"/>
      <c r="I951" s="55"/>
      <c r="J951" s="55"/>
      <c r="K951" s="55"/>
      <c r="L951" s="5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9"/>
      <c r="B952" s="9"/>
      <c r="C952" s="55"/>
      <c r="D952" s="55"/>
      <c r="E952" s="55"/>
      <c r="F952" s="55"/>
      <c r="G952" s="55"/>
      <c r="H952" s="55"/>
      <c r="I952" s="55"/>
      <c r="J952" s="55"/>
      <c r="K952" s="55"/>
      <c r="L952" s="5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9"/>
      <c r="B953" s="9"/>
      <c r="C953" s="55"/>
      <c r="D953" s="55"/>
      <c r="E953" s="55"/>
      <c r="F953" s="55"/>
      <c r="G953" s="55"/>
      <c r="H953" s="55"/>
      <c r="I953" s="55"/>
      <c r="J953" s="55"/>
      <c r="K953" s="55"/>
      <c r="L953" s="5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9"/>
      <c r="B954" s="9"/>
      <c r="C954" s="55"/>
      <c r="D954" s="55"/>
      <c r="E954" s="55"/>
      <c r="F954" s="55"/>
      <c r="G954" s="55"/>
      <c r="H954" s="55"/>
      <c r="I954" s="55"/>
      <c r="J954" s="55"/>
      <c r="K954" s="55"/>
      <c r="L954" s="5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9"/>
      <c r="B955" s="9"/>
      <c r="C955" s="55"/>
      <c r="D955" s="55"/>
      <c r="E955" s="55"/>
      <c r="F955" s="55"/>
      <c r="G955" s="55"/>
      <c r="H955" s="55"/>
      <c r="I955" s="55"/>
      <c r="J955" s="55"/>
      <c r="K955" s="55"/>
      <c r="L955" s="5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9"/>
      <c r="B956" s="9"/>
      <c r="C956" s="55"/>
      <c r="D956" s="55"/>
      <c r="E956" s="55"/>
      <c r="F956" s="55"/>
      <c r="G956" s="55"/>
      <c r="H956" s="55"/>
      <c r="I956" s="55"/>
      <c r="J956" s="55"/>
      <c r="K956" s="55"/>
      <c r="L956" s="5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9"/>
      <c r="B957" s="9"/>
      <c r="C957" s="55"/>
      <c r="D957" s="55"/>
      <c r="E957" s="55"/>
      <c r="F957" s="55"/>
      <c r="G957" s="55"/>
      <c r="H957" s="55"/>
      <c r="I957" s="55"/>
      <c r="J957" s="55"/>
      <c r="K957" s="55"/>
      <c r="L957" s="5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9"/>
      <c r="B958" s="9"/>
      <c r="C958" s="55"/>
      <c r="D958" s="55"/>
      <c r="E958" s="55"/>
      <c r="F958" s="55"/>
      <c r="G958" s="55"/>
      <c r="H958" s="55"/>
      <c r="I958" s="55"/>
      <c r="J958" s="55"/>
      <c r="K958" s="55"/>
      <c r="L958" s="5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9"/>
      <c r="B959" s="9"/>
      <c r="C959" s="55"/>
      <c r="D959" s="55"/>
      <c r="E959" s="55"/>
      <c r="F959" s="55"/>
      <c r="G959" s="55"/>
      <c r="H959" s="55"/>
      <c r="I959" s="55"/>
      <c r="J959" s="55"/>
      <c r="K959" s="55"/>
      <c r="L959" s="5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9"/>
      <c r="B960" s="9"/>
      <c r="C960" s="55"/>
      <c r="D960" s="55"/>
      <c r="E960" s="55"/>
      <c r="F960" s="55"/>
      <c r="G960" s="55"/>
      <c r="H960" s="55"/>
      <c r="I960" s="55"/>
      <c r="J960" s="55"/>
      <c r="K960" s="55"/>
      <c r="L960" s="5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9"/>
      <c r="B961" s="9"/>
      <c r="C961" s="55"/>
      <c r="D961" s="55"/>
      <c r="E961" s="55"/>
      <c r="F961" s="55"/>
      <c r="G961" s="55"/>
      <c r="H961" s="55"/>
      <c r="I961" s="55"/>
      <c r="J961" s="55"/>
      <c r="K961" s="55"/>
      <c r="L961" s="5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9"/>
      <c r="B962" s="9"/>
      <c r="C962" s="55"/>
      <c r="D962" s="55"/>
      <c r="E962" s="55"/>
      <c r="F962" s="55"/>
      <c r="G962" s="55"/>
      <c r="H962" s="55"/>
      <c r="I962" s="55"/>
      <c r="J962" s="55"/>
      <c r="K962" s="55"/>
      <c r="L962" s="5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9"/>
      <c r="B963" s="9"/>
      <c r="C963" s="55"/>
      <c r="D963" s="55"/>
      <c r="E963" s="55"/>
      <c r="F963" s="55"/>
      <c r="G963" s="55"/>
      <c r="H963" s="55"/>
      <c r="I963" s="55"/>
      <c r="J963" s="55"/>
      <c r="K963" s="55"/>
      <c r="L963" s="5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9"/>
      <c r="B964" s="9"/>
      <c r="C964" s="55"/>
      <c r="D964" s="55"/>
      <c r="E964" s="55"/>
      <c r="F964" s="55"/>
      <c r="G964" s="55"/>
      <c r="H964" s="55"/>
      <c r="I964" s="55"/>
      <c r="J964" s="55"/>
      <c r="K964" s="55"/>
      <c r="L964" s="5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9"/>
      <c r="B965" s="9"/>
      <c r="C965" s="55"/>
      <c r="D965" s="55"/>
      <c r="E965" s="55"/>
      <c r="F965" s="55"/>
      <c r="G965" s="55"/>
      <c r="H965" s="55"/>
      <c r="I965" s="55"/>
      <c r="J965" s="55"/>
      <c r="K965" s="55"/>
      <c r="L965" s="5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9"/>
      <c r="B966" s="9"/>
      <c r="C966" s="55"/>
      <c r="D966" s="55"/>
      <c r="E966" s="55"/>
      <c r="F966" s="55"/>
      <c r="G966" s="55"/>
      <c r="H966" s="55"/>
      <c r="I966" s="55"/>
      <c r="J966" s="55"/>
      <c r="K966" s="55"/>
      <c r="L966" s="5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9"/>
      <c r="B967" s="9"/>
      <c r="C967" s="55"/>
      <c r="D967" s="55"/>
      <c r="E967" s="55"/>
      <c r="F967" s="55"/>
      <c r="G967" s="55"/>
      <c r="H967" s="55"/>
      <c r="I967" s="55"/>
      <c r="J967" s="55"/>
      <c r="K967" s="55"/>
      <c r="L967" s="5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9"/>
      <c r="B968" s="9"/>
      <c r="C968" s="55"/>
      <c r="D968" s="55"/>
      <c r="E968" s="55"/>
      <c r="F968" s="55"/>
      <c r="G968" s="55"/>
      <c r="H968" s="55"/>
      <c r="I968" s="55"/>
      <c r="J968" s="55"/>
      <c r="K968" s="55"/>
      <c r="L968" s="5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9"/>
      <c r="B969" s="9"/>
      <c r="C969" s="55"/>
      <c r="D969" s="55"/>
      <c r="E969" s="55"/>
      <c r="F969" s="55"/>
      <c r="G969" s="55"/>
      <c r="H969" s="55"/>
      <c r="I969" s="55"/>
      <c r="J969" s="55"/>
      <c r="K969" s="55"/>
      <c r="L969" s="5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9"/>
      <c r="B970" s="9"/>
      <c r="C970" s="55"/>
      <c r="D970" s="55"/>
      <c r="E970" s="55"/>
      <c r="F970" s="55"/>
      <c r="G970" s="55"/>
      <c r="H970" s="55"/>
      <c r="I970" s="55"/>
      <c r="J970" s="55"/>
      <c r="K970" s="55"/>
      <c r="L970" s="5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9"/>
      <c r="B971" s="9"/>
      <c r="C971" s="55"/>
      <c r="D971" s="55"/>
      <c r="E971" s="55"/>
      <c r="F971" s="55"/>
      <c r="G971" s="55"/>
      <c r="H971" s="55"/>
      <c r="I971" s="55"/>
      <c r="J971" s="55"/>
      <c r="K971" s="55"/>
      <c r="L971" s="5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9"/>
      <c r="B972" s="9"/>
      <c r="C972" s="55"/>
      <c r="D972" s="55"/>
      <c r="E972" s="55"/>
      <c r="F972" s="55"/>
      <c r="G972" s="55"/>
      <c r="H972" s="55"/>
      <c r="I972" s="55"/>
      <c r="J972" s="55"/>
      <c r="K972" s="55"/>
      <c r="L972" s="5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9"/>
      <c r="B973" s="9"/>
      <c r="C973" s="55"/>
      <c r="D973" s="55"/>
      <c r="E973" s="55"/>
      <c r="F973" s="55"/>
      <c r="G973" s="55"/>
      <c r="H973" s="55"/>
      <c r="I973" s="55"/>
      <c r="J973" s="55"/>
      <c r="K973" s="55"/>
      <c r="L973" s="5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9"/>
      <c r="B974" s="9"/>
      <c r="C974" s="55"/>
      <c r="D974" s="55"/>
      <c r="E974" s="55"/>
      <c r="F974" s="55"/>
      <c r="G974" s="55"/>
      <c r="H974" s="55"/>
      <c r="I974" s="55"/>
      <c r="J974" s="55"/>
      <c r="K974" s="55"/>
      <c r="L974" s="5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9"/>
      <c r="B975" s="9"/>
      <c r="C975" s="55"/>
      <c r="D975" s="55"/>
      <c r="E975" s="55"/>
      <c r="F975" s="55"/>
      <c r="G975" s="55"/>
      <c r="H975" s="55"/>
      <c r="I975" s="55"/>
      <c r="J975" s="55"/>
      <c r="K975" s="55"/>
      <c r="L975" s="5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9"/>
      <c r="B976" s="9"/>
      <c r="C976" s="55"/>
      <c r="D976" s="55"/>
      <c r="E976" s="55"/>
      <c r="F976" s="55"/>
      <c r="G976" s="55"/>
      <c r="H976" s="55"/>
      <c r="I976" s="55"/>
      <c r="J976" s="55"/>
      <c r="K976" s="55"/>
      <c r="L976" s="5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9"/>
      <c r="B977" s="9"/>
      <c r="C977" s="55"/>
      <c r="D977" s="55"/>
      <c r="E977" s="55"/>
      <c r="F977" s="55"/>
      <c r="G977" s="55"/>
      <c r="H977" s="55"/>
      <c r="I977" s="55"/>
      <c r="J977" s="55"/>
      <c r="K977" s="55"/>
      <c r="L977" s="5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9"/>
      <c r="B978" s="9"/>
      <c r="C978" s="55"/>
      <c r="D978" s="55"/>
      <c r="E978" s="55"/>
      <c r="F978" s="55"/>
      <c r="G978" s="55"/>
      <c r="H978" s="55"/>
      <c r="I978" s="55"/>
      <c r="J978" s="55"/>
      <c r="K978" s="55"/>
      <c r="L978" s="5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9"/>
      <c r="B979" s="9"/>
      <c r="C979" s="55"/>
      <c r="D979" s="55"/>
      <c r="E979" s="55"/>
      <c r="F979" s="55"/>
      <c r="G979" s="55"/>
      <c r="H979" s="55"/>
      <c r="I979" s="55"/>
      <c r="J979" s="55"/>
      <c r="K979" s="55"/>
      <c r="L979" s="5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9"/>
      <c r="B980" s="9"/>
      <c r="C980" s="55"/>
      <c r="D980" s="55"/>
      <c r="E980" s="55"/>
      <c r="F980" s="55"/>
      <c r="G980" s="55"/>
      <c r="H980" s="55"/>
      <c r="I980" s="55"/>
      <c r="J980" s="55"/>
      <c r="K980" s="55"/>
      <c r="L980" s="5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9"/>
      <c r="B981" s="9"/>
      <c r="C981" s="55"/>
      <c r="D981" s="55"/>
      <c r="E981" s="55"/>
      <c r="F981" s="55"/>
      <c r="G981" s="55"/>
      <c r="H981" s="55"/>
      <c r="I981" s="55"/>
      <c r="J981" s="55"/>
      <c r="K981" s="55"/>
      <c r="L981" s="5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9"/>
      <c r="B982" s="9"/>
      <c r="C982" s="55"/>
      <c r="D982" s="55"/>
      <c r="E982" s="55"/>
      <c r="F982" s="55"/>
      <c r="G982" s="55"/>
      <c r="H982" s="55"/>
      <c r="I982" s="55"/>
      <c r="J982" s="55"/>
      <c r="K982" s="55"/>
      <c r="L982" s="5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9"/>
      <c r="B983" s="9"/>
      <c r="C983" s="55"/>
      <c r="D983" s="55"/>
      <c r="E983" s="55"/>
      <c r="F983" s="55"/>
      <c r="G983" s="55"/>
      <c r="H983" s="55"/>
      <c r="I983" s="55"/>
      <c r="J983" s="55"/>
      <c r="K983" s="55"/>
      <c r="L983" s="5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9"/>
      <c r="B984" s="9"/>
      <c r="C984" s="55"/>
      <c r="D984" s="55"/>
      <c r="E984" s="55"/>
      <c r="F984" s="55"/>
      <c r="G984" s="55"/>
      <c r="H984" s="55"/>
      <c r="I984" s="55"/>
      <c r="J984" s="55"/>
      <c r="K984" s="55"/>
      <c r="L984" s="5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9"/>
      <c r="B985" s="9"/>
      <c r="C985" s="55"/>
      <c r="D985" s="55"/>
      <c r="E985" s="55"/>
      <c r="F985" s="55"/>
      <c r="G985" s="55"/>
      <c r="H985" s="55"/>
      <c r="I985" s="55"/>
      <c r="J985" s="55"/>
      <c r="K985" s="55"/>
      <c r="L985" s="5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9"/>
      <c r="B986" s="9"/>
      <c r="C986" s="55"/>
      <c r="D986" s="55"/>
      <c r="E986" s="55"/>
      <c r="F986" s="55"/>
      <c r="G986" s="55"/>
      <c r="H986" s="55"/>
      <c r="I986" s="55"/>
      <c r="J986" s="55"/>
      <c r="K986" s="55"/>
      <c r="L986" s="5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9"/>
      <c r="B987" s="9"/>
      <c r="C987" s="55"/>
      <c r="D987" s="55"/>
      <c r="E987" s="55"/>
      <c r="F987" s="55"/>
      <c r="G987" s="55"/>
      <c r="H987" s="55"/>
      <c r="I987" s="55"/>
      <c r="J987" s="55"/>
      <c r="K987" s="55"/>
      <c r="L987" s="5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9"/>
      <c r="B988" s="9"/>
      <c r="C988" s="55"/>
      <c r="D988" s="55"/>
      <c r="E988" s="55"/>
      <c r="F988" s="55"/>
      <c r="G988" s="55"/>
      <c r="H988" s="55"/>
      <c r="I988" s="55"/>
      <c r="J988" s="55"/>
      <c r="K988" s="55"/>
      <c r="L988" s="5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9"/>
      <c r="B989" s="9"/>
      <c r="C989" s="55"/>
      <c r="D989" s="55"/>
      <c r="E989" s="55"/>
      <c r="F989" s="55"/>
      <c r="G989" s="55"/>
      <c r="H989" s="55"/>
      <c r="I989" s="55"/>
      <c r="J989" s="55"/>
      <c r="K989" s="55"/>
      <c r="L989" s="5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9"/>
      <c r="B990" s="9"/>
      <c r="C990" s="55"/>
      <c r="D990" s="55"/>
      <c r="E990" s="55"/>
      <c r="F990" s="55"/>
      <c r="G990" s="55"/>
      <c r="H990" s="55"/>
      <c r="I990" s="55"/>
      <c r="J990" s="55"/>
      <c r="K990" s="55"/>
      <c r="L990" s="5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9"/>
      <c r="B991" s="9"/>
      <c r="C991" s="55"/>
      <c r="D991" s="55"/>
      <c r="E991" s="55"/>
      <c r="F991" s="55"/>
      <c r="G991" s="55"/>
      <c r="H991" s="55"/>
      <c r="I991" s="55"/>
      <c r="J991" s="55"/>
      <c r="K991" s="55"/>
      <c r="L991" s="5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9"/>
      <c r="B992" s="9"/>
      <c r="C992" s="55"/>
      <c r="D992" s="55"/>
      <c r="E992" s="55"/>
      <c r="F992" s="55"/>
      <c r="G992" s="55"/>
      <c r="H992" s="55"/>
      <c r="I992" s="55"/>
      <c r="J992" s="55"/>
      <c r="K992" s="55"/>
      <c r="L992" s="5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9"/>
      <c r="B993" s="9"/>
      <c r="C993" s="55"/>
      <c r="D993" s="55"/>
      <c r="E993" s="55"/>
      <c r="F993" s="55"/>
      <c r="G993" s="55"/>
      <c r="H993" s="55"/>
      <c r="I993" s="55"/>
      <c r="J993" s="55"/>
      <c r="K993" s="55"/>
      <c r="L993" s="5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9"/>
      <c r="B994" s="9"/>
      <c r="C994" s="55"/>
      <c r="D994" s="55"/>
      <c r="E994" s="55"/>
      <c r="F994" s="55"/>
      <c r="G994" s="55"/>
      <c r="H994" s="55"/>
      <c r="I994" s="55"/>
      <c r="J994" s="55"/>
      <c r="K994" s="55"/>
      <c r="L994" s="5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9"/>
      <c r="B995" s="9"/>
      <c r="C995" s="55"/>
      <c r="D995" s="55"/>
      <c r="E995" s="55"/>
      <c r="F995" s="55"/>
      <c r="G995" s="55"/>
      <c r="H995" s="55"/>
      <c r="I995" s="55"/>
      <c r="J995" s="55"/>
      <c r="K995" s="55"/>
      <c r="L995" s="5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9"/>
      <c r="B996" s="9"/>
      <c r="C996" s="55"/>
      <c r="D996" s="55"/>
      <c r="E996" s="55"/>
      <c r="F996" s="55"/>
      <c r="G996" s="55"/>
      <c r="H996" s="55"/>
      <c r="I996" s="55"/>
      <c r="J996" s="55"/>
      <c r="K996" s="55"/>
      <c r="L996" s="5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9"/>
      <c r="B997" s="9"/>
      <c r="C997" s="55"/>
      <c r="D997" s="55"/>
      <c r="E997" s="55"/>
      <c r="F997" s="55"/>
      <c r="G997" s="55"/>
      <c r="H997" s="55"/>
      <c r="I997" s="55"/>
      <c r="J997" s="55"/>
      <c r="K997" s="55"/>
      <c r="L997" s="5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9"/>
      <c r="B998" s="9"/>
      <c r="C998" s="55"/>
      <c r="D998" s="55"/>
      <c r="E998" s="55"/>
      <c r="F998" s="55"/>
      <c r="G998" s="55"/>
      <c r="H998" s="55"/>
      <c r="I998" s="55"/>
      <c r="J998" s="55"/>
      <c r="K998" s="55"/>
      <c r="L998" s="5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9"/>
      <c r="B999" s="9"/>
      <c r="C999" s="55"/>
      <c r="D999" s="55"/>
      <c r="E999" s="55"/>
      <c r="F999" s="55"/>
      <c r="G999" s="55"/>
      <c r="H999" s="55"/>
      <c r="I999" s="55"/>
      <c r="J999" s="55"/>
      <c r="K999" s="55"/>
      <c r="L999" s="5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9"/>
      <c r="B1000" s="9"/>
      <c r="C1000" s="55"/>
      <c r="D1000" s="55"/>
      <c r="E1000" s="55"/>
      <c r="F1000" s="55"/>
      <c r="G1000" s="55"/>
      <c r="H1000" s="55"/>
      <c r="I1000" s="55"/>
      <c r="J1000" s="55"/>
      <c r="K1000" s="55"/>
      <c r="L1000" s="5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9"/>
      <c r="B1001" s="9"/>
      <c r="C1001" s="55"/>
      <c r="D1001" s="55"/>
      <c r="E1001" s="55"/>
      <c r="F1001" s="55"/>
      <c r="G1001" s="55"/>
      <c r="H1001" s="55"/>
      <c r="I1001" s="55"/>
      <c r="J1001" s="55"/>
      <c r="K1001" s="55"/>
      <c r="L1001" s="5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9"/>
      <c r="B1002" s="9"/>
      <c r="C1002" s="55"/>
      <c r="D1002" s="55"/>
      <c r="E1002" s="55"/>
      <c r="F1002" s="55"/>
      <c r="G1002" s="55"/>
      <c r="H1002" s="55"/>
      <c r="I1002" s="55"/>
      <c r="J1002" s="55"/>
      <c r="K1002" s="55"/>
      <c r="L1002" s="5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9"/>
      <c r="B1003" s="9"/>
      <c r="C1003" s="55"/>
      <c r="D1003" s="55"/>
      <c r="E1003" s="55"/>
      <c r="F1003" s="55"/>
      <c r="G1003" s="55"/>
      <c r="H1003" s="55"/>
      <c r="I1003" s="55"/>
      <c r="J1003" s="55"/>
      <c r="K1003" s="55"/>
      <c r="L1003" s="5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9"/>
      <c r="B1004" s="9"/>
      <c r="C1004" s="55"/>
      <c r="D1004" s="55"/>
      <c r="E1004" s="55"/>
      <c r="F1004" s="55"/>
      <c r="G1004" s="55"/>
      <c r="H1004" s="55"/>
      <c r="I1004" s="55"/>
      <c r="J1004" s="55"/>
      <c r="K1004" s="55"/>
      <c r="L1004" s="5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9"/>
      <c r="B1005" s="9"/>
      <c r="C1005" s="55"/>
      <c r="D1005" s="55"/>
      <c r="E1005" s="55"/>
      <c r="F1005" s="55"/>
      <c r="G1005" s="55"/>
      <c r="H1005" s="55"/>
      <c r="I1005" s="55"/>
      <c r="J1005" s="55"/>
      <c r="K1005" s="55"/>
      <c r="L1005" s="5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9"/>
      <c r="B1006" s="9"/>
      <c r="C1006" s="55"/>
      <c r="D1006" s="55"/>
      <c r="E1006" s="55"/>
      <c r="F1006" s="55"/>
      <c r="G1006" s="55"/>
      <c r="H1006" s="55"/>
      <c r="I1006" s="55"/>
      <c r="J1006" s="55"/>
      <c r="K1006" s="55"/>
      <c r="L1006" s="5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8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69</v>
      </c>
      <c r="B2" s="8"/>
      <c r="C2" s="65">
        <v>46174.0</v>
      </c>
      <c r="D2" s="66"/>
      <c r="E2" s="66"/>
      <c r="F2" s="66"/>
      <c r="G2" s="66"/>
      <c r="H2" s="66"/>
      <c r="I2" s="66"/>
      <c r="J2" s="67"/>
      <c r="K2" s="68" t="s">
        <v>1573</v>
      </c>
      <c r="L2" s="69">
        <v>46230.0</v>
      </c>
      <c r="M2" s="67"/>
    </row>
    <row r="3">
      <c r="A3" s="70" t="s">
        <v>83</v>
      </c>
      <c r="B3" s="12"/>
      <c r="C3" s="12"/>
      <c r="D3" s="12"/>
      <c r="E3" s="12"/>
      <c r="F3" s="12"/>
      <c r="G3" s="12"/>
      <c r="H3" s="8"/>
      <c r="I3" s="71"/>
      <c r="J3" s="67"/>
      <c r="K3" s="67"/>
      <c r="L3" s="67"/>
      <c r="M3" s="67"/>
    </row>
    <row r="4">
      <c r="A4" s="72" t="s">
        <v>7</v>
      </c>
      <c r="B4" s="73" t="s">
        <v>14</v>
      </c>
      <c r="C4" s="73" t="s">
        <v>15</v>
      </c>
      <c r="D4" s="73" t="s">
        <v>16</v>
      </c>
      <c r="E4" s="73" t="s">
        <v>17</v>
      </c>
      <c r="F4" s="73" t="s">
        <v>1575</v>
      </c>
      <c r="G4" s="74" t="s">
        <v>32</v>
      </c>
      <c r="H4" s="73" t="s">
        <v>105</v>
      </c>
      <c r="I4" s="73" t="s">
        <v>1576</v>
      </c>
      <c r="J4" s="75" t="s">
        <v>1577</v>
      </c>
      <c r="K4" s="75" t="s">
        <v>115</v>
      </c>
      <c r="L4" s="75" t="s">
        <v>117</v>
      </c>
      <c r="M4" s="75" t="s">
        <v>119</v>
      </c>
    </row>
    <row r="5">
      <c r="A5" s="76" t="s">
        <v>38</v>
      </c>
      <c r="B5" s="77" t="s">
        <v>42</v>
      </c>
      <c r="C5" s="78">
        <v>22373.0</v>
      </c>
      <c r="D5" s="77" t="s">
        <v>43</v>
      </c>
      <c r="E5" s="78">
        <v>3859.0</v>
      </c>
      <c r="F5" s="79">
        <v>45698.0</v>
      </c>
      <c r="G5" s="77" t="s">
        <v>45</v>
      </c>
      <c r="H5" s="77" t="s">
        <v>40</v>
      </c>
      <c r="I5" s="80">
        <v>476.0</v>
      </c>
      <c r="J5" s="81" t="s">
        <v>1581</v>
      </c>
      <c r="K5" s="82" t="s">
        <v>1582</v>
      </c>
      <c r="L5" s="83"/>
      <c r="M5" s="83"/>
    </row>
    <row r="6">
      <c r="A6" s="76" t="s">
        <v>77</v>
      </c>
      <c r="B6" s="78">
        <v>3034792.0</v>
      </c>
      <c r="C6" s="84">
        <v>198.0</v>
      </c>
      <c r="D6" s="77" t="s">
        <v>78</v>
      </c>
      <c r="E6" s="85">
        <v>3342.0</v>
      </c>
      <c r="F6" s="79">
        <v>45714.0</v>
      </c>
      <c r="G6" s="77" t="s">
        <v>45</v>
      </c>
      <c r="H6" s="77" t="s">
        <v>40</v>
      </c>
      <c r="I6" s="80">
        <v>460.0</v>
      </c>
      <c r="J6" s="79">
        <v>45993.0</v>
      </c>
      <c r="K6" s="82" t="s">
        <v>64</v>
      </c>
      <c r="L6" s="81" t="s">
        <v>1585</v>
      </c>
      <c r="M6" s="83"/>
    </row>
    <row r="7">
      <c r="A7" s="76" t="s">
        <v>48</v>
      </c>
      <c r="B7" s="77" t="s">
        <v>51</v>
      </c>
      <c r="C7" s="78">
        <v>78286.0</v>
      </c>
      <c r="D7" s="77" t="s">
        <v>54</v>
      </c>
      <c r="E7" s="77" t="s">
        <v>55</v>
      </c>
      <c r="F7" s="79">
        <v>45714.0</v>
      </c>
      <c r="G7" s="77" t="s">
        <v>57</v>
      </c>
      <c r="H7" s="77" t="s">
        <v>40</v>
      </c>
      <c r="I7" s="80">
        <v>460.0</v>
      </c>
      <c r="J7" s="81" t="s">
        <v>1588</v>
      </c>
      <c r="K7" s="82" t="s">
        <v>1589</v>
      </c>
      <c r="L7" s="83"/>
      <c r="M7" s="83"/>
    </row>
    <row r="8">
      <c r="A8" s="76" t="s">
        <v>61</v>
      </c>
      <c r="B8" s="77" t="s">
        <v>51</v>
      </c>
      <c r="C8" s="78">
        <v>78286.0</v>
      </c>
      <c r="D8" s="77" t="s">
        <v>54</v>
      </c>
      <c r="E8" s="77" t="s">
        <v>67</v>
      </c>
      <c r="F8" s="79">
        <v>45714.0</v>
      </c>
      <c r="G8" s="77" t="s">
        <v>63</v>
      </c>
      <c r="H8" s="77" t="s">
        <v>40</v>
      </c>
      <c r="I8" s="80">
        <v>460.0</v>
      </c>
      <c r="J8" s="81" t="s">
        <v>1588</v>
      </c>
      <c r="K8" s="82" t="s">
        <v>1589</v>
      </c>
      <c r="L8" s="83"/>
      <c r="M8" s="83"/>
    </row>
    <row r="9">
      <c r="A9" s="76" t="s">
        <v>1334</v>
      </c>
      <c r="B9" s="77" t="s">
        <v>1278</v>
      </c>
      <c r="C9" s="78">
        <v>74025.0</v>
      </c>
      <c r="D9" s="77" t="s">
        <v>1279</v>
      </c>
      <c r="E9" s="78">
        <v>1.0603745E7</v>
      </c>
      <c r="F9" s="79">
        <v>45736.0</v>
      </c>
      <c r="G9" s="77" t="s">
        <v>64</v>
      </c>
      <c r="H9" s="77" t="s">
        <v>40</v>
      </c>
      <c r="I9" s="80">
        <v>438.0</v>
      </c>
      <c r="J9" s="81" t="s">
        <v>1588</v>
      </c>
      <c r="K9" s="82" t="s">
        <v>1590</v>
      </c>
      <c r="L9" s="83"/>
      <c r="M9" s="83"/>
    </row>
    <row r="10">
      <c r="A10" s="76" t="s">
        <v>243</v>
      </c>
      <c r="B10" s="77" t="s">
        <v>237</v>
      </c>
      <c r="C10" s="77" t="s">
        <v>156</v>
      </c>
      <c r="D10" s="77" t="s">
        <v>238</v>
      </c>
      <c r="E10" s="86"/>
      <c r="F10" s="79">
        <v>45736.0</v>
      </c>
      <c r="G10" s="77" t="s">
        <v>64</v>
      </c>
      <c r="H10" s="77" t="s">
        <v>40</v>
      </c>
      <c r="I10" s="80">
        <v>438.0</v>
      </c>
      <c r="J10" s="81" t="s">
        <v>1581</v>
      </c>
      <c r="K10" s="82" t="s">
        <v>1593</v>
      </c>
      <c r="L10" s="83"/>
      <c r="M10" s="83"/>
    </row>
    <row r="11">
      <c r="A11" s="76" t="s">
        <v>116</v>
      </c>
      <c r="B11" s="77" t="s">
        <v>100</v>
      </c>
      <c r="C11" s="78">
        <v>71379.0</v>
      </c>
      <c r="D11" s="77" t="s">
        <v>101</v>
      </c>
      <c r="E11" s="78">
        <v>2410.0</v>
      </c>
      <c r="F11" s="79">
        <v>45736.0</v>
      </c>
      <c r="G11" s="77" t="s">
        <v>62</v>
      </c>
      <c r="H11" s="77" t="s">
        <v>40</v>
      </c>
      <c r="I11" s="80">
        <v>438.0</v>
      </c>
      <c r="J11" s="79">
        <v>46098.0</v>
      </c>
      <c r="K11" s="82" t="s">
        <v>57</v>
      </c>
      <c r="L11" s="81" t="s">
        <v>1594</v>
      </c>
      <c r="M11" s="81">
        <v>99511.0</v>
      </c>
    </row>
    <row r="12">
      <c r="A12" s="76" t="s">
        <v>96</v>
      </c>
      <c r="B12" s="77" t="s">
        <v>100</v>
      </c>
      <c r="C12" s="78">
        <v>71379.0</v>
      </c>
      <c r="D12" s="77" t="s">
        <v>101</v>
      </c>
      <c r="E12" s="77" t="s">
        <v>102</v>
      </c>
      <c r="F12" s="79">
        <v>45736.0</v>
      </c>
      <c r="G12" s="77" t="s">
        <v>64</v>
      </c>
      <c r="H12" s="77" t="s">
        <v>40</v>
      </c>
      <c r="I12" s="80">
        <v>438.0</v>
      </c>
      <c r="J12" s="79">
        <v>46114.0</v>
      </c>
      <c r="K12" s="82" t="s">
        <v>57</v>
      </c>
      <c r="L12" s="81" t="s">
        <v>1597</v>
      </c>
      <c r="M12" s="81" t="s">
        <v>1598</v>
      </c>
    </row>
    <row r="13">
      <c r="A13" s="76" t="s">
        <v>205</v>
      </c>
      <c r="B13" s="77" t="s">
        <v>42</v>
      </c>
      <c r="C13" s="78">
        <v>22373.0</v>
      </c>
      <c r="D13" s="77" t="s">
        <v>43</v>
      </c>
      <c r="E13" s="78">
        <v>3861.0</v>
      </c>
      <c r="F13" s="79">
        <v>45736.0</v>
      </c>
      <c r="G13" s="77" t="s">
        <v>70</v>
      </c>
      <c r="H13" s="77" t="s">
        <v>40</v>
      </c>
      <c r="I13" s="80">
        <v>438.0</v>
      </c>
      <c r="J13" s="79">
        <v>45965.0</v>
      </c>
      <c r="K13" s="82" t="s">
        <v>57</v>
      </c>
      <c r="L13" s="81" t="s">
        <v>1599</v>
      </c>
      <c r="M13" s="83"/>
    </row>
    <row r="14">
      <c r="A14" s="76" t="s">
        <v>230</v>
      </c>
      <c r="B14" s="77" t="s">
        <v>231</v>
      </c>
      <c r="C14" s="78">
        <v>71513.0</v>
      </c>
      <c r="D14" s="77" t="s">
        <v>232</v>
      </c>
      <c r="E14" s="78">
        <v>42.0</v>
      </c>
      <c r="F14" s="79">
        <v>45736.0</v>
      </c>
      <c r="G14" s="77" t="s">
        <v>75</v>
      </c>
      <c r="H14" s="77" t="s">
        <v>40</v>
      </c>
      <c r="I14" s="80">
        <v>438.0</v>
      </c>
      <c r="J14" s="79">
        <v>45945.0</v>
      </c>
      <c r="K14" s="82" t="s">
        <v>62</v>
      </c>
      <c r="L14" s="81" t="s">
        <v>1602</v>
      </c>
      <c r="M14" s="83"/>
    </row>
    <row r="15">
      <c r="A15" s="76" t="s">
        <v>154</v>
      </c>
      <c r="B15" s="77" t="s">
        <v>155</v>
      </c>
      <c r="C15" s="77" t="s">
        <v>156</v>
      </c>
      <c r="D15" s="77" t="s">
        <v>157</v>
      </c>
      <c r="E15" s="78">
        <v>1569.0</v>
      </c>
      <c r="F15" s="79">
        <v>45736.0</v>
      </c>
      <c r="G15" s="77" t="s">
        <v>160</v>
      </c>
      <c r="H15" s="77" t="s">
        <v>40</v>
      </c>
      <c r="I15" s="80">
        <v>438.0</v>
      </c>
      <c r="J15" s="79">
        <v>45860.0</v>
      </c>
      <c r="K15" s="82" t="s">
        <v>63</v>
      </c>
      <c r="L15" s="81" t="s">
        <v>1603</v>
      </c>
      <c r="M15" s="83"/>
    </row>
    <row r="16">
      <c r="A16" s="76" t="s">
        <v>138</v>
      </c>
      <c r="B16" s="77" t="s">
        <v>90</v>
      </c>
      <c r="C16" s="78">
        <v>83326.0</v>
      </c>
      <c r="D16" s="77" t="s">
        <v>91</v>
      </c>
      <c r="E16" s="78">
        <v>1920.0</v>
      </c>
      <c r="F16" s="79">
        <v>45736.0</v>
      </c>
      <c r="G16" s="77" t="s">
        <v>143</v>
      </c>
      <c r="H16" s="77" t="s">
        <v>40</v>
      </c>
      <c r="I16" s="80">
        <v>438.0</v>
      </c>
      <c r="J16" s="79">
        <v>45848.0</v>
      </c>
      <c r="K16" s="82" t="s">
        <v>64</v>
      </c>
      <c r="L16" s="81" t="s">
        <v>1605</v>
      </c>
      <c r="M16" s="81" t="s">
        <v>1606</v>
      </c>
    </row>
    <row r="17">
      <c r="A17" s="76" t="s">
        <v>89</v>
      </c>
      <c r="B17" s="77" t="s">
        <v>90</v>
      </c>
      <c r="C17" s="78">
        <v>83326.0</v>
      </c>
      <c r="D17" s="77" t="s">
        <v>91</v>
      </c>
      <c r="E17" s="78">
        <v>2697.0</v>
      </c>
      <c r="F17" s="79">
        <v>45736.0</v>
      </c>
      <c r="G17" s="77" t="s">
        <v>64</v>
      </c>
      <c r="H17" s="77" t="s">
        <v>40</v>
      </c>
      <c r="I17" s="80">
        <v>438.0</v>
      </c>
      <c r="J17" s="79">
        <v>45848.0</v>
      </c>
      <c r="K17" s="82" t="s">
        <v>64</v>
      </c>
      <c r="L17" s="81" t="s">
        <v>1605</v>
      </c>
      <c r="M17" s="81" t="s">
        <v>1608</v>
      </c>
    </row>
    <row r="18">
      <c r="A18" s="76" t="s">
        <v>196</v>
      </c>
      <c r="B18" s="77" t="s">
        <v>199</v>
      </c>
      <c r="C18" s="78">
        <v>22373.0</v>
      </c>
      <c r="D18" s="77" t="s">
        <v>200</v>
      </c>
      <c r="E18" s="77" t="s">
        <v>201</v>
      </c>
      <c r="F18" s="79">
        <v>45736.0</v>
      </c>
      <c r="G18" s="77" t="s">
        <v>45</v>
      </c>
      <c r="H18" s="77" t="s">
        <v>40</v>
      </c>
      <c r="I18" s="80">
        <v>438.0</v>
      </c>
      <c r="J18" s="79">
        <v>46135.0</v>
      </c>
      <c r="K18" s="82" t="s">
        <v>64</v>
      </c>
      <c r="L18" s="81" t="s">
        <v>1610</v>
      </c>
      <c r="M18" s="83"/>
    </row>
    <row r="19">
      <c r="A19" s="76" t="s">
        <v>209</v>
      </c>
      <c r="B19" s="77" t="s">
        <v>210</v>
      </c>
      <c r="C19" s="78">
        <v>22373.0</v>
      </c>
      <c r="D19" s="77" t="s">
        <v>211</v>
      </c>
      <c r="E19" s="77" t="s">
        <v>212</v>
      </c>
      <c r="F19" s="79">
        <v>45736.0</v>
      </c>
      <c r="G19" s="77" t="s">
        <v>45</v>
      </c>
      <c r="H19" s="77" t="s">
        <v>40</v>
      </c>
      <c r="I19" s="80">
        <v>438.0</v>
      </c>
      <c r="J19" s="79">
        <v>45891.0</v>
      </c>
      <c r="K19" s="82" t="s">
        <v>64</v>
      </c>
      <c r="L19" s="81" t="s">
        <v>1611</v>
      </c>
      <c r="M19" s="83"/>
    </row>
    <row r="20">
      <c r="A20" s="76" t="s">
        <v>171</v>
      </c>
      <c r="B20" s="77" t="s">
        <v>174</v>
      </c>
      <c r="C20" s="77" t="s">
        <v>156</v>
      </c>
      <c r="D20" s="77" t="s">
        <v>175</v>
      </c>
      <c r="E20" s="77" t="s">
        <v>176</v>
      </c>
      <c r="F20" s="79">
        <v>45736.0</v>
      </c>
      <c r="G20" s="77" t="s">
        <v>45</v>
      </c>
      <c r="H20" s="77" t="s">
        <v>40</v>
      </c>
      <c r="I20" s="80">
        <v>438.0</v>
      </c>
      <c r="J20" s="81" t="s">
        <v>1581</v>
      </c>
      <c r="K20" s="82" t="s">
        <v>1582</v>
      </c>
      <c r="L20" s="83"/>
      <c r="M20" s="83"/>
    </row>
    <row r="21">
      <c r="A21" s="76" t="s">
        <v>222</v>
      </c>
      <c r="B21" s="77" t="s">
        <v>223</v>
      </c>
      <c r="C21" s="78">
        <v>33269.0</v>
      </c>
      <c r="D21" s="77" t="s">
        <v>224</v>
      </c>
      <c r="E21" s="77" t="s">
        <v>225</v>
      </c>
      <c r="F21" s="79">
        <v>45736.0</v>
      </c>
      <c r="G21" s="77" t="s">
        <v>66</v>
      </c>
      <c r="H21" s="77" t="s">
        <v>40</v>
      </c>
      <c r="I21" s="80">
        <v>438.0</v>
      </c>
      <c r="J21" s="81" t="s">
        <v>1581</v>
      </c>
      <c r="K21" s="82" t="s">
        <v>1582</v>
      </c>
      <c r="L21" s="83"/>
      <c r="M21" s="83"/>
    </row>
    <row r="22">
      <c r="A22" s="76" t="s">
        <v>81</v>
      </c>
      <c r="B22" s="77" t="s">
        <v>84</v>
      </c>
      <c r="C22" s="78">
        <v>60253.0</v>
      </c>
      <c r="D22" s="77" t="s">
        <v>85</v>
      </c>
      <c r="E22" s="84">
        <v>9450.0</v>
      </c>
      <c r="F22" s="79">
        <v>45736.0</v>
      </c>
      <c r="G22" s="77" t="s">
        <v>63</v>
      </c>
      <c r="H22" s="77" t="s">
        <v>40</v>
      </c>
      <c r="I22" s="80">
        <v>438.0</v>
      </c>
      <c r="J22" s="79">
        <v>45889.0</v>
      </c>
      <c r="K22" s="82" t="s">
        <v>1614</v>
      </c>
      <c r="L22" s="81" t="s">
        <v>1616</v>
      </c>
      <c r="M22" s="83"/>
    </row>
    <row r="23">
      <c r="A23" s="76" t="s">
        <v>146</v>
      </c>
      <c r="B23" s="77" t="s">
        <v>147</v>
      </c>
      <c r="C23" s="78">
        <v>13068.0</v>
      </c>
      <c r="D23" s="77" t="s">
        <v>148</v>
      </c>
      <c r="E23" s="77" t="s">
        <v>150</v>
      </c>
      <c r="F23" s="79">
        <v>45736.0</v>
      </c>
      <c r="G23" s="77" t="s">
        <v>75</v>
      </c>
      <c r="H23" s="77" t="s">
        <v>40</v>
      </c>
      <c r="I23" s="80">
        <v>438.0</v>
      </c>
      <c r="J23" s="79">
        <v>45800.0</v>
      </c>
      <c r="K23" s="82" t="s">
        <v>1614</v>
      </c>
      <c r="L23" s="81" t="s">
        <v>1617</v>
      </c>
      <c r="M23" s="83"/>
    </row>
    <row r="24">
      <c r="A24" s="76" t="s">
        <v>180</v>
      </c>
      <c r="B24" s="77" t="s">
        <v>181</v>
      </c>
      <c r="C24" s="77" t="s">
        <v>156</v>
      </c>
      <c r="D24" s="77" t="s">
        <v>182</v>
      </c>
      <c r="E24" s="78">
        <v>791.0</v>
      </c>
      <c r="F24" s="79">
        <v>45736.0</v>
      </c>
      <c r="G24" s="77" t="s">
        <v>169</v>
      </c>
      <c r="H24" s="77" t="s">
        <v>40</v>
      </c>
      <c r="I24" s="80">
        <v>438.0</v>
      </c>
      <c r="J24" s="87">
        <v>45897.0</v>
      </c>
      <c r="K24" s="82" t="s">
        <v>1614</v>
      </c>
      <c r="L24" s="81" t="s">
        <v>1616</v>
      </c>
      <c r="M24" s="83"/>
    </row>
    <row r="25">
      <c r="A25" s="76" t="s">
        <v>187</v>
      </c>
      <c r="B25" s="77" t="s">
        <v>181</v>
      </c>
      <c r="C25" s="77" t="s">
        <v>156</v>
      </c>
      <c r="D25" s="77" t="s">
        <v>182</v>
      </c>
      <c r="E25" s="78">
        <v>7077.0</v>
      </c>
      <c r="F25" s="79">
        <v>45736.0</v>
      </c>
      <c r="G25" s="77" t="s">
        <v>188</v>
      </c>
      <c r="H25" s="77" t="s">
        <v>40</v>
      </c>
      <c r="I25" s="80">
        <v>438.0</v>
      </c>
      <c r="J25" s="79">
        <v>45802.0</v>
      </c>
      <c r="K25" s="82" t="s">
        <v>1614</v>
      </c>
      <c r="L25" s="81" t="s">
        <v>1617</v>
      </c>
      <c r="M25" s="83"/>
    </row>
    <row r="26">
      <c r="A26" s="76" t="s">
        <v>163</v>
      </c>
      <c r="B26" s="77" t="s">
        <v>164</v>
      </c>
      <c r="C26" s="78">
        <v>71653.0</v>
      </c>
      <c r="D26" s="77" t="s">
        <v>165</v>
      </c>
      <c r="E26" s="77" t="s">
        <v>167</v>
      </c>
      <c r="F26" s="79">
        <v>45736.0</v>
      </c>
      <c r="G26" s="77" t="s">
        <v>169</v>
      </c>
      <c r="H26" s="77" t="s">
        <v>40</v>
      </c>
      <c r="I26" s="80">
        <v>438.0</v>
      </c>
      <c r="J26" s="81" t="s">
        <v>1620</v>
      </c>
      <c r="K26" s="82" t="s">
        <v>1621</v>
      </c>
      <c r="L26" s="83"/>
      <c r="M26" s="83"/>
    </row>
    <row r="27">
      <c r="A27" s="76" t="s">
        <v>236</v>
      </c>
      <c r="B27" s="77" t="s">
        <v>237</v>
      </c>
      <c r="C27" s="77" t="s">
        <v>156</v>
      </c>
      <c r="D27" s="77" t="s">
        <v>238</v>
      </c>
      <c r="E27" s="86"/>
      <c r="F27" s="79">
        <v>45736.0</v>
      </c>
      <c r="G27" s="77" t="s">
        <v>63</v>
      </c>
      <c r="H27" s="77" t="s">
        <v>40</v>
      </c>
      <c r="I27" s="80">
        <v>438.0</v>
      </c>
      <c r="J27" s="81" t="s">
        <v>1620</v>
      </c>
      <c r="K27" s="82" t="s">
        <v>1621</v>
      </c>
      <c r="L27" s="83"/>
      <c r="M27" s="83"/>
    </row>
    <row r="28">
      <c r="A28" s="76" t="s">
        <v>193</v>
      </c>
      <c r="B28" s="77" t="s">
        <v>42</v>
      </c>
      <c r="C28" s="78">
        <v>22373.0</v>
      </c>
      <c r="D28" s="77" t="s">
        <v>43</v>
      </c>
      <c r="E28" s="78">
        <v>3885.0</v>
      </c>
      <c r="F28" s="79">
        <v>45736.0</v>
      </c>
      <c r="G28" s="77" t="s">
        <v>188</v>
      </c>
      <c r="H28" s="77" t="s">
        <v>40</v>
      </c>
      <c r="I28" s="80">
        <v>438.0</v>
      </c>
      <c r="J28" s="88" t="s">
        <v>1581</v>
      </c>
      <c r="K28" s="82" t="s">
        <v>1623</v>
      </c>
      <c r="L28" s="83"/>
      <c r="M28" s="83"/>
    </row>
    <row r="29">
      <c r="A29" s="76" t="s">
        <v>215</v>
      </c>
      <c r="B29" s="77" t="s">
        <v>216</v>
      </c>
      <c r="C29" s="78">
        <v>22373.0</v>
      </c>
      <c r="D29" s="77" t="s">
        <v>217</v>
      </c>
      <c r="E29" s="78">
        <v>75123.0</v>
      </c>
      <c r="F29" s="79">
        <v>45736.0</v>
      </c>
      <c r="G29" s="77" t="s">
        <v>45</v>
      </c>
      <c r="H29" s="77" t="s">
        <v>40</v>
      </c>
      <c r="I29" s="80">
        <v>438.0</v>
      </c>
      <c r="J29" s="88" t="s">
        <v>1581</v>
      </c>
      <c r="K29" s="82" t="s">
        <v>1623</v>
      </c>
      <c r="L29" s="83"/>
      <c r="M29" s="83"/>
    </row>
    <row r="30">
      <c r="A30" s="76" t="s">
        <v>267</v>
      </c>
      <c r="B30" s="77" t="s">
        <v>259</v>
      </c>
      <c r="C30" s="78">
        <v>22373.0</v>
      </c>
      <c r="D30" s="77" t="s">
        <v>260</v>
      </c>
      <c r="E30" s="78">
        <v>53450.0</v>
      </c>
      <c r="F30" s="79">
        <v>45769.0</v>
      </c>
      <c r="G30" s="77" t="s">
        <v>75</v>
      </c>
      <c r="H30" s="77" t="s">
        <v>40</v>
      </c>
      <c r="I30" s="80">
        <v>405.0</v>
      </c>
      <c r="J30" s="79">
        <v>46113.0</v>
      </c>
      <c r="K30" s="82" t="s">
        <v>60</v>
      </c>
      <c r="L30" s="81" t="s">
        <v>1626</v>
      </c>
      <c r="M30" s="83"/>
    </row>
    <row r="31">
      <c r="A31" s="76" t="s">
        <v>248</v>
      </c>
      <c r="B31" s="77" t="s">
        <v>251</v>
      </c>
      <c r="C31" s="77" t="s">
        <v>156</v>
      </c>
      <c r="D31" s="77" t="s">
        <v>252</v>
      </c>
      <c r="E31" s="77" t="s">
        <v>253</v>
      </c>
      <c r="F31" s="79">
        <v>45769.0</v>
      </c>
      <c r="G31" s="77" t="s">
        <v>45</v>
      </c>
      <c r="H31" s="77" t="s">
        <v>40</v>
      </c>
      <c r="I31" s="80">
        <v>405.0</v>
      </c>
      <c r="J31" s="79">
        <v>45856.0</v>
      </c>
      <c r="K31" s="82" t="s">
        <v>57</v>
      </c>
      <c r="L31" s="81" t="s">
        <v>1629</v>
      </c>
      <c r="M31" s="83"/>
    </row>
    <row r="32">
      <c r="A32" s="76" t="s">
        <v>273</v>
      </c>
      <c r="B32" s="77" t="s">
        <v>274</v>
      </c>
      <c r="C32" s="77" t="s">
        <v>275</v>
      </c>
      <c r="D32" s="77" t="s">
        <v>276</v>
      </c>
      <c r="E32" s="78">
        <v>8.6805596E7</v>
      </c>
      <c r="F32" s="79">
        <v>45769.0</v>
      </c>
      <c r="G32" s="77" t="s">
        <v>63</v>
      </c>
      <c r="H32" s="77" t="s">
        <v>40</v>
      </c>
      <c r="I32" s="80">
        <v>405.0</v>
      </c>
      <c r="J32" s="79">
        <v>46100.0</v>
      </c>
      <c r="K32" s="82" t="s">
        <v>63</v>
      </c>
      <c r="L32" s="81" t="s">
        <v>1630</v>
      </c>
      <c r="M32" s="81">
        <v>8.6818658E7</v>
      </c>
    </row>
    <row r="33">
      <c r="A33" s="76" t="s">
        <v>290</v>
      </c>
      <c r="B33" s="77" t="s">
        <v>286</v>
      </c>
      <c r="C33" s="78">
        <v>22373.0</v>
      </c>
      <c r="D33" s="77" t="s">
        <v>287</v>
      </c>
      <c r="E33" s="78">
        <v>34257.0</v>
      </c>
      <c r="F33" s="79">
        <v>45769.0</v>
      </c>
      <c r="G33" s="77" t="s">
        <v>64</v>
      </c>
      <c r="H33" s="77" t="s">
        <v>40</v>
      </c>
      <c r="I33" s="80">
        <v>405.0</v>
      </c>
      <c r="J33" s="81" t="s">
        <v>1581</v>
      </c>
      <c r="K33" s="82" t="s">
        <v>1582</v>
      </c>
      <c r="L33" s="83"/>
      <c r="M33" s="83"/>
    </row>
    <row r="34">
      <c r="A34" s="76" t="s">
        <v>285</v>
      </c>
      <c r="B34" s="77" t="s">
        <v>286</v>
      </c>
      <c r="C34" s="78">
        <v>22373.0</v>
      </c>
      <c r="D34" s="77" t="s">
        <v>287</v>
      </c>
      <c r="E34" s="78">
        <v>30865.0</v>
      </c>
      <c r="F34" s="79">
        <v>45769.0</v>
      </c>
      <c r="G34" s="77" t="s">
        <v>45</v>
      </c>
      <c r="H34" s="77" t="s">
        <v>40</v>
      </c>
      <c r="I34" s="80">
        <v>405.0</v>
      </c>
      <c r="J34" s="81" t="s">
        <v>1634</v>
      </c>
      <c r="K34" s="82" t="s">
        <v>1589</v>
      </c>
      <c r="L34" s="83"/>
      <c r="M34" s="83"/>
    </row>
    <row r="35">
      <c r="A35" s="76" t="s">
        <v>293</v>
      </c>
      <c r="B35" s="77" t="s">
        <v>286</v>
      </c>
      <c r="C35" s="78">
        <v>22373.0</v>
      </c>
      <c r="D35" s="77" t="s">
        <v>287</v>
      </c>
      <c r="E35" s="78">
        <v>4355.0</v>
      </c>
      <c r="F35" s="79">
        <v>45769.0</v>
      </c>
      <c r="G35" s="77" t="s">
        <v>294</v>
      </c>
      <c r="H35" s="77" t="s">
        <v>40</v>
      </c>
      <c r="I35" s="80">
        <v>405.0</v>
      </c>
      <c r="J35" s="81" t="s">
        <v>1634</v>
      </c>
      <c r="K35" s="82" t="s">
        <v>1589</v>
      </c>
      <c r="L35" s="83"/>
      <c r="M35" s="83"/>
    </row>
    <row r="36">
      <c r="A36" s="76" t="s">
        <v>258</v>
      </c>
      <c r="B36" s="77" t="s">
        <v>259</v>
      </c>
      <c r="C36" s="78">
        <v>22373.0</v>
      </c>
      <c r="D36" s="77" t="s">
        <v>260</v>
      </c>
      <c r="E36" s="77" t="s">
        <v>261</v>
      </c>
      <c r="F36" s="79">
        <v>45769.0</v>
      </c>
      <c r="G36" s="77" t="s">
        <v>262</v>
      </c>
      <c r="H36" s="77" t="s">
        <v>40</v>
      </c>
      <c r="I36" s="80">
        <v>405.0</v>
      </c>
      <c r="J36" s="88" t="s">
        <v>1581</v>
      </c>
      <c r="K36" s="82" t="s">
        <v>1623</v>
      </c>
      <c r="L36" s="83"/>
      <c r="M36" s="83"/>
    </row>
    <row r="37">
      <c r="A37" s="76" t="s">
        <v>270</v>
      </c>
      <c r="B37" s="77" t="s">
        <v>259</v>
      </c>
      <c r="C37" s="78">
        <v>22373.0</v>
      </c>
      <c r="D37" s="77" t="s">
        <v>260</v>
      </c>
      <c r="E37" s="78">
        <v>52537.0</v>
      </c>
      <c r="F37" s="79">
        <v>45769.0</v>
      </c>
      <c r="G37" s="77" t="s">
        <v>75</v>
      </c>
      <c r="H37" s="77" t="s">
        <v>40</v>
      </c>
      <c r="I37" s="80">
        <v>405.0</v>
      </c>
      <c r="J37" s="88" t="s">
        <v>1581</v>
      </c>
      <c r="K37" s="82" t="s">
        <v>1623</v>
      </c>
      <c r="L37" s="83"/>
      <c r="M37" s="83"/>
    </row>
    <row r="38">
      <c r="A38" s="76" t="s">
        <v>280</v>
      </c>
      <c r="B38" s="77" t="s">
        <v>281</v>
      </c>
      <c r="C38" s="78">
        <v>22373.0</v>
      </c>
      <c r="D38" s="77" t="s">
        <v>282</v>
      </c>
      <c r="E38" s="78">
        <v>28411.0</v>
      </c>
      <c r="F38" s="79">
        <v>45769.0</v>
      </c>
      <c r="G38" s="77" t="s">
        <v>75</v>
      </c>
      <c r="H38" s="77" t="s">
        <v>40</v>
      </c>
      <c r="I38" s="80">
        <v>405.0</v>
      </c>
      <c r="J38" s="88" t="s">
        <v>1581</v>
      </c>
      <c r="K38" s="82" t="s">
        <v>1623</v>
      </c>
      <c r="L38" s="83"/>
      <c r="M38" s="83"/>
    </row>
    <row r="39">
      <c r="A39" s="76" t="s">
        <v>301</v>
      </c>
      <c r="B39" s="77" t="s">
        <v>302</v>
      </c>
      <c r="C39" s="78">
        <v>22373.0</v>
      </c>
      <c r="D39" s="77" t="s">
        <v>303</v>
      </c>
      <c r="E39" s="78">
        <v>86012.0</v>
      </c>
      <c r="F39" s="79">
        <v>45769.0</v>
      </c>
      <c r="G39" s="77" t="s">
        <v>304</v>
      </c>
      <c r="H39" s="77" t="s">
        <v>40</v>
      </c>
      <c r="I39" s="80">
        <v>405.0</v>
      </c>
      <c r="J39" s="81" t="s">
        <v>1637</v>
      </c>
      <c r="K39" s="82" t="s">
        <v>1623</v>
      </c>
      <c r="L39" s="83"/>
      <c r="M39" s="83"/>
    </row>
    <row r="40">
      <c r="A40" s="76" t="s">
        <v>309</v>
      </c>
      <c r="B40" s="77" t="s">
        <v>310</v>
      </c>
      <c r="C40" s="77" t="s">
        <v>156</v>
      </c>
      <c r="D40" s="77" t="s">
        <v>311</v>
      </c>
      <c r="E40" s="77" t="s">
        <v>312</v>
      </c>
      <c r="F40" s="79">
        <v>45799.0</v>
      </c>
      <c r="G40" s="77" t="s">
        <v>66</v>
      </c>
      <c r="H40" s="77" t="s">
        <v>40</v>
      </c>
      <c r="I40" s="80">
        <v>375.0</v>
      </c>
      <c r="J40" s="79">
        <v>46092.0</v>
      </c>
      <c r="K40" s="82" t="s">
        <v>63</v>
      </c>
      <c r="L40" s="81" t="s">
        <v>1639</v>
      </c>
      <c r="M40" s="83"/>
    </row>
    <row r="41">
      <c r="A41" s="76" t="s">
        <v>315</v>
      </c>
      <c r="B41" s="77" t="s">
        <v>223</v>
      </c>
      <c r="C41" s="78">
        <v>33269.0</v>
      </c>
      <c r="D41" s="77" t="s">
        <v>224</v>
      </c>
      <c r="E41" s="89">
        <v>2.0</v>
      </c>
      <c r="F41" s="79">
        <v>45799.0</v>
      </c>
      <c r="G41" s="77" t="s">
        <v>143</v>
      </c>
      <c r="H41" s="77" t="s">
        <v>40</v>
      </c>
      <c r="I41" s="80">
        <v>375.0</v>
      </c>
      <c r="J41" s="79">
        <v>46119.0</v>
      </c>
      <c r="K41" s="82" t="s">
        <v>1614</v>
      </c>
      <c r="L41" s="81" t="s">
        <v>1641</v>
      </c>
      <c r="M41" s="83"/>
    </row>
    <row r="42">
      <c r="A42" s="76" t="s">
        <v>330</v>
      </c>
      <c r="B42" s="77" t="s">
        <v>226</v>
      </c>
      <c r="C42" s="78">
        <v>71513.0</v>
      </c>
      <c r="D42" s="77" t="s">
        <v>320</v>
      </c>
      <c r="E42" s="78">
        <v>967.0</v>
      </c>
      <c r="F42" s="79">
        <v>45803.0</v>
      </c>
      <c r="G42" s="77" t="s">
        <v>45</v>
      </c>
      <c r="H42" s="77" t="s">
        <v>40</v>
      </c>
      <c r="I42" s="80">
        <v>371.0</v>
      </c>
      <c r="J42" s="81" t="s">
        <v>1581</v>
      </c>
      <c r="K42" s="82" t="s">
        <v>1582</v>
      </c>
      <c r="L42" s="83"/>
      <c r="M42" s="83"/>
    </row>
    <row r="43">
      <c r="A43" s="76" t="s">
        <v>319</v>
      </c>
      <c r="B43" s="77" t="s">
        <v>226</v>
      </c>
      <c r="C43" s="78">
        <v>71513.0</v>
      </c>
      <c r="D43" s="77" t="s">
        <v>320</v>
      </c>
      <c r="E43" s="77" t="s">
        <v>321</v>
      </c>
      <c r="F43" s="79">
        <v>45803.0</v>
      </c>
      <c r="G43" s="77" t="s">
        <v>45</v>
      </c>
      <c r="H43" s="77" t="s">
        <v>40</v>
      </c>
      <c r="I43" s="80">
        <v>371.0</v>
      </c>
      <c r="J43" s="83"/>
      <c r="K43" s="81" t="s">
        <v>1643</v>
      </c>
      <c r="L43" s="83"/>
      <c r="M43" s="83"/>
    </row>
    <row r="44">
      <c r="A44" s="76" t="s">
        <v>340</v>
      </c>
      <c r="B44" s="77" t="s">
        <v>335</v>
      </c>
      <c r="C44" s="78">
        <v>71513.0</v>
      </c>
      <c r="D44" s="77" t="s">
        <v>336</v>
      </c>
      <c r="E44" s="78">
        <v>49.0</v>
      </c>
      <c r="F44" s="79">
        <v>45803.0</v>
      </c>
      <c r="G44" s="77" t="s">
        <v>45</v>
      </c>
      <c r="H44" s="77" t="s">
        <v>40</v>
      </c>
      <c r="I44" s="80">
        <v>371.0</v>
      </c>
      <c r="J44" s="83"/>
      <c r="K44" s="81" t="s">
        <v>1643</v>
      </c>
      <c r="L44" s="83"/>
      <c r="M44" s="83"/>
    </row>
    <row r="45">
      <c r="A45" s="76" t="s">
        <v>342</v>
      </c>
      <c r="B45" s="77" t="s">
        <v>218</v>
      </c>
      <c r="C45" s="78">
        <v>33269.0</v>
      </c>
      <c r="D45" s="77" t="s">
        <v>343</v>
      </c>
      <c r="E45" s="78">
        <v>32.0</v>
      </c>
      <c r="F45" s="79">
        <v>45803.0</v>
      </c>
      <c r="G45" s="77" t="s">
        <v>71</v>
      </c>
      <c r="H45" s="77" t="s">
        <v>40</v>
      </c>
      <c r="I45" s="80">
        <v>371.0</v>
      </c>
      <c r="J45" s="83"/>
      <c r="K45" s="81" t="s">
        <v>1643</v>
      </c>
      <c r="L45" s="83"/>
      <c r="M45" s="83"/>
    </row>
    <row r="46">
      <c r="A46" s="76" t="s">
        <v>325</v>
      </c>
      <c r="B46" s="77" t="s">
        <v>226</v>
      </c>
      <c r="C46" s="78">
        <v>71513.0</v>
      </c>
      <c r="D46" s="77" t="s">
        <v>320</v>
      </c>
      <c r="E46" s="78">
        <v>39.0</v>
      </c>
      <c r="F46" s="79">
        <v>45803.0</v>
      </c>
      <c r="G46" s="77" t="s">
        <v>71</v>
      </c>
      <c r="H46" s="77" t="s">
        <v>40</v>
      </c>
      <c r="I46" s="80">
        <v>371.0</v>
      </c>
      <c r="J46" s="81" t="s">
        <v>1620</v>
      </c>
      <c r="K46" s="82" t="s">
        <v>1589</v>
      </c>
      <c r="L46" s="83"/>
      <c r="M46" s="83"/>
    </row>
    <row r="47">
      <c r="A47" s="76" t="s">
        <v>334</v>
      </c>
      <c r="B47" s="77" t="s">
        <v>335</v>
      </c>
      <c r="C47" s="78">
        <v>71513.0</v>
      </c>
      <c r="D47" s="77" t="s">
        <v>336</v>
      </c>
      <c r="E47" s="78">
        <v>772.0</v>
      </c>
      <c r="F47" s="79">
        <v>45803.0</v>
      </c>
      <c r="G47" s="77" t="s">
        <v>66</v>
      </c>
      <c r="H47" s="77" t="s">
        <v>40</v>
      </c>
      <c r="I47" s="80">
        <v>371.0</v>
      </c>
      <c r="J47" s="81" t="s">
        <v>1620</v>
      </c>
      <c r="K47" s="82" t="s">
        <v>1589</v>
      </c>
      <c r="L47" s="83"/>
      <c r="M47" s="83"/>
    </row>
    <row r="48">
      <c r="A48" s="76" t="s">
        <v>344</v>
      </c>
      <c r="B48" s="77" t="s">
        <v>218</v>
      </c>
      <c r="C48" s="78">
        <v>33269.0</v>
      </c>
      <c r="D48" s="77" t="s">
        <v>343</v>
      </c>
      <c r="E48" s="78">
        <v>969.0</v>
      </c>
      <c r="F48" s="79">
        <v>45803.0</v>
      </c>
      <c r="G48" s="77" t="s">
        <v>45</v>
      </c>
      <c r="H48" s="77" t="s">
        <v>40</v>
      </c>
      <c r="I48" s="80">
        <v>371.0</v>
      </c>
      <c r="J48" s="81" t="s">
        <v>1620</v>
      </c>
      <c r="K48" s="82" t="s">
        <v>1589</v>
      </c>
      <c r="L48" s="83"/>
      <c r="M48" s="83"/>
    </row>
    <row r="49">
      <c r="A49" s="76" t="s">
        <v>1499</v>
      </c>
      <c r="B49" s="77" t="s">
        <v>1278</v>
      </c>
      <c r="C49" s="78">
        <v>74025.0</v>
      </c>
      <c r="D49" s="77" t="s">
        <v>1279</v>
      </c>
      <c r="E49" s="78">
        <v>1.0603744E7</v>
      </c>
      <c r="F49" s="79">
        <v>45813.0</v>
      </c>
      <c r="G49" s="77" t="s">
        <v>45</v>
      </c>
      <c r="H49" s="77" t="s">
        <v>40</v>
      </c>
      <c r="I49" s="80">
        <v>361.0</v>
      </c>
      <c r="J49" s="81" t="s">
        <v>1588</v>
      </c>
      <c r="K49" s="82" t="s">
        <v>1590</v>
      </c>
      <c r="L49" s="83"/>
      <c r="M49" s="83"/>
    </row>
    <row r="50">
      <c r="A50" s="76" t="s">
        <v>1502</v>
      </c>
      <c r="B50" s="77" t="s">
        <v>1278</v>
      </c>
      <c r="C50" s="78">
        <v>74025.0</v>
      </c>
      <c r="D50" s="77" t="s">
        <v>1279</v>
      </c>
      <c r="E50" s="78">
        <v>1.1200477E7</v>
      </c>
      <c r="F50" s="79">
        <v>45813.0</v>
      </c>
      <c r="G50" s="77" t="s">
        <v>68</v>
      </c>
      <c r="H50" s="77" t="s">
        <v>40</v>
      </c>
      <c r="I50" s="80">
        <v>361.0</v>
      </c>
      <c r="J50" s="81" t="s">
        <v>1588</v>
      </c>
      <c r="K50" s="82" t="s">
        <v>1590</v>
      </c>
      <c r="L50" s="83"/>
      <c r="M50" s="83"/>
    </row>
    <row r="51">
      <c r="A51" s="76" t="s">
        <v>353</v>
      </c>
      <c r="B51" s="77" t="s">
        <v>90</v>
      </c>
      <c r="C51" s="78">
        <v>83326.0</v>
      </c>
      <c r="D51" s="77" t="s">
        <v>91</v>
      </c>
      <c r="E51" s="78">
        <v>197.0</v>
      </c>
      <c r="F51" s="79">
        <v>45813.0</v>
      </c>
      <c r="G51" s="77" t="s">
        <v>63</v>
      </c>
      <c r="H51" s="77" t="s">
        <v>40</v>
      </c>
      <c r="I51" s="80">
        <v>361.0</v>
      </c>
      <c r="J51" s="87">
        <v>45797.0</v>
      </c>
      <c r="K51" s="82" t="s">
        <v>64</v>
      </c>
      <c r="L51" s="81" t="s">
        <v>1646</v>
      </c>
      <c r="M51" s="81" t="s">
        <v>1647</v>
      </c>
    </row>
    <row r="52">
      <c r="A52" s="76" t="s">
        <v>361</v>
      </c>
      <c r="B52" s="77" t="s">
        <v>90</v>
      </c>
      <c r="C52" s="78">
        <v>83326.0</v>
      </c>
      <c r="D52" s="77" t="s">
        <v>91</v>
      </c>
      <c r="E52" s="78">
        <v>2469.0</v>
      </c>
      <c r="F52" s="79">
        <v>45813.0</v>
      </c>
      <c r="G52" s="77" t="s">
        <v>45</v>
      </c>
      <c r="H52" s="77" t="s">
        <v>40</v>
      </c>
      <c r="I52" s="80">
        <v>361.0</v>
      </c>
      <c r="J52" s="87">
        <v>45853.0</v>
      </c>
      <c r="K52" s="82" t="s">
        <v>64</v>
      </c>
      <c r="L52" s="81" t="s">
        <v>1648</v>
      </c>
      <c r="M52" s="81">
        <v>1831.0</v>
      </c>
    </row>
    <row r="53">
      <c r="A53" s="76" t="s">
        <v>364</v>
      </c>
      <c r="B53" s="77" t="s">
        <v>365</v>
      </c>
      <c r="C53" s="77" t="s">
        <v>156</v>
      </c>
      <c r="D53" s="77" t="s">
        <v>366</v>
      </c>
      <c r="E53" s="78">
        <v>292.0</v>
      </c>
      <c r="F53" s="79">
        <v>45813.0</v>
      </c>
      <c r="G53" s="77" t="s">
        <v>60</v>
      </c>
      <c r="H53" s="77" t="s">
        <v>40</v>
      </c>
      <c r="I53" s="80">
        <v>361.0</v>
      </c>
      <c r="J53" s="81" t="s">
        <v>1588</v>
      </c>
      <c r="K53" s="82" t="s">
        <v>1589</v>
      </c>
      <c r="L53" s="83"/>
      <c r="M53" s="83"/>
    </row>
    <row r="54">
      <c r="A54" s="76" t="s">
        <v>356</v>
      </c>
      <c r="B54" s="77" t="s">
        <v>90</v>
      </c>
      <c r="C54" s="78">
        <v>83326.0</v>
      </c>
      <c r="D54" s="77" t="s">
        <v>91</v>
      </c>
      <c r="E54" s="77" t="s">
        <v>357</v>
      </c>
      <c r="F54" s="79">
        <v>45813.0</v>
      </c>
      <c r="G54" s="77" t="s">
        <v>63</v>
      </c>
      <c r="H54" s="77" t="s">
        <v>40</v>
      </c>
      <c r="I54" s="80">
        <v>361.0</v>
      </c>
      <c r="J54" s="83"/>
      <c r="K54" s="82" t="s">
        <v>1589</v>
      </c>
      <c r="L54" s="83"/>
      <c r="M54" s="81" t="s">
        <v>1650</v>
      </c>
    </row>
    <row r="55">
      <c r="A55" s="76" t="s">
        <v>347</v>
      </c>
      <c r="B55" s="77" t="s">
        <v>286</v>
      </c>
      <c r="C55" s="78">
        <v>22373.0</v>
      </c>
      <c r="D55" s="77" t="s">
        <v>287</v>
      </c>
      <c r="E55" s="78">
        <v>3945.0</v>
      </c>
      <c r="F55" s="79">
        <v>45813.0</v>
      </c>
      <c r="G55" s="77" t="s">
        <v>349</v>
      </c>
      <c r="H55" s="77" t="s">
        <v>40</v>
      </c>
      <c r="I55" s="80">
        <v>361.0</v>
      </c>
      <c r="J55" s="88" t="s">
        <v>1652</v>
      </c>
      <c r="K55" s="82" t="s">
        <v>1623</v>
      </c>
      <c r="L55" s="83"/>
      <c r="M55" s="83"/>
    </row>
    <row r="56">
      <c r="A56" s="76" t="s">
        <v>371</v>
      </c>
      <c r="B56" s="77" t="s">
        <v>372</v>
      </c>
      <c r="C56" s="77" t="s">
        <v>373</v>
      </c>
      <c r="D56" s="77" t="s">
        <v>374</v>
      </c>
      <c r="E56" s="78">
        <v>5385.0</v>
      </c>
      <c r="F56" s="79">
        <v>45831.0</v>
      </c>
      <c r="G56" s="77" t="s">
        <v>45</v>
      </c>
      <c r="H56" s="77" t="s">
        <v>40</v>
      </c>
      <c r="I56" s="80">
        <v>343.0</v>
      </c>
      <c r="J56" s="83"/>
      <c r="K56" s="82" t="s">
        <v>64</v>
      </c>
      <c r="L56" s="81" t="s">
        <v>1653</v>
      </c>
      <c r="M56" s="83"/>
    </row>
    <row r="57">
      <c r="A57" s="76" t="s">
        <v>397</v>
      </c>
      <c r="B57" s="77" t="s">
        <v>90</v>
      </c>
      <c r="C57" s="78">
        <v>83326.0</v>
      </c>
      <c r="D57" s="77" t="s">
        <v>91</v>
      </c>
      <c r="E57" s="78">
        <v>908.0</v>
      </c>
      <c r="F57" s="79">
        <v>45831.0</v>
      </c>
      <c r="G57" s="77" t="s">
        <v>64</v>
      </c>
      <c r="H57" s="77" t="s">
        <v>40</v>
      </c>
      <c r="I57" s="80">
        <v>343.0</v>
      </c>
      <c r="J57" s="79">
        <v>45848.0</v>
      </c>
      <c r="K57" s="90" t="s">
        <v>64</v>
      </c>
      <c r="L57" s="81" t="s">
        <v>1605</v>
      </c>
      <c r="M57" s="81" t="s">
        <v>1654</v>
      </c>
    </row>
    <row r="58">
      <c r="A58" s="76" t="s">
        <v>377</v>
      </c>
      <c r="B58" s="77" t="s">
        <v>378</v>
      </c>
      <c r="C58" s="77" t="s">
        <v>156</v>
      </c>
      <c r="D58" s="77" t="s">
        <v>379</v>
      </c>
      <c r="E58" s="91">
        <v>1.0</v>
      </c>
      <c r="F58" s="79">
        <v>45831.0</v>
      </c>
      <c r="G58" s="77" t="s">
        <v>45</v>
      </c>
      <c r="H58" s="77" t="s">
        <v>40</v>
      </c>
      <c r="I58" s="80">
        <v>343.0</v>
      </c>
      <c r="J58" s="81" t="s">
        <v>1620</v>
      </c>
      <c r="K58" s="82" t="s">
        <v>1621</v>
      </c>
      <c r="L58" s="83"/>
      <c r="M58" s="83"/>
    </row>
    <row r="59">
      <c r="A59" s="76" t="s">
        <v>381</v>
      </c>
      <c r="B59" s="77" t="s">
        <v>383</v>
      </c>
      <c r="C59" s="78">
        <v>71379.0</v>
      </c>
      <c r="D59" s="77" t="s">
        <v>384</v>
      </c>
      <c r="E59" s="77" t="s">
        <v>385</v>
      </c>
      <c r="F59" s="79">
        <v>45831.0</v>
      </c>
      <c r="G59" s="77" t="s">
        <v>45</v>
      </c>
      <c r="H59" s="77" t="s">
        <v>40</v>
      </c>
      <c r="I59" s="80">
        <v>343.0</v>
      </c>
      <c r="J59" s="81" t="s">
        <v>1620</v>
      </c>
      <c r="K59" s="82" t="s">
        <v>1621</v>
      </c>
      <c r="L59" s="83"/>
      <c r="M59" s="83"/>
    </row>
    <row r="60">
      <c r="A60" s="76" t="s">
        <v>392</v>
      </c>
      <c r="B60" s="77" t="s">
        <v>383</v>
      </c>
      <c r="C60" s="78">
        <v>71379.0</v>
      </c>
      <c r="D60" s="77" t="s">
        <v>384</v>
      </c>
      <c r="E60" s="77" t="s">
        <v>393</v>
      </c>
      <c r="F60" s="79">
        <v>45831.0</v>
      </c>
      <c r="G60" s="77" t="s">
        <v>66</v>
      </c>
      <c r="H60" s="77" t="s">
        <v>40</v>
      </c>
      <c r="I60" s="80">
        <v>343.0</v>
      </c>
      <c r="J60" s="81" t="s">
        <v>1620</v>
      </c>
      <c r="K60" s="82" t="s">
        <v>1621</v>
      </c>
      <c r="L60" s="83"/>
      <c r="M60" s="83"/>
    </row>
    <row r="61">
      <c r="A61" s="76" t="s">
        <v>387</v>
      </c>
      <c r="B61" s="77" t="s">
        <v>383</v>
      </c>
      <c r="C61" s="78">
        <v>71379.0</v>
      </c>
      <c r="D61" s="77" t="s">
        <v>384</v>
      </c>
      <c r="E61" s="77" t="s">
        <v>388</v>
      </c>
      <c r="F61" s="79">
        <v>45831.0</v>
      </c>
      <c r="G61" s="77" t="s">
        <v>389</v>
      </c>
      <c r="H61" s="77" t="s">
        <v>40</v>
      </c>
      <c r="I61" s="80">
        <v>343.0</v>
      </c>
      <c r="J61" s="81" t="s">
        <v>1655</v>
      </c>
      <c r="K61" s="82" t="s">
        <v>1623</v>
      </c>
      <c r="L61" s="83"/>
      <c r="M61" s="83"/>
    </row>
    <row r="62">
      <c r="A62" s="76" t="s">
        <v>405</v>
      </c>
      <c r="B62" s="77" t="s">
        <v>406</v>
      </c>
      <c r="C62" s="78">
        <v>26055.0</v>
      </c>
      <c r="D62" s="77" t="s">
        <v>407</v>
      </c>
      <c r="E62" s="78">
        <v>203103.0</v>
      </c>
      <c r="F62" s="79">
        <v>45840.0</v>
      </c>
      <c r="G62" s="77" t="s">
        <v>57</v>
      </c>
      <c r="H62" s="77" t="s">
        <v>40</v>
      </c>
      <c r="I62" s="80">
        <v>334.0</v>
      </c>
      <c r="J62" s="83"/>
      <c r="K62" s="82" t="s">
        <v>64</v>
      </c>
      <c r="L62" s="81" t="s">
        <v>1658</v>
      </c>
      <c r="M62" s="83"/>
    </row>
    <row r="63">
      <c r="A63" s="76" t="s">
        <v>1525</v>
      </c>
      <c r="B63" s="77" t="s">
        <v>413</v>
      </c>
      <c r="C63" s="78">
        <v>54905.0</v>
      </c>
      <c r="D63" s="77" t="s">
        <v>414</v>
      </c>
      <c r="E63" s="77" t="s">
        <v>1526</v>
      </c>
      <c r="F63" s="79">
        <v>45840.0</v>
      </c>
      <c r="G63" s="77" t="s">
        <v>45</v>
      </c>
      <c r="H63" s="77" t="s">
        <v>40</v>
      </c>
      <c r="I63" s="80">
        <v>334.0</v>
      </c>
      <c r="J63" s="79">
        <v>46175.0</v>
      </c>
      <c r="K63" s="82" t="s">
        <v>1614</v>
      </c>
      <c r="L63" s="81" t="s">
        <v>1660</v>
      </c>
      <c r="M63" s="83"/>
    </row>
    <row r="64">
      <c r="A64" s="76" t="s">
        <v>1527</v>
      </c>
      <c r="B64" s="77" t="s">
        <v>413</v>
      </c>
      <c r="C64" s="78">
        <v>54905.0</v>
      </c>
      <c r="D64" s="77" t="s">
        <v>414</v>
      </c>
      <c r="E64" s="77" t="s">
        <v>1528</v>
      </c>
      <c r="F64" s="79">
        <v>45840.0</v>
      </c>
      <c r="G64" s="77" t="s">
        <v>45</v>
      </c>
      <c r="H64" s="77" t="s">
        <v>40</v>
      </c>
      <c r="I64" s="80">
        <v>334.0</v>
      </c>
      <c r="J64" s="79">
        <v>46175.0</v>
      </c>
      <c r="K64" s="82" t="s">
        <v>1614</v>
      </c>
      <c r="L64" s="81" t="s">
        <v>1660</v>
      </c>
      <c r="M64" s="83"/>
    </row>
    <row r="65">
      <c r="A65" s="76" t="s">
        <v>1530</v>
      </c>
      <c r="B65" s="77" t="s">
        <v>413</v>
      </c>
      <c r="C65" s="78">
        <v>54905.0</v>
      </c>
      <c r="D65" s="77" t="s">
        <v>414</v>
      </c>
      <c r="E65" s="77" t="s">
        <v>1531</v>
      </c>
      <c r="F65" s="79">
        <v>45840.0</v>
      </c>
      <c r="G65" s="77" t="s">
        <v>1532</v>
      </c>
      <c r="H65" s="77" t="s">
        <v>40</v>
      </c>
      <c r="I65" s="80">
        <v>334.0</v>
      </c>
      <c r="J65" s="79">
        <v>46175.0</v>
      </c>
      <c r="K65" s="82" t="s">
        <v>1614</v>
      </c>
      <c r="L65" s="81" t="s">
        <v>1660</v>
      </c>
      <c r="M65" s="83"/>
    </row>
    <row r="66">
      <c r="A66" s="76" t="s">
        <v>445</v>
      </c>
      <c r="B66" s="77" t="s">
        <v>440</v>
      </c>
      <c r="C66" s="77" t="s">
        <v>156</v>
      </c>
      <c r="D66" s="77" t="s">
        <v>441</v>
      </c>
      <c r="E66" s="78">
        <v>6132.0</v>
      </c>
      <c r="F66" s="79">
        <v>45840.0</v>
      </c>
      <c r="G66" s="77" t="s">
        <v>60</v>
      </c>
      <c r="H66" s="77" t="s">
        <v>40</v>
      </c>
      <c r="I66" s="80">
        <v>334.0</v>
      </c>
      <c r="J66" s="79">
        <v>45889.0</v>
      </c>
      <c r="K66" s="82" t="s">
        <v>1614</v>
      </c>
      <c r="L66" s="81" t="s">
        <v>1662</v>
      </c>
      <c r="M66" s="83"/>
    </row>
    <row r="67">
      <c r="A67" s="76" t="s">
        <v>439</v>
      </c>
      <c r="B67" s="77" t="s">
        <v>440</v>
      </c>
      <c r="C67" s="77" t="s">
        <v>156</v>
      </c>
      <c r="D67" s="77" t="s">
        <v>441</v>
      </c>
      <c r="E67" s="85">
        <v>30998.0</v>
      </c>
      <c r="F67" s="79">
        <v>45840.0</v>
      </c>
      <c r="G67" s="77" t="s">
        <v>45</v>
      </c>
      <c r="H67" s="77" t="s">
        <v>40</v>
      </c>
      <c r="I67" s="80">
        <v>334.0</v>
      </c>
      <c r="J67" s="79">
        <v>45876.0</v>
      </c>
      <c r="K67" s="82" t="s">
        <v>1614</v>
      </c>
      <c r="L67" s="81" t="s">
        <v>1663</v>
      </c>
      <c r="M67" s="83"/>
    </row>
    <row r="68">
      <c r="A68" s="76" t="s">
        <v>425</v>
      </c>
      <c r="B68" s="77" t="s">
        <v>413</v>
      </c>
      <c r="C68" s="78">
        <v>54905.0</v>
      </c>
      <c r="D68" s="77" t="s">
        <v>414</v>
      </c>
      <c r="E68" s="77" t="s">
        <v>428</v>
      </c>
      <c r="F68" s="79">
        <v>45840.0</v>
      </c>
      <c r="G68" s="77" t="s">
        <v>45</v>
      </c>
      <c r="H68" s="77" t="s">
        <v>40</v>
      </c>
      <c r="I68" s="80">
        <v>334.0</v>
      </c>
      <c r="J68" s="81" t="s">
        <v>1620</v>
      </c>
      <c r="K68" s="82" t="s">
        <v>1621</v>
      </c>
      <c r="L68" s="83"/>
      <c r="M68" s="83"/>
    </row>
    <row r="69">
      <c r="A69" s="76" t="s">
        <v>420</v>
      </c>
      <c r="B69" s="77" t="s">
        <v>413</v>
      </c>
      <c r="C69" s="78">
        <v>54905.0</v>
      </c>
      <c r="D69" s="77" t="s">
        <v>414</v>
      </c>
      <c r="E69" s="77" t="s">
        <v>421</v>
      </c>
      <c r="F69" s="79">
        <v>45840.0</v>
      </c>
      <c r="G69" s="77" t="s">
        <v>422</v>
      </c>
      <c r="H69" s="77" t="s">
        <v>40</v>
      </c>
      <c r="I69" s="80">
        <v>334.0</v>
      </c>
      <c r="J69" s="81" t="s">
        <v>1620</v>
      </c>
      <c r="K69" s="82" t="s">
        <v>1621</v>
      </c>
      <c r="L69" s="83"/>
      <c r="M69" s="83"/>
    </row>
    <row r="70">
      <c r="A70" s="76" t="s">
        <v>412</v>
      </c>
      <c r="B70" s="77" t="s">
        <v>413</v>
      </c>
      <c r="C70" s="78">
        <v>54905.0</v>
      </c>
      <c r="D70" s="77" t="s">
        <v>414</v>
      </c>
      <c r="E70" s="77" t="s">
        <v>415</v>
      </c>
      <c r="F70" s="79">
        <v>45840.0</v>
      </c>
      <c r="G70" s="77" t="s">
        <v>57</v>
      </c>
      <c r="H70" s="77" t="s">
        <v>40</v>
      </c>
      <c r="I70" s="80">
        <v>334.0</v>
      </c>
      <c r="J70" s="81" t="s">
        <v>1620</v>
      </c>
      <c r="K70" s="82" t="s">
        <v>1621</v>
      </c>
      <c r="L70" s="83"/>
      <c r="M70" s="83"/>
    </row>
    <row r="71">
      <c r="A71" s="76" t="s">
        <v>435</v>
      </c>
      <c r="B71" s="77" t="s">
        <v>244</v>
      </c>
      <c r="C71" s="77" t="s">
        <v>156</v>
      </c>
      <c r="D71" s="77" t="s">
        <v>430</v>
      </c>
      <c r="E71" s="77" t="s">
        <v>438</v>
      </c>
      <c r="F71" s="79">
        <v>45840.0</v>
      </c>
      <c r="G71" s="77" t="s">
        <v>45</v>
      </c>
      <c r="H71" s="77" t="s">
        <v>40</v>
      </c>
      <c r="I71" s="80">
        <v>334.0</v>
      </c>
      <c r="J71" s="81" t="s">
        <v>1588</v>
      </c>
      <c r="K71" s="82" t="s">
        <v>1589</v>
      </c>
      <c r="L71" s="83"/>
      <c r="M71" s="83"/>
    </row>
    <row r="72">
      <c r="A72" s="76" t="s">
        <v>429</v>
      </c>
      <c r="B72" s="77" t="s">
        <v>244</v>
      </c>
      <c r="C72" s="77" t="s">
        <v>156</v>
      </c>
      <c r="D72" s="77" t="s">
        <v>430</v>
      </c>
      <c r="E72" s="77" t="s">
        <v>431</v>
      </c>
      <c r="F72" s="79">
        <v>45840.0</v>
      </c>
      <c r="G72" s="77" t="s">
        <v>45</v>
      </c>
      <c r="H72" s="77" t="s">
        <v>40</v>
      </c>
      <c r="I72" s="80">
        <v>334.0</v>
      </c>
      <c r="J72" s="81" t="s">
        <v>1588</v>
      </c>
      <c r="K72" s="82" t="s">
        <v>1589</v>
      </c>
      <c r="L72" s="83"/>
      <c r="M72" s="83"/>
    </row>
    <row r="73">
      <c r="A73" s="76" t="s">
        <v>454</v>
      </c>
      <c r="B73" s="77" t="s">
        <v>51</v>
      </c>
      <c r="C73" s="78">
        <v>18560.0</v>
      </c>
      <c r="D73" s="77" t="s">
        <v>54</v>
      </c>
      <c r="E73" s="77" t="s">
        <v>455</v>
      </c>
      <c r="F73" s="79">
        <v>45840.0</v>
      </c>
      <c r="G73" s="77" t="s">
        <v>63</v>
      </c>
      <c r="H73" s="77" t="s">
        <v>40</v>
      </c>
      <c r="I73" s="80">
        <v>334.0</v>
      </c>
      <c r="J73" s="81" t="s">
        <v>1588</v>
      </c>
      <c r="K73" s="82" t="s">
        <v>1589</v>
      </c>
      <c r="L73" s="83"/>
      <c r="M73" s="83"/>
    </row>
    <row r="74">
      <c r="A74" s="76" t="s">
        <v>458</v>
      </c>
      <c r="B74" s="77" t="s">
        <v>51</v>
      </c>
      <c r="C74" s="78">
        <v>78286.0</v>
      </c>
      <c r="D74" s="77" t="s">
        <v>54</v>
      </c>
      <c r="E74" s="77" t="s">
        <v>459</v>
      </c>
      <c r="F74" s="79">
        <v>45840.0</v>
      </c>
      <c r="G74" s="77" t="s">
        <v>63</v>
      </c>
      <c r="H74" s="77" t="s">
        <v>40</v>
      </c>
      <c r="I74" s="80">
        <v>334.0</v>
      </c>
      <c r="J74" s="81" t="s">
        <v>1588</v>
      </c>
      <c r="K74" s="82" t="s">
        <v>1589</v>
      </c>
      <c r="L74" s="83"/>
      <c r="M74" s="83"/>
    </row>
    <row r="75">
      <c r="A75" s="76" t="s">
        <v>460</v>
      </c>
      <c r="B75" s="77" t="s">
        <v>51</v>
      </c>
      <c r="C75" s="78">
        <v>74703.0</v>
      </c>
      <c r="D75" s="77" t="s">
        <v>463</v>
      </c>
      <c r="E75" s="77" t="s">
        <v>464</v>
      </c>
      <c r="F75" s="79">
        <v>45840.0</v>
      </c>
      <c r="G75" s="77" t="s">
        <v>465</v>
      </c>
      <c r="H75" s="77" t="s">
        <v>40</v>
      </c>
      <c r="I75" s="80">
        <v>334.0</v>
      </c>
      <c r="J75" s="81" t="s">
        <v>1588</v>
      </c>
      <c r="K75" s="82" t="s">
        <v>1589</v>
      </c>
      <c r="L75" s="83"/>
      <c r="M75" s="83"/>
    </row>
    <row r="76">
      <c r="A76" s="76" t="s">
        <v>467</v>
      </c>
      <c r="B76" s="77" t="s">
        <v>51</v>
      </c>
      <c r="C76" s="78">
        <v>74703.0</v>
      </c>
      <c r="D76" s="77" t="s">
        <v>463</v>
      </c>
      <c r="E76" s="77" t="s">
        <v>468</v>
      </c>
      <c r="F76" s="79">
        <v>45840.0</v>
      </c>
      <c r="G76" s="77" t="s">
        <v>63</v>
      </c>
      <c r="H76" s="77" t="s">
        <v>40</v>
      </c>
      <c r="I76" s="80">
        <v>334.0</v>
      </c>
      <c r="J76" s="81" t="s">
        <v>1588</v>
      </c>
      <c r="K76" s="82" t="s">
        <v>1589</v>
      </c>
      <c r="L76" s="83"/>
      <c r="M76" s="83"/>
    </row>
    <row r="77">
      <c r="A77" s="76" t="s">
        <v>449</v>
      </c>
      <c r="B77" s="77" t="s">
        <v>51</v>
      </c>
      <c r="C77" s="78">
        <v>78286.0</v>
      </c>
      <c r="D77" s="77" t="s">
        <v>54</v>
      </c>
      <c r="E77" s="77" t="s">
        <v>450</v>
      </c>
      <c r="F77" s="79">
        <v>45840.0</v>
      </c>
      <c r="G77" s="77" t="s">
        <v>63</v>
      </c>
      <c r="H77" s="77" t="s">
        <v>40</v>
      </c>
      <c r="I77" s="80">
        <v>334.0</v>
      </c>
      <c r="J77" s="81" t="s">
        <v>1588</v>
      </c>
      <c r="K77" s="82" t="s">
        <v>1589</v>
      </c>
      <c r="L77" s="83"/>
      <c r="M77" s="83"/>
    </row>
    <row r="78">
      <c r="A78" s="76" t="s">
        <v>472</v>
      </c>
      <c r="B78" s="77" t="s">
        <v>51</v>
      </c>
      <c r="C78" s="78">
        <v>78286.0</v>
      </c>
      <c r="D78" s="77" t="s">
        <v>54</v>
      </c>
      <c r="E78" s="77" t="s">
        <v>473</v>
      </c>
      <c r="F78" s="79">
        <v>45840.0</v>
      </c>
      <c r="G78" s="77" t="s">
        <v>465</v>
      </c>
      <c r="H78" s="77" t="s">
        <v>40</v>
      </c>
      <c r="I78" s="80">
        <v>334.0</v>
      </c>
      <c r="J78" s="81" t="s">
        <v>1588</v>
      </c>
      <c r="K78" s="82" t="s">
        <v>1589</v>
      </c>
      <c r="L78" s="83"/>
      <c r="M78" s="83"/>
    </row>
    <row r="79">
      <c r="A79" s="76" t="s">
        <v>401</v>
      </c>
      <c r="B79" s="77" t="s">
        <v>216</v>
      </c>
      <c r="C79" s="78">
        <v>22373.0</v>
      </c>
      <c r="D79" s="77" t="s">
        <v>217</v>
      </c>
      <c r="E79" s="78">
        <v>56422.0</v>
      </c>
      <c r="F79" s="79">
        <v>45840.0</v>
      </c>
      <c r="G79" s="77" t="s">
        <v>188</v>
      </c>
      <c r="H79" s="77" t="s">
        <v>40</v>
      </c>
      <c r="I79" s="80">
        <v>334.0</v>
      </c>
      <c r="J79" s="88" t="s">
        <v>1581</v>
      </c>
      <c r="K79" s="82" t="s">
        <v>1623</v>
      </c>
      <c r="L79" s="83"/>
      <c r="M79" s="83"/>
    </row>
    <row r="80">
      <c r="A80" s="76" t="s">
        <v>476</v>
      </c>
      <c r="B80" s="77" t="s">
        <v>274</v>
      </c>
      <c r="C80" s="77" t="s">
        <v>275</v>
      </c>
      <c r="D80" s="77" t="s">
        <v>276</v>
      </c>
      <c r="E80" s="78">
        <v>8.6800893E7</v>
      </c>
      <c r="F80" s="79">
        <v>45849.0</v>
      </c>
      <c r="G80" s="77" t="s">
        <v>63</v>
      </c>
      <c r="H80" s="77" t="s">
        <v>40</v>
      </c>
      <c r="I80" s="80">
        <v>325.0</v>
      </c>
      <c r="J80" s="79">
        <v>46100.0</v>
      </c>
      <c r="K80" s="82" t="s">
        <v>63</v>
      </c>
      <c r="L80" s="81" t="s">
        <v>1630</v>
      </c>
      <c r="M80" s="81">
        <v>8.6816488E7</v>
      </c>
    </row>
    <row r="81">
      <c r="A81" s="76" t="s">
        <v>479</v>
      </c>
      <c r="B81" s="77" t="s">
        <v>442</v>
      </c>
      <c r="C81" s="78">
        <v>59875.0</v>
      </c>
      <c r="D81" s="77" t="s">
        <v>443</v>
      </c>
      <c r="E81" s="85">
        <v>3614.0</v>
      </c>
      <c r="F81" s="79">
        <v>45849.0</v>
      </c>
      <c r="G81" s="77" t="s">
        <v>304</v>
      </c>
      <c r="H81" s="77" t="s">
        <v>40</v>
      </c>
      <c r="I81" s="80">
        <v>325.0</v>
      </c>
      <c r="J81" s="81" t="s">
        <v>1581</v>
      </c>
      <c r="K81" s="82" t="s">
        <v>1589</v>
      </c>
      <c r="L81" s="83"/>
      <c r="M81" s="83"/>
    </row>
    <row r="82">
      <c r="A82" s="76" t="s">
        <v>484</v>
      </c>
      <c r="B82" s="77" t="s">
        <v>271</v>
      </c>
      <c r="C82" s="77" t="s">
        <v>485</v>
      </c>
      <c r="D82" s="77" t="s">
        <v>486</v>
      </c>
      <c r="E82" s="92">
        <v>235.0</v>
      </c>
      <c r="F82" s="79">
        <v>45853.0</v>
      </c>
      <c r="G82" s="77" t="s">
        <v>45</v>
      </c>
      <c r="H82" s="77" t="s">
        <v>40</v>
      </c>
      <c r="I82" s="80">
        <v>321.0</v>
      </c>
      <c r="J82" s="81" t="s">
        <v>1581</v>
      </c>
      <c r="K82" s="82" t="s">
        <v>1589</v>
      </c>
      <c r="L82" s="83"/>
      <c r="M82" s="83"/>
    </row>
    <row r="83">
      <c r="A83" s="76" t="s">
        <v>489</v>
      </c>
      <c r="B83" s="77" t="s">
        <v>375</v>
      </c>
      <c r="C83" s="77" t="s">
        <v>490</v>
      </c>
      <c r="D83" s="77" t="s">
        <v>491</v>
      </c>
      <c r="E83" s="78">
        <v>5236.0</v>
      </c>
      <c r="F83" s="79">
        <v>45855.0</v>
      </c>
      <c r="G83" s="77" t="s">
        <v>64</v>
      </c>
      <c r="H83" s="77" t="s">
        <v>40</v>
      </c>
      <c r="I83" s="80">
        <v>319.0</v>
      </c>
      <c r="J83" s="83"/>
      <c r="K83" s="81" t="s">
        <v>1643</v>
      </c>
      <c r="L83" s="83"/>
      <c r="M83" s="81" t="s">
        <v>1669</v>
      </c>
    </row>
    <row r="84">
      <c r="A84" s="76" t="s">
        <v>503</v>
      </c>
      <c r="B84" s="77" t="s">
        <v>499</v>
      </c>
      <c r="C84" s="77" t="s">
        <v>275</v>
      </c>
      <c r="D84" s="77" t="s">
        <v>500</v>
      </c>
      <c r="E84" s="78">
        <v>7.1308676E7</v>
      </c>
      <c r="F84" s="79">
        <v>45869.0</v>
      </c>
      <c r="G84" s="77" t="s">
        <v>68</v>
      </c>
      <c r="H84" s="77" t="s">
        <v>40</v>
      </c>
      <c r="I84" s="80">
        <v>305.0</v>
      </c>
      <c r="J84" s="93">
        <v>46014.0</v>
      </c>
      <c r="K84" s="82" t="s">
        <v>143</v>
      </c>
      <c r="L84" s="81" t="s">
        <v>1670</v>
      </c>
      <c r="M84" s="81">
        <v>7.1305219E7</v>
      </c>
    </row>
    <row r="85">
      <c r="A85" s="76" t="s">
        <v>507</v>
      </c>
      <c r="B85" s="77" t="s">
        <v>482</v>
      </c>
      <c r="C85" s="77" t="s">
        <v>275</v>
      </c>
      <c r="D85" s="77" t="s">
        <v>483</v>
      </c>
      <c r="E85" s="78">
        <v>4.7204432E7</v>
      </c>
      <c r="F85" s="79">
        <v>45869.0</v>
      </c>
      <c r="G85" s="77" t="s">
        <v>60</v>
      </c>
      <c r="H85" s="77" t="s">
        <v>40</v>
      </c>
      <c r="I85" s="80">
        <v>305.0</v>
      </c>
      <c r="J85" s="87">
        <v>45916.0</v>
      </c>
      <c r="K85" s="82" t="s">
        <v>63</v>
      </c>
      <c r="L85" s="81" t="s">
        <v>1672</v>
      </c>
      <c r="M85" s="81">
        <v>4.7202466E7</v>
      </c>
    </row>
    <row r="86">
      <c r="A86" s="76" t="s">
        <v>498</v>
      </c>
      <c r="B86" s="77" t="s">
        <v>499</v>
      </c>
      <c r="C86" s="77" t="s">
        <v>275</v>
      </c>
      <c r="D86" s="77" t="s">
        <v>500</v>
      </c>
      <c r="E86" s="78">
        <v>7.1306307E7</v>
      </c>
      <c r="F86" s="79">
        <v>45869.0</v>
      </c>
      <c r="G86" s="77" t="s">
        <v>68</v>
      </c>
      <c r="H86" s="77" t="s">
        <v>40</v>
      </c>
      <c r="I86" s="80">
        <v>305.0</v>
      </c>
      <c r="J86" s="81" t="s">
        <v>1581</v>
      </c>
      <c r="K86" s="82" t="s">
        <v>1582</v>
      </c>
      <c r="L86" s="83"/>
      <c r="M86" s="83"/>
    </row>
    <row r="87">
      <c r="A87" s="76" t="s">
        <v>495</v>
      </c>
      <c r="B87" s="77" t="s">
        <v>487</v>
      </c>
      <c r="C87" s="78">
        <v>16455.0</v>
      </c>
      <c r="D87" s="77" t="s">
        <v>496</v>
      </c>
      <c r="E87" s="77" t="s">
        <v>497</v>
      </c>
      <c r="F87" s="79">
        <v>45869.0</v>
      </c>
      <c r="G87" s="77" t="s">
        <v>45</v>
      </c>
      <c r="H87" s="77" t="s">
        <v>40</v>
      </c>
      <c r="I87" s="80">
        <v>305.0</v>
      </c>
      <c r="J87" s="81" t="s">
        <v>1581</v>
      </c>
      <c r="K87" s="82" t="s">
        <v>1589</v>
      </c>
      <c r="L87" s="83"/>
      <c r="M87" s="83"/>
    </row>
    <row r="88">
      <c r="A88" s="76" t="s">
        <v>509</v>
      </c>
      <c r="B88" s="77" t="s">
        <v>510</v>
      </c>
      <c r="C88" s="78">
        <v>22373.0</v>
      </c>
      <c r="D88" s="77" t="s">
        <v>512</v>
      </c>
      <c r="E88" s="78">
        <v>8259.0</v>
      </c>
      <c r="F88" s="79">
        <v>45882.0</v>
      </c>
      <c r="G88" s="77" t="s">
        <v>75</v>
      </c>
      <c r="H88" s="77" t="s">
        <v>40</v>
      </c>
      <c r="I88" s="80">
        <v>292.0</v>
      </c>
      <c r="J88" s="81" t="s">
        <v>1581</v>
      </c>
      <c r="K88" s="82" t="s">
        <v>1582</v>
      </c>
      <c r="L88" s="83"/>
      <c r="M88" s="83"/>
    </row>
    <row r="89">
      <c r="A89" s="76" t="s">
        <v>526</v>
      </c>
      <c r="B89" s="77" t="s">
        <v>223</v>
      </c>
      <c r="C89" s="78">
        <v>33269.0</v>
      </c>
      <c r="D89" s="77" t="s">
        <v>224</v>
      </c>
      <c r="E89" s="77" t="s">
        <v>528</v>
      </c>
      <c r="F89" s="79">
        <v>45891.0</v>
      </c>
      <c r="G89" s="77" t="s">
        <v>160</v>
      </c>
      <c r="H89" s="77" t="s">
        <v>40</v>
      </c>
      <c r="I89" s="80">
        <v>283.0</v>
      </c>
      <c r="J89" s="79">
        <v>46092.0</v>
      </c>
      <c r="K89" s="82" t="s">
        <v>63</v>
      </c>
      <c r="L89" s="81" t="s">
        <v>1639</v>
      </c>
      <c r="M89" s="83"/>
    </row>
    <row r="90">
      <c r="A90" s="76" t="s">
        <v>536</v>
      </c>
      <c r="B90" s="77" t="s">
        <v>218</v>
      </c>
      <c r="C90" s="78">
        <v>33269.0</v>
      </c>
      <c r="D90" s="77" t="s">
        <v>343</v>
      </c>
      <c r="E90" s="89">
        <v>3.0</v>
      </c>
      <c r="F90" s="79">
        <v>45891.0</v>
      </c>
      <c r="G90" s="77" t="s">
        <v>45</v>
      </c>
      <c r="H90" s="77" t="s">
        <v>40</v>
      </c>
      <c r="I90" s="80">
        <v>283.0</v>
      </c>
      <c r="J90" s="79">
        <v>46119.0</v>
      </c>
      <c r="K90" s="82" t="s">
        <v>1614</v>
      </c>
      <c r="L90" s="81" t="s">
        <v>1641</v>
      </c>
      <c r="M90" s="83"/>
    </row>
    <row r="91">
      <c r="A91" s="76" t="s">
        <v>519</v>
      </c>
      <c r="B91" s="77" t="s">
        <v>223</v>
      </c>
      <c r="C91" s="78">
        <v>33269.0</v>
      </c>
      <c r="D91" s="77" t="s">
        <v>224</v>
      </c>
      <c r="E91" s="77" t="s">
        <v>520</v>
      </c>
      <c r="F91" s="79">
        <v>45891.0</v>
      </c>
      <c r="G91" s="77" t="s">
        <v>304</v>
      </c>
      <c r="H91" s="77" t="s">
        <v>40</v>
      </c>
      <c r="I91" s="80">
        <v>283.0</v>
      </c>
      <c r="J91" s="83"/>
      <c r="K91" s="81" t="s">
        <v>1643</v>
      </c>
      <c r="L91" s="83"/>
      <c r="M91" s="83"/>
    </row>
    <row r="92">
      <c r="A92" s="76" t="s">
        <v>539</v>
      </c>
      <c r="B92" s="77" t="s">
        <v>537</v>
      </c>
      <c r="C92" s="77" t="s">
        <v>275</v>
      </c>
      <c r="D92" s="77" t="s">
        <v>541</v>
      </c>
      <c r="E92" s="78">
        <v>6.6306636E7</v>
      </c>
      <c r="F92" s="79">
        <v>45891.0</v>
      </c>
      <c r="G92" s="77" t="s">
        <v>63</v>
      </c>
      <c r="H92" s="77" t="s">
        <v>40</v>
      </c>
      <c r="I92" s="80">
        <v>283.0</v>
      </c>
      <c r="J92" s="83"/>
      <c r="K92" s="81" t="s">
        <v>1643</v>
      </c>
      <c r="L92" s="83"/>
      <c r="M92" s="83"/>
    </row>
    <row r="93">
      <c r="A93" s="76" t="s">
        <v>542</v>
      </c>
      <c r="B93" s="77" t="s">
        <v>482</v>
      </c>
      <c r="C93" s="77" t="s">
        <v>275</v>
      </c>
      <c r="D93" s="77" t="s">
        <v>483</v>
      </c>
      <c r="E93" s="78">
        <v>4.7203806E7</v>
      </c>
      <c r="F93" s="79">
        <v>45891.0</v>
      </c>
      <c r="G93" s="77" t="s">
        <v>45</v>
      </c>
      <c r="H93" s="77" t="s">
        <v>40</v>
      </c>
      <c r="I93" s="80">
        <v>283.0</v>
      </c>
      <c r="J93" s="81" t="s">
        <v>1682</v>
      </c>
      <c r="K93" s="82" t="s">
        <v>1621</v>
      </c>
      <c r="L93" s="83"/>
      <c r="M93" s="83"/>
    </row>
    <row r="94">
      <c r="A94" s="76" t="s">
        <v>514</v>
      </c>
      <c r="B94" s="77" t="s">
        <v>515</v>
      </c>
      <c r="C94" s="78">
        <v>66503.0</v>
      </c>
      <c r="D94" s="77" t="s">
        <v>516</v>
      </c>
      <c r="E94" s="78">
        <v>1.2056029E7</v>
      </c>
      <c r="F94" s="79">
        <v>45891.0</v>
      </c>
      <c r="G94" s="77" t="s">
        <v>45</v>
      </c>
      <c r="H94" s="77" t="s">
        <v>40</v>
      </c>
      <c r="I94" s="80">
        <v>283.0</v>
      </c>
      <c r="J94" s="81" t="s">
        <v>1620</v>
      </c>
      <c r="K94" s="82" t="s">
        <v>1589</v>
      </c>
      <c r="L94" s="83"/>
      <c r="M94" s="83"/>
    </row>
    <row r="95">
      <c r="A95" s="76" t="s">
        <v>523</v>
      </c>
      <c r="B95" s="77" t="s">
        <v>231</v>
      </c>
      <c r="C95" s="78">
        <v>71513.0</v>
      </c>
      <c r="D95" s="77" t="s">
        <v>232</v>
      </c>
      <c r="E95" s="77" t="s">
        <v>525</v>
      </c>
      <c r="F95" s="79">
        <v>45891.0</v>
      </c>
      <c r="G95" s="77" t="s">
        <v>45</v>
      </c>
      <c r="H95" s="77" t="s">
        <v>40</v>
      </c>
      <c r="I95" s="80">
        <v>283.0</v>
      </c>
      <c r="J95" s="81" t="s">
        <v>1620</v>
      </c>
      <c r="K95" s="82" t="s">
        <v>1589</v>
      </c>
      <c r="L95" s="83"/>
      <c r="M95" s="83"/>
    </row>
    <row r="96">
      <c r="A96" s="76" t="s">
        <v>532</v>
      </c>
      <c r="B96" s="77" t="s">
        <v>226</v>
      </c>
      <c r="C96" s="78">
        <v>71513.0</v>
      </c>
      <c r="D96" s="77" t="s">
        <v>320</v>
      </c>
      <c r="E96" s="77" t="s">
        <v>534</v>
      </c>
      <c r="F96" s="79">
        <v>45891.0</v>
      </c>
      <c r="G96" s="77" t="s">
        <v>45</v>
      </c>
      <c r="H96" s="77" t="s">
        <v>40</v>
      </c>
      <c r="I96" s="80">
        <v>283.0</v>
      </c>
      <c r="J96" s="81" t="s">
        <v>1620</v>
      </c>
      <c r="K96" s="82" t="s">
        <v>1589</v>
      </c>
      <c r="L96" s="83"/>
      <c r="M96" s="83"/>
    </row>
    <row r="97">
      <c r="A97" s="76" t="s">
        <v>543</v>
      </c>
      <c r="B97" s="77" t="s">
        <v>537</v>
      </c>
      <c r="C97" s="77" t="s">
        <v>275</v>
      </c>
      <c r="D97" s="77" t="s">
        <v>541</v>
      </c>
      <c r="E97" s="78">
        <v>6.6305791E7</v>
      </c>
      <c r="F97" s="79">
        <v>45891.0</v>
      </c>
      <c r="G97" s="77" t="s">
        <v>45</v>
      </c>
      <c r="H97" s="77" t="s">
        <v>40</v>
      </c>
      <c r="I97" s="80">
        <v>283.0</v>
      </c>
      <c r="J97" s="81" t="s">
        <v>1581</v>
      </c>
      <c r="K97" s="82" t="s">
        <v>1589</v>
      </c>
      <c r="L97" s="83"/>
      <c r="M97" s="83"/>
    </row>
    <row r="98">
      <c r="A98" s="76" t="s">
        <v>546</v>
      </c>
      <c r="B98" s="77" t="s">
        <v>547</v>
      </c>
      <c r="C98" s="84">
        <v>198.0</v>
      </c>
      <c r="D98" s="77" t="s">
        <v>548</v>
      </c>
      <c r="E98" s="77" t="s">
        <v>549</v>
      </c>
      <c r="F98" s="79">
        <v>45894.0</v>
      </c>
      <c r="G98" s="77" t="s">
        <v>304</v>
      </c>
      <c r="H98" s="77" t="s">
        <v>40</v>
      </c>
      <c r="I98" s="80">
        <v>280.0</v>
      </c>
      <c r="J98" s="93">
        <v>45946.0</v>
      </c>
      <c r="K98" s="82" t="s">
        <v>64</v>
      </c>
      <c r="L98" s="81" t="s">
        <v>1686</v>
      </c>
      <c r="M98" s="83"/>
    </row>
    <row r="99">
      <c r="A99" s="76" t="s">
        <v>553</v>
      </c>
      <c r="B99" s="77" t="s">
        <v>226</v>
      </c>
      <c r="C99" s="78">
        <v>71513.0</v>
      </c>
      <c r="D99" s="77" t="s">
        <v>320</v>
      </c>
      <c r="E99" s="78">
        <v>479.0</v>
      </c>
      <c r="F99" s="79">
        <v>45894.0</v>
      </c>
      <c r="G99" s="77" t="s">
        <v>45</v>
      </c>
      <c r="H99" s="77" t="s">
        <v>40</v>
      </c>
      <c r="I99" s="80">
        <v>280.0</v>
      </c>
      <c r="J99" s="81" t="s">
        <v>1588</v>
      </c>
      <c r="K99" s="82" t="s">
        <v>1589</v>
      </c>
      <c r="L99" s="83"/>
      <c r="M99" s="83"/>
    </row>
    <row r="100">
      <c r="A100" s="76" t="s">
        <v>559</v>
      </c>
      <c r="B100" s="77" t="s">
        <v>469</v>
      </c>
      <c r="C100" s="77" t="s">
        <v>275</v>
      </c>
      <c r="D100" s="77" t="s">
        <v>470</v>
      </c>
      <c r="E100" s="77" t="s">
        <v>560</v>
      </c>
      <c r="F100" s="79">
        <v>45898.0</v>
      </c>
      <c r="G100" s="77" t="s">
        <v>60</v>
      </c>
      <c r="H100" s="77" t="s">
        <v>40</v>
      </c>
      <c r="I100" s="80">
        <v>276.0</v>
      </c>
      <c r="J100" s="93">
        <v>45953.0</v>
      </c>
      <c r="K100" s="82" t="s">
        <v>63</v>
      </c>
      <c r="L100" s="81" t="s">
        <v>1687</v>
      </c>
      <c r="M100" s="81" t="s">
        <v>1688</v>
      </c>
    </row>
    <row r="101">
      <c r="A101" s="76" t="s">
        <v>562</v>
      </c>
      <c r="B101" s="77" t="s">
        <v>564</v>
      </c>
      <c r="C101" s="78">
        <v>22373.0</v>
      </c>
      <c r="D101" s="77" t="s">
        <v>566</v>
      </c>
      <c r="E101" s="78">
        <v>2953.0</v>
      </c>
      <c r="F101" s="79">
        <v>45898.0</v>
      </c>
      <c r="G101" s="77" t="s">
        <v>60</v>
      </c>
      <c r="H101" s="77" t="s">
        <v>40</v>
      </c>
      <c r="I101" s="80">
        <v>276.0</v>
      </c>
      <c r="J101" s="93">
        <v>45940.0</v>
      </c>
      <c r="K101" s="82" t="s">
        <v>64</v>
      </c>
      <c r="L101" s="81" t="s">
        <v>1692</v>
      </c>
      <c r="M101" s="83"/>
    </row>
    <row r="102">
      <c r="A102" s="76" t="s">
        <v>567</v>
      </c>
      <c r="B102" s="77" t="s">
        <v>564</v>
      </c>
      <c r="C102" s="78">
        <v>22373.0</v>
      </c>
      <c r="D102" s="77" t="s">
        <v>566</v>
      </c>
      <c r="E102" s="78">
        <v>2982.0</v>
      </c>
      <c r="F102" s="79">
        <v>45898.0</v>
      </c>
      <c r="G102" s="77" t="s">
        <v>60</v>
      </c>
      <c r="H102" s="77" t="s">
        <v>40</v>
      </c>
      <c r="I102" s="80">
        <v>276.0</v>
      </c>
      <c r="J102" s="93">
        <v>45940.0</v>
      </c>
      <c r="K102" s="82" t="s">
        <v>64</v>
      </c>
      <c r="L102" s="81" t="s">
        <v>1692</v>
      </c>
      <c r="M102" s="83"/>
    </row>
    <row r="103">
      <c r="A103" s="76" t="s">
        <v>554</v>
      </c>
      <c r="B103" s="77" t="s">
        <v>469</v>
      </c>
      <c r="C103" s="77" t="s">
        <v>275</v>
      </c>
      <c r="D103" s="77" t="s">
        <v>470</v>
      </c>
      <c r="E103" s="77" t="s">
        <v>555</v>
      </c>
      <c r="F103" s="79">
        <v>45898.0</v>
      </c>
      <c r="G103" s="77" t="s">
        <v>60</v>
      </c>
      <c r="H103" s="77" t="s">
        <v>40</v>
      </c>
      <c r="I103" s="80">
        <v>276.0</v>
      </c>
      <c r="J103" s="81" t="s">
        <v>1581</v>
      </c>
      <c r="K103" s="82" t="s">
        <v>1589</v>
      </c>
      <c r="L103" s="83"/>
      <c r="M103" s="83"/>
    </row>
    <row r="104">
      <c r="A104" s="76" t="s">
        <v>1221</v>
      </c>
      <c r="B104" s="77" t="s">
        <v>226</v>
      </c>
      <c r="C104" s="78">
        <v>71513.0</v>
      </c>
      <c r="D104" s="77" t="s">
        <v>320</v>
      </c>
      <c r="E104" s="77" t="s">
        <v>1223</v>
      </c>
      <c r="F104" s="79">
        <v>45910.0</v>
      </c>
      <c r="G104" s="77" t="s">
        <v>160</v>
      </c>
      <c r="H104" s="77" t="s">
        <v>1222</v>
      </c>
      <c r="I104" s="80">
        <v>264.0</v>
      </c>
      <c r="J104" s="83"/>
      <c r="K104" s="81" t="s">
        <v>1696</v>
      </c>
      <c r="L104" s="83"/>
      <c r="M104" s="83"/>
    </row>
    <row r="105">
      <c r="A105" s="76" t="s">
        <v>1697</v>
      </c>
      <c r="B105" s="77" t="s">
        <v>1278</v>
      </c>
      <c r="C105" s="78">
        <v>74025.0</v>
      </c>
      <c r="D105" s="77" t="s">
        <v>1279</v>
      </c>
      <c r="E105" s="78">
        <v>1.0603742E7</v>
      </c>
      <c r="F105" s="79">
        <v>45917.0</v>
      </c>
      <c r="G105" s="77" t="s">
        <v>45</v>
      </c>
      <c r="H105" s="77" t="s">
        <v>40</v>
      </c>
      <c r="I105" s="80">
        <v>257.0</v>
      </c>
      <c r="J105" s="81" t="s">
        <v>1588</v>
      </c>
      <c r="K105" s="82" t="s">
        <v>1590</v>
      </c>
      <c r="L105" s="83"/>
      <c r="M105" s="83"/>
    </row>
    <row r="106">
      <c r="A106" s="76" t="s">
        <v>590</v>
      </c>
      <c r="B106" s="77" t="s">
        <v>223</v>
      </c>
      <c r="C106" s="78">
        <v>33269.0</v>
      </c>
      <c r="D106" s="77" t="s">
        <v>224</v>
      </c>
      <c r="E106" s="77" t="s">
        <v>592</v>
      </c>
      <c r="F106" s="79">
        <v>45917.0</v>
      </c>
      <c r="G106" s="77" t="s">
        <v>68</v>
      </c>
      <c r="H106" s="77" t="s">
        <v>40</v>
      </c>
      <c r="I106" s="80">
        <v>257.0</v>
      </c>
      <c r="J106" s="79">
        <v>46122.0</v>
      </c>
      <c r="K106" s="82" t="s">
        <v>63</v>
      </c>
      <c r="L106" s="81" t="s">
        <v>1698</v>
      </c>
      <c r="M106" s="83"/>
    </row>
    <row r="107">
      <c r="A107" s="76" t="s">
        <v>584</v>
      </c>
      <c r="B107" s="77" t="s">
        <v>223</v>
      </c>
      <c r="C107" s="78">
        <v>33269.0</v>
      </c>
      <c r="D107" s="77" t="s">
        <v>224</v>
      </c>
      <c r="E107" s="78">
        <v>327.0</v>
      </c>
      <c r="F107" s="79">
        <v>45917.0</v>
      </c>
      <c r="G107" s="77" t="s">
        <v>63</v>
      </c>
      <c r="H107" s="77" t="s">
        <v>40</v>
      </c>
      <c r="I107" s="80">
        <v>257.0</v>
      </c>
      <c r="J107" s="79">
        <v>45961.0</v>
      </c>
      <c r="K107" s="82" t="s">
        <v>63</v>
      </c>
      <c r="L107" s="81" t="s">
        <v>1700</v>
      </c>
      <c r="M107" s="83"/>
    </row>
    <row r="108">
      <c r="A108" s="76" t="s">
        <v>575</v>
      </c>
      <c r="B108" s="77" t="s">
        <v>576</v>
      </c>
      <c r="C108" s="84">
        <v>7213.0</v>
      </c>
      <c r="D108" s="77" t="s">
        <v>577</v>
      </c>
      <c r="E108" s="77" t="s">
        <v>578</v>
      </c>
      <c r="F108" s="79">
        <v>45917.0</v>
      </c>
      <c r="G108" s="77" t="s">
        <v>304</v>
      </c>
      <c r="H108" s="77" t="s">
        <v>40</v>
      </c>
      <c r="I108" s="80">
        <v>257.0</v>
      </c>
      <c r="J108" s="93">
        <v>45973.0</v>
      </c>
      <c r="K108" s="82" t="s">
        <v>64</v>
      </c>
      <c r="L108" s="81" t="s">
        <v>1702</v>
      </c>
      <c r="M108" s="83"/>
    </row>
    <row r="109">
      <c r="A109" s="76" t="s">
        <v>1689</v>
      </c>
      <c r="B109" s="77" t="s">
        <v>1690</v>
      </c>
      <c r="C109" s="84">
        <v>7213.0</v>
      </c>
      <c r="D109" s="77" t="s">
        <v>577</v>
      </c>
      <c r="E109" s="77" t="s">
        <v>1691</v>
      </c>
      <c r="F109" s="79">
        <v>45917.0</v>
      </c>
      <c r="G109" s="77" t="s">
        <v>304</v>
      </c>
      <c r="H109" s="77" t="s">
        <v>40</v>
      </c>
      <c r="I109" s="80">
        <v>257.0</v>
      </c>
      <c r="J109" s="81" t="s">
        <v>1581</v>
      </c>
      <c r="K109" s="82" t="s">
        <v>1582</v>
      </c>
      <c r="L109" s="83"/>
      <c r="M109" s="83"/>
    </row>
    <row r="110">
      <c r="A110" s="76" t="s">
        <v>1674</v>
      </c>
      <c r="B110" s="77" t="s">
        <v>310</v>
      </c>
      <c r="C110" s="77" t="s">
        <v>156</v>
      </c>
      <c r="D110" s="77" t="s">
        <v>311</v>
      </c>
      <c r="E110" s="77" t="s">
        <v>1676</v>
      </c>
      <c r="F110" s="79">
        <v>45917.0</v>
      </c>
      <c r="G110" s="77" t="s">
        <v>63</v>
      </c>
      <c r="H110" s="77" t="s">
        <v>40</v>
      </c>
      <c r="I110" s="80">
        <v>257.0</v>
      </c>
      <c r="J110" s="81" t="s">
        <v>1620</v>
      </c>
      <c r="K110" s="82" t="s">
        <v>1589</v>
      </c>
      <c r="L110" s="83"/>
      <c r="M110" s="83"/>
    </row>
    <row r="111">
      <c r="A111" s="76" t="s">
        <v>582</v>
      </c>
      <c r="B111" s="77" t="s">
        <v>223</v>
      </c>
      <c r="C111" s="78">
        <v>33269.0</v>
      </c>
      <c r="D111" s="77" t="s">
        <v>224</v>
      </c>
      <c r="E111" s="78">
        <v>571.0</v>
      </c>
      <c r="F111" s="79">
        <v>45917.0</v>
      </c>
      <c r="G111" s="77" t="s">
        <v>63</v>
      </c>
      <c r="H111" s="77" t="s">
        <v>40</v>
      </c>
      <c r="I111" s="80">
        <v>257.0</v>
      </c>
      <c r="J111" s="81" t="s">
        <v>1620</v>
      </c>
      <c r="K111" s="82" t="s">
        <v>1589</v>
      </c>
      <c r="L111" s="83"/>
      <c r="M111" s="83"/>
    </row>
    <row r="112">
      <c r="A112" s="76" t="s">
        <v>587</v>
      </c>
      <c r="B112" s="77" t="s">
        <v>223</v>
      </c>
      <c r="C112" s="78">
        <v>33269.0</v>
      </c>
      <c r="D112" s="77" t="s">
        <v>224</v>
      </c>
      <c r="E112" s="89">
        <v>1.0</v>
      </c>
      <c r="F112" s="79">
        <v>45917.0</v>
      </c>
      <c r="G112" s="77" t="s">
        <v>64</v>
      </c>
      <c r="H112" s="77" t="s">
        <v>40</v>
      </c>
      <c r="I112" s="80">
        <v>257.0</v>
      </c>
      <c r="J112" s="81" t="s">
        <v>1588</v>
      </c>
      <c r="K112" s="82" t="s">
        <v>1589</v>
      </c>
      <c r="L112" s="83"/>
      <c r="M112" s="83"/>
    </row>
    <row r="113">
      <c r="A113" s="76" t="s">
        <v>570</v>
      </c>
      <c r="B113" s="77" t="s">
        <v>571</v>
      </c>
      <c r="C113" s="77" t="s">
        <v>156</v>
      </c>
      <c r="D113" s="77" t="s">
        <v>572</v>
      </c>
      <c r="E113" s="77" t="s">
        <v>573</v>
      </c>
      <c r="F113" s="79">
        <v>45917.0</v>
      </c>
      <c r="G113" s="77" t="s">
        <v>294</v>
      </c>
      <c r="H113" s="77" t="s">
        <v>40</v>
      </c>
      <c r="I113" s="80">
        <v>257.0</v>
      </c>
      <c r="J113" s="88" t="s">
        <v>1705</v>
      </c>
      <c r="K113" s="82" t="s">
        <v>1623</v>
      </c>
      <c r="L113" s="81" t="s">
        <v>1706</v>
      </c>
      <c r="M113" s="83"/>
    </row>
    <row r="114">
      <c r="A114" s="76" t="s">
        <v>598</v>
      </c>
      <c r="B114" s="77" t="s">
        <v>515</v>
      </c>
      <c r="C114" s="78">
        <v>66503.0</v>
      </c>
      <c r="D114" s="77" t="s">
        <v>516</v>
      </c>
      <c r="E114" s="78">
        <v>1.6389901E7</v>
      </c>
      <c r="F114" s="79">
        <v>45937.0</v>
      </c>
      <c r="G114" s="77" t="s">
        <v>45</v>
      </c>
      <c r="H114" s="77" t="s">
        <v>40</v>
      </c>
      <c r="I114" s="80">
        <v>237.0</v>
      </c>
      <c r="J114" s="81" t="s">
        <v>1581</v>
      </c>
      <c r="K114" s="82" t="s">
        <v>1582</v>
      </c>
      <c r="L114" s="83"/>
      <c r="M114" s="83"/>
    </row>
    <row r="115">
      <c r="A115" s="76" t="s">
        <v>604</v>
      </c>
      <c r="B115" s="77" t="s">
        <v>515</v>
      </c>
      <c r="C115" s="78">
        <v>66503.0</v>
      </c>
      <c r="D115" s="77" t="s">
        <v>516</v>
      </c>
      <c r="E115" s="77" t="s">
        <v>605</v>
      </c>
      <c r="F115" s="79">
        <v>45937.0</v>
      </c>
      <c r="G115" s="77" t="s">
        <v>63</v>
      </c>
      <c r="H115" s="77" t="s">
        <v>40</v>
      </c>
      <c r="I115" s="80">
        <v>237.0</v>
      </c>
      <c r="J115" s="81" t="s">
        <v>1581</v>
      </c>
      <c r="K115" s="82" t="s">
        <v>1582</v>
      </c>
      <c r="L115" s="83"/>
      <c r="M115" s="83"/>
    </row>
    <row r="116">
      <c r="A116" s="76" t="s">
        <v>595</v>
      </c>
      <c r="B116" s="77" t="s">
        <v>537</v>
      </c>
      <c r="C116" s="77" t="s">
        <v>275</v>
      </c>
      <c r="D116" s="77" t="s">
        <v>541</v>
      </c>
      <c r="E116" s="78">
        <v>6.6307595E7</v>
      </c>
      <c r="F116" s="79">
        <v>45937.0</v>
      </c>
      <c r="G116" s="77" t="s">
        <v>465</v>
      </c>
      <c r="H116" s="77" t="s">
        <v>40</v>
      </c>
      <c r="I116" s="80">
        <v>237.0</v>
      </c>
      <c r="J116" s="81" t="s">
        <v>1581</v>
      </c>
      <c r="K116" s="82" t="s">
        <v>1589</v>
      </c>
      <c r="L116" s="83"/>
      <c r="M116" s="83"/>
    </row>
    <row r="117">
      <c r="A117" s="76" t="s">
        <v>613</v>
      </c>
      <c r="B117" s="77" t="s">
        <v>537</v>
      </c>
      <c r="C117" s="77" t="s">
        <v>275</v>
      </c>
      <c r="D117" s="77" t="s">
        <v>541</v>
      </c>
      <c r="E117" s="78">
        <v>6.6307058E7</v>
      </c>
      <c r="F117" s="79">
        <v>45939.0</v>
      </c>
      <c r="G117" s="77" t="s">
        <v>60</v>
      </c>
      <c r="H117" s="77" t="s">
        <v>40</v>
      </c>
      <c r="I117" s="80">
        <v>235.0</v>
      </c>
      <c r="J117" s="93">
        <v>46014.0</v>
      </c>
      <c r="K117" s="82" t="s">
        <v>143</v>
      </c>
      <c r="L117" s="81" t="s">
        <v>1708</v>
      </c>
      <c r="M117" s="81">
        <v>6.6307619E7</v>
      </c>
    </row>
    <row r="118">
      <c r="A118" s="76" t="s">
        <v>609</v>
      </c>
      <c r="B118" s="77" t="s">
        <v>610</v>
      </c>
      <c r="C118" s="77" t="s">
        <v>156</v>
      </c>
      <c r="D118" s="77" t="s">
        <v>611</v>
      </c>
      <c r="E118" s="86"/>
      <c r="F118" s="79">
        <v>45939.0</v>
      </c>
      <c r="G118" s="77" t="s">
        <v>304</v>
      </c>
      <c r="H118" s="77" t="s">
        <v>40</v>
      </c>
      <c r="I118" s="80">
        <v>235.0</v>
      </c>
      <c r="J118" s="83"/>
      <c r="K118" s="81" t="s">
        <v>1643</v>
      </c>
      <c r="L118" s="83"/>
      <c r="M118" s="83"/>
    </row>
    <row r="119">
      <c r="A119" s="76" t="s">
        <v>617</v>
      </c>
      <c r="B119" s="77" t="s">
        <v>537</v>
      </c>
      <c r="C119" s="77" t="s">
        <v>275</v>
      </c>
      <c r="D119" s="77" t="s">
        <v>541</v>
      </c>
      <c r="E119" s="78">
        <v>6.6307562E7</v>
      </c>
      <c r="F119" s="79">
        <v>45939.0</v>
      </c>
      <c r="G119" s="77" t="s">
        <v>465</v>
      </c>
      <c r="H119" s="77" t="s">
        <v>40</v>
      </c>
      <c r="I119" s="80">
        <v>235.0</v>
      </c>
      <c r="J119" s="81" t="s">
        <v>1581</v>
      </c>
      <c r="K119" s="82" t="s">
        <v>1589</v>
      </c>
      <c r="L119" s="83"/>
      <c r="M119" s="83"/>
    </row>
    <row r="120">
      <c r="A120" s="76" t="s">
        <v>620</v>
      </c>
      <c r="B120" s="77" t="s">
        <v>537</v>
      </c>
      <c r="C120" s="77" t="s">
        <v>275</v>
      </c>
      <c r="D120" s="77" t="s">
        <v>541</v>
      </c>
      <c r="E120" s="78">
        <v>6.6306759E7</v>
      </c>
      <c r="F120" s="79">
        <v>45939.0</v>
      </c>
      <c r="G120" s="77" t="s">
        <v>143</v>
      </c>
      <c r="H120" s="77" t="s">
        <v>40</v>
      </c>
      <c r="I120" s="80">
        <v>235.0</v>
      </c>
      <c r="J120" s="81" t="s">
        <v>1581</v>
      </c>
      <c r="K120" s="82" t="s">
        <v>1589</v>
      </c>
      <c r="L120" s="83"/>
      <c r="M120" s="83"/>
    </row>
    <row r="121">
      <c r="A121" s="76" t="s">
        <v>624</v>
      </c>
      <c r="B121" s="77" t="s">
        <v>618</v>
      </c>
      <c r="C121" s="78">
        <v>22373.0</v>
      </c>
      <c r="D121" s="77" t="s">
        <v>625</v>
      </c>
      <c r="E121" s="78">
        <v>21107.0</v>
      </c>
      <c r="F121" s="79">
        <v>45946.0</v>
      </c>
      <c r="G121" s="77" t="s">
        <v>45</v>
      </c>
      <c r="H121" s="77" t="s">
        <v>40</v>
      </c>
      <c r="I121" s="80">
        <v>228.0</v>
      </c>
      <c r="J121" s="93">
        <v>45986.0</v>
      </c>
      <c r="K121" s="82" t="s">
        <v>64</v>
      </c>
      <c r="L121" s="81" t="s">
        <v>1710</v>
      </c>
      <c r="M121" s="83"/>
    </row>
    <row r="122">
      <c r="A122" s="76" t="s">
        <v>632</v>
      </c>
      <c r="B122" s="77" t="s">
        <v>42</v>
      </c>
      <c r="C122" s="77" t="s">
        <v>630</v>
      </c>
      <c r="D122" s="77" t="s">
        <v>631</v>
      </c>
      <c r="E122" s="78">
        <v>1318.0</v>
      </c>
      <c r="F122" s="79">
        <v>45965.0</v>
      </c>
      <c r="G122" s="77" t="s">
        <v>60</v>
      </c>
      <c r="H122" s="77" t="s">
        <v>40</v>
      </c>
      <c r="I122" s="80">
        <v>209.0</v>
      </c>
      <c r="J122" s="79">
        <v>46120.0</v>
      </c>
      <c r="K122" s="82" t="s">
        <v>64</v>
      </c>
      <c r="L122" s="81" t="s">
        <v>1712</v>
      </c>
      <c r="M122" s="83"/>
    </row>
    <row r="123">
      <c r="A123" s="76" t="s">
        <v>629</v>
      </c>
      <c r="B123" s="77" t="s">
        <v>42</v>
      </c>
      <c r="C123" s="77" t="s">
        <v>630</v>
      </c>
      <c r="D123" s="77" t="s">
        <v>631</v>
      </c>
      <c r="E123" s="78">
        <v>1608.0</v>
      </c>
      <c r="F123" s="79">
        <v>45965.0</v>
      </c>
      <c r="G123" s="77" t="s">
        <v>64</v>
      </c>
      <c r="H123" s="77" t="s">
        <v>40</v>
      </c>
      <c r="I123" s="80">
        <v>209.0</v>
      </c>
      <c r="J123" s="81" t="s">
        <v>1620</v>
      </c>
      <c r="K123" s="82" t="s">
        <v>1621</v>
      </c>
      <c r="L123" s="83"/>
      <c r="M123" s="83"/>
    </row>
    <row r="124">
      <c r="A124" s="76" t="s">
        <v>636</v>
      </c>
      <c r="B124" s="77" t="s">
        <v>337</v>
      </c>
      <c r="C124" s="78">
        <v>22373.0</v>
      </c>
      <c r="D124" s="77" t="s">
        <v>338</v>
      </c>
      <c r="E124" s="78">
        <v>17869.0</v>
      </c>
      <c r="F124" s="79">
        <v>45967.0</v>
      </c>
      <c r="G124" s="77" t="s">
        <v>75</v>
      </c>
      <c r="H124" s="77" t="s">
        <v>40</v>
      </c>
      <c r="I124" s="80">
        <v>207.0</v>
      </c>
      <c r="J124" s="93">
        <v>45972.0</v>
      </c>
      <c r="K124" s="82" t="s">
        <v>75</v>
      </c>
      <c r="L124" s="81" t="s">
        <v>1713</v>
      </c>
      <c r="M124" s="83"/>
    </row>
    <row r="125">
      <c r="A125" s="76" t="s">
        <v>645</v>
      </c>
      <c r="B125" s="77" t="s">
        <v>335</v>
      </c>
      <c r="C125" s="78">
        <v>71513.0</v>
      </c>
      <c r="D125" s="77" t="s">
        <v>336</v>
      </c>
      <c r="E125" s="89">
        <v>7.0</v>
      </c>
      <c r="F125" s="79">
        <v>45968.0</v>
      </c>
      <c r="G125" s="77" t="s">
        <v>64</v>
      </c>
      <c r="H125" s="77" t="s">
        <v>40</v>
      </c>
      <c r="I125" s="80">
        <v>206.0</v>
      </c>
      <c r="J125" s="81" t="s">
        <v>1637</v>
      </c>
      <c r="K125" s="82" t="s">
        <v>1590</v>
      </c>
      <c r="L125" s="83"/>
      <c r="M125" s="83"/>
    </row>
    <row r="126">
      <c r="A126" s="76" t="s">
        <v>639</v>
      </c>
      <c r="B126" s="77" t="s">
        <v>642</v>
      </c>
      <c r="C126" s="78">
        <v>86887.0</v>
      </c>
      <c r="D126" s="77" t="s">
        <v>643</v>
      </c>
      <c r="E126" s="77" t="s">
        <v>644</v>
      </c>
      <c r="F126" s="79">
        <v>45968.0</v>
      </c>
      <c r="G126" s="77" t="s">
        <v>45</v>
      </c>
      <c r="H126" s="77" t="s">
        <v>40</v>
      </c>
      <c r="I126" s="80">
        <v>206.0</v>
      </c>
      <c r="J126" s="81" t="s">
        <v>1637</v>
      </c>
      <c r="K126" s="82" t="s">
        <v>1589</v>
      </c>
      <c r="L126" s="83"/>
      <c r="M126" s="83"/>
    </row>
    <row r="127">
      <c r="A127" s="76" t="s">
        <v>648</v>
      </c>
      <c r="B127" s="77" t="s">
        <v>649</v>
      </c>
      <c r="C127" s="77" t="s">
        <v>650</v>
      </c>
      <c r="D127" s="77" t="s">
        <v>651</v>
      </c>
      <c r="E127" s="77" t="s">
        <v>652</v>
      </c>
      <c r="F127" s="79">
        <v>45971.0</v>
      </c>
      <c r="G127" s="77" t="s">
        <v>62</v>
      </c>
      <c r="H127" s="77" t="s">
        <v>40</v>
      </c>
      <c r="I127" s="80">
        <v>203.0</v>
      </c>
      <c r="J127" s="81" t="s">
        <v>1620</v>
      </c>
      <c r="K127" s="82" t="s">
        <v>1621</v>
      </c>
      <c r="L127" s="83"/>
      <c r="M127" s="83"/>
    </row>
    <row r="128">
      <c r="A128" s="76" t="s">
        <v>656</v>
      </c>
      <c r="B128" s="77" t="s">
        <v>657</v>
      </c>
      <c r="C128" s="78">
        <v>99167.0</v>
      </c>
      <c r="D128" s="77" t="s">
        <v>443</v>
      </c>
      <c r="E128" s="78">
        <v>1439.0</v>
      </c>
      <c r="F128" s="79">
        <v>45979.0</v>
      </c>
      <c r="G128" s="77" t="s">
        <v>304</v>
      </c>
      <c r="H128" s="77" t="s">
        <v>40</v>
      </c>
      <c r="I128" s="80">
        <v>195.0</v>
      </c>
      <c r="J128" s="87">
        <v>46049.0</v>
      </c>
      <c r="K128" s="82" t="s">
        <v>143</v>
      </c>
      <c r="L128" s="81" t="s">
        <v>1718</v>
      </c>
      <c r="M128" s="83"/>
    </row>
    <row r="129">
      <c r="A129" s="76" t="s">
        <v>683</v>
      </c>
      <c r="B129" s="77" t="s">
        <v>684</v>
      </c>
      <c r="C129" s="78">
        <v>22373.0</v>
      </c>
      <c r="D129" s="77" t="s">
        <v>685</v>
      </c>
      <c r="E129" s="78">
        <v>96293.0</v>
      </c>
      <c r="F129" s="79">
        <v>45986.0</v>
      </c>
      <c r="G129" s="77" t="s">
        <v>64</v>
      </c>
      <c r="H129" s="77" t="s">
        <v>40</v>
      </c>
      <c r="I129" s="80">
        <v>188.0</v>
      </c>
      <c r="J129" s="87">
        <v>46153.0</v>
      </c>
      <c r="K129" s="82" t="s">
        <v>64</v>
      </c>
      <c r="L129" s="81" t="s">
        <v>1721</v>
      </c>
      <c r="M129" s="83"/>
    </row>
    <row r="130">
      <c r="A130" s="76" t="s">
        <v>682</v>
      </c>
      <c r="B130" s="77" t="s">
        <v>678</v>
      </c>
      <c r="C130" s="78">
        <v>22373.0</v>
      </c>
      <c r="D130" s="77" t="s">
        <v>680</v>
      </c>
      <c r="E130" s="78">
        <v>37940.0</v>
      </c>
      <c r="F130" s="79">
        <v>45986.0</v>
      </c>
      <c r="G130" s="77" t="s">
        <v>45</v>
      </c>
      <c r="H130" s="77" t="s">
        <v>40</v>
      </c>
      <c r="I130" s="80">
        <v>188.0</v>
      </c>
      <c r="J130" s="81" t="s">
        <v>1581</v>
      </c>
      <c r="K130" s="82" t="s">
        <v>1582</v>
      </c>
      <c r="L130" s="83"/>
      <c r="M130" s="83"/>
    </row>
    <row r="131">
      <c r="A131" s="76" t="s">
        <v>676</v>
      </c>
      <c r="B131" s="77" t="s">
        <v>678</v>
      </c>
      <c r="C131" s="78">
        <v>22373.0</v>
      </c>
      <c r="D131" s="77" t="s">
        <v>680</v>
      </c>
      <c r="E131" s="78">
        <v>39816.0</v>
      </c>
      <c r="F131" s="79">
        <v>45986.0</v>
      </c>
      <c r="G131" s="77" t="s">
        <v>45</v>
      </c>
      <c r="H131" s="77" t="s">
        <v>40</v>
      </c>
      <c r="I131" s="80">
        <v>188.0</v>
      </c>
      <c r="J131" s="81" t="s">
        <v>1581</v>
      </c>
      <c r="K131" s="82" t="s">
        <v>1582</v>
      </c>
      <c r="L131" s="83"/>
      <c r="M131" s="83"/>
    </row>
    <row r="132">
      <c r="A132" s="76" t="s">
        <v>689</v>
      </c>
      <c r="B132" s="77" t="s">
        <v>684</v>
      </c>
      <c r="C132" s="78">
        <v>22373.0</v>
      </c>
      <c r="D132" s="77" t="s">
        <v>685</v>
      </c>
      <c r="E132" s="78">
        <v>89287.0</v>
      </c>
      <c r="F132" s="79">
        <v>45986.0</v>
      </c>
      <c r="G132" s="77" t="s">
        <v>75</v>
      </c>
      <c r="H132" s="77" t="s">
        <v>40</v>
      </c>
      <c r="I132" s="80">
        <v>188.0</v>
      </c>
      <c r="J132" s="87">
        <v>46031.0</v>
      </c>
      <c r="K132" s="82" t="s">
        <v>1614</v>
      </c>
      <c r="L132" s="81" t="s">
        <v>1722</v>
      </c>
      <c r="M132" s="83"/>
    </row>
    <row r="133">
      <c r="A133" s="76" t="s">
        <v>669</v>
      </c>
      <c r="B133" s="77" t="s">
        <v>402</v>
      </c>
      <c r="C133" s="77" t="s">
        <v>156</v>
      </c>
      <c r="D133" s="77" t="s">
        <v>403</v>
      </c>
      <c r="E133" s="78">
        <v>182.0</v>
      </c>
      <c r="F133" s="79">
        <v>45986.0</v>
      </c>
      <c r="G133" s="77" t="s">
        <v>64</v>
      </c>
      <c r="H133" s="77" t="s">
        <v>40</v>
      </c>
      <c r="I133" s="80">
        <v>188.0</v>
      </c>
      <c r="J133" s="81" t="s">
        <v>1620</v>
      </c>
      <c r="K133" s="82" t="s">
        <v>1621</v>
      </c>
      <c r="L133" s="83"/>
      <c r="M133" s="83"/>
    </row>
    <row r="134">
      <c r="A134" s="76" t="s">
        <v>665</v>
      </c>
      <c r="B134" s="77" t="s">
        <v>402</v>
      </c>
      <c r="C134" s="77" t="s">
        <v>156</v>
      </c>
      <c r="D134" s="77" t="s">
        <v>403</v>
      </c>
      <c r="E134" s="77" t="s">
        <v>666</v>
      </c>
      <c r="F134" s="79">
        <v>45986.0</v>
      </c>
      <c r="G134" s="77" t="s">
        <v>45</v>
      </c>
      <c r="H134" s="77" t="s">
        <v>40</v>
      </c>
      <c r="I134" s="80">
        <v>188.0</v>
      </c>
      <c r="J134" s="81" t="s">
        <v>1581</v>
      </c>
      <c r="K134" s="82" t="s">
        <v>1589</v>
      </c>
      <c r="L134" s="83"/>
      <c r="M134" s="83"/>
    </row>
    <row r="135">
      <c r="A135" s="76" t="s">
        <v>660</v>
      </c>
      <c r="B135" s="77" t="s">
        <v>402</v>
      </c>
      <c r="C135" s="77" t="s">
        <v>156</v>
      </c>
      <c r="D135" s="77" t="s">
        <v>403</v>
      </c>
      <c r="E135" s="77" t="s">
        <v>661</v>
      </c>
      <c r="F135" s="79">
        <v>45986.0</v>
      </c>
      <c r="G135" s="77" t="s">
        <v>62</v>
      </c>
      <c r="H135" s="77" t="s">
        <v>40</v>
      </c>
      <c r="I135" s="80">
        <v>188.0</v>
      </c>
      <c r="J135" s="81" t="s">
        <v>1581</v>
      </c>
      <c r="K135" s="82" t="s">
        <v>1589</v>
      </c>
      <c r="L135" s="83"/>
      <c r="M135" s="83"/>
    </row>
    <row r="136">
      <c r="A136" s="76" t="s">
        <v>672</v>
      </c>
      <c r="B136" s="77" t="s">
        <v>402</v>
      </c>
      <c r="C136" s="77" t="s">
        <v>156</v>
      </c>
      <c r="D136" s="77" t="s">
        <v>403</v>
      </c>
      <c r="E136" s="77" t="s">
        <v>674</v>
      </c>
      <c r="F136" s="79">
        <v>45986.0</v>
      </c>
      <c r="G136" s="77" t="s">
        <v>262</v>
      </c>
      <c r="H136" s="77" t="s">
        <v>40</v>
      </c>
      <c r="I136" s="80">
        <v>188.0</v>
      </c>
      <c r="J136" s="81" t="s">
        <v>1581</v>
      </c>
      <c r="K136" s="82" t="s">
        <v>1589</v>
      </c>
      <c r="L136" s="83"/>
      <c r="M136" s="83"/>
    </row>
    <row r="137">
      <c r="A137" s="76" t="s">
        <v>693</v>
      </c>
      <c r="B137" s="77" t="s">
        <v>274</v>
      </c>
      <c r="C137" s="77" t="s">
        <v>275</v>
      </c>
      <c r="D137" s="77" t="s">
        <v>276</v>
      </c>
      <c r="E137" s="78">
        <v>8.6805429E7</v>
      </c>
      <c r="F137" s="79">
        <v>46000.0</v>
      </c>
      <c r="G137" s="77" t="s">
        <v>45</v>
      </c>
      <c r="H137" s="77" t="s">
        <v>40</v>
      </c>
      <c r="I137" s="80">
        <v>174.0</v>
      </c>
      <c r="J137" s="94">
        <v>46191.0</v>
      </c>
      <c r="K137" s="82" t="s">
        <v>63</v>
      </c>
      <c r="L137" s="81" t="s">
        <v>1728</v>
      </c>
      <c r="M137" s="83"/>
    </row>
    <row r="138">
      <c r="A138" s="76" t="s">
        <v>696</v>
      </c>
      <c r="B138" s="77" t="s">
        <v>697</v>
      </c>
      <c r="C138" s="78">
        <v>32108.0</v>
      </c>
      <c r="D138" s="77" t="s">
        <v>698</v>
      </c>
      <c r="E138" s="77" t="s">
        <v>1729</v>
      </c>
      <c r="F138" s="79">
        <v>46000.0</v>
      </c>
      <c r="G138" s="77" t="s">
        <v>45</v>
      </c>
      <c r="H138" s="77" t="s">
        <v>40</v>
      </c>
      <c r="I138" s="80">
        <v>174.0</v>
      </c>
      <c r="J138" s="88" t="s">
        <v>1731</v>
      </c>
      <c r="K138" s="82" t="s">
        <v>1623</v>
      </c>
      <c r="L138" s="83"/>
      <c r="M138" s="83"/>
    </row>
    <row r="139">
      <c r="A139" s="76" t="s">
        <v>708</v>
      </c>
      <c r="B139" s="77" t="s">
        <v>564</v>
      </c>
      <c r="C139" s="78">
        <v>22373.0</v>
      </c>
      <c r="D139" s="77" t="s">
        <v>566</v>
      </c>
      <c r="E139" s="77" t="s">
        <v>709</v>
      </c>
      <c r="F139" s="79">
        <v>46007.0</v>
      </c>
      <c r="G139" s="77" t="s">
        <v>64</v>
      </c>
      <c r="H139" s="77" t="s">
        <v>40</v>
      </c>
      <c r="I139" s="80">
        <v>167.0</v>
      </c>
      <c r="J139" s="93">
        <v>46021.0</v>
      </c>
      <c r="K139" s="82" t="s">
        <v>64</v>
      </c>
      <c r="L139" s="81" t="s">
        <v>1732</v>
      </c>
      <c r="M139" s="81">
        <v>2793.0</v>
      </c>
    </row>
    <row r="140">
      <c r="A140" s="76" t="s">
        <v>705</v>
      </c>
      <c r="B140" s="77" t="s">
        <v>702</v>
      </c>
      <c r="C140" s="77" t="s">
        <v>156</v>
      </c>
      <c r="D140" s="77" t="s">
        <v>703</v>
      </c>
      <c r="E140" s="95">
        <v>1.381310971E9</v>
      </c>
      <c r="F140" s="79">
        <v>46007.0</v>
      </c>
      <c r="G140" s="77" t="s">
        <v>45</v>
      </c>
      <c r="H140" s="77" t="s">
        <v>40</v>
      </c>
      <c r="I140" s="80">
        <v>167.0</v>
      </c>
      <c r="J140" s="81" t="s">
        <v>1581</v>
      </c>
      <c r="K140" s="82" t="s">
        <v>1589</v>
      </c>
      <c r="L140" s="83"/>
      <c r="M140" s="83"/>
    </row>
    <row r="141">
      <c r="A141" s="76" t="s">
        <v>700</v>
      </c>
      <c r="B141" s="77" t="s">
        <v>702</v>
      </c>
      <c r="C141" s="77" t="s">
        <v>156</v>
      </c>
      <c r="D141" s="77" t="s">
        <v>703</v>
      </c>
      <c r="E141" s="78">
        <v>1.14111198E9</v>
      </c>
      <c r="F141" s="79">
        <v>46007.0</v>
      </c>
      <c r="G141" s="77" t="s">
        <v>45</v>
      </c>
      <c r="H141" s="77" t="s">
        <v>40</v>
      </c>
      <c r="I141" s="80">
        <v>167.0</v>
      </c>
      <c r="J141" s="81" t="s">
        <v>1581</v>
      </c>
      <c r="K141" s="82" t="s">
        <v>1589</v>
      </c>
      <c r="L141" s="83"/>
      <c r="M141" s="83"/>
    </row>
    <row r="142">
      <c r="A142" s="76" t="s">
        <v>716</v>
      </c>
      <c r="B142" s="77" t="s">
        <v>717</v>
      </c>
      <c r="C142" s="77" t="s">
        <v>156</v>
      </c>
      <c r="D142" s="77" t="s">
        <v>101</v>
      </c>
      <c r="E142" s="78">
        <v>3201.0</v>
      </c>
      <c r="F142" s="79">
        <v>46010.0</v>
      </c>
      <c r="G142" s="77" t="s">
        <v>64</v>
      </c>
      <c r="H142" s="77" t="s">
        <v>40</v>
      </c>
      <c r="I142" s="80">
        <v>164.0</v>
      </c>
      <c r="J142" s="87">
        <v>46052.0</v>
      </c>
      <c r="K142" s="82" t="s">
        <v>62</v>
      </c>
      <c r="L142" s="81" t="s">
        <v>1734</v>
      </c>
      <c r="M142" s="83"/>
    </row>
    <row r="143">
      <c r="A143" s="76" t="s">
        <v>712</v>
      </c>
      <c r="B143" s="77" t="s">
        <v>164</v>
      </c>
      <c r="C143" s="78">
        <v>71653.0</v>
      </c>
      <c r="D143" s="77" t="s">
        <v>165</v>
      </c>
      <c r="E143" s="77" t="s">
        <v>713</v>
      </c>
      <c r="F143" s="79">
        <v>46010.0</v>
      </c>
      <c r="G143" s="77" t="s">
        <v>45</v>
      </c>
      <c r="H143" s="77" t="s">
        <v>40</v>
      </c>
      <c r="I143" s="80">
        <v>164.0</v>
      </c>
      <c r="J143" s="81" t="s">
        <v>1620</v>
      </c>
      <c r="K143" s="82" t="s">
        <v>1621</v>
      </c>
      <c r="L143" s="83"/>
      <c r="M143" s="83"/>
    </row>
    <row r="144">
      <c r="A144" s="76" t="s">
        <v>725</v>
      </c>
      <c r="B144" s="77" t="s">
        <v>721</v>
      </c>
      <c r="C144" s="77" t="s">
        <v>156</v>
      </c>
      <c r="D144" s="77" t="s">
        <v>722</v>
      </c>
      <c r="E144" s="77" t="s">
        <v>727</v>
      </c>
      <c r="F144" s="79">
        <v>46010.0</v>
      </c>
      <c r="G144" s="77" t="s">
        <v>63</v>
      </c>
      <c r="H144" s="77" t="s">
        <v>40</v>
      </c>
      <c r="I144" s="80">
        <v>164.0</v>
      </c>
      <c r="J144" s="81" t="s">
        <v>1620</v>
      </c>
      <c r="K144" s="82" t="s">
        <v>1621</v>
      </c>
      <c r="L144" s="83"/>
      <c r="M144" s="83"/>
    </row>
    <row r="145">
      <c r="A145" s="76" t="s">
        <v>718</v>
      </c>
      <c r="B145" s="77" t="s">
        <v>721</v>
      </c>
      <c r="C145" s="77" t="s">
        <v>156</v>
      </c>
      <c r="D145" s="77" t="s">
        <v>722</v>
      </c>
      <c r="E145" s="77" t="s">
        <v>723</v>
      </c>
      <c r="F145" s="79">
        <v>46010.0</v>
      </c>
      <c r="G145" s="77" t="s">
        <v>63</v>
      </c>
      <c r="H145" s="77" t="s">
        <v>40</v>
      </c>
      <c r="I145" s="80">
        <v>164.0</v>
      </c>
      <c r="J145" s="81" t="s">
        <v>1620</v>
      </c>
      <c r="K145" s="82" t="s">
        <v>1621</v>
      </c>
      <c r="L145" s="83"/>
      <c r="M145" s="83"/>
    </row>
    <row r="146">
      <c r="A146" s="76" t="s">
        <v>1736</v>
      </c>
      <c r="B146" s="77" t="s">
        <v>1278</v>
      </c>
      <c r="C146" s="78">
        <v>74025.0</v>
      </c>
      <c r="D146" s="77" t="s">
        <v>1279</v>
      </c>
      <c r="E146" s="77" t="s">
        <v>1286</v>
      </c>
      <c r="F146" s="79">
        <v>46028.0</v>
      </c>
      <c r="G146" s="77" t="s">
        <v>60</v>
      </c>
      <c r="H146" s="77" t="s">
        <v>40</v>
      </c>
      <c r="I146" s="80">
        <v>146.0</v>
      </c>
      <c r="J146" s="81" t="s">
        <v>1588</v>
      </c>
      <c r="K146" s="82" t="s">
        <v>1590</v>
      </c>
      <c r="L146" s="83"/>
      <c r="M146" s="83"/>
    </row>
    <row r="147">
      <c r="A147" s="76" t="s">
        <v>763</v>
      </c>
      <c r="B147" s="77" t="s">
        <v>697</v>
      </c>
      <c r="C147" s="78">
        <v>32108.0</v>
      </c>
      <c r="D147" s="77" t="s">
        <v>698</v>
      </c>
      <c r="E147" s="77" t="s">
        <v>1738</v>
      </c>
      <c r="F147" s="79">
        <v>46028.0</v>
      </c>
      <c r="G147" s="77" t="s">
        <v>45</v>
      </c>
      <c r="H147" s="77" t="s">
        <v>40</v>
      </c>
      <c r="I147" s="80">
        <v>146.0</v>
      </c>
      <c r="J147" s="87">
        <v>46063.0</v>
      </c>
      <c r="K147" s="82" t="s">
        <v>60</v>
      </c>
      <c r="L147" s="81" t="s">
        <v>1739</v>
      </c>
      <c r="M147" s="83"/>
    </row>
    <row r="148">
      <c r="A148" s="76" t="s">
        <v>759</v>
      </c>
      <c r="B148" s="77" t="s">
        <v>697</v>
      </c>
      <c r="C148" s="78">
        <v>32108.0</v>
      </c>
      <c r="D148" s="77" t="s">
        <v>698</v>
      </c>
      <c r="E148" s="77" t="s">
        <v>1740</v>
      </c>
      <c r="F148" s="79">
        <v>46028.0</v>
      </c>
      <c r="G148" s="77" t="s">
        <v>45</v>
      </c>
      <c r="H148" s="77" t="s">
        <v>40</v>
      </c>
      <c r="I148" s="80">
        <v>146.0</v>
      </c>
      <c r="J148" s="87">
        <v>46063.0</v>
      </c>
      <c r="K148" s="82" t="s">
        <v>60</v>
      </c>
      <c r="L148" s="81" t="s">
        <v>1739</v>
      </c>
      <c r="M148" s="83"/>
    </row>
    <row r="149">
      <c r="A149" s="76" t="s">
        <v>755</v>
      </c>
      <c r="B149" s="77" t="s">
        <v>697</v>
      </c>
      <c r="C149" s="78">
        <v>32108.0</v>
      </c>
      <c r="D149" s="77" t="s">
        <v>698</v>
      </c>
      <c r="E149" s="77" t="s">
        <v>1742</v>
      </c>
      <c r="F149" s="79">
        <v>46028.0</v>
      </c>
      <c r="G149" s="77" t="s">
        <v>45</v>
      </c>
      <c r="H149" s="77" t="s">
        <v>40</v>
      </c>
      <c r="I149" s="80">
        <v>146.0</v>
      </c>
      <c r="J149" s="87">
        <v>46063.0</v>
      </c>
      <c r="K149" s="82" t="s">
        <v>60</v>
      </c>
      <c r="L149" s="81" t="s">
        <v>1739</v>
      </c>
      <c r="M149" s="83"/>
    </row>
    <row r="150">
      <c r="A150" s="76" t="s">
        <v>770</v>
      </c>
      <c r="B150" s="77" t="s">
        <v>155</v>
      </c>
      <c r="C150" s="77" t="s">
        <v>156</v>
      </c>
      <c r="D150" s="77" t="s">
        <v>157</v>
      </c>
      <c r="E150" s="78">
        <v>2165.0</v>
      </c>
      <c r="F150" s="79">
        <v>46028.0</v>
      </c>
      <c r="G150" s="77" t="s">
        <v>773</v>
      </c>
      <c r="H150" s="77" t="s">
        <v>40</v>
      </c>
      <c r="I150" s="80">
        <v>146.0</v>
      </c>
      <c r="J150" s="87">
        <v>46114.0</v>
      </c>
      <c r="K150" s="82" t="s">
        <v>63</v>
      </c>
      <c r="L150" s="81" t="s">
        <v>1743</v>
      </c>
      <c r="M150" s="83"/>
    </row>
    <row r="151">
      <c r="A151" s="76" t="s">
        <v>1744</v>
      </c>
      <c r="B151" s="77" t="s">
        <v>226</v>
      </c>
      <c r="C151" s="78">
        <v>71513.0</v>
      </c>
      <c r="D151" s="77" t="s">
        <v>320</v>
      </c>
      <c r="E151" s="78">
        <v>822.0</v>
      </c>
      <c r="F151" s="79">
        <v>46028.0</v>
      </c>
      <c r="G151" s="77" t="s">
        <v>76</v>
      </c>
      <c r="H151" s="77" t="s">
        <v>40</v>
      </c>
      <c r="I151" s="80">
        <v>146.0</v>
      </c>
      <c r="J151" s="81" t="s">
        <v>1620</v>
      </c>
      <c r="K151" s="82" t="s">
        <v>1589</v>
      </c>
      <c r="L151" s="83"/>
      <c r="M151" s="83"/>
    </row>
    <row r="152">
      <c r="A152" s="76" t="s">
        <v>728</v>
      </c>
      <c r="B152" s="77" t="s">
        <v>231</v>
      </c>
      <c r="C152" s="78">
        <v>71513.0</v>
      </c>
      <c r="D152" s="77" t="s">
        <v>232</v>
      </c>
      <c r="E152" s="78">
        <v>795.0</v>
      </c>
      <c r="F152" s="79">
        <v>46028.0</v>
      </c>
      <c r="G152" s="77" t="s">
        <v>62</v>
      </c>
      <c r="H152" s="77" t="s">
        <v>40</v>
      </c>
      <c r="I152" s="80">
        <v>146.0</v>
      </c>
      <c r="J152" s="81" t="s">
        <v>1620</v>
      </c>
      <c r="K152" s="82" t="s">
        <v>1589</v>
      </c>
      <c r="L152" s="83"/>
      <c r="M152" s="83"/>
    </row>
    <row r="153">
      <c r="A153" s="76" t="s">
        <v>732</v>
      </c>
      <c r="B153" s="77" t="s">
        <v>231</v>
      </c>
      <c r="C153" s="78">
        <v>71513.0</v>
      </c>
      <c r="D153" s="77" t="s">
        <v>232</v>
      </c>
      <c r="E153" s="78">
        <v>784.0</v>
      </c>
      <c r="F153" s="79">
        <v>46028.0</v>
      </c>
      <c r="G153" s="77" t="s">
        <v>64</v>
      </c>
      <c r="H153" s="77" t="s">
        <v>40</v>
      </c>
      <c r="I153" s="80">
        <v>146.0</v>
      </c>
      <c r="J153" s="81" t="s">
        <v>1620</v>
      </c>
      <c r="K153" s="82" t="s">
        <v>1589</v>
      </c>
      <c r="L153" s="83"/>
      <c r="M153" s="83"/>
    </row>
    <row r="154">
      <c r="A154" s="76" t="s">
        <v>739</v>
      </c>
      <c r="B154" s="77" t="s">
        <v>226</v>
      </c>
      <c r="C154" s="78">
        <v>71513.0</v>
      </c>
      <c r="D154" s="77" t="s">
        <v>320</v>
      </c>
      <c r="E154" s="78">
        <v>482.0</v>
      </c>
      <c r="F154" s="79">
        <v>46028.0</v>
      </c>
      <c r="G154" s="77" t="s">
        <v>45</v>
      </c>
      <c r="H154" s="77" t="s">
        <v>40</v>
      </c>
      <c r="I154" s="80">
        <v>146.0</v>
      </c>
      <c r="J154" s="81" t="s">
        <v>1620</v>
      </c>
      <c r="K154" s="82" t="s">
        <v>1589</v>
      </c>
      <c r="L154" s="83"/>
      <c r="M154" s="83"/>
    </row>
    <row r="155">
      <c r="A155" s="76" t="s">
        <v>735</v>
      </c>
      <c r="B155" s="77" t="s">
        <v>231</v>
      </c>
      <c r="C155" s="78">
        <v>71513.0</v>
      </c>
      <c r="D155" s="77" t="s">
        <v>232</v>
      </c>
      <c r="E155" s="77" t="s">
        <v>736</v>
      </c>
      <c r="F155" s="79">
        <v>46028.0</v>
      </c>
      <c r="G155" s="77" t="s">
        <v>70</v>
      </c>
      <c r="H155" s="77" t="s">
        <v>40</v>
      </c>
      <c r="I155" s="80">
        <v>146.0</v>
      </c>
      <c r="J155" s="81" t="s">
        <v>1620</v>
      </c>
      <c r="K155" s="82" t="s">
        <v>1589</v>
      </c>
      <c r="L155" s="83"/>
      <c r="M155" s="83"/>
    </row>
    <row r="156">
      <c r="A156" s="76" t="s">
        <v>747</v>
      </c>
      <c r="B156" s="77" t="s">
        <v>335</v>
      </c>
      <c r="C156" s="78">
        <v>71513.0</v>
      </c>
      <c r="D156" s="77" t="s">
        <v>336</v>
      </c>
      <c r="E156" s="78">
        <v>48.0</v>
      </c>
      <c r="F156" s="79">
        <v>46028.0</v>
      </c>
      <c r="G156" s="77" t="s">
        <v>62</v>
      </c>
      <c r="H156" s="77" t="s">
        <v>40</v>
      </c>
      <c r="I156" s="80">
        <v>146.0</v>
      </c>
      <c r="J156" s="81" t="s">
        <v>1620</v>
      </c>
      <c r="K156" s="82" t="s">
        <v>1589</v>
      </c>
      <c r="L156" s="83"/>
      <c r="M156" s="83"/>
    </row>
    <row r="157">
      <c r="A157" s="76" t="s">
        <v>745</v>
      </c>
      <c r="B157" s="77" t="s">
        <v>335</v>
      </c>
      <c r="C157" s="78">
        <v>71513.0</v>
      </c>
      <c r="D157" s="77" t="s">
        <v>336</v>
      </c>
      <c r="E157" s="77" t="s">
        <v>746</v>
      </c>
      <c r="F157" s="79">
        <v>46028.0</v>
      </c>
      <c r="G157" s="77" t="s">
        <v>70</v>
      </c>
      <c r="H157" s="77" t="s">
        <v>40</v>
      </c>
      <c r="I157" s="80">
        <v>146.0</v>
      </c>
      <c r="J157" s="81" t="s">
        <v>1620</v>
      </c>
      <c r="K157" s="82" t="s">
        <v>1589</v>
      </c>
      <c r="L157" s="83"/>
      <c r="M157" s="83"/>
    </row>
    <row r="158">
      <c r="A158" s="76" t="s">
        <v>742</v>
      </c>
      <c r="B158" s="77" t="s">
        <v>218</v>
      </c>
      <c r="C158" s="78">
        <v>33269.0</v>
      </c>
      <c r="D158" s="77" t="s">
        <v>343</v>
      </c>
      <c r="E158" s="77" t="s">
        <v>743</v>
      </c>
      <c r="F158" s="79">
        <v>46028.0</v>
      </c>
      <c r="G158" s="77" t="s">
        <v>64</v>
      </c>
      <c r="H158" s="77" t="s">
        <v>40</v>
      </c>
      <c r="I158" s="80">
        <v>146.0</v>
      </c>
      <c r="J158" s="81" t="s">
        <v>1620</v>
      </c>
      <c r="K158" s="82" t="s">
        <v>1589</v>
      </c>
      <c r="L158" s="83"/>
      <c r="M158" s="83"/>
    </row>
    <row r="159">
      <c r="A159" s="76" t="s">
        <v>765</v>
      </c>
      <c r="B159" s="77" t="s">
        <v>155</v>
      </c>
      <c r="C159" s="77" t="s">
        <v>156</v>
      </c>
      <c r="D159" s="77" t="s">
        <v>157</v>
      </c>
      <c r="E159" s="78">
        <v>1270.0</v>
      </c>
      <c r="F159" s="79">
        <v>46028.0</v>
      </c>
      <c r="G159" s="77" t="s">
        <v>68</v>
      </c>
      <c r="H159" s="77" t="s">
        <v>40</v>
      </c>
      <c r="I159" s="80">
        <v>146.0</v>
      </c>
      <c r="J159" s="81" t="s">
        <v>1620</v>
      </c>
      <c r="K159" s="82" t="s">
        <v>1589</v>
      </c>
      <c r="L159" s="83"/>
      <c r="M159" s="83"/>
    </row>
    <row r="160">
      <c r="A160" s="76" t="s">
        <v>750</v>
      </c>
      <c r="B160" s="77" t="s">
        <v>697</v>
      </c>
      <c r="C160" s="78">
        <v>32108.0</v>
      </c>
      <c r="D160" s="77" t="s">
        <v>698</v>
      </c>
      <c r="E160" s="77" t="s">
        <v>1751</v>
      </c>
      <c r="F160" s="79">
        <v>46028.0</v>
      </c>
      <c r="G160" s="77" t="s">
        <v>45</v>
      </c>
      <c r="H160" s="77" t="s">
        <v>40</v>
      </c>
      <c r="I160" s="80">
        <v>146.0</v>
      </c>
      <c r="J160" s="88" t="s">
        <v>1731</v>
      </c>
      <c r="K160" s="82" t="s">
        <v>1623</v>
      </c>
      <c r="L160" s="83"/>
      <c r="M160" s="83"/>
    </row>
    <row r="161">
      <c r="A161" s="76" t="s">
        <v>776</v>
      </c>
      <c r="B161" s="77" t="s">
        <v>777</v>
      </c>
      <c r="C161" s="84">
        <v>7213.0</v>
      </c>
      <c r="D161" s="77" t="s">
        <v>778</v>
      </c>
      <c r="E161" s="77" t="s">
        <v>779</v>
      </c>
      <c r="F161" s="79">
        <v>46036.0</v>
      </c>
      <c r="G161" s="77" t="s">
        <v>304</v>
      </c>
      <c r="H161" s="77" t="s">
        <v>40</v>
      </c>
      <c r="I161" s="80">
        <v>138.0</v>
      </c>
      <c r="J161" s="87">
        <v>46052.0</v>
      </c>
      <c r="K161" s="82" t="s">
        <v>64</v>
      </c>
      <c r="L161" s="81" t="s">
        <v>1754</v>
      </c>
      <c r="M161" s="83"/>
    </row>
    <row r="162">
      <c r="A162" s="76" t="s">
        <v>783</v>
      </c>
      <c r="B162" s="77" t="s">
        <v>784</v>
      </c>
      <c r="C162" s="84">
        <v>7213.0</v>
      </c>
      <c r="D162" s="77" t="s">
        <v>577</v>
      </c>
      <c r="E162" s="77" t="s">
        <v>785</v>
      </c>
      <c r="F162" s="79">
        <v>46036.0</v>
      </c>
      <c r="G162" s="77" t="s">
        <v>304</v>
      </c>
      <c r="H162" s="77" t="s">
        <v>40</v>
      </c>
      <c r="I162" s="80">
        <v>138.0</v>
      </c>
      <c r="J162" s="81" t="s">
        <v>1755</v>
      </c>
      <c r="K162" s="82" t="s">
        <v>1582</v>
      </c>
      <c r="L162" s="83"/>
      <c r="M162" s="83"/>
    </row>
    <row r="163">
      <c r="A163" s="76" t="s">
        <v>787</v>
      </c>
      <c r="B163" s="77" t="s">
        <v>788</v>
      </c>
      <c r="C163" s="78">
        <v>22373.0</v>
      </c>
      <c r="D163" s="77" t="s">
        <v>789</v>
      </c>
      <c r="E163" s="78">
        <v>24277.0</v>
      </c>
      <c r="F163" s="79">
        <v>46048.0</v>
      </c>
      <c r="G163" s="77" t="s">
        <v>76</v>
      </c>
      <c r="H163" s="77" t="s">
        <v>40</v>
      </c>
      <c r="I163" s="80">
        <v>126.0</v>
      </c>
      <c r="J163" s="81" t="s">
        <v>1620</v>
      </c>
      <c r="K163" s="82" t="s">
        <v>1621</v>
      </c>
      <c r="L163" s="83"/>
      <c r="M163" s="83"/>
    </row>
    <row r="164">
      <c r="A164" s="76" t="s">
        <v>791</v>
      </c>
      <c r="B164" s="77" t="s">
        <v>788</v>
      </c>
      <c r="C164" s="78">
        <v>22373.0</v>
      </c>
      <c r="D164" s="77" t="s">
        <v>789</v>
      </c>
      <c r="E164" s="78">
        <v>22102.0</v>
      </c>
      <c r="F164" s="79">
        <v>46048.0</v>
      </c>
      <c r="G164" s="77" t="s">
        <v>45</v>
      </c>
      <c r="H164" s="77" t="s">
        <v>40</v>
      </c>
      <c r="I164" s="80">
        <v>126.0</v>
      </c>
      <c r="J164" s="81" t="s">
        <v>1620</v>
      </c>
      <c r="K164" s="82" t="s">
        <v>1621</v>
      </c>
      <c r="L164" s="83"/>
      <c r="M164" s="83"/>
    </row>
    <row r="165">
      <c r="A165" s="76" t="s">
        <v>797</v>
      </c>
      <c r="B165" s="78">
        <v>3034792.0</v>
      </c>
      <c r="C165" s="84">
        <v>198.0</v>
      </c>
      <c r="D165" s="77" t="s">
        <v>78</v>
      </c>
      <c r="E165" s="85">
        <v>2798.0</v>
      </c>
      <c r="F165" s="79">
        <v>46050.0</v>
      </c>
      <c r="G165" s="77" t="s">
        <v>68</v>
      </c>
      <c r="H165" s="77" t="s">
        <v>40</v>
      </c>
      <c r="I165" s="80">
        <v>124.0</v>
      </c>
      <c r="J165" s="87">
        <v>46191.0</v>
      </c>
      <c r="K165" s="82" t="s">
        <v>57</v>
      </c>
      <c r="L165" s="81" t="s">
        <v>1758</v>
      </c>
      <c r="M165" s="83"/>
    </row>
    <row r="166">
      <c r="A166" s="76" t="s">
        <v>793</v>
      </c>
      <c r="B166" s="77" t="s">
        <v>223</v>
      </c>
      <c r="C166" s="78">
        <v>33269.0</v>
      </c>
      <c r="D166" s="77" t="s">
        <v>224</v>
      </c>
      <c r="E166" s="77" t="s">
        <v>794</v>
      </c>
      <c r="F166" s="79">
        <v>46050.0</v>
      </c>
      <c r="G166" s="77" t="s">
        <v>143</v>
      </c>
      <c r="H166" s="77" t="s">
        <v>40</v>
      </c>
      <c r="I166" s="80">
        <v>124.0</v>
      </c>
      <c r="J166" s="81" t="s">
        <v>1620</v>
      </c>
      <c r="K166" s="82" t="s">
        <v>1589</v>
      </c>
      <c r="L166" s="83"/>
      <c r="M166" s="83"/>
    </row>
    <row r="167">
      <c r="A167" s="76" t="s">
        <v>867</v>
      </c>
      <c r="B167" s="77" t="s">
        <v>868</v>
      </c>
      <c r="C167" s="77" t="s">
        <v>156</v>
      </c>
      <c r="D167" s="77" t="s">
        <v>869</v>
      </c>
      <c r="E167" s="77" t="s">
        <v>870</v>
      </c>
      <c r="F167" s="79">
        <v>46063.0</v>
      </c>
      <c r="G167" s="77" t="s">
        <v>64</v>
      </c>
      <c r="H167" s="77" t="s">
        <v>40</v>
      </c>
      <c r="I167" s="80">
        <v>111.0</v>
      </c>
      <c r="J167" s="81" t="s">
        <v>1581</v>
      </c>
      <c r="K167" s="82" t="s">
        <v>1593</v>
      </c>
      <c r="L167" s="83"/>
      <c r="M167" s="83"/>
    </row>
    <row r="168">
      <c r="A168" s="76" t="s">
        <v>831</v>
      </c>
      <c r="B168" s="77" t="s">
        <v>283</v>
      </c>
      <c r="C168" s="78">
        <v>22373.0</v>
      </c>
      <c r="D168" s="77" t="s">
        <v>284</v>
      </c>
      <c r="E168" s="78">
        <v>42966.0</v>
      </c>
      <c r="F168" s="79">
        <v>46063.0</v>
      </c>
      <c r="G168" s="77" t="s">
        <v>304</v>
      </c>
      <c r="H168" s="77" t="s">
        <v>40</v>
      </c>
      <c r="I168" s="80">
        <v>111.0</v>
      </c>
      <c r="J168" s="87">
        <v>46113.0</v>
      </c>
      <c r="K168" s="82" t="s">
        <v>57</v>
      </c>
      <c r="L168" s="81" t="s">
        <v>1760</v>
      </c>
      <c r="M168" s="83"/>
    </row>
    <row r="169">
      <c r="A169" s="76" t="s">
        <v>853</v>
      </c>
      <c r="B169" s="77" t="s">
        <v>854</v>
      </c>
      <c r="C169" s="77" t="s">
        <v>156</v>
      </c>
      <c r="D169" s="77" t="s">
        <v>855</v>
      </c>
      <c r="E169" s="77" t="s">
        <v>856</v>
      </c>
      <c r="F169" s="79">
        <v>46063.0</v>
      </c>
      <c r="G169" s="77" t="s">
        <v>63</v>
      </c>
      <c r="H169" s="77" t="s">
        <v>40</v>
      </c>
      <c r="I169" s="80">
        <v>111.0</v>
      </c>
      <c r="J169" s="87">
        <v>46185.0</v>
      </c>
      <c r="K169" s="82" t="s">
        <v>63</v>
      </c>
      <c r="L169" s="81" t="s">
        <v>1764</v>
      </c>
      <c r="M169" s="81" t="s">
        <v>1765</v>
      </c>
    </row>
    <row r="170">
      <c r="A170" s="76" t="s">
        <v>801</v>
      </c>
      <c r="B170" s="78">
        <v>3034792.0</v>
      </c>
      <c r="C170" s="84">
        <v>198.0</v>
      </c>
      <c r="D170" s="77" t="s">
        <v>78</v>
      </c>
      <c r="E170" s="85">
        <v>3665.0</v>
      </c>
      <c r="F170" s="79">
        <v>46063.0</v>
      </c>
      <c r="G170" s="77" t="s">
        <v>304</v>
      </c>
      <c r="H170" s="77" t="s">
        <v>40</v>
      </c>
      <c r="I170" s="80">
        <v>111.0</v>
      </c>
      <c r="J170" s="81" t="s">
        <v>1620</v>
      </c>
      <c r="K170" s="82" t="s">
        <v>1621</v>
      </c>
      <c r="L170" s="83"/>
      <c r="M170" s="83"/>
    </row>
    <row r="171">
      <c r="A171" s="76" t="s">
        <v>805</v>
      </c>
      <c r="B171" s="77" t="s">
        <v>806</v>
      </c>
      <c r="C171" s="77" t="s">
        <v>156</v>
      </c>
      <c r="D171" s="77" t="s">
        <v>292</v>
      </c>
      <c r="E171" s="77" t="s">
        <v>807</v>
      </c>
      <c r="F171" s="79">
        <v>46063.0</v>
      </c>
      <c r="G171" s="77" t="s">
        <v>60</v>
      </c>
      <c r="H171" s="77" t="s">
        <v>40</v>
      </c>
      <c r="I171" s="80">
        <v>111.0</v>
      </c>
      <c r="J171" s="81" t="s">
        <v>1620</v>
      </c>
      <c r="K171" s="82" t="s">
        <v>1621</v>
      </c>
      <c r="L171" s="83"/>
      <c r="M171" s="83"/>
    </row>
    <row r="172">
      <c r="A172" s="76" t="s">
        <v>829</v>
      </c>
      <c r="B172" s="77" t="s">
        <v>788</v>
      </c>
      <c r="C172" s="78">
        <v>22373.0</v>
      </c>
      <c r="D172" s="77" t="s">
        <v>789</v>
      </c>
      <c r="E172" s="78">
        <v>2926.0</v>
      </c>
      <c r="F172" s="79">
        <v>46063.0</v>
      </c>
      <c r="G172" s="77" t="s">
        <v>304</v>
      </c>
      <c r="H172" s="77" t="s">
        <v>40</v>
      </c>
      <c r="I172" s="80">
        <v>111.0</v>
      </c>
      <c r="J172" s="81" t="s">
        <v>1620</v>
      </c>
      <c r="K172" s="82" t="s">
        <v>1621</v>
      </c>
      <c r="L172" s="83"/>
      <c r="M172" s="83"/>
    </row>
    <row r="173">
      <c r="A173" s="76" t="s">
        <v>836</v>
      </c>
      <c r="B173" s="77" t="s">
        <v>837</v>
      </c>
      <c r="C173" s="78">
        <v>22373.0</v>
      </c>
      <c r="D173" s="77" t="s">
        <v>303</v>
      </c>
      <c r="E173" s="78">
        <v>12023.0</v>
      </c>
      <c r="F173" s="79">
        <v>46063.0</v>
      </c>
      <c r="G173" s="77" t="s">
        <v>64</v>
      </c>
      <c r="H173" s="77" t="s">
        <v>40</v>
      </c>
      <c r="I173" s="80">
        <v>111.0</v>
      </c>
      <c r="J173" s="81" t="s">
        <v>1620</v>
      </c>
      <c r="K173" s="82" t="s">
        <v>1621</v>
      </c>
      <c r="L173" s="83"/>
      <c r="M173" s="83"/>
    </row>
    <row r="174">
      <c r="A174" s="76" t="s">
        <v>843</v>
      </c>
      <c r="B174" s="77" t="s">
        <v>844</v>
      </c>
      <c r="C174" s="78">
        <v>22373.0</v>
      </c>
      <c r="D174" s="77" t="s">
        <v>303</v>
      </c>
      <c r="E174" s="78">
        <v>7310.0</v>
      </c>
      <c r="F174" s="79">
        <v>46063.0</v>
      </c>
      <c r="G174" s="77" t="s">
        <v>71</v>
      </c>
      <c r="H174" s="77" t="s">
        <v>40</v>
      </c>
      <c r="I174" s="80">
        <v>111.0</v>
      </c>
      <c r="J174" s="81" t="s">
        <v>1620</v>
      </c>
      <c r="K174" s="82" t="s">
        <v>1621</v>
      </c>
      <c r="L174" s="83"/>
      <c r="M174" s="83"/>
    </row>
    <row r="175">
      <c r="A175" s="76" t="s">
        <v>822</v>
      </c>
      <c r="B175" s="77" t="s">
        <v>824</v>
      </c>
      <c r="C175" s="77" t="s">
        <v>275</v>
      </c>
      <c r="D175" s="77" t="s">
        <v>826</v>
      </c>
      <c r="E175" s="78">
        <v>4.6710866E7</v>
      </c>
      <c r="F175" s="79">
        <v>46063.0</v>
      </c>
      <c r="G175" s="77" t="s">
        <v>68</v>
      </c>
      <c r="H175" s="77" t="s">
        <v>40</v>
      </c>
      <c r="I175" s="80">
        <v>111.0</v>
      </c>
      <c r="J175" s="81" t="s">
        <v>1620</v>
      </c>
      <c r="K175" s="82" t="s">
        <v>1589</v>
      </c>
      <c r="L175" s="83"/>
      <c r="M175" s="81">
        <v>4.6714369E7</v>
      </c>
    </row>
    <row r="176">
      <c r="A176" s="76" t="s">
        <v>847</v>
      </c>
      <c r="B176" s="77" t="s">
        <v>369</v>
      </c>
      <c r="C176" s="78">
        <v>22373.0</v>
      </c>
      <c r="D176" s="77" t="s">
        <v>370</v>
      </c>
      <c r="E176" s="78">
        <v>17714.0</v>
      </c>
      <c r="F176" s="79">
        <v>46063.0</v>
      </c>
      <c r="G176" s="77" t="s">
        <v>45</v>
      </c>
      <c r="H176" s="77" t="s">
        <v>40</v>
      </c>
      <c r="I176" s="80">
        <v>111.0</v>
      </c>
      <c r="J176" s="81" t="s">
        <v>1772</v>
      </c>
      <c r="K176" s="82" t="s">
        <v>1589</v>
      </c>
      <c r="L176" s="83"/>
      <c r="M176" s="83"/>
    </row>
    <row r="177">
      <c r="A177" s="76" t="s">
        <v>859</v>
      </c>
      <c r="B177" s="77" t="s">
        <v>860</v>
      </c>
      <c r="C177" s="77" t="s">
        <v>861</v>
      </c>
      <c r="D177" s="77" t="s">
        <v>862</v>
      </c>
      <c r="E177" s="86"/>
      <c r="F177" s="79">
        <v>46063.0</v>
      </c>
      <c r="G177" s="77" t="s">
        <v>63</v>
      </c>
      <c r="H177" s="77" t="s">
        <v>40</v>
      </c>
      <c r="I177" s="80">
        <v>111.0</v>
      </c>
      <c r="J177" s="81" t="s">
        <v>1588</v>
      </c>
      <c r="K177" s="82" t="s">
        <v>1589</v>
      </c>
      <c r="L177" s="83"/>
      <c r="M177" s="83"/>
    </row>
    <row r="178">
      <c r="A178" s="76" t="s">
        <v>871</v>
      </c>
      <c r="B178" s="77" t="s">
        <v>872</v>
      </c>
      <c r="C178" s="77" t="s">
        <v>156</v>
      </c>
      <c r="D178" s="77" t="s">
        <v>873</v>
      </c>
      <c r="E178" s="92">
        <v>919.0</v>
      </c>
      <c r="F178" s="79">
        <v>46063.0</v>
      </c>
      <c r="G178" s="77" t="s">
        <v>45</v>
      </c>
      <c r="H178" s="77" t="s">
        <v>40</v>
      </c>
      <c r="I178" s="80">
        <v>111.0</v>
      </c>
      <c r="J178" s="81" t="s">
        <v>1620</v>
      </c>
      <c r="K178" s="82" t="s">
        <v>1589</v>
      </c>
      <c r="L178" s="83"/>
      <c r="M178" s="83"/>
    </row>
    <row r="179">
      <c r="A179" s="76" t="s">
        <v>874</v>
      </c>
      <c r="B179" s="77" t="s">
        <v>875</v>
      </c>
      <c r="C179" s="78">
        <v>66503.0</v>
      </c>
      <c r="D179" s="77" t="s">
        <v>876</v>
      </c>
      <c r="E179" s="78">
        <v>2.0675473E7</v>
      </c>
      <c r="F179" s="79">
        <v>46063.0</v>
      </c>
      <c r="G179" s="77" t="s">
        <v>304</v>
      </c>
      <c r="H179" s="77" t="s">
        <v>40</v>
      </c>
      <c r="I179" s="80">
        <v>111.0</v>
      </c>
      <c r="J179" s="81" t="s">
        <v>1620</v>
      </c>
      <c r="K179" s="82" t="s">
        <v>1589</v>
      </c>
      <c r="L179" s="83"/>
      <c r="M179" s="83"/>
    </row>
    <row r="180">
      <c r="A180" s="76" t="s">
        <v>811</v>
      </c>
      <c r="B180" s="77" t="s">
        <v>812</v>
      </c>
      <c r="C180" s="78">
        <v>13068.0</v>
      </c>
      <c r="D180" s="77" t="s">
        <v>813</v>
      </c>
      <c r="E180" s="78">
        <v>1656.0</v>
      </c>
      <c r="F180" s="79">
        <v>46063.0</v>
      </c>
      <c r="G180" s="77" t="s">
        <v>389</v>
      </c>
      <c r="H180" s="77" t="s">
        <v>40</v>
      </c>
      <c r="I180" s="80">
        <v>111.0</v>
      </c>
      <c r="J180" s="88" t="s">
        <v>1581</v>
      </c>
      <c r="K180" s="82" t="s">
        <v>1623</v>
      </c>
      <c r="L180" s="83"/>
      <c r="M180" s="83"/>
    </row>
    <row r="181">
      <c r="A181" s="76" t="s">
        <v>817</v>
      </c>
      <c r="B181" s="77" t="s">
        <v>818</v>
      </c>
      <c r="C181" s="77" t="s">
        <v>156</v>
      </c>
      <c r="D181" s="77" t="s">
        <v>819</v>
      </c>
      <c r="E181" s="77" t="s">
        <v>820</v>
      </c>
      <c r="F181" s="79">
        <v>46063.0</v>
      </c>
      <c r="G181" s="77" t="s">
        <v>62</v>
      </c>
      <c r="H181" s="77" t="s">
        <v>40</v>
      </c>
      <c r="I181" s="80">
        <v>111.0</v>
      </c>
      <c r="J181" s="88" t="s">
        <v>1581</v>
      </c>
      <c r="K181" s="82" t="s">
        <v>1623</v>
      </c>
      <c r="L181" s="83"/>
      <c r="M181" s="83"/>
    </row>
    <row r="182">
      <c r="A182" s="76" t="s">
        <v>833</v>
      </c>
      <c r="B182" s="77" t="s">
        <v>362</v>
      </c>
      <c r="C182" s="78">
        <v>22373.0</v>
      </c>
      <c r="D182" s="77" t="s">
        <v>363</v>
      </c>
      <c r="E182" s="77" t="s">
        <v>1779</v>
      </c>
      <c r="F182" s="79">
        <v>46063.0</v>
      </c>
      <c r="G182" s="77" t="s">
        <v>64</v>
      </c>
      <c r="H182" s="77" t="s">
        <v>40</v>
      </c>
      <c r="I182" s="80">
        <v>111.0</v>
      </c>
      <c r="J182" s="88" t="s">
        <v>1581</v>
      </c>
      <c r="K182" s="82" t="s">
        <v>1623</v>
      </c>
      <c r="L182" s="83"/>
      <c r="M182" s="83"/>
    </row>
    <row r="183">
      <c r="A183" s="76" t="s">
        <v>835</v>
      </c>
      <c r="B183" s="77" t="s">
        <v>362</v>
      </c>
      <c r="C183" s="78">
        <v>22373.0</v>
      </c>
      <c r="D183" s="77" t="s">
        <v>363</v>
      </c>
      <c r="E183" s="78">
        <v>21940.0</v>
      </c>
      <c r="F183" s="79">
        <v>46063.0</v>
      </c>
      <c r="G183" s="77" t="s">
        <v>64</v>
      </c>
      <c r="H183" s="77" t="s">
        <v>40</v>
      </c>
      <c r="I183" s="80">
        <v>111.0</v>
      </c>
      <c r="J183" s="88" t="s">
        <v>1581</v>
      </c>
      <c r="K183" s="82" t="s">
        <v>1623</v>
      </c>
      <c r="L183" s="83"/>
      <c r="M183" s="83"/>
    </row>
    <row r="184">
      <c r="A184" s="76" t="s">
        <v>838</v>
      </c>
      <c r="B184" s="77" t="s">
        <v>839</v>
      </c>
      <c r="C184" s="78">
        <v>22373.0</v>
      </c>
      <c r="D184" s="77" t="s">
        <v>840</v>
      </c>
      <c r="E184" s="78">
        <v>22950.0</v>
      </c>
      <c r="F184" s="79">
        <v>46063.0</v>
      </c>
      <c r="G184" s="77" t="s">
        <v>66</v>
      </c>
      <c r="H184" s="77" t="s">
        <v>40</v>
      </c>
      <c r="I184" s="80">
        <v>111.0</v>
      </c>
      <c r="J184" s="88" t="s">
        <v>1581</v>
      </c>
      <c r="K184" s="82" t="s">
        <v>1623</v>
      </c>
      <c r="L184" s="83"/>
      <c r="M184" s="83"/>
    </row>
    <row r="185">
      <c r="A185" s="76" t="s">
        <v>846</v>
      </c>
      <c r="B185" s="77" t="s">
        <v>591</v>
      </c>
      <c r="C185" s="78">
        <v>22373.0</v>
      </c>
      <c r="D185" s="77" t="s">
        <v>593</v>
      </c>
      <c r="E185" s="78">
        <v>11154.0</v>
      </c>
      <c r="F185" s="79">
        <v>46063.0</v>
      </c>
      <c r="G185" s="77" t="s">
        <v>45</v>
      </c>
      <c r="H185" s="77" t="s">
        <v>40</v>
      </c>
      <c r="I185" s="80">
        <v>111.0</v>
      </c>
      <c r="J185" s="88" t="s">
        <v>1581</v>
      </c>
      <c r="K185" s="82" t="s">
        <v>1623</v>
      </c>
      <c r="L185" s="83"/>
      <c r="M185" s="83"/>
    </row>
    <row r="186">
      <c r="A186" s="76" t="s">
        <v>848</v>
      </c>
      <c r="B186" s="77" t="s">
        <v>849</v>
      </c>
      <c r="C186" s="78">
        <v>22373.0</v>
      </c>
      <c r="D186" s="77" t="s">
        <v>298</v>
      </c>
      <c r="E186" s="77" t="s">
        <v>850</v>
      </c>
      <c r="F186" s="79">
        <v>46063.0</v>
      </c>
      <c r="G186" s="77" t="s">
        <v>851</v>
      </c>
      <c r="H186" s="77" t="s">
        <v>40</v>
      </c>
      <c r="I186" s="80">
        <v>111.0</v>
      </c>
      <c r="J186" s="88" t="s">
        <v>1581</v>
      </c>
      <c r="K186" s="82" t="s">
        <v>1623</v>
      </c>
      <c r="L186" s="83"/>
      <c r="M186" s="83"/>
    </row>
    <row r="187">
      <c r="A187" s="76" t="s">
        <v>864</v>
      </c>
      <c r="B187" s="77" t="s">
        <v>510</v>
      </c>
      <c r="C187" s="78">
        <v>22373.0</v>
      </c>
      <c r="D187" s="77" t="s">
        <v>512</v>
      </c>
      <c r="E187" s="78">
        <v>8306.0</v>
      </c>
      <c r="F187" s="79">
        <v>46063.0</v>
      </c>
      <c r="G187" s="77" t="s">
        <v>262</v>
      </c>
      <c r="H187" s="77" t="s">
        <v>40</v>
      </c>
      <c r="I187" s="80">
        <v>111.0</v>
      </c>
      <c r="J187" s="88" t="s">
        <v>1581</v>
      </c>
      <c r="K187" s="82" t="s">
        <v>1623</v>
      </c>
      <c r="L187" s="83"/>
      <c r="M187" s="83"/>
    </row>
    <row r="188">
      <c r="A188" s="76" t="s">
        <v>877</v>
      </c>
      <c r="B188" s="77" t="s">
        <v>878</v>
      </c>
      <c r="C188" s="78">
        <v>16455.0</v>
      </c>
      <c r="D188" s="77" t="s">
        <v>879</v>
      </c>
      <c r="E188" s="78">
        <v>471591.0</v>
      </c>
      <c r="F188" s="79">
        <v>46077.0</v>
      </c>
      <c r="G188" s="77" t="s">
        <v>60</v>
      </c>
      <c r="H188" s="77" t="s">
        <v>40</v>
      </c>
      <c r="I188" s="96">
        <v>97.0</v>
      </c>
      <c r="J188" s="81" t="s">
        <v>1620</v>
      </c>
      <c r="K188" s="82" t="s">
        <v>1621</v>
      </c>
      <c r="L188" s="83"/>
      <c r="M188" s="83"/>
    </row>
    <row r="189">
      <c r="A189" s="76" t="s">
        <v>881</v>
      </c>
      <c r="B189" s="77" t="s">
        <v>878</v>
      </c>
      <c r="C189" s="78">
        <v>16455.0</v>
      </c>
      <c r="D189" s="77" t="s">
        <v>879</v>
      </c>
      <c r="E189" s="78">
        <v>470055.0</v>
      </c>
      <c r="F189" s="79">
        <v>46077.0</v>
      </c>
      <c r="G189" s="77" t="s">
        <v>63</v>
      </c>
      <c r="H189" s="77" t="s">
        <v>40</v>
      </c>
      <c r="I189" s="96">
        <v>97.0</v>
      </c>
      <c r="J189" s="88" t="s">
        <v>1581</v>
      </c>
      <c r="K189" s="82" t="s">
        <v>1623</v>
      </c>
      <c r="L189" s="83"/>
      <c r="M189" s="83"/>
    </row>
    <row r="190">
      <c r="A190" s="76" t="s">
        <v>883</v>
      </c>
      <c r="B190" s="77" t="s">
        <v>884</v>
      </c>
      <c r="C190" s="77" t="s">
        <v>156</v>
      </c>
      <c r="D190" s="77" t="s">
        <v>101</v>
      </c>
      <c r="E190" s="78">
        <v>8868.0</v>
      </c>
      <c r="F190" s="79">
        <v>46085.0</v>
      </c>
      <c r="G190" s="77" t="s">
        <v>60</v>
      </c>
      <c r="H190" s="77" t="s">
        <v>40</v>
      </c>
      <c r="I190" s="96">
        <v>89.0</v>
      </c>
      <c r="J190" s="81" t="s">
        <v>1581</v>
      </c>
      <c r="K190" s="82" t="s">
        <v>1589</v>
      </c>
      <c r="L190" s="83"/>
      <c r="M190" s="83"/>
    </row>
    <row r="191">
      <c r="A191" s="76" t="s">
        <v>886</v>
      </c>
      <c r="B191" s="77" t="s">
        <v>884</v>
      </c>
      <c r="C191" s="77" t="s">
        <v>156</v>
      </c>
      <c r="D191" s="77" t="s">
        <v>101</v>
      </c>
      <c r="E191" s="78">
        <v>4965.0</v>
      </c>
      <c r="F191" s="79">
        <v>46085.0</v>
      </c>
      <c r="G191" s="77" t="s">
        <v>60</v>
      </c>
      <c r="H191" s="77" t="s">
        <v>40</v>
      </c>
      <c r="I191" s="96">
        <v>89.0</v>
      </c>
      <c r="J191" s="81" t="s">
        <v>1581</v>
      </c>
      <c r="K191" s="82" t="s">
        <v>1589</v>
      </c>
      <c r="L191" s="83"/>
      <c r="M191" s="83"/>
    </row>
    <row r="192">
      <c r="A192" s="76" t="s">
        <v>888</v>
      </c>
      <c r="B192" s="78">
        <v>3034792.0</v>
      </c>
      <c r="C192" s="84">
        <v>198.0</v>
      </c>
      <c r="D192" s="77" t="s">
        <v>78</v>
      </c>
      <c r="E192" s="85">
        <v>745.0</v>
      </c>
      <c r="F192" s="79">
        <v>46090.0</v>
      </c>
      <c r="G192" s="77" t="s">
        <v>45</v>
      </c>
      <c r="H192" s="77" t="s">
        <v>40</v>
      </c>
      <c r="I192" s="96">
        <v>84.0</v>
      </c>
      <c r="J192" s="81" t="s">
        <v>1581</v>
      </c>
      <c r="K192" s="82" t="s">
        <v>1589</v>
      </c>
      <c r="L192" s="83"/>
      <c r="M192" s="83"/>
    </row>
    <row r="193">
      <c r="A193" s="76" t="s">
        <v>1786</v>
      </c>
      <c r="B193" s="77" t="s">
        <v>697</v>
      </c>
      <c r="C193" s="78">
        <v>32108.0</v>
      </c>
      <c r="D193" s="77" t="s">
        <v>698</v>
      </c>
      <c r="E193" s="77" t="s">
        <v>1787</v>
      </c>
      <c r="F193" s="79">
        <v>46100.0</v>
      </c>
      <c r="G193" s="77" t="s">
        <v>60</v>
      </c>
      <c r="H193" s="77" t="s">
        <v>40</v>
      </c>
      <c r="I193" s="97">
        <v>74.0</v>
      </c>
      <c r="J193" s="87">
        <v>46176.0</v>
      </c>
      <c r="K193" s="82" t="s">
        <v>60</v>
      </c>
      <c r="L193" s="81" t="s">
        <v>1788</v>
      </c>
      <c r="M193" s="83"/>
    </row>
    <row r="194">
      <c r="A194" s="76" t="s">
        <v>1789</v>
      </c>
      <c r="B194" s="77" t="s">
        <v>697</v>
      </c>
      <c r="C194" s="78">
        <v>32108.0</v>
      </c>
      <c r="D194" s="77" t="s">
        <v>698</v>
      </c>
      <c r="E194" s="77" t="s">
        <v>1790</v>
      </c>
      <c r="F194" s="79">
        <v>46100.0</v>
      </c>
      <c r="G194" s="77" t="s">
        <v>64</v>
      </c>
      <c r="H194" s="77" t="s">
        <v>40</v>
      </c>
      <c r="I194" s="97">
        <v>74.0</v>
      </c>
      <c r="J194" s="87">
        <v>46176.0</v>
      </c>
      <c r="K194" s="82" t="s">
        <v>60</v>
      </c>
      <c r="L194" s="81" t="s">
        <v>1788</v>
      </c>
      <c r="M194" s="83"/>
    </row>
    <row r="195">
      <c r="A195" s="76" t="s">
        <v>891</v>
      </c>
      <c r="B195" s="77" t="s">
        <v>717</v>
      </c>
      <c r="C195" s="77" t="s">
        <v>156</v>
      </c>
      <c r="D195" s="77" t="s">
        <v>101</v>
      </c>
      <c r="E195" s="78">
        <v>7086.0</v>
      </c>
      <c r="F195" s="79">
        <v>46107.0</v>
      </c>
      <c r="G195" s="77" t="s">
        <v>64</v>
      </c>
      <c r="H195" s="77" t="s">
        <v>40</v>
      </c>
      <c r="I195" s="97">
        <v>67.0</v>
      </c>
      <c r="J195" s="87">
        <v>46127.0</v>
      </c>
      <c r="K195" s="82" t="s">
        <v>1621</v>
      </c>
      <c r="L195" s="83"/>
      <c r="M195" s="83"/>
    </row>
    <row r="196">
      <c r="A196" s="76" t="s">
        <v>893</v>
      </c>
      <c r="B196" s="77" t="s">
        <v>100</v>
      </c>
      <c r="C196" s="78">
        <v>71379.0</v>
      </c>
      <c r="D196" s="77" t="s">
        <v>101</v>
      </c>
      <c r="E196" s="78">
        <v>99743.0</v>
      </c>
      <c r="F196" s="79">
        <v>46107.0</v>
      </c>
      <c r="G196" s="77" t="s">
        <v>64</v>
      </c>
      <c r="H196" s="77" t="s">
        <v>40</v>
      </c>
      <c r="I196" s="97">
        <v>67.0</v>
      </c>
      <c r="J196" s="81" t="s">
        <v>1620</v>
      </c>
      <c r="K196" s="82" t="s">
        <v>1621</v>
      </c>
      <c r="L196" s="83"/>
      <c r="M196" s="83"/>
    </row>
    <row r="197">
      <c r="A197" s="76" t="s">
        <v>889</v>
      </c>
      <c r="B197" s="77" t="s">
        <v>313</v>
      </c>
      <c r="C197" s="78">
        <v>22373.0</v>
      </c>
      <c r="D197" s="77" t="s">
        <v>890</v>
      </c>
      <c r="E197" s="78">
        <v>107178.0</v>
      </c>
      <c r="F197" s="79">
        <v>46107.0</v>
      </c>
      <c r="G197" s="77" t="s">
        <v>188</v>
      </c>
      <c r="H197" s="77" t="s">
        <v>40</v>
      </c>
      <c r="I197" s="97">
        <v>67.0</v>
      </c>
      <c r="J197" s="88" t="s">
        <v>1581</v>
      </c>
      <c r="K197" s="82" t="s">
        <v>1623</v>
      </c>
      <c r="L197" s="83"/>
      <c r="M197" s="83"/>
    </row>
    <row r="198">
      <c r="A198" s="76" t="s">
        <v>895</v>
      </c>
      <c r="B198" s="77" t="s">
        <v>283</v>
      </c>
      <c r="C198" s="78">
        <v>22373.0</v>
      </c>
      <c r="D198" s="77" t="s">
        <v>284</v>
      </c>
      <c r="E198" s="77" t="s">
        <v>896</v>
      </c>
      <c r="F198" s="79">
        <v>46112.0</v>
      </c>
      <c r="G198" s="77" t="s">
        <v>188</v>
      </c>
      <c r="H198" s="77" t="s">
        <v>40</v>
      </c>
      <c r="I198" s="97">
        <v>62.0</v>
      </c>
      <c r="J198" s="88" t="s">
        <v>1581</v>
      </c>
      <c r="K198" s="82" t="s">
        <v>1623</v>
      </c>
      <c r="L198" s="83"/>
      <c r="M198" s="83"/>
    </row>
    <row r="199">
      <c r="A199" s="76" t="s">
        <v>897</v>
      </c>
      <c r="B199" s="77" t="s">
        <v>898</v>
      </c>
      <c r="C199" s="78">
        <v>81205.0</v>
      </c>
      <c r="D199" s="77" t="s">
        <v>899</v>
      </c>
      <c r="E199" s="77" t="s">
        <v>900</v>
      </c>
      <c r="F199" s="79">
        <v>46125.0</v>
      </c>
      <c r="G199" s="77" t="s">
        <v>169</v>
      </c>
      <c r="H199" s="77" t="s">
        <v>40</v>
      </c>
      <c r="I199" s="97">
        <v>49.0</v>
      </c>
      <c r="J199" s="81" t="s">
        <v>1581</v>
      </c>
      <c r="K199" s="82" t="s">
        <v>1593</v>
      </c>
      <c r="L199" s="83"/>
      <c r="M199" s="83"/>
    </row>
    <row r="200">
      <c r="A200" s="76" t="s">
        <v>943</v>
      </c>
      <c r="B200" s="77" t="s">
        <v>277</v>
      </c>
      <c r="C200" s="78">
        <v>95270.0</v>
      </c>
      <c r="D200" s="77" t="s">
        <v>944</v>
      </c>
      <c r="E200" s="78">
        <v>1391.0</v>
      </c>
      <c r="F200" s="79">
        <v>46125.0</v>
      </c>
      <c r="G200" s="77" t="s">
        <v>45</v>
      </c>
      <c r="H200" s="77" t="s">
        <v>40</v>
      </c>
      <c r="I200" s="97">
        <v>49.0</v>
      </c>
      <c r="J200" s="81" t="s">
        <v>1581</v>
      </c>
      <c r="K200" s="82" t="s">
        <v>1593</v>
      </c>
      <c r="L200" s="83"/>
      <c r="M200" s="83"/>
    </row>
    <row r="201">
      <c r="A201" s="76" t="s">
        <v>931</v>
      </c>
      <c r="B201" s="77" t="s">
        <v>684</v>
      </c>
      <c r="C201" s="78">
        <v>22373.0</v>
      </c>
      <c r="D201" s="77" t="s">
        <v>685</v>
      </c>
      <c r="E201" s="78">
        <v>84317.0</v>
      </c>
      <c r="F201" s="79">
        <v>46125.0</v>
      </c>
      <c r="G201" s="77" t="s">
        <v>57</v>
      </c>
      <c r="H201" s="77" t="s">
        <v>40</v>
      </c>
      <c r="I201" s="97">
        <v>49.0</v>
      </c>
      <c r="J201" s="87">
        <v>46160.0</v>
      </c>
      <c r="K201" s="82" t="s">
        <v>64</v>
      </c>
      <c r="L201" s="81" t="s">
        <v>1795</v>
      </c>
      <c r="M201" s="83"/>
    </row>
    <row r="202">
      <c r="A202" s="76" t="s">
        <v>929</v>
      </c>
      <c r="B202" s="77" t="s">
        <v>684</v>
      </c>
      <c r="C202" s="78">
        <v>22373.0</v>
      </c>
      <c r="D202" s="77" t="s">
        <v>685</v>
      </c>
      <c r="E202" s="78">
        <v>83773.0</v>
      </c>
      <c r="F202" s="79">
        <v>46125.0</v>
      </c>
      <c r="G202" s="77" t="s">
        <v>57</v>
      </c>
      <c r="H202" s="77" t="s">
        <v>40</v>
      </c>
      <c r="I202" s="97">
        <v>49.0</v>
      </c>
      <c r="J202" s="87">
        <v>46156.0</v>
      </c>
      <c r="K202" s="82" t="s">
        <v>64</v>
      </c>
      <c r="L202" s="81" t="s">
        <v>1796</v>
      </c>
      <c r="M202" s="83"/>
    </row>
    <row r="203">
      <c r="A203" s="76" t="s">
        <v>962</v>
      </c>
      <c r="B203" s="77" t="s">
        <v>949</v>
      </c>
      <c r="C203" s="77" t="s">
        <v>156</v>
      </c>
      <c r="D203" s="77" t="s">
        <v>950</v>
      </c>
      <c r="E203" s="78">
        <v>3454.0</v>
      </c>
      <c r="F203" s="79">
        <v>46125.0</v>
      </c>
      <c r="G203" s="77" t="s">
        <v>68</v>
      </c>
      <c r="H203" s="77" t="s">
        <v>40</v>
      </c>
      <c r="I203" s="97">
        <v>49.0</v>
      </c>
      <c r="J203" s="87">
        <v>46182.0</v>
      </c>
      <c r="K203" s="82" t="s">
        <v>64</v>
      </c>
      <c r="L203" s="81" t="s">
        <v>1797</v>
      </c>
      <c r="M203" s="83"/>
    </row>
    <row r="204">
      <c r="A204" s="76" t="s">
        <v>955</v>
      </c>
      <c r="B204" s="77" t="s">
        <v>949</v>
      </c>
      <c r="C204" s="77" t="s">
        <v>156</v>
      </c>
      <c r="D204" s="77" t="s">
        <v>950</v>
      </c>
      <c r="E204" s="78">
        <v>3235.0</v>
      </c>
      <c r="F204" s="79">
        <v>46125.0</v>
      </c>
      <c r="G204" s="77" t="s">
        <v>57</v>
      </c>
      <c r="H204" s="77" t="s">
        <v>40</v>
      </c>
      <c r="I204" s="97">
        <v>49.0</v>
      </c>
      <c r="J204" s="87">
        <v>46182.0</v>
      </c>
      <c r="K204" s="82" t="s">
        <v>64</v>
      </c>
      <c r="L204" s="81" t="s">
        <v>1797</v>
      </c>
      <c r="M204" s="83"/>
    </row>
    <row r="205">
      <c r="A205" s="76" t="s">
        <v>928</v>
      </c>
      <c r="B205" s="77" t="s">
        <v>684</v>
      </c>
      <c r="C205" s="78">
        <v>22373.0</v>
      </c>
      <c r="D205" s="77" t="s">
        <v>685</v>
      </c>
      <c r="E205" s="78">
        <v>83740.0</v>
      </c>
      <c r="F205" s="79">
        <v>46125.0</v>
      </c>
      <c r="G205" s="77" t="s">
        <v>75</v>
      </c>
      <c r="H205" s="77" t="s">
        <v>40</v>
      </c>
      <c r="I205" s="97">
        <v>49.0</v>
      </c>
      <c r="J205" s="81" t="s">
        <v>1581</v>
      </c>
      <c r="K205" s="82" t="s">
        <v>1582</v>
      </c>
      <c r="L205" s="83"/>
      <c r="M205" s="83"/>
    </row>
    <row r="206">
      <c r="A206" s="76" t="s">
        <v>927</v>
      </c>
      <c r="B206" s="77" t="s">
        <v>684</v>
      </c>
      <c r="C206" s="78">
        <v>22373.0</v>
      </c>
      <c r="D206" s="77" t="s">
        <v>685</v>
      </c>
      <c r="E206" s="78">
        <v>84326.0</v>
      </c>
      <c r="F206" s="79">
        <v>46125.0</v>
      </c>
      <c r="G206" s="77" t="s">
        <v>75</v>
      </c>
      <c r="H206" s="77" t="s">
        <v>40</v>
      </c>
      <c r="I206" s="97">
        <v>49.0</v>
      </c>
      <c r="J206" s="81" t="s">
        <v>1581</v>
      </c>
      <c r="K206" s="82" t="s">
        <v>1582</v>
      </c>
      <c r="L206" s="83"/>
      <c r="M206" s="83"/>
    </row>
    <row r="207">
      <c r="A207" s="76" t="s">
        <v>934</v>
      </c>
      <c r="B207" s="77" t="s">
        <v>456</v>
      </c>
      <c r="C207" s="78">
        <v>22373.0</v>
      </c>
      <c r="D207" s="77" t="s">
        <v>457</v>
      </c>
      <c r="E207" s="78">
        <v>6708.0</v>
      </c>
      <c r="F207" s="79">
        <v>46125.0</v>
      </c>
      <c r="G207" s="77" t="s">
        <v>64</v>
      </c>
      <c r="H207" s="77" t="s">
        <v>40</v>
      </c>
      <c r="I207" s="97">
        <v>49.0</v>
      </c>
      <c r="J207" s="81" t="s">
        <v>1581</v>
      </c>
      <c r="K207" s="82" t="s">
        <v>1582</v>
      </c>
      <c r="L207" s="83"/>
      <c r="M207" s="83"/>
    </row>
    <row r="208">
      <c r="A208" s="76" t="s">
        <v>935</v>
      </c>
      <c r="B208" s="77" t="s">
        <v>456</v>
      </c>
      <c r="C208" s="78">
        <v>22373.0</v>
      </c>
      <c r="D208" s="77" t="s">
        <v>457</v>
      </c>
      <c r="E208" s="78">
        <v>9727.0</v>
      </c>
      <c r="F208" s="79">
        <v>46125.0</v>
      </c>
      <c r="G208" s="77" t="s">
        <v>64</v>
      </c>
      <c r="H208" s="77" t="s">
        <v>40</v>
      </c>
      <c r="I208" s="97">
        <v>49.0</v>
      </c>
      <c r="J208" s="81" t="s">
        <v>1581</v>
      </c>
      <c r="K208" s="82" t="s">
        <v>1582</v>
      </c>
      <c r="L208" s="83"/>
      <c r="M208" s="83"/>
    </row>
    <row r="209">
      <c r="A209" s="76" t="s">
        <v>964</v>
      </c>
      <c r="B209" s="77" t="s">
        <v>965</v>
      </c>
      <c r="C209" s="78">
        <v>7213.0</v>
      </c>
      <c r="D209" s="77" t="s">
        <v>966</v>
      </c>
      <c r="E209" s="77" t="s">
        <v>967</v>
      </c>
      <c r="F209" s="79">
        <v>46125.0</v>
      </c>
      <c r="G209" s="77" t="s">
        <v>45</v>
      </c>
      <c r="H209" s="77" t="s">
        <v>40</v>
      </c>
      <c r="I209" s="97">
        <v>49.0</v>
      </c>
      <c r="J209" s="81" t="s">
        <v>1581</v>
      </c>
      <c r="K209" s="82" t="s">
        <v>1582</v>
      </c>
      <c r="L209" s="83"/>
      <c r="M209" s="83"/>
    </row>
    <row r="210">
      <c r="A210" s="76" t="s">
        <v>1802</v>
      </c>
      <c r="B210" s="77" t="s">
        <v>277</v>
      </c>
      <c r="C210" s="78">
        <v>95270.0</v>
      </c>
      <c r="D210" s="77" t="s">
        <v>944</v>
      </c>
      <c r="E210" s="77" t="s">
        <v>1803</v>
      </c>
      <c r="F210" s="79">
        <v>46125.0</v>
      </c>
      <c r="G210" s="77" t="s">
        <v>304</v>
      </c>
      <c r="H210" s="77" t="s">
        <v>40</v>
      </c>
      <c r="I210" s="97">
        <v>49.0</v>
      </c>
      <c r="J210" s="87">
        <v>46175.0</v>
      </c>
      <c r="K210" s="82" t="s">
        <v>1614</v>
      </c>
      <c r="L210" s="81" t="s">
        <v>1660</v>
      </c>
      <c r="M210" s="83"/>
    </row>
    <row r="211">
      <c r="A211" s="76" t="s">
        <v>1804</v>
      </c>
      <c r="B211" s="77" t="s">
        <v>277</v>
      </c>
      <c r="C211" s="78">
        <v>95270.0</v>
      </c>
      <c r="D211" s="77" t="s">
        <v>944</v>
      </c>
      <c r="E211" s="77" t="s">
        <v>1805</v>
      </c>
      <c r="F211" s="79">
        <v>46125.0</v>
      </c>
      <c r="G211" s="77" t="s">
        <v>304</v>
      </c>
      <c r="H211" s="77" t="s">
        <v>40</v>
      </c>
      <c r="I211" s="97">
        <v>49.0</v>
      </c>
      <c r="J211" s="87">
        <v>46175.0</v>
      </c>
      <c r="K211" s="82" t="s">
        <v>1614</v>
      </c>
      <c r="L211" s="81" t="s">
        <v>1660</v>
      </c>
      <c r="M211" s="83"/>
    </row>
    <row r="212">
      <c r="A212" s="76" t="s">
        <v>905</v>
      </c>
      <c r="B212" s="77" t="s">
        <v>413</v>
      </c>
      <c r="C212" s="78">
        <v>54905.0</v>
      </c>
      <c r="D212" s="77" t="s">
        <v>414</v>
      </c>
      <c r="E212" s="77" t="s">
        <v>906</v>
      </c>
      <c r="F212" s="79">
        <v>46125.0</v>
      </c>
      <c r="G212" s="77" t="s">
        <v>64</v>
      </c>
      <c r="H212" s="77" t="s">
        <v>40</v>
      </c>
      <c r="I212" s="97">
        <v>49.0</v>
      </c>
      <c r="J212" s="83"/>
      <c r="K212" s="81" t="s">
        <v>1643</v>
      </c>
      <c r="L212" s="83"/>
      <c r="M212" s="83"/>
    </row>
    <row r="213">
      <c r="A213" s="76" t="s">
        <v>909</v>
      </c>
      <c r="B213" s="77" t="s">
        <v>413</v>
      </c>
      <c r="C213" s="78">
        <v>54905.0</v>
      </c>
      <c r="D213" s="77" t="s">
        <v>414</v>
      </c>
      <c r="E213" s="77" t="s">
        <v>910</v>
      </c>
      <c r="F213" s="79">
        <v>46125.0</v>
      </c>
      <c r="G213" s="77" t="s">
        <v>64</v>
      </c>
      <c r="H213" s="77" t="s">
        <v>40</v>
      </c>
      <c r="I213" s="97">
        <v>49.0</v>
      </c>
      <c r="J213" s="83"/>
      <c r="K213" s="81" t="s">
        <v>1643</v>
      </c>
      <c r="L213" s="83"/>
      <c r="M213" s="83"/>
    </row>
    <row r="214">
      <c r="A214" s="76" t="s">
        <v>911</v>
      </c>
      <c r="B214" s="77" t="s">
        <v>413</v>
      </c>
      <c r="C214" s="78">
        <v>54905.0</v>
      </c>
      <c r="D214" s="77" t="s">
        <v>414</v>
      </c>
      <c r="E214" s="77" t="s">
        <v>912</v>
      </c>
      <c r="F214" s="79">
        <v>46125.0</v>
      </c>
      <c r="G214" s="77" t="s">
        <v>45</v>
      </c>
      <c r="H214" s="77" t="s">
        <v>40</v>
      </c>
      <c r="I214" s="97">
        <v>49.0</v>
      </c>
      <c r="J214" s="83"/>
      <c r="K214" s="81" t="s">
        <v>1643</v>
      </c>
      <c r="L214" s="83"/>
      <c r="M214" s="83"/>
    </row>
    <row r="215">
      <c r="A215" s="76" t="s">
        <v>1807</v>
      </c>
      <c r="B215" s="77" t="s">
        <v>482</v>
      </c>
      <c r="C215" s="77" t="s">
        <v>275</v>
      </c>
      <c r="D215" s="77" t="s">
        <v>483</v>
      </c>
      <c r="E215" s="78">
        <v>4.7203152E7</v>
      </c>
      <c r="F215" s="79">
        <v>46125.0</v>
      </c>
      <c r="G215" s="77" t="s">
        <v>63</v>
      </c>
      <c r="H215" s="77" t="s">
        <v>40</v>
      </c>
      <c r="I215" s="97">
        <v>49.0</v>
      </c>
      <c r="J215" s="81" t="s">
        <v>1581</v>
      </c>
      <c r="K215" s="82" t="s">
        <v>1589</v>
      </c>
      <c r="L215" s="83"/>
      <c r="M215" s="83"/>
    </row>
    <row r="216">
      <c r="A216" s="76" t="s">
        <v>904</v>
      </c>
      <c r="B216" s="77" t="s">
        <v>482</v>
      </c>
      <c r="C216" s="77" t="s">
        <v>275</v>
      </c>
      <c r="D216" s="77" t="s">
        <v>483</v>
      </c>
      <c r="E216" s="78">
        <v>4.7202512E7</v>
      </c>
      <c r="F216" s="79">
        <v>46125.0</v>
      </c>
      <c r="G216" s="77" t="s">
        <v>63</v>
      </c>
      <c r="H216" s="77" t="s">
        <v>40</v>
      </c>
      <c r="I216" s="97">
        <v>49.0</v>
      </c>
      <c r="J216" s="81" t="s">
        <v>1581</v>
      </c>
      <c r="K216" s="82" t="s">
        <v>1589</v>
      </c>
      <c r="L216" s="83"/>
      <c r="M216" s="83"/>
    </row>
    <row r="217">
      <c r="A217" s="76" t="s">
        <v>918</v>
      </c>
      <c r="B217" s="77" t="s">
        <v>337</v>
      </c>
      <c r="C217" s="78">
        <v>22373.0</v>
      </c>
      <c r="D217" s="77" t="s">
        <v>338</v>
      </c>
      <c r="E217" s="78">
        <v>18156.0</v>
      </c>
      <c r="F217" s="79">
        <v>46125.0</v>
      </c>
      <c r="G217" s="77" t="s">
        <v>75</v>
      </c>
      <c r="H217" s="77" t="s">
        <v>40</v>
      </c>
      <c r="I217" s="97">
        <v>49.0</v>
      </c>
      <c r="J217" s="81" t="s">
        <v>1581</v>
      </c>
      <c r="K217" s="82" t="s">
        <v>1589</v>
      </c>
      <c r="L217" s="83"/>
      <c r="M217" s="83"/>
    </row>
    <row r="218">
      <c r="A218" s="76" t="s">
        <v>932</v>
      </c>
      <c r="B218" s="77" t="s">
        <v>231</v>
      </c>
      <c r="C218" s="78">
        <v>71513.0</v>
      </c>
      <c r="D218" s="77" t="s">
        <v>232</v>
      </c>
      <c r="E218" s="77" t="s">
        <v>933</v>
      </c>
      <c r="F218" s="79">
        <v>46125.0</v>
      </c>
      <c r="G218" s="77" t="s">
        <v>64</v>
      </c>
      <c r="H218" s="77" t="s">
        <v>40</v>
      </c>
      <c r="I218" s="97">
        <v>49.0</v>
      </c>
      <c r="J218" s="81" t="s">
        <v>1620</v>
      </c>
      <c r="K218" s="82" t="s">
        <v>1589</v>
      </c>
      <c r="L218" s="83"/>
      <c r="M218" s="83"/>
    </row>
    <row r="219">
      <c r="A219" s="76" t="s">
        <v>937</v>
      </c>
      <c r="B219" s="77" t="s">
        <v>335</v>
      </c>
      <c r="C219" s="78">
        <v>71513.0</v>
      </c>
      <c r="D219" s="77" t="s">
        <v>336</v>
      </c>
      <c r="E219" s="77" t="s">
        <v>938</v>
      </c>
      <c r="F219" s="79">
        <v>46125.0</v>
      </c>
      <c r="G219" s="77" t="s">
        <v>64</v>
      </c>
      <c r="H219" s="77" t="s">
        <v>40</v>
      </c>
      <c r="I219" s="97">
        <v>49.0</v>
      </c>
      <c r="J219" s="81" t="s">
        <v>1620</v>
      </c>
      <c r="K219" s="82" t="s">
        <v>1589</v>
      </c>
      <c r="L219" s="83"/>
      <c r="M219" s="83"/>
    </row>
    <row r="220">
      <c r="A220" s="76" t="s">
        <v>1812</v>
      </c>
      <c r="B220" s="77" t="s">
        <v>226</v>
      </c>
      <c r="C220" s="78">
        <v>71513.0</v>
      </c>
      <c r="D220" s="77" t="s">
        <v>320</v>
      </c>
      <c r="E220" s="78">
        <v>31.0</v>
      </c>
      <c r="F220" s="79">
        <v>46125.0</v>
      </c>
      <c r="G220" s="77" t="s">
        <v>64</v>
      </c>
      <c r="H220" s="77" t="s">
        <v>40</v>
      </c>
      <c r="I220" s="97">
        <v>49.0</v>
      </c>
      <c r="J220" s="81" t="s">
        <v>1620</v>
      </c>
      <c r="K220" s="82" t="s">
        <v>1589</v>
      </c>
      <c r="L220" s="83"/>
      <c r="M220" s="83"/>
    </row>
    <row r="221">
      <c r="A221" s="76" t="s">
        <v>936</v>
      </c>
      <c r="B221" s="77" t="s">
        <v>226</v>
      </c>
      <c r="C221" s="78">
        <v>71513.0</v>
      </c>
      <c r="D221" s="77" t="s">
        <v>320</v>
      </c>
      <c r="E221" s="78">
        <v>965.0</v>
      </c>
      <c r="F221" s="79">
        <v>46125.0</v>
      </c>
      <c r="G221" s="77" t="s">
        <v>64</v>
      </c>
      <c r="H221" s="77" t="s">
        <v>40</v>
      </c>
      <c r="I221" s="97">
        <v>49.0</v>
      </c>
      <c r="J221" s="81" t="s">
        <v>1620</v>
      </c>
      <c r="K221" s="82" t="s">
        <v>1589</v>
      </c>
      <c r="L221" s="83"/>
      <c r="M221" s="83"/>
    </row>
    <row r="222">
      <c r="A222" s="76" t="s">
        <v>940</v>
      </c>
      <c r="B222" s="77" t="s">
        <v>218</v>
      </c>
      <c r="C222" s="78">
        <v>33269.0</v>
      </c>
      <c r="D222" s="77" t="s">
        <v>343</v>
      </c>
      <c r="E222" s="78">
        <v>2007.0</v>
      </c>
      <c r="F222" s="79">
        <v>46125.0</v>
      </c>
      <c r="G222" s="77" t="s">
        <v>76</v>
      </c>
      <c r="H222" s="77" t="s">
        <v>40</v>
      </c>
      <c r="I222" s="97">
        <v>49.0</v>
      </c>
      <c r="J222" s="81" t="s">
        <v>1620</v>
      </c>
      <c r="K222" s="82" t="s">
        <v>1589</v>
      </c>
      <c r="L222" s="83"/>
      <c r="M222" s="83"/>
    </row>
    <row r="223">
      <c r="A223" s="76" t="s">
        <v>939</v>
      </c>
      <c r="B223" s="77" t="s">
        <v>218</v>
      </c>
      <c r="C223" s="78">
        <v>33269.0</v>
      </c>
      <c r="D223" s="77" t="s">
        <v>343</v>
      </c>
      <c r="E223" s="78">
        <v>688.0</v>
      </c>
      <c r="F223" s="79">
        <v>46125.0</v>
      </c>
      <c r="G223" s="77" t="s">
        <v>64</v>
      </c>
      <c r="H223" s="77" t="s">
        <v>40</v>
      </c>
      <c r="I223" s="97">
        <v>49.0</v>
      </c>
      <c r="J223" s="81" t="s">
        <v>1620</v>
      </c>
      <c r="K223" s="82" t="s">
        <v>1589</v>
      </c>
      <c r="L223" s="83"/>
      <c r="M223" s="83"/>
    </row>
    <row r="224">
      <c r="A224" s="76" t="s">
        <v>941</v>
      </c>
      <c r="B224" s="77" t="s">
        <v>218</v>
      </c>
      <c r="C224" s="78">
        <v>33269.0</v>
      </c>
      <c r="D224" s="77" t="s">
        <v>343</v>
      </c>
      <c r="E224" s="77" t="s">
        <v>942</v>
      </c>
      <c r="F224" s="79">
        <v>46125.0</v>
      </c>
      <c r="G224" s="77" t="s">
        <v>64</v>
      </c>
      <c r="H224" s="77" t="s">
        <v>40</v>
      </c>
      <c r="I224" s="97">
        <v>49.0</v>
      </c>
      <c r="J224" s="81" t="s">
        <v>1620</v>
      </c>
      <c r="K224" s="82" t="s">
        <v>1589</v>
      </c>
      <c r="L224" s="83"/>
      <c r="M224" s="83"/>
    </row>
    <row r="225">
      <c r="A225" s="76" t="s">
        <v>945</v>
      </c>
      <c r="B225" s="77" t="s">
        <v>556</v>
      </c>
      <c r="C225" s="77" t="s">
        <v>650</v>
      </c>
      <c r="D225" s="77" t="s">
        <v>946</v>
      </c>
      <c r="E225" s="78">
        <v>120315.0</v>
      </c>
      <c r="F225" s="79">
        <v>46125.0</v>
      </c>
      <c r="G225" s="77" t="s">
        <v>45</v>
      </c>
      <c r="H225" s="77" t="s">
        <v>40</v>
      </c>
      <c r="I225" s="97">
        <v>49.0</v>
      </c>
      <c r="J225" s="81" t="s">
        <v>1581</v>
      </c>
      <c r="K225" s="82" t="s">
        <v>1589</v>
      </c>
      <c r="L225" s="83"/>
      <c r="M225" s="83"/>
    </row>
    <row r="226">
      <c r="A226" s="76" t="s">
        <v>960</v>
      </c>
      <c r="B226" s="77" t="s">
        <v>949</v>
      </c>
      <c r="C226" s="77" t="s">
        <v>156</v>
      </c>
      <c r="D226" s="77" t="s">
        <v>950</v>
      </c>
      <c r="E226" s="78">
        <v>3493.0</v>
      </c>
      <c r="F226" s="79">
        <v>46125.0</v>
      </c>
      <c r="G226" s="77" t="s">
        <v>68</v>
      </c>
      <c r="H226" s="77" t="s">
        <v>40</v>
      </c>
      <c r="I226" s="97">
        <v>49.0</v>
      </c>
      <c r="J226" s="81" t="s">
        <v>1620</v>
      </c>
      <c r="K226" s="82" t="s">
        <v>1589</v>
      </c>
      <c r="L226" s="83"/>
      <c r="M226" s="83"/>
    </row>
    <row r="227">
      <c r="A227" s="76" t="s">
        <v>968</v>
      </c>
      <c r="B227" s="77" t="s">
        <v>147</v>
      </c>
      <c r="C227" s="78">
        <v>13068.0</v>
      </c>
      <c r="D227" s="77" t="s">
        <v>148</v>
      </c>
      <c r="E227" s="77" t="s">
        <v>969</v>
      </c>
      <c r="F227" s="79">
        <v>46125.0</v>
      </c>
      <c r="G227" s="77" t="s">
        <v>45</v>
      </c>
      <c r="H227" s="77" t="s">
        <v>40</v>
      </c>
      <c r="I227" s="97">
        <v>49.0</v>
      </c>
      <c r="J227" s="81" t="s">
        <v>1581</v>
      </c>
      <c r="K227" s="82" t="s">
        <v>1589</v>
      </c>
      <c r="L227" s="83"/>
      <c r="M227" s="83"/>
    </row>
    <row r="228">
      <c r="A228" s="76" t="s">
        <v>972</v>
      </c>
      <c r="B228" s="77" t="s">
        <v>658</v>
      </c>
      <c r="C228" s="78">
        <v>71379.0</v>
      </c>
      <c r="D228" s="77" t="s">
        <v>971</v>
      </c>
      <c r="E228" s="78">
        <v>1378.0</v>
      </c>
      <c r="F228" s="79">
        <v>46125.0</v>
      </c>
      <c r="G228" s="77" t="s">
        <v>64</v>
      </c>
      <c r="H228" s="77" t="s">
        <v>40</v>
      </c>
      <c r="I228" s="97">
        <v>49.0</v>
      </c>
      <c r="J228" s="81" t="s">
        <v>1581</v>
      </c>
      <c r="K228" s="82" t="s">
        <v>1589</v>
      </c>
      <c r="L228" s="83"/>
      <c r="M228" s="83"/>
    </row>
    <row r="229">
      <c r="A229" s="76" t="s">
        <v>916</v>
      </c>
      <c r="B229" s="77" t="s">
        <v>796</v>
      </c>
      <c r="C229" s="77" t="s">
        <v>275</v>
      </c>
      <c r="D229" s="77" t="s">
        <v>798</v>
      </c>
      <c r="E229" s="78">
        <v>2.200558E7</v>
      </c>
      <c r="F229" s="79">
        <v>46125.0</v>
      </c>
      <c r="G229" s="77" t="s">
        <v>63</v>
      </c>
      <c r="H229" s="77" t="s">
        <v>40</v>
      </c>
      <c r="I229" s="97">
        <v>49.0</v>
      </c>
      <c r="J229" s="88" t="s">
        <v>1581</v>
      </c>
      <c r="K229" s="82" t="s">
        <v>1623</v>
      </c>
      <c r="L229" s="83"/>
      <c r="M229" s="83"/>
    </row>
    <row r="230">
      <c r="A230" s="76" t="s">
        <v>917</v>
      </c>
      <c r="B230" s="77" t="s">
        <v>796</v>
      </c>
      <c r="C230" s="77" t="s">
        <v>275</v>
      </c>
      <c r="D230" s="77" t="s">
        <v>798</v>
      </c>
      <c r="E230" s="78">
        <v>2.2005955E7</v>
      </c>
      <c r="F230" s="79">
        <v>46125.0</v>
      </c>
      <c r="G230" s="77" t="s">
        <v>63</v>
      </c>
      <c r="H230" s="77" t="s">
        <v>40</v>
      </c>
      <c r="I230" s="97">
        <v>49.0</v>
      </c>
      <c r="J230" s="88" t="s">
        <v>1581</v>
      </c>
      <c r="K230" s="82" t="s">
        <v>1623</v>
      </c>
      <c r="L230" s="83"/>
      <c r="M230" s="83"/>
    </row>
    <row r="231">
      <c r="A231" s="76" t="s">
        <v>914</v>
      </c>
      <c r="B231" s="77" t="s">
        <v>796</v>
      </c>
      <c r="C231" s="77" t="s">
        <v>275</v>
      </c>
      <c r="D231" s="77" t="s">
        <v>798</v>
      </c>
      <c r="E231" s="78">
        <v>2.2005661E7</v>
      </c>
      <c r="F231" s="79">
        <v>46125.0</v>
      </c>
      <c r="G231" s="77" t="s">
        <v>63</v>
      </c>
      <c r="H231" s="77" t="s">
        <v>40</v>
      </c>
      <c r="I231" s="97">
        <v>49.0</v>
      </c>
      <c r="J231" s="88" t="s">
        <v>1581</v>
      </c>
      <c r="K231" s="82" t="s">
        <v>1623</v>
      </c>
      <c r="L231" s="83"/>
      <c r="M231" s="83"/>
    </row>
    <row r="232">
      <c r="A232" s="76" t="s">
        <v>920</v>
      </c>
      <c r="B232" s="77" t="s">
        <v>345</v>
      </c>
      <c r="C232" s="78">
        <v>22373.0</v>
      </c>
      <c r="D232" s="77" t="s">
        <v>346</v>
      </c>
      <c r="E232" s="78">
        <v>32207.0</v>
      </c>
      <c r="F232" s="79">
        <v>46125.0</v>
      </c>
      <c r="G232" s="77" t="s">
        <v>60</v>
      </c>
      <c r="H232" s="77" t="s">
        <v>40</v>
      </c>
      <c r="I232" s="97">
        <v>49.0</v>
      </c>
      <c r="J232" s="88" t="s">
        <v>1581</v>
      </c>
      <c r="K232" s="82" t="s">
        <v>1623</v>
      </c>
      <c r="L232" s="83"/>
      <c r="M232" s="83"/>
    </row>
    <row r="233">
      <c r="A233" s="76" t="s">
        <v>921</v>
      </c>
      <c r="B233" s="77" t="s">
        <v>923</v>
      </c>
      <c r="C233" s="78">
        <v>22373.0</v>
      </c>
      <c r="D233" s="77" t="s">
        <v>924</v>
      </c>
      <c r="E233" s="78">
        <v>37971.0</v>
      </c>
      <c r="F233" s="79">
        <v>46125.0</v>
      </c>
      <c r="G233" s="77" t="s">
        <v>294</v>
      </c>
      <c r="H233" s="77" t="s">
        <v>40</v>
      </c>
      <c r="I233" s="97">
        <v>49.0</v>
      </c>
      <c r="J233" s="88" t="s">
        <v>1581</v>
      </c>
      <c r="K233" s="82" t="s">
        <v>1623</v>
      </c>
      <c r="L233" s="83"/>
      <c r="M233" s="83"/>
    </row>
    <row r="234">
      <c r="A234" s="76" t="s">
        <v>970</v>
      </c>
      <c r="B234" s="77" t="s">
        <v>658</v>
      </c>
      <c r="C234" s="78">
        <v>71379.0</v>
      </c>
      <c r="D234" s="77" t="s">
        <v>971</v>
      </c>
      <c r="E234" s="78">
        <v>197.0</v>
      </c>
      <c r="F234" s="79">
        <v>46125.0</v>
      </c>
      <c r="G234" s="77" t="s">
        <v>63</v>
      </c>
      <c r="H234" s="77" t="s">
        <v>40</v>
      </c>
      <c r="I234" s="97">
        <v>49.0</v>
      </c>
      <c r="J234" s="88" t="s">
        <v>1581</v>
      </c>
      <c r="K234" s="82" t="s">
        <v>1623</v>
      </c>
      <c r="L234" s="83"/>
      <c r="M234" s="83"/>
    </row>
    <row r="235">
      <c r="A235" s="76" t="s">
        <v>948</v>
      </c>
      <c r="B235" s="77" t="s">
        <v>949</v>
      </c>
      <c r="C235" s="77" t="s">
        <v>156</v>
      </c>
      <c r="D235" s="77" t="s">
        <v>950</v>
      </c>
      <c r="E235" s="78">
        <v>113833.0</v>
      </c>
      <c r="F235" s="79">
        <v>46125.0</v>
      </c>
      <c r="G235" s="77" t="s">
        <v>63</v>
      </c>
      <c r="H235" s="77" t="s">
        <v>40</v>
      </c>
      <c r="I235" s="97">
        <v>49.0</v>
      </c>
      <c r="J235" s="87">
        <v>46182.0</v>
      </c>
      <c r="K235" s="82" t="s">
        <v>64</v>
      </c>
      <c r="L235" s="81" t="s">
        <v>1797</v>
      </c>
      <c r="M235" s="83"/>
    </row>
    <row r="236">
      <c r="A236" s="76" t="s">
        <v>952</v>
      </c>
      <c r="B236" s="77" t="s">
        <v>949</v>
      </c>
      <c r="C236" s="77" t="s">
        <v>156</v>
      </c>
      <c r="D236" s="77" t="s">
        <v>950</v>
      </c>
      <c r="E236" s="78">
        <v>535933.0</v>
      </c>
      <c r="F236" s="79">
        <v>46125.0</v>
      </c>
      <c r="G236" s="77" t="s">
        <v>66</v>
      </c>
      <c r="H236" s="77" t="s">
        <v>40</v>
      </c>
      <c r="I236" s="97">
        <v>49.0</v>
      </c>
      <c r="J236" s="81" t="s">
        <v>1620</v>
      </c>
      <c r="K236" s="82" t="s">
        <v>1589</v>
      </c>
      <c r="L236" s="83"/>
      <c r="M236" s="83"/>
    </row>
    <row r="237">
      <c r="A237" s="76" t="s">
        <v>963</v>
      </c>
      <c r="B237" s="77" t="s">
        <v>949</v>
      </c>
      <c r="C237" s="77" t="s">
        <v>156</v>
      </c>
      <c r="D237" s="77" t="s">
        <v>950</v>
      </c>
      <c r="E237" s="78">
        <v>289029.0</v>
      </c>
      <c r="F237" s="79">
        <v>46125.0</v>
      </c>
      <c r="G237" s="77" t="s">
        <v>64</v>
      </c>
      <c r="H237" s="77" t="s">
        <v>40</v>
      </c>
      <c r="I237" s="97">
        <v>49.0</v>
      </c>
      <c r="J237" s="81" t="s">
        <v>1620</v>
      </c>
      <c r="K237" s="82" t="s">
        <v>1589</v>
      </c>
      <c r="L237" s="83"/>
      <c r="M237" s="83"/>
    </row>
    <row r="238">
      <c r="A238" s="76" t="s">
        <v>958</v>
      </c>
      <c r="B238" s="77" t="s">
        <v>949</v>
      </c>
      <c r="C238" s="77" t="s">
        <v>156</v>
      </c>
      <c r="D238" s="77" t="s">
        <v>950</v>
      </c>
      <c r="E238" s="78">
        <v>157297.0</v>
      </c>
      <c r="F238" s="79">
        <v>46125.0</v>
      </c>
      <c r="G238" s="77" t="s">
        <v>57</v>
      </c>
      <c r="H238" s="77" t="s">
        <v>40</v>
      </c>
      <c r="I238" s="97">
        <v>49.0</v>
      </c>
      <c r="J238" s="87">
        <v>46182.0</v>
      </c>
      <c r="K238" s="82" t="s">
        <v>64</v>
      </c>
      <c r="L238" s="81" t="s">
        <v>1797</v>
      </c>
      <c r="M238" s="83"/>
    </row>
    <row r="239">
      <c r="A239" s="76" t="s">
        <v>954</v>
      </c>
      <c r="B239" s="77" t="s">
        <v>949</v>
      </c>
      <c r="C239" s="77" t="s">
        <v>156</v>
      </c>
      <c r="D239" s="77" t="s">
        <v>950</v>
      </c>
      <c r="E239" s="78">
        <v>625052.0</v>
      </c>
      <c r="F239" s="79">
        <v>46125.0</v>
      </c>
      <c r="G239" s="77" t="s">
        <v>45</v>
      </c>
      <c r="H239" s="77" t="s">
        <v>40</v>
      </c>
      <c r="I239" s="97">
        <v>49.0</v>
      </c>
      <c r="J239" s="87">
        <v>46182.0</v>
      </c>
      <c r="K239" s="82" t="s">
        <v>64</v>
      </c>
      <c r="L239" s="81" t="s">
        <v>1797</v>
      </c>
      <c r="M239" s="83"/>
    </row>
    <row r="240">
      <c r="A240" s="76" t="s">
        <v>953</v>
      </c>
      <c r="B240" s="77" t="s">
        <v>949</v>
      </c>
      <c r="C240" s="77" t="s">
        <v>156</v>
      </c>
      <c r="D240" s="77" t="s">
        <v>950</v>
      </c>
      <c r="E240" s="78">
        <v>614095.0</v>
      </c>
      <c r="F240" s="79">
        <v>46125.0</v>
      </c>
      <c r="G240" s="77" t="s">
        <v>45</v>
      </c>
      <c r="H240" s="77" t="s">
        <v>40</v>
      </c>
      <c r="I240" s="97">
        <v>49.0</v>
      </c>
      <c r="J240" s="87">
        <v>46182.0</v>
      </c>
      <c r="K240" s="82" t="s">
        <v>64</v>
      </c>
      <c r="L240" s="81" t="s">
        <v>1797</v>
      </c>
      <c r="M240" s="83"/>
    </row>
    <row r="241">
      <c r="A241" s="76" t="s">
        <v>1820</v>
      </c>
      <c r="B241" s="77" t="s">
        <v>326</v>
      </c>
      <c r="C241" s="77" t="s">
        <v>156</v>
      </c>
      <c r="D241" s="77" t="s">
        <v>327</v>
      </c>
      <c r="E241" s="77" t="s">
        <v>1821</v>
      </c>
      <c r="F241" s="79">
        <v>46127.0</v>
      </c>
      <c r="G241" s="77" t="s">
        <v>143</v>
      </c>
      <c r="H241" s="77" t="s">
        <v>40</v>
      </c>
      <c r="I241" s="97">
        <v>47.0</v>
      </c>
      <c r="J241" s="87">
        <v>46175.0</v>
      </c>
      <c r="K241" s="82" t="s">
        <v>1614</v>
      </c>
      <c r="L241" s="81" t="s">
        <v>1660</v>
      </c>
      <c r="M241" s="83"/>
    </row>
    <row r="242">
      <c r="A242" s="76" t="s">
        <v>1822</v>
      </c>
      <c r="B242" s="77" t="s">
        <v>326</v>
      </c>
      <c r="C242" s="77" t="s">
        <v>156</v>
      </c>
      <c r="D242" s="77" t="s">
        <v>327</v>
      </c>
      <c r="E242" s="77" t="s">
        <v>1823</v>
      </c>
      <c r="F242" s="79">
        <v>46127.0</v>
      </c>
      <c r="G242" s="77" t="s">
        <v>64</v>
      </c>
      <c r="H242" s="77" t="s">
        <v>40</v>
      </c>
      <c r="I242" s="97">
        <v>47.0</v>
      </c>
      <c r="J242" s="87">
        <v>46175.0</v>
      </c>
      <c r="K242" s="82" t="s">
        <v>1614</v>
      </c>
      <c r="L242" s="81" t="s">
        <v>1660</v>
      </c>
      <c r="M242" s="83"/>
    </row>
    <row r="243">
      <c r="A243" s="76" t="s">
        <v>973</v>
      </c>
      <c r="B243" s="77" t="s">
        <v>326</v>
      </c>
      <c r="C243" s="77" t="s">
        <v>156</v>
      </c>
      <c r="D243" s="77" t="s">
        <v>327</v>
      </c>
      <c r="E243" s="77" t="s">
        <v>974</v>
      </c>
      <c r="F243" s="79">
        <v>46127.0</v>
      </c>
      <c r="G243" s="77" t="s">
        <v>45</v>
      </c>
      <c r="H243" s="77" t="s">
        <v>40</v>
      </c>
      <c r="I243" s="97">
        <v>47.0</v>
      </c>
      <c r="J243" s="81" t="s">
        <v>1620</v>
      </c>
      <c r="K243" s="82" t="s">
        <v>1621</v>
      </c>
      <c r="L243" s="83"/>
      <c r="M243" s="83"/>
    </row>
    <row r="244">
      <c r="A244" s="76" t="s">
        <v>975</v>
      </c>
      <c r="B244" s="77" t="s">
        <v>326</v>
      </c>
      <c r="C244" s="77" t="s">
        <v>156</v>
      </c>
      <c r="D244" s="77" t="s">
        <v>327</v>
      </c>
      <c r="E244" s="77" t="s">
        <v>976</v>
      </c>
      <c r="F244" s="79">
        <v>46127.0</v>
      </c>
      <c r="G244" s="77" t="s">
        <v>60</v>
      </c>
      <c r="H244" s="77" t="s">
        <v>40</v>
      </c>
      <c r="I244" s="97">
        <v>47.0</v>
      </c>
      <c r="J244" s="81" t="s">
        <v>1620</v>
      </c>
      <c r="K244" s="82" t="s">
        <v>1621</v>
      </c>
      <c r="L244" s="83"/>
      <c r="M244" s="83"/>
    </row>
    <row r="245">
      <c r="A245" s="76" t="s">
        <v>996</v>
      </c>
      <c r="B245" s="77" t="s">
        <v>313</v>
      </c>
      <c r="C245" s="78">
        <v>22373.0</v>
      </c>
      <c r="D245" s="77" t="s">
        <v>890</v>
      </c>
      <c r="E245" s="78">
        <v>108207.0</v>
      </c>
      <c r="F245" s="79">
        <v>46142.0</v>
      </c>
      <c r="G245" s="77" t="s">
        <v>45</v>
      </c>
      <c r="H245" s="77" t="s">
        <v>40</v>
      </c>
      <c r="I245" s="97">
        <v>32.0</v>
      </c>
      <c r="J245" s="81" t="s">
        <v>1581</v>
      </c>
      <c r="K245" s="82" t="s">
        <v>1593</v>
      </c>
      <c r="L245" s="83"/>
      <c r="M245" s="83"/>
    </row>
    <row r="246">
      <c r="A246" s="76" t="s">
        <v>1000</v>
      </c>
      <c r="B246" s="77" t="s">
        <v>251</v>
      </c>
      <c r="C246" s="77" t="s">
        <v>156</v>
      </c>
      <c r="D246" s="77" t="s">
        <v>252</v>
      </c>
      <c r="E246" s="78">
        <v>96123.0</v>
      </c>
      <c r="F246" s="79">
        <v>46142.0</v>
      </c>
      <c r="G246" s="77" t="s">
        <v>45</v>
      </c>
      <c r="H246" s="77" t="s">
        <v>40</v>
      </c>
      <c r="I246" s="97">
        <v>32.0</v>
      </c>
      <c r="J246" s="81" t="s">
        <v>1581</v>
      </c>
      <c r="K246" s="82" t="s">
        <v>1593</v>
      </c>
      <c r="L246" s="83"/>
      <c r="M246" s="83"/>
    </row>
    <row r="247">
      <c r="A247" s="76" t="s">
        <v>999</v>
      </c>
      <c r="B247" s="77" t="s">
        <v>251</v>
      </c>
      <c r="C247" s="77" t="s">
        <v>156</v>
      </c>
      <c r="D247" s="77" t="s">
        <v>252</v>
      </c>
      <c r="E247" s="78">
        <v>4100932.0</v>
      </c>
      <c r="F247" s="79">
        <v>46142.0</v>
      </c>
      <c r="G247" s="77" t="s">
        <v>45</v>
      </c>
      <c r="H247" s="77" t="s">
        <v>40</v>
      </c>
      <c r="I247" s="97">
        <v>32.0</v>
      </c>
      <c r="J247" s="81" t="s">
        <v>1581</v>
      </c>
      <c r="K247" s="82" t="s">
        <v>1593</v>
      </c>
      <c r="L247" s="83"/>
      <c r="M247" s="83"/>
    </row>
    <row r="248">
      <c r="A248" s="76" t="s">
        <v>1826</v>
      </c>
      <c r="B248" s="77" t="s">
        <v>199</v>
      </c>
      <c r="C248" s="78">
        <v>22373.0</v>
      </c>
      <c r="D248" s="77" t="s">
        <v>200</v>
      </c>
      <c r="E248" s="78">
        <v>18685.0</v>
      </c>
      <c r="F248" s="79">
        <v>46142.0</v>
      </c>
      <c r="G248" s="77" t="s">
        <v>62</v>
      </c>
      <c r="H248" s="77" t="s">
        <v>40</v>
      </c>
      <c r="I248" s="97">
        <v>32.0</v>
      </c>
      <c r="J248" s="79">
        <v>46176.0</v>
      </c>
      <c r="K248" s="82" t="s">
        <v>57</v>
      </c>
      <c r="L248" s="81" t="s">
        <v>1827</v>
      </c>
      <c r="M248" s="83"/>
    </row>
    <row r="249">
      <c r="A249" s="76" t="s">
        <v>997</v>
      </c>
      <c r="B249" s="77" t="s">
        <v>199</v>
      </c>
      <c r="C249" s="78">
        <v>22373.0</v>
      </c>
      <c r="D249" s="77" t="s">
        <v>200</v>
      </c>
      <c r="E249" s="78">
        <v>16784.0</v>
      </c>
      <c r="F249" s="79">
        <v>46142.0</v>
      </c>
      <c r="G249" s="77" t="s">
        <v>304</v>
      </c>
      <c r="H249" s="77" t="s">
        <v>40</v>
      </c>
      <c r="I249" s="97">
        <v>32.0</v>
      </c>
      <c r="J249" s="79">
        <v>46160.0</v>
      </c>
      <c r="K249" s="82" t="s">
        <v>64</v>
      </c>
      <c r="L249" s="81" t="s">
        <v>1795</v>
      </c>
      <c r="M249" s="83"/>
    </row>
    <row r="250">
      <c r="A250" s="76" t="s">
        <v>998</v>
      </c>
      <c r="B250" s="77" t="s">
        <v>199</v>
      </c>
      <c r="C250" s="78">
        <v>22373.0</v>
      </c>
      <c r="D250" s="77" t="s">
        <v>200</v>
      </c>
      <c r="E250" s="78">
        <v>16810.0</v>
      </c>
      <c r="F250" s="79">
        <v>46142.0</v>
      </c>
      <c r="G250" s="77" t="s">
        <v>64</v>
      </c>
      <c r="H250" s="77" t="s">
        <v>40</v>
      </c>
      <c r="I250" s="97">
        <v>32.0</v>
      </c>
      <c r="J250" s="79">
        <v>46156.0</v>
      </c>
      <c r="K250" s="82" t="s">
        <v>64</v>
      </c>
      <c r="L250" s="81" t="s">
        <v>1796</v>
      </c>
      <c r="M250" s="83"/>
    </row>
    <row r="251">
      <c r="A251" s="76" t="s">
        <v>1003</v>
      </c>
      <c r="B251" s="77" t="s">
        <v>986</v>
      </c>
      <c r="C251" s="78">
        <v>22373.0</v>
      </c>
      <c r="D251" s="77" t="s">
        <v>987</v>
      </c>
      <c r="E251" s="78">
        <v>4155.0</v>
      </c>
      <c r="F251" s="79">
        <v>46142.0</v>
      </c>
      <c r="G251" s="77" t="s">
        <v>45</v>
      </c>
      <c r="H251" s="77" t="s">
        <v>40</v>
      </c>
      <c r="I251" s="97">
        <v>32.0</v>
      </c>
      <c r="J251" s="87">
        <v>46150.0</v>
      </c>
      <c r="K251" s="82" t="s">
        <v>64</v>
      </c>
      <c r="L251" s="81" t="s">
        <v>1830</v>
      </c>
      <c r="M251" s="83"/>
    </row>
    <row r="252">
      <c r="A252" s="76" t="s">
        <v>978</v>
      </c>
      <c r="B252" s="77" t="s">
        <v>440</v>
      </c>
      <c r="C252" s="77" t="s">
        <v>156</v>
      </c>
      <c r="D252" s="77" t="s">
        <v>441</v>
      </c>
      <c r="E252" s="78">
        <v>1062.0</v>
      </c>
      <c r="F252" s="79">
        <v>46142.0</v>
      </c>
      <c r="G252" s="77" t="s">
        <v>45</v>
      </c>
      <c r="H252" s="77" t="s">
        <v>40</v>
      </c>
      <c r="I252" s="97">
        <v>32.0</v>
      </c>
      <c r="J252" s="81" t="s">
        <v>1581</v>
      </c>
      <c r="K252" s="82" t="s">
        <v>1582</v>
      </c>
      <c r="L252" s="83"/>
      <c r="M252" s="83"/>
    </row>
    <row r="253">
      <c r="A253" s="76" t="s">
        <v>980</v>
      </c>
      <c r="B253" s="77" t="s">
        <v>440</v>
      </c>
      <c r="C253" s="77" t="s">
        <v>156</v>
      </c>
      <c r="D253" s="77" t="s">
        <v>441</v>
      </c>
      <c r="E253" s="78">
        <v>8619.0</v>
      </c>
      <c r="F253" s="79">
        <v>46142.0</v>
      </c>
      <c r="G253" s="77" t="s">
        <v>981</v>
      </c>
      <c r="H253" s="77" t="s">
        <v>40</v>
      </c>
      <c r="I253" s="97">
        <v>32.0</v>
      </c>
      <c r="J253" s="81" t="s">
        <v>1581</v>
      </c>
      <c r="K253" s="82" t="s">
        <v>1582</v>
      </c>
      <c r="L253" s="83"/>
      <c r="M253" s="83"/>
    </row>
    <row r="254">
      <c r="A254" s="76" t="s">
        <v>985</v>
      </c>
      <c r="B254" s="77" t="s">
        <v>986</v>
      </c>
      <c r="C254" s="78">
        <v>22373.0</v>
      </c>
      <c r="D254" s="77" t="s">
        <v>987</v>
      </c>
      <c r="E254" s="78">
        <v>4136.0</v>
      </c>
      <c r="F254" s="79">
        <v>46142.0</v>
      </c>
      <c r="G254" s="77" t="s">
        <v>45</v>
      </c>
      <c r="H254" s="77" t="s">
        <v>40</v>
      </c>
      <c r="I254" s="97">
        <v>32.0</v>
      </c>
      <c r="J254" s="81" t="s">
        <v>1581</v>
      </c>
      <c r="K254" s="82" t="s">
        <v>1582</v>
      </c>
      <c r="L254" s="83"/>
      <c r="M254" s="83"/>
    </row>
    <row r="255">
      <c r="A255" s="76" t="s">
        <v>988</v>
      </c>
      <c r="B255" s="77" t="s">
        <v>199</v>
      </c>
      <c r="C255" s="78">
        <v>22373.0</v>
      </c>
      <c r="D255" s="77" t="s">
        <v>200</v>
      </c>
      <c r="E255" s="78">
        <v>20238.0</v>
      </c>
      <c r="F255" s="79">
        <v>46142.0</v>
      </c>
      <c r="G255" s="77" t="s">
        <v>75</v>
      </c>
      <c r="H255" s="77" t="s">
        <v>40</v>
      </c>
      <c r="I255" s="97">
        <v>32.0</v>
      </c>
      <c r="J255" s="81" t="s">
        <v>1581</v>
      </c>
      <c r="K255" s="82" t="s">
        <v>1582</v>
      </c>
      <c r="L255" s="83"/>
      <c r="M255" s="83"/>
    </row>
    <row r="256">
      <c r="A256" s="76" t="s">
        <v>995</v>
      </c>
      <c r="B256" s="77" t="s">
        <v>986</v>
      </c>
      <c r="C256" s="78">
        <v>22373.0</v>
      </c>
      <c r="D256" s="77" t="s">
        <v>987</v>
      </c>
      <c r="E256" s="78">
        <v>4152.0</v>
      </c>
      <c r="F256" s="79">
        <v>46142.0</v>
      </c>
      <c r="G256" s="77" t="s">
        <v>45</v>
      </c>
      <c r="H256" s="77" t="s">
        <v>40</v>
      </c>
      <c r="I256" s="97">
        <v>32.0</v>
      </c>
      <c r="J256" s="83"/>
      <c r="K256" s="81" t="s">
        <v>1643</v>
      </c>
      <c r="L256" s="83"/>
      <c r="M256" s="83"/>
    </row>
    <row r="257">
      <c r="A257" s="76" t="s">
        <v>1022</v>
      </c>
      <c r="B257" s="77" t="s">
        <v>251</v>
      </c>
      <c r="C257" s="77" t="s">
        <v>156</v>
      </c>
      <c r="D257" s="77" t="s">
        <v>252</v>
      </c>
      <c r="E257" s="78">
        <v>4112112.0</v>
      </c>
      <c r="F257" s="79">
        <v>46142.0</v>
      </c>
      <c r="G257" s="77" t="s">
        <v>45</v>
      </c>
      <c r="H257" s="77" t="s">
        <v>40</v>
      </c>
      <c r="I257" s="97">
        <v>32.0</v>
      </c>
      <c r="J257" s="81" t="s">
        <v>1620</v>
      </c>
      <c r="K257" s="82" t="s">
        <v>1621</v>
      </c>
      <c r="L257" s="83"/>
      <c r="M257" s="83"/>
    </row>
    <row r="258">
      <c r="A258" s="76" t="s">
        <v>992</v>
      </c>
      <c r="B258" s="77" t="s">
        <v>291</v>
      </c>
      <c r="C258" s="77" t="s">
        <v>156</v>
      </c>
      <c r="D258" s="77" t="s">
        <v>292</v>
      </c>
      <c r="E258" s="77" t="s">
        <v>993</v>
      </c>
      <c r="F258" s="79">
        <v>46142.0</v>
      </c>
      <c r="G258" s="77" t="s">
        <v>57</v>
      </c>
      <c r="H258" s="77" t="s">
        <v>40</v>
      </c>
      <c r="I258" s="97">
        <v>32.0</v>
      </c>
      <c r="J258" s="81" t="s">
        <v>1620</v>
      </c>
      <c r="K258" s="82" t="s">
        <v>1589</v>
      </c>
      <c r="L258" s="83"/>
      <c r="M258" s="83"/>
    </row>
    <row r="259">
      <c r="A259" s="76" t="s">
        <v>989</v>
      </c>
      <c r="B259" s="77" t="s">
        <v>291</v>
      </c>
      <c r="C259" s="77" t="s">
        <v>156</v>
      </c>
      <c r="D259" s="77" t="s">
        <v>292</v>
      </c>
      <c r="E259" s="77" t="s">
        <v>990</v>
      </c>
      <c r="F259" s="79">
        <v>46142.0</v>
      </c>
      <c r="G259" s="77" t="s">
        <v>304</v>
      </c>
      <c r="H259" s="77" t="s">
        <v>40</v>
      </c>
      <c r="I259" s="97">
        <v>32.0</v>
      </c>
      <c r="J259" s="81" t="s">
        <v>1620</v>
      </c>
      <c r="K259" s="82" t="s">
        <v>1589</v>
      </c>
      <c r="L259" s="83"/>
      <c r="M259" s="83"/>
    </row>
    <row r="260">
      <c r="A260" s="76" t="s">
        <v>983</v>
      </c>
      <c r="B260" s="77" t="s">
        <v>313</v>
      </c>
      <c r="C260" s="78">
        <v>22373.0</v>
      </c>
      <c r="D260" s="77" t="s">
        <v>890</v>
      </c>
      <c r="E260" s="78">
        <v>102549.0</v>
      </c>
      <c r="F260" s="79">
        <v>46142.0</v>
      </c>
      <c r="G260" s="77" t="s">
        <v>60</v>
      </c>
      <c r="H260" s="77" t="s">
        <v>40</v>
      </c>
      <c r="I260" s="97">
        <v>32.0</v>
      </c>
      <c r="J260" s="81" t="s">
        <v>1620</v>
      </c>
      <c r="K260" s="82" t="s">
        <v>1589</v>
      </c>
      <c r="L260" s="83"/>
      <c r="M260" s="83"/>
    </row>
    <row r="261">
      <c r="A261" s="76" t="s">
        <v>1001</v>
      </c>
      <c r="B261" s="77" t="s">
        <v>291</v>
      </c>
      <c r="C261" s="77" t="s">
        <v>156</v>
      </c>
      <c r="D261" s="77" t="s">
        <v>292</v>
      </c>
      <c r="E261" s="77" t="s">
        <v>1002</v>
      </c>
      <c r="F261" s="79">
        <v>46142.0</v>
      </c>
      <c r="G261" s="77" t="s">
        <v>64</v>
      </c>
      <c r="H261" s="77" t="s">
        <v>40</v>
      </c>
      <c r="I261" s="97">
        <v>32.0</v>
      </c>
      <c r="J261" s="88" t="s">
        <v>1705</v>
      </c>
      <c r="K261" s="82" t="s">
        <v>1623</v>
      </c>
      <c r="L261" s="83"/>
      <c r="M261" s="83"/>
    </row>
    <row r="262">
      <c r="A262" s="76" t="s">
        <v>1005</v>
      </c>
      <c r="B262" s="77" t="s">
        <v>313</v>
      </c>
      <c r="C262" s="78">
        <v>22373.0</v>
      </c>
      <c r="D262" s="77" t="s">
        <v>890</v>
      </c>
      <c r="E262" s="78">
        <v>30316.0</v>
      </c>
      <c r="F262" s="79">
        <v>46142.0</v>
      </c>
      <c r="G262" s="77" t="s">
        <v>188</v>
      </c>
      <c r="H262" s="77" t="s">
        <v>40</v>
      </c>
      <c r="I262" s="97">
        <v>32.0</v>
      </c>
      <c r="J262" s="88" t="s">
        <v>1581</v>
      </c>
      <c r="K262" s="82" t="s">
        <v>1623</v>
      </c>
      <c r="L262" s="83"/>
      <c r="M262" s="83"/>
    </row>
    <row r="263">
      <c r="A263" s="76" t="s">
        <v>1013</v>
      </c>
      <c r="B263" s="77" t="s">
        <v>1011</v>
      </c>
      <c r="C263" s="77" t="s">
        <v>275</v>
      </c>
      <c r="D263" s="77" t="s">
        <v>1012</v>
      </c>
      <c r="E263" s="78">
        <v>8.6815595E7</v>
      </c>
      <c r="F263" s="79">
        <v>46142.0</v>
      </c>
      <c r="G263" s="77" t="s">
        <v>143</v>
      </c>
      <c r="H263" s="77" t="s">
        <v>40</v>
      </c>
      <c r="I263" s="97">
        <v>32.0</v>
      </c>
      <c r="J263" s="88" t="s">
        <v>1731</v>
      </c>
      <c r="K263" s="82" t="s">
        <v>1623</v>
      </c>
      <c r="L263" s="83"/>
      <c r="M263" s="83"/>
    </row>
    <row r="264">
      <c r="A264" s="76" t="s">
        <v>1010</v>
      </c>
      <c r="B264" s="77" t="s">
        <v>1011</v>
      </c>
      <c r="C264" s="77" t="s">
        <v>275</v>
      </c>
      <c r="D264" s="77" t="s">
        <v>1012</v>
      </c>
      <c r="E264" s="78">
        <v>8.6816588E7</v>
      </c>
      <c r="F264" s="79">
        <v>46142.0</v>
      </c>
      <c r="G264" s="77" t="s">
        <v>143</v>
      </c>
      <c r="H264" s="77" t="s">
        <v>40</v>
      </c>
      <c r="I264" s="97">
        <v>32.0</v>
      </c>
      <c r="J264" s="88" t="s">
        <v>1581</v>
      </c>
      <c r="K264" s="82" t="s">
        <v>1623</v>
      </c>
      <c r="L264" s="83"/>
      <c r="M264" s="83"/>
    </row>
    <row r="265">
      <c r="A265" s="76" t="s">
        <v>1833</v>
      </c>
      <c r="B265" s="77" t="s">
        <v>1011</v>
      </c>
      <c r="C265" s="77" t="s">
        <v>275</v>
      </c>
      <c r="D265" s="77" t="s">
        <v>1012</v>
      </c>
      <c r="E265" s="78">
        <v>8.6815646E7</v>
      </c>
      <c r="F265" s="79">
        <v>46142.0</v>
      </c>
      <c r="G265" s="77" t="s">
        <v>63</v>
      </c>
      <c r="H265" s="77" t="s">
        <v>40</v>
      </c>
      <c r="I265" s="97">
        <v>32.0</v>
      </c>
      <c r="J265" s="88" t="s">
        <v>1581</v>
      </c>
      <c r="K265" s="82" t="s">
        <v>1623</v>
      </c>
      <c r="L265" s="83"/>
      <c r="M265" s="83"/>
    </row>
    <row r="266">
      <c r="A266" s="76" t="s">
        <v>1007</v>
      </c>
      <c r="B266" s="77" t="s">
        <v>1008</v>
      </c>
      <c r="C266" s="77" t="s">
        <v>156</v>
      </c>
      <c r="D266" s="77" t="s">
        <v>292</v>
      </c>
      <c r="E266" s="77" t="s">
        <v>1009</v>
      </c>
      <c r="F266" s="79">
        <v>46142.0</v>
      </c>
      <c r="G266" s="77" t="s">
        <v>45</v>
      </c>
      <c r="H266" s="77" t="s">
        <v>40</v>
      </c>
      <c r="I266" s="97">
        <v>32.0</v>
      </c>
      <c r="J266" s="88" t="s">
        <v>1731</v>
      </c>
      <c r="K266" s="82" t="s">
        <v>1623</v>
      </c>
      <c r="L266" s="83"/>
      <c r="M266" s="83"/>
    </row>
    <row r="267">
      <c r="A267" s="76" t="s">
        <v>1016</v>
      </c>
      <c r="B267" s="77" t="s">
        <v>1008</v>
      </c>
      <c r="C267" s="77" t="s">
        <v>156</v>
      </c>
      <c r="D267" s="77" t="s">
        <v>292</v>
      </c>
      <c r="E267" s="77" t="s">
        <v>1017</v>
      </c>
      <c r="F267" s="79">
        <v>46142.0</v>
      </c>
      <c r="G267" s="77" t="s">
        <v>45</v>
      </c>
      <c r="H267" s="77" t="s">
        <v>40</v>
      </c>
      <c r="I267" s="97">
        <v>32.0</v>
      </c>
      <c r="J267" s="88" t="s">
        <v>1581</v>
      </c>
      <c r="K267" s="82" t="s">
        <v>1623</v>
      </c>
      <c r="L267" s="83"/>
      <c r="M267" s="83"/>
    </row>
    <row r="268">
      <c r="A268" s="76" t="s">
        <v>1018</v>
      </c>
      <c r="B268" s="77" t="s">
        <v>1008</v>
      </c>
      <c r="C268" s="77" t="s">
        <v>156</v>
      </c>
      <c r="D268" s="77" t="s">
        <v>292</v>
      </c>
      <c r="E268" s="77" t="s">
        <v>1019</v>
      </c>
      <c r="F268" s="79">
        <v>46142.0</v>
      </c>
      <c r="G268" s="77" t="s">
        <v>57</v>
      </c>
      <c r="H268" s="77" t="s">
        <v>40</v>
      </c>
      <c r="I268" s="97">
        <v>32.0</v>
      </c>
      <c r="J268" s="88" t="s">
        <v>1581</v>
      </c>
      <c r="K268" s="82" t="s">
        <v>1623</v>
      </c>
      <c r="L268" s="83"/>
      <c r="M268" s="83"/>
    </row>
    <row r="269">
      <c r="A269" s="76" t="s">
        <v>1020</v>
      </c>
      <c r="B269" s="77" t="s">
        <v>1008</v>
      </c>
      <c r="C269" s="77" t="s">
        <v>156</v>
      </c>
      <c r="D269" s="77" t="s">
        <v>292</v>
      </c>
      <c r="E269" s="77" t="s">
        <v>1021</v>
      </c>
      <c r="F269" s="79">
        <v>46142.0</v>
      </c>
      <c r="G269" s="77" t="s">
        <v>57</v>
      </c>
      <c r="H269" s="77" t="s">
        <v>40</v>
      </c>
      <c r="I269" s="97">
        <v>32.0</v>
      </c>
      <c r="J269" s="88" t="s">
        <v>1581</v>
      </c>
      <c r="K269" s="82" t="s">
        <v>1623</v>
      </c>
      <c r="L269" s="83"/>
      <c r="M269" s="83"/>
    </row>
    <row r="270">
      <c r="A270" s="76" t="s">
        <v>1014</v>
      </c>
      <c r="B270" s="77" t="s">
        <v>1008</v>
      </c>
      <c r="C270" s="77" t="s">
        <v>156</v>
      </c>
      <c r="D270" s="77" t="s">
        <v>292</v>
      </c>
      <c r="E270" s="77" t="s">
        <v>1015</v>
      </c>
      <c r="F270" s="79">
        <v>46142.0</v>
      </c>
      <c r="G270" s="77" t="s">
        <v>45</v>
      </c>
      <c r="H270" s="77" t="s">
        <v>40</v>
      </c>
      <c r="I270" s="97">
        <v>32.0</v>
      </c>
      <c r="J270" s="88" t="s">
        <v>1581</v>
      </c>
      <c r="K270" s="82" t="s">
        <v>1623</v>
      </c>
      <c r="L270" s="83"/>
      <c r="M270" s="83"/>
    </row>
    <row r="271">
      <c r="A271" s="76" t="s">
        <v>1032</v>
      </c>
      <c r="B271" s="77" t="s">
        <v>684</v>
      </c>
      <c r="C271" s="78">
        <v>22373.0</v>
      </c>
      <c r="D271" s="77" t="s">
        <v>685</v>
      </c>
      <c r="E271" s="77" t="s">
        <v>1033</v>
      </c>
      <c r="F271" s="79">
        <v>46148.0</v>
      </c>
      <c r="G271" s="77" t="s">
        <v>70</v>
      </c>
      <c r="H271" s="77" t="s">
        <v>40</v>
      </c>
      <c r="I271" s="97">
        <v>26.0</v>
      </c>
      <c r="J271" s="87">
        <v>46113.0</v>
      </c>
      <c r="K271" s="82" t="s">
        <v>57</v>
      </c>
      <c r="L271" s="81" t="s">
        <v>1760</v>
      </c>
      <c r="M271" s="83"/>
    </row>
    <row r="272">
      <c r="A272" s="76" t="s">
        <v>1030</v>
      </c>
      <c r="B272" s="77" t="s">
        <v>986</v>
      </c>
      <c r="C272" s="78">
        <v>22373.0</v>
      </c>
      <c r="D272" s="77" t="s">
        <v>987</v>
      </c>
      <c r="E272" s="78">
        <v>4129.0</v>
      </c>
      <c r="F272" s="79">
        <v>46148.0</v>
      </c>
      <c r="G272" s="77" t="s">
        <v>57</v>
      </c>
      <c r="H272" s="77" t="s">
        <v>40</v>
      </c>
      <c r="I272" s="97">
        <v>26.0</v>
      </c>
      <c r="J272" s="87">
        <v>46164.0</v>
      </c>
      <c r="K272" s="82" t="s">
        <v>64</v>
      </c>
      <c r="L272" s="81" t="s">
        <v>1835</v>
      </c>
      <c r="M272" s="83"/>
    </row>
    <row r="273">
      <c r="A273" s="76" t="s">
        <v>1025</v>
      </c>
      <c r="B273" s="77" t="s">
        <v>286</v>
      </c>
      <c r="C273" s="78">
        <v>22373.0</v>
      </c>
      <c r="D273" s="77" t="s">
        <v>287</v>
      </c>
      <c r="E273" s="78">
        <v>30559.0</v>
      </c>
      <c r="F273" s="79">
        <v>46148.0</v>
      </c>
      <c r="G273" s="77" t="s">
        <v>62</v>
      </c>
      <c r="H273" s="77" t="s">
        <v>40</v>
      </c>
      <c r="I273" s="97">
        <v>26.0</v>
      </c>
      <c r="J273" s="88" t="s">
        <v>1581</v>
      </c>
      <c r="K273" s="82" t="s">
        <v>1623</v>
      </c>
      <c r="L273" s="83"/>
      <c r="M273" s="83"/>
    </row>
    <row r="274">
      <c r="A274" s="76" t="s">
        <v>1024</v>
      </c>
      <c r="B274" s="77" t="s">
        <v>286</v>
      </c>
      <c r="C274" s="78">
        <v>22373.0</v>
      </c>
      <c r="D274" s="77" t="s">
        <v>287</v>
      </c>
      <c r="E274" s="78">
        <v>34851.0</v>
      </c>
      <c r="F274" s="79">
        <v>46148.0</v>
      </c>
      <c r="G274" s="77" t="s">
        <v>64</v>
      </c>
      <c r="H274" s="77" t="s">
        <v>40</v>
      </c>
      <c r="I274" s="97">
        <v>26.0</v>
      </c>
      <c r="J274" s="88" t="s">
        <v>1581</v>
      </c>
      <c r="K274" s="82" t="s">
        <v>1623</v>
      </c>
      <c r="L274" s="83"/>
      <c r="M274" s="83"/>
    </row>
    <row r="275">
      <c r="A275" s="76" t="s">
        <v>1023</v>
      </c>
      <c r="B275" s="77" t="s">
        <v>286</v>
      </c>
      <c r="C275" s="78">
        <v>22373.0</v>
      </c>
      <c r="D275" s="77" t="s">
        <v>287</v>
      </c>
      <c r="E275" s="78">
        <v>3958.0</v>
      </c>
      <c r="F275" s="79">
        <v>46148.0</v>
      </c>
      <c r="G275" s="77" t="s">
        <v>304</v>
      </c>
      <c r="H275" s="77" t="s">
        <v>40</v>
      </c>
      <c r="I275" s="97">
        <v>26.0</v>
      </c>
      <c r="J275" s="88" t="s">
        <v>1731</v>
      </c>
      <c r="K275" s="82" t="s">
        <v>1623</v>
      </c>
      <c r="L275" s="83"/>
      <c r="M275" s="83"/>
    </row>
    <row r="276">
      <c r="A276" s="76" t="s">
        <v>1026</v>
      </c>
      <c r="B276" s="77" t="s">
        <v>986</v>
      </c>
      <c r="C276" s="78">
        <v>22373.0</v>
      </c>
      <c r="D276" s="77" t="s">
        <v>987</v>
      </c>
      <c r="E276" s="78">
        <v>4157.0</v>
      </c>
      <c r="F276" s="79">
        <v>46148.0</v>
      </c>
      <c r="G276" s="77" t="s">
        <v>45</v>
      </c>
      <c r="H276" s="77" t="s">
        <v>40</v>
      </c>
      <c r="I276" s="97">
        <v>26.0</v>
      </c>
      <c r="J276" s="88" t="s">
        <v>1581</v>
      </c>
      <c r="K276" s="82" t="s">
        <v>1623</v>
      </c>
      <c r="L276" s="83"/>
      <c r="M276" s="83"/>
    </row>
    <row r="277">
      <c r="A277" s="76" t="s">
        <v>1027</v>
      </c>
      <c r="B277" s="77" t="s">
        <v>986</v>
      </c>
      <c r="C277" s="78">
        <v>22373.0</v>
      </c>
      <c r="D277" s="77" t="s">
        <v>987</v>
      </c>
      <c r="E277" s="78">
        <v>2913.0</v>
      </c>
      <c r="F277" s="79">
        <v>46148.0</v>
      </c>
      <c r="G277" s="77" t="s">
        <v>71</v>
      </c>
      <c r="H277" s="77" t="s">
        <v>40</v>
      </c>
      <c r="I277" s="97">
        <v>26.0</v>
      </c>
      <c r="J277" s="88" t="s">
        <v>1581</v>
      </c>
      <c r="K277" s="82" t="s">
        <v>1623</v>
      </c>
      <c r="L277" s="83"/>
      <c r="M277" s="83"/>
    </row>
    <row r="278">
      <c r="A278" s="76" t="s">
        <v>1036</v>
      </c>
      <c r="B278" s="77" t="s">
        <v>436</v>
      </c>
      <c r="C278" s="84">
        <v>7213.0</v>
      </c>
      <c r="D278" s="77" t="s">
        <v>778</v>
      </c>
      <c r="E278" s="77" t="s">
        <v>1037</v>
      </c>
      <c r="F278" s="79">
        <v>46149.0</v>
      </c>
      <c r="G278" s="77" t="s">
        <v>45</v>
      </c>
      <c r="H278" s="77" t="s">
        <v>40</v>
      </c>
      <c r="I278" s="97">
        <v>25.0</v>
      </c>
      <c r="J278" s="81" t="s">
        <v>1581</v>
      </c>
      <c r="K278" s="82" t="s">
        <v>1582</v>
      </c>
      <c r="L278" s="83"/>
      <c r="M278" s="83"/>
    </row>
    <row r="279">
      <c r="A279" s="76" t="s">
        <v>1034</v>
      </c>
      <c r="B279" s="77" t="s">
        <v>436</v>
      </c>
      <c r="C279" s="84">
        <v>7213.0</v>
      </c>
      <c r="D279" s="77" t="s">
        <v>778</v>
      </c>
      <c r="E279" s="77" t="s">
        <v>1035</v>
      </c>
      <c r="F279" s="79">
        <v>46149.0</v>
      </c>
      <c r="G279" s="77" t="s">
        <v>45</v>
      </c>
      <c r="H279" s="77" t="s">
        <v>40</v>
      </c>
      <c r="I279" s="97">
        <v>25.0</v>
      </c>
      <c r="J279" s="81" t="s">
        <v>1581</v>
      </c>
      <c r="K279" s="82" t="s">
        <v>1582</v>
      </c>
      <c r="L279" s="83"/>
      <c r="M279" s="83"/>
    </row>
    <row r="280">
      <c r="A280" s="76" t="s">
        <v>1043</v>
      </c>
      <c r="B280" s="77" t="s">
        <v>452</v>
      </c>
      <c r="C280" s="78">
        <v>22373.0</v>
      </c>
      <c r="D280" s="77" t="s">
        <v>1044</v>
      </c>
      <c r="E280" s="78">
        <v>25424.0</v>
      </c>
      <c r="F280" s="79">
        <v>46154.0</v>
      </c>
      <c r="G280" s="77" t="s">
        <v>45</v>
      </c>
      <c r="H280" s="77" t="s">
        <v>40</v>
      </c>
      <c r="I280" s="97">
        <v>20.0</v>
      </c>
      <c r="J280" s="87">
        <v>46174.0</v>
      </c>
      <c r="K280" s="82" t="s">
        <v>57</v>
      </c>
      <c r="L280" s="81" t="s">
        <v>1840</v>
      </c>
      <c r="M280" s="83"/>
    </row>
    <row r="281">
      <c r="A281" s="76" t="s">
        <v>1038</v>
      </c>
      <c r="B281" s="77" t="s">
        <v>418</v>
      </c>
      <c r="C281" s="78">
        <v>22373.0</v>
      </c>
      <c r="D281" s="77" t="s">
        <v>1039</v>
      </c>
      <c r="E281" s="78">
        <v>35511.0</v>
      </c>
      <c r="F281" s="79">
        <v>46154.0</v>
      </c>
      <c r="G281" s="77" t="s">
        <v>169</v>
      </c>
      <c r="H281" s="77" t="s">
        <v>40</v>
      </c>
      <c r="I281" s="97">
        <v>20.0</v>
      </c>
      <c r="J281" s="88" t="s">
        <v>1581</v>
      </c>
      <c r="K281" s="82" t="s">
        <v>1623</v>
      </c>
      <c r="L281" s="83"/>
      <c r="M281" s="83"/>
    </row>
    <row r="282">
      <c r="A282" s="76" t="s">
        <v>1041</v>
      </c>
      <c r="B282" s="77" t="s">
        <v>302</v>
      </c>
      <c r="C282" s="78">
        <v>22373.0</v>
      </c>
      <c r="D282" s="77" t="s">
        <v>303</v>
      </c>
      <c r="E282" s="78">
        <v>85023.0</v>
      </c>
      <c r="F282" s="79">
        <v>46154.0</v>
      </c>
      <c r="G282" s="77" t="s">
        <v>60</v>
      </c>
      <c r="H282" s="77" t="s">
        <v>40</v>
      </c>
      <c r="I282" s="97">
        <v>20.0</v>
      </c>
      <c r="J282" s="88" t="s">
        <v>1581</v>
      </c>
      <c r="K282" s="82" t="s">
        <v>1623</v>
      </c>
      <c r="L282" s="83"/>
      <c r="M282" s="83"/>
    </row>
    <row r="283">
      <c r="A283" s="76" t="s">
        <v>1841</v>
      </c>
      <c r="B283" s="77" t="s">
        <v>302</v>
      </c>
      <c r="C283" s="78">
        <v>22373.0</v>
      </c>
      <c r="D283" s="77" t="s">
        <v>303</v>
      </c>
      <c r="E283" s="78">
        <v>64318.0</v>
      </c>
      <c r="F283" s="79">
        <v>46154.0</v>
      </c>
      <c r="G283" s="77" t="s">
        <v>63</v>
      </c>
      <c r="H283" s="77" t="s">
        <v>40</v>
      </c>
      <c r="I283" s="97">
        <v>20.0</v>
      </c>
      <c r="J283" s="88" t="s">
        <v>1705</v>
      </c>
      <c r="K283" s="82" t="s">
        <v>1623</v>
      </c>
      <c r="L283" s="83"/>
      <c r="M283" s="83"/>
    </row>
    <row r="284">
      <c r="A284" s="76" t="s">
        <v>1042</v>
      </c>
      <c r="B284" s="77" t="s">
        <v>302</v>
      </c>
      <c r="C284" s="78">
        <v>22373.0</v>
      </c>
      <c r="D284" s="77" t="s">
        <v>303</v>
      </c>
      <c r="E284" s="78">
        <v>83287.0</v>
      </c>
      <c r="F284" s="79">
        <v>46154.0</v>
      </c>
      <c r="G284" s="77" t="s">
        <v>60</v>
      </c>
      <c r="H284" s="77" t="s">
        <v>40</v>
      </c>
      <c r="I284" s="97">
        <v>20.0</v>
      </c>
      <c r="J284" s="88" t="s">
        <v>1581</v>
      </c>
      <c r="K284" s="82" t="s">
        <v>1623</v>
      </c>
      <c r="L284" s="83"/>
      <c r="M284" s="83"/>
    </row>
    <row r="285">
      <c r="A285" s="76" t="s">
        <v>1046</v>
      </c>
      <c r="B285" s="77" t="s">
        <v>452</v>
      </c>
      <c r="C285" s="78">
        <v>22373.0</v>
      </c>
      <c r="D285" s="77" t="s">
        <v>1044</v>
      </c>
      <c r="E285" s="78">
        <v>24970.0</v>
      </c>
      <c r="F285" s="79">
        <v>46154.0</v>
      </c>
      <c r="G285" s="77" t="s">
        <v>45</v>
      </c>
      <c r="H285" s="77" t="s">
        <v>40</v>
      </c>
      <c r="I285" s="97">
        <v>20.0</v>
      </c>
      <c r="J285" s="88" t="s">
        <v>1581</v>
      </c>
      <c r="K285" s="82" t="s">
        <v>1623</v>
      </c>
      <c r="L285" s="83"/>
      <c r="M285" s="83"/>
    </row>
    <row r="286">
      <c r="A286" s="76" t="s">
        <v>1045</v>
      </c>
      <c r="B286" s="77" t="s">
        <v>452</v>
      </c>
      <c r="C286" s="78">
        <v>22373.0</v>
      </c>
      <c r="D286" s="77" t="s">
        <v>1044</v>
      </c>
      <c r="E286" s="78">
        <v>21156.0</v>
      </c>
      <c r="F286" s="79">
        <v>46154.0</v>
      </c>
      <c r="G286" s="77" t="s">
        <v>45</v>
      </c>
      <c r="H286" s="77" t="s">
        <v>40</v>
      </c>
      <c r="I286" s="97">
        <v>20.0</v>
      </c>
      <c r="J286" s="88" t="s">
        <v>1581</v>
      </c>
      <c r="K286" s="82" t="s">
        <v>1623</v>
      </c>
      <c r="L286" s="83"/>
      <c r="M286" s="83"/>
    </row>
    <row r="287">
      <c r="A287" s="76" t="s">
        <v>1050</v>
      </c>
      <c r="B287" s="77" t="s">
        <v>1048</v>
      </c>
      <c r="C287" s="77" t="s">
        <v>156</v>
      </c>
      <c r="D287" s="77" t="s">
        <v>1049</v>
      </c>
      <c r="E287" s="78">
        <v>1652.0</v>
      </c>
      <c r="F287" s="79">
        <v>46154.0</v>
      </c>
      <c r="G287" s="77" t="s">
        <v>60</v>
      </c>
      <c r="H287" s="77" t="s">
        <v>40</v>
      </c>
      <c r="I287" s="97">
        <v>20.0</v>
      </c>
      <c r="J287" s="88" t="s">
        <v>1581</v>
      </c>
      <c r="K287" s="82" t="s">
        <v>1623</v>
      </c>
      <c r="L287" s="83"/>
      <c r="M287" s="83"/>
    </row>
    <row r="288">
      <c r="A288" s="76" t="s">
        <v>1047</v>
      </c>
      <c r="B288" s="77" t="s">
        <v>1048</v>
      </c>
      <c r="C288" s="77" t="s">
        <v>156</v>
      </c>
      <c r="D288" s="77" t="s">
        <v>1049</v>
      </c>
      <c r="E288" s="78">
        <v>1713.0</v>
      </c>
      <c r="F288" s="79">
        <v>46154.0</v>
      </c>
      <c r="G288" s="77" t="s">
        <v>45</v>
      </c>
      <c r="H288" s="77" t="s">
        <v>40</v>
      </c>
      <c r="I288" s="97">
        <v>20.0</v>
      </c>
      <c r="J288" s="88" t="s">
        <v>1581</v>
      </c>
      <c r="K288" s="82" t="s">
        <v>1623</v>
      </c>
      <c r="L288" s="83"/>
      <c r="M288" s="83"/>
    </row>
    <row r="289">
      <c r="A289" s="76" t="s">
        <v>1843</v>
      </c>
      <c r="B289" s="77" t="s">
        <v>1179</v>
      </c>
      <c r="C289" s="84">
        <v>6848.0</v>
      </c>
      <c r="D289" s="77" t="s">
        <v>577</v>
      </c>
      <c r="E289" s="77" t="s">
        <v>1679</v>
      </c>
      <c r="F289" s="79">
        <v>46163.0</v>
      </c>
      <c r="G289" s="77" t="s">
        <v>60</v>
      </c>
      <c r="H289" s="77" t="s">
        <v>1222</v>
      </c>
      <c r="I289" s="97">
        <v>11.0</v>
      </c>
      <c r="J289" s="87">
        <v>46171.0</v>
      </c>
      <c r="K289" s="82" t="s">
        <v>57</v>
      </c>
      <c r="L289" s="81" t="s">
        <v>1844</v>
      </c>
      <c r="M289" s="83"/>
    </row>
    <row r="290">
      <c r="A290" s="76" t="s">
        <v>1052</v>
      </c>
      <c r="B290" s="77" t="s">
        <v>949</v>
      </c>
      <c r="C290" s="77" t="s">
        <v>156</v>
      </c>
      <c r="D290" s="77" t="s">
        <v>950</v>
      </c>
      <c r="E290" s="77" t="s">
        <v>1055</v>
      </c>
      <c r="F290" s="79">
        <v>46164.0</v>
      </c>
      <c r="G290" s="77" t="s">
        <v>70</v>
      </c>
      <c r="H290" s="77" t="s">
        <v>40</v>
      </c>
      <c r="I290" s="97">
        <v>10.0</v>
      </c>
      <c r="J290" s="81" t="s">
        <v>1581</v>
      </c>
      <c r="K290" s="82" t="s">
        <v>1582</v>
      </c>
      <c r="L290" s="83"/>
      <c r="M290" s="83"/>
    </row>
    <row r="291">
      <c r="A291" s="76" t="s">
        <v>1051</v>
      </c>
      <c r="B291" s="77" t="s">
        <v>949</v>
      </c>
      <c r="C291" s="77" t="s">
        <v>156</v>
      </c>
      <c r="D291" s="77" t="s">
        <v>950</v>
      </c>
      <c r="E291" s="77" t="s">
        <v>1846</v>
      </c>
      <c r="F291" s="79">
        <v>46164.0</v>
      </c>
      <c r="G291" s="77" t="s">
        <v>70</v>
      </c>
      <c r="H291" s="77" t="s">
        <v>40</v>
      </c>
      <c r="I291" s="97">
        <v>10.0</v>
      </c>
      <c r="J291" s="81" t="s">
        <v>1581</v>
      </c>
      <c r="K291" s="82" t="s">
        <v>1582</v>
      </c>
      <c r="L291" s="83"/>
      <c r="M291" s="83"/>
    </row>
    <row r="292">
      <c r="A292" s="76" t="s">
        <v>1070</v>
      </c>
      <c r="B292" s="77" t="s">
        <v>1068</v>
      </c>
      <c r="C292" s="77" t="s">
        <v>1071</v>
      </c>
      <c r="D292" s="77" t="s">
        <v>944</v>
      </c>
      <c r="E292" s="77" t="s">
        <v>1072</v>
      </c>
      <c r="F292" s="79">
        <v>46171.0</v>
      </c>
      <c r="G292" s="77" t="s">
        <v>63</v>
      </c>
      <c r="H292" s="77" t="s">
        <v>40</v>
      </c>
      <c r="I292" s="97">
        <v>3.0</v>
      </c>
      <c r="J292" s="81" t="s">
        <v>1581</v>
      </c>
      <c r="K292" s="82" t="s">
        <v>1593</v>
      </c>
      <c r="L292" s="83"/>
      <c r="M292" s="83"/>
    </row>
    <row r="293">
      <c r="A293" s="76" t="s">
        <v>1848</v>
      </c>
      <c r="B293" s="77" t="s">
        <v>579</v>
      </c>
      <c r="C293" s="77" t="s">
        <v>156</v>
      </c>
      <c r="D293" s="77" t="s">
        <v>1076</v>
      </c>
      <c r="E293" s="77" t="s">
        <v>1849</v>
      </c>
      <c r="F293" s="79">
        <v>46171.0</v>
      </c>
      <c r="G293" s="77" t="s">
        <v>45</v>
      </c>
      <c r="H293" s="77" t="s">
        <v>40</v>
      </c>
      <c r="I293" s="97">
        <v>3.0</v>
      </c>
      <c r="J293" s="87">
        <v>46176.0</v>
      </c>
      <c r="K293" s="82" t="s">
        <v>57</v>
      </c>
      <c r="L293" s="81" t="s">
        <v>1827</v>
      </c>
      <c r="M293" s="83"/>
    </row>
    <row r="294">
      <c r="A294" s="76" t="s">
        <v>1850</v>
      </c>
      <c r="B294" s="77" t="s">
        <v>436</v>
      </c>
      <c r="C294" s="84">
        <v>7213.0</v>
      </c>
      <c r="D294" s="77" t="s">
        <v>778</v>
      </c>
      <c r="E294" s="77" t="s">
        <v>1211</v>
      </c>
      <c r="F294" s="79">
        <v>46171.0</v>
      </c>
      <c r="G294" s="77" t="s">
        <v>60</v>
      </c>
      <c r="H294" s="77" t="s">
        <v>40</v>
      </c>
      <c r="I294" s="97">
        <v>3.0</v>
      </c>
      <c r="J294" s="81" t="s">
        <v>1581</v>
      </c>
      <c r="K294" s="82" t="s">
        <v>1582</v>
      </c>
      <c r="L294" s="83"/>
      <c r="M294" s="83"/>
    </row>
    <row r="295">
      <c r="A295" s="76" t="s">
        <v>1073</v>
      </c>
      <c r="B295" s="77" t="s">
        <v>375</v>
      </c>
      <c r="C295" s="78">
        <v>22373.0</v>
      </c>
      <c r="D295" s="77" t="s">
        <v>491</v>
      </c>
      <c r="E295" s="78">
        <v>5155.0</v>
      </c>
      <c r="F295" s="79">
        <v>46171.0</v>
      </c>
      <c r="G295" s="77" t="s">
        <v>45</v>
      </c>
      <c r="H295" s="77" t="s">
        <v>40</v>
      </c>
      <c r="I295" s="97">
        <v>3.0</v>
      </c>
      <c r="J295" s="83"/>
      <c r="K295" s="98" t="s">
        <v>1643</v>
      </c>
      <c r="L295" s="83"/>
      <c r="M295" s="83"/>
    </row>
    <row r="296">
      <c r="A296" s="76" t="s">
        <v>1074</v>
      </c>
      <c r="B296" s="77" t="s">
        <v>375</v>
      </c>
      <c r="C296" s="78">
        <v>22373.0</v>
      </c>
      <c r="D296" s="77" t="s">
        <v>491</v>
      </c>
      <c r="E296" s="78">
        <v>2333.0</v>
      </c>
      <c r="F296" s="79">
        <v>46171.0</v>
      </c>
      <c r="G296" s="77" t="s">
        <v>45</v>
      </c>
      <c r="H296" s="77" t="s">
        <v>40</v>
      </c>
      <c r="I296" s="97">
        <v>3.0</v>
      </c>
      <c r="J296" s="83"/>
      <c r="K296" s="98" t="s">
        <v>1643</v>
      </c>
      <c r="L296" s="83"/>
      <c r="M296" s="83"/>
    </row>
    <row r="297">
      <c r="A297" s="76" t="s">
        <v>1063</v>
      </c>
      <c r="B297" s="77" t="s">
        <v>986</v>
      </c>
      <c r="C297" s="78">
        <v>22373.0</v>
      </c>
      <c r="D297" s="77" t="s">
        <v>987</v>
      </c>
      <c r="E297" s="78">
        <v>4154.0</v>
      </c>
      <c r="F297" s="79">
        <v>46171.0</v>
      </c>
      <c r="G297" s="77" t="s">
        <v>45</v>
      </c>
      <c r="H297" s="77" t="s">
        <v>40</v>
      </c>
      <c r="I297" s="97">
        <v>3.0</v>
      </c>
      <c r="J297" s="88" t="s">
        <v>1581</v>
      </c>
      <c r="K297" s="82" t="s">
        <v>1623</v>
      </c>
      <c r="L297" s="83"/>
      <c r="M297" s="83"/>
    </row>
    <row r="298">
      <c r="A298" s="76" t="s">
        <v>1060</v>
      </c>
      <c r="B298" s="77" t="s">
        <v>986</v>
      </c>
      <c r="C298" s="78">
        <v>22373.0</v>
      </c>
      <c r="D298" s="77" t="s">
        <v>987</v>
      </c>
      <c r="E298" s="78">
        <v>4164.0</v>
      </c>
      <c r="F298" s="79">
        <v>46171.0</v>
      </c>
      <c r="G298" s="77" t="s">
        <v>304</v>
      </c>
      <c r="H298" s="77" t="s">
        <v>40</v>
      </c>
      <c r="I298" s="97">
        <v>3.0</v>
      </c>
      <c r="J298" s="88" t="s">
        <v>1581</v>
      </c>
      <c r="K298" s="82" t="s">
        <v>1623</v>
      </c>
      <c r="L298" s="83"/>
      <c r="M298" s="83"/>
    </row>
    <row r="299">
      <c r="A299" s="76" t="s">
        <v>1065</v>
      </c>
      <c r="B299" s="77" t="s">
        <v>199</v>
      </c>
      <c r="C299" s="78">
        <v>22373.0</v>
      </c>
      <c r="D299" s="77" t="s">
        <v>200</v>
      </c>
      <c r="E299" s="78">
        <v>17143.0</v>
      </c>
      <c r="F299" s="79">
        <v>46171.0</v>
      </c>
      <c r="G299" s="77" t="s">
        <v>45</v>
      </c>
      <c r="H299" s="77" t="s">
        <v>40</v>
      </c>
      <c r="I299" s="97">
        <v>3.0</v>
      </c>
      <c r="J299" s="88" t="s">
        <v>1581</v>
      </c>
      <c r="K299" s="82" t="s">
        <v>1623</v>
      </c>
      <c r="L299" s="83"/>
      <c r="M299" s="83"/>
    </row>
    <row r="300">
      <c r="A300" s="76" t="s">
        <v>1067</v>
      </c>
      <c r="B300" s="77" t="s">
        <v>1068</v>
      </c>
      <c r="C300" s="78">
        <v>95270.0</v>
      </c>
      <c r="D300" s="77" t="s">
        <v>944</v>
      </c>
      <c r="E300" s="77" t="s">
        <v>1069</v>
      </c>
      <c r="F300" s="79">
        <v>46171.0</v>
      </c>
      <c r="G300" s="77" t="s">
        <v>60</v>
      </c>
      <c r="H300" s="77" t="s">
        <v>40</v>
      </c>
      <c r="I300" s="97">
        <v>3.0</v>
      </c>
      <c r="J300" s="94">
        <v>46191.0</v>
      </c>
      <c r="K300" s="82" t="s">
        <v>60</v>
      </c>
      <c r="L300" s="81" t="s">
        <v>1856</v>
      </c>
      <c r="M300" s="83"/>
    </row>
    <row r="301">
      <c r="A301" s="76" t="s">
        <v>1075</v>
      </c>
      <c r="B301" s="77" t="s">
        <v>579</v>
      </c>
      <c r="C301" s="77" t="s">
        <v>156</v>
      </c>
      <c r="D301" s="77" t="s">
        <v>1076</v>
      </c>
      <c r="E301" s="92">
        <v>612.0</v>
      </c>
      <c r="F301" s="79">
        <v>46171.0</v>
      </c>
      <c r="G301" s="77" t="s">
        <v>66</v>
      </c>
      <c r="H301" s="77" t="s">
        <v>40</v>
      </c>
      <c r="I301" s="97">
        <v>3.0</v>
      </c>
      <c r="J301" s="88" t="s">
        <v>1581</v>
      </c>
      <c r="K301" s="82" t="s">
        <v>1623</v>
      </c>
      <c r="L301" s="83"/>
      <c r="M301" s="83"/>
    </row>
    <row r="302">
      <c r="A302" s="76" t="s">
        <v>1085</v>
      </c>
      <c r="B302" s="77" t="s">
        <v>551</v>
      </c>
      <c r="C302" s="78">
        <v>32108.0</v>
      </c>
      <c r="D302" s="77" t="s">
        <v>698</v>
      </c>
      <c r="E302" s="99">
        <v>4.07910680166E11</v>
      </c>
      <c r="F302" s="79">
        <v>46171.0</v>
      </c>
      <c r="G302" s="77" t="s">
        <v>60</v>
      </c>
      <c r="H302" s="77" t="s">
        <v>40</v>
      </c>
      <c r="I302" s="97">
        <v>3.0</v>
      </c>
      <c r="J302" s="88" t="s">
        <v>1581</v>
      </c>
      <c r="K302" s="82" t="s">
        <v>1623</v>
      </c>
      <c r="L302" s="83"/>
      <c r="M302" s="83"/>
    </row>
    <row r="303">
      <c r="A303" s="76" t="s">
        <v>1087</v>
      </c>
      <c r="B303" s="77" t="s">
        <v>551</v>
      </c>
      <c r="C303" s="78">
        <v>32108.0</v>
      </c>
      <c r="D303" s="77" t="s">
        <v>698</v>
      </c>
      <c r="E303" s="99">
        <v>4.07983320094E11</v>
      </c>
      <c r="F303" s="79">
        <v>46171.0</v>
      </c>
      <c r="G303" s="77" t="s">
        <v>465</v>
      </c>
      <c r="H303" s="77" t="s">
        <v>40</v>
      </c>
      <c r="I303" s="97">
        <v>3.0</v>
      </c>
      <c r="J303" s="88" t="s">
        <v>1581</v>
      </c>
      <c r="K303" s="82" t="s">
        <v>1623</v>
      </c>
      <c r="L303" s="83"/>
      <c r="M303" s="83"/>
    </row>
    <row r="304">
      <c r="A304" s="76" t="s">
        <v>1077</v>
      </c>
      <c r="B304" s="77" t="s">
        <v>551</v>
      </c>
      <c r="C304" s="78">
        <v>32108.0</v>
      </c>
      <c r="D304" s="77" t="s">
        <v>698</v>
      </c>
      <c r="E304" s="99">
        <v>4.07983320096E11</v>
      </c>
      <c r="F304" s="79">
        <v>46171.0</v>
      </c>
      <c r="G304" s="77" t="s">
        <v>465</v>
      </c>
      <c r="H304" s="77" t="s">
        <v>40</v>
      </c>
      <c r="I304" s="97">
        <v>3.0</v>
      </c>
      <c r="J304" s="88" t="s">
        <v>1581</v>
      </c>
      <c r="K304" s="82" t="s">
        <v>1623</v>
      </c>
      <c r="L304" s="83"/>
      <c r="M304" s="83"/>
    </row>
    <row r="305">
      <c r="A305" s="76" t="s">
        <v>1083</v>
      </c>
      <c r="B305" s="77" t="s">
        <v>551</v>
      </c>
      <c r="C305" s="78">
        <v>32108.0</v>
      </c>
      <c r="D305" s="77" t="s">
        <v>698</v>
      </c>
      <c r="E305" s="99">
        <v>4.07983320111E11</v>
      </c>
      <c r="F305" s="79">
        <v>46171.0</v>
      </c>
      <c r="G305" s="77" t="s">
        <v>465</v>
      </c>
      <c r="H305" s="77" t="s">
        <v>40</v>
      </c>
      <c r="I305" s="97">
        <v>3.0</v>
      </c>
      <c r="J305" s="88" t="s">
        <v>1581</v>
      </c>
      <c r="K305" s="82" t="s">
        <v>1623</v>
      </c>
      <c r="L305" s="83"/>
      <c r="M305" s="83"/>
    </row>
    <row r="306">
      <c r="A306" s="76" t="s">
        <v>1079</v>
      </c>
      <c r="B306" s="77" t="s">
        <v>551</v>
      </c>
      <c r="C306" s="78">
        <v>32108.0</v>
      </c>
      <c r="D306" s="77" t="s">
        <v>698</v>
      </c>
      <c r="E306" s="99">
        <v>4.0798332013E11</v>
      </c>
      <c r="F306" s="79">
        <v>46171.0</v>
      </c>
      <c r="G306" s="77" t="s">
        <v>465</v>
      </c>
      <c r="H306" s="77" t="s">
        <v>40</v>
      </c>
      <c r="I306" s="97">
        <v>3.0</v>
      </c>
      <c r="J306" s="88" t="s">
        <v>1581</v>
      </c>
      <c r="K306" s="82" t="s">
        <v>1623</v>
      </c>
      <c r="L306" s="83"/>
      <c r="M306" s="83"/>
    </row>
    <row r="307">
      <c r="A307" s="76" t="s">
        <v>1058</v>
      </c>
      <c r="B307" s="77" t="s">
        <v>684</v>
      </c>
      <c r="C307" s="78">
        <v>22373.0</v>
      </c>
      <c r="D307" s="77" t="s">
        <v>685</v>
      </c>
      <c r="E307" s="78">
        <v>89177.0</v>
      </c>
      <c r="F307" s="79">
        <v>46171.0</v>
      </c>
      <c r="G307" s="77" t="s">
        <v>60</v>
      </c>
      <c r="H307" s="77" t="s">
        <v>40</v>
      </c>
      <c r="I307" s="97">
        <v>3.0</v>
      </c>
      <c r="J307" s="88" t="s">
        <v>1581</v>
      </c>
      <c r="K307" s="82" t="s">
        <v>1623</v>
      </c>
      <c r="L307" s="83"/>
      <c r="M307" s="83"/>
    </row>
    <row r="308">
      <c r="A308" s="76" t="s">
        <v>1056</v>
      </c>
      <c r="B308" s="77" t="s">
        <v>684</v>
      </c>
      <c r="C308" s="78">
        <v>22373.0</v>
      </c>
      <c r="D308" s="77" t="s">
        <v>685</v>
      </c>
      <c r="E308" s="78">
        <v>25304.0</v>
      </c>
      <c r="F308" s="79">
        <v>46171.0</v>
      </c>
      <c r="G308" s="77" t="s">
        <v>304</v>
      </c>
      <c r="H308" s="77" t="s">
        <v>40</v>
      </c>
      <c r="I308" s="97">
        <v>3.0</v>
      </c>
      <c r="J308" s="88" t="s">
        <v>1581</v>
      </c>
      <c r="K308" s="82" t="s">
        <v>1623</v>
      </c>
      <c r="L308" s="83"/>
      <c r="M308" s="83"/>
    </row>
    <row r="309">
      <c r="A309" s="76" t="s">
        <v>1061</v>
      </c>
      <c r="B309" s="77" t="s">
        <v>684</v>
      </c>
      <c r="C309" s="78">
        <v>22373.0</v>
      </c>
      <c r="D309" s="77" t="s">
        <v>685</v>
      </c>
      <c r="E309" s="78">
        <v>94934.0</v>
      </c>
      <c r="F309" s="79">
        <v>46171.0</v>
      </c>
      <c r="G309" s="77" t="s">
        <v>304</v>
      </c>
      <c r="H309" s="77" t="s">
        <v>40</v>
      </c>
      <c r="I309" s="97">
        <v>3.0</v>
      </c>
      <c r="J309" s="88" t="s">
        <v>1581</v>
      </c>
      <c r="K309" s="82" t="s">
        <v>1623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1925</v>
      </c>
      <c r="B1" s="101" t="s">
        <v>1926</v>
      </c>
      <c r="C1" s="101" t="s">
        <v>1927</v>
      </c>
      <c r="D1" s="101" t="s">
        <v>1928</v>
      </c>
      <c r="E1" s="101" t="s">
        <v>1929</v>
      </c>
      <c r="F1" s="101" t="s">
        <v>1930</v>
      </c>
      <c r="G1" s="101" t="s">
        <v>1931</v>
      </c>
      <c r="H1" s="101" t="s">
        <v>1932</v>
      </c>
      <c r="I1" s="101" t="s">
        <v>1933</v>
      </c>
      <c r="J1" s="101" t="s">
        <v>1934</v>
      </c>
      <c r="K1" s="102" t="s">
        <v>1935</v>
      </c>
      <c r="L1" s="103" t="s">
        <v>1936</v>
      </c>
      <c r="M1" s="102" t="s">
        <v>1937</v>
      </c>
      <c r="N1" s="104"/>
    </row>
    <row r="2">
      <c r="A2" s="105">
        <v>1.0</v>
      </c>
      <c r="B2" s="106" t="s">
        <v>537</v>
      </c>
      <c r="C2" s="106" t="s">
        <v>1938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537</v>
      </c>
      <c r="C3" s="109" t="s">
        <v>1938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537</v>
      </c>
      <c r="C4" s="106" t="s">
        <v>1938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1939</v>
      </c>
      <c r="M4" s="106" t="s">
        <v>60</v>
      </c>
      <c r="N4" s="108"/>
    </row>
    <row r="5">
      <c r="A5" s="105">
        <v>4.0</v>
      </c>
      <c r="B5" s="109" t="s">
        <v>537</v>
      </c>
      <c r="C5" s="109" t="s">
        <v>1938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537</v>
      </c>
      <c r="C6" s="106" t="s">
        <v>1938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537</v>
      </c>
      <c r="C7" s="109" t="s">
        <v>1938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537</v>
      </c>
      <c r="C8" s="106" t="s">
        <v>1938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1941</v>
      </c>
      <c r="M8" s="106" t="s">
        <v>143</v>
      </c>
      <c r="N8" s="108"/>
    </row>
    <row r="9">
      <c r="A9" s="105">
        <v>8.0</v>
      </c>
      <c r="B9" s="109" t="s">
        <v>499</v>
      </c>
      <c r="C9" s="109" t="s">
        <v>1942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499</v>
      </c>
      <c r="C10" s="106" t="s">
        <v>1942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482</v>
      </c>
      <c r="C11" s="109" t="s">
        <v>1943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482</v>
      </c>
      <c r="C12" s="106" t="s">
        <v>1943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1944</v>
      </c>
      <c r="M12" s="106" t="s">
        <v>63</v>
      </c>
      <c r="N12" s="108"/>
    </row>
    <row r="13">
      <c r="A13" s="105">
        <v>12.0</v>
      </c>
      <c r="B13" s="109" t="s">
        <v>482</v>
      </c>
      <c r="C13" s="109" t="s">
        <v>1943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482</v>
      </c>
      <c r="C14" s="106" t="s">
        <v>1945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1944</v>
      </c>
      <c r="M14" s="106" t="s">
        <v>63</v>
      </c>
      <c r="N14" s="108"/>
    </row>
    <row r="15">
      <c r="A15" s="105">
        <v>14.0</v>
      </c>
      <c r="B15" s="109" t="s">
        <v>274</v>
      </c>
      <c r="C15" s="109" t="s">
        <v>276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1946</v>
      </c>
      <c r="M15" s="107"/>
      <c r="N15" s="108"/>
    </row>
    <row r="16">
      <c r="A16" s="105">
        <v>15.0</v>
      </c>
      <c r="B16" s="106" t="s">
        <v>274</v>
      </c>
      <c r="C16" s="106" t="s">
        <v>276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1947</v>
      </c>
      <c r="M16" s="106" t="s">
        <v>45</v>
      </c>
      <c r="N16" s="108"/>
    </row>
    <row r="17">
      <c r="A17" s="105">
        <v>16.0</v>
      </c>
      <c r="B17" s="109" t="s">
        <v>274</v>
      </c>
      <c r="C17" s="109" t="s">
        <v>1948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1949</v>
      </c>
      <c r="M17" s="106" t="s">
        <v>63</v>
      </c>
      <c r="N17" s="108"/>
    </row>
    <row r="18">
      <c r="A18" s="105">
        <v>17.0</v>
      </c>
      <c r="B18" s="106" t="s">
        <v>274</v>
      </c>
      <c r="C18" s="106" t="s">
        <v>1948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1946</v>
      </c>
      <c r="M18" s="107"/>
      <c r="N18" s="108"/>
    </row>
    <row r="19">
      <c r="A19" s="105">
        <v>18.0</v>
      </c>
      <c r="B19" s="109" t="s">
        <v>274</v>
      </c>
      <c r="C19" s="109" t="s">
        <v>1950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1951</v>
      </c>
      <c r="M19" s="106" t="s">
        <v>68</v>
      </c>
      <c r="N19" s="108"/>
    </row>
    <row r="20">
      <c r="A20" s="105">
        <v>19.0</v>
      </c>
      <c r="B20" s="106" t="s">
        <v>274</v>
      </c>
      <c r="C20" s="106" t="s">
        <v>1952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1953</v>
      </c>
      <c r="M20" s="106" t="s">
        <v>60</v>
      </c>
      <c r="N20" s="108"/>
    </row>
    <row r="21">
      <c r="A21" s="105">
        <v>20.0</v>
      </c>
      <c r="B21" s="109" t="s">
        <v>1011</v>
      </c>
      <c r="C21" s="109" t="s">
        <v>1954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1955</v>
      </c>
      <c r="M21" s="106" t="s">
        <v>60</v>
      </c>
      <c r="N21" s="108"/>
    </row>
    <row r="22">
      <c r="A22" s="105">
        <v>21.0</v>
      </c>
      <c r="B22" s="106" t="s">
        <v>1011</v>
      </c>
      <c r="C22" s="106" t="s">
        <v>1950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1946</v>
      </c>
      <c r="M22" s="113" t="s">
        <v>1956</v>
      </c>
      <c r="N22" s="108"/>
    </row>
    <row r="23">
      <c r="A23" s="105">
        <v>22.0</v>
      </c>
      <c r="B23" s="109" t="s">
        <v>796</v>
      </c>
      <c r="C23" s="109" t="s">
        <v>798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1957</v>
      </c>
      <c r="M23" s="107"/>
      <c r="N23" s="108"/>
    </row>
    <row r="24">
      <c r="A24" s="105">
        <v>23.0</v>
      </c>
      <c r="B24" s="106" t="s">
        <v>469</v>
      </c>
      <c r="C24" s="106" t="s">
        <v>1958</v>
      </c>
      <c r="D24" s="107"/>
      <c r="E24" s="104"/>
      <c r="F24" s="106" t="s">
        <v>555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469</v>
      </c>
      <c r="C25" s="109" t="s">
        <v>1958</v>
      </c>
      <c r="D25" s="110"/>
      <c r="E25" s="104"/>
      <c r="F25" s="106" t="s">
        <v>560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223</v>
      </c>
      <c r="C26" s="106" t="s">
        <v>224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1959</v>
      </c>
      <c r="M26" s="106" t="s">
        <v>71</v>
      </c>
      <c r="N26" s="108"/>
    </row>
    <row r="27">
      <c r="A27" s="105">
        <v>26.0</v>
      </c>
      <c r="B27" s="109" t="s">
        <v>223</v>
      </c>
      <c r="C27" s="109" t="s">
        <v>224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1960</v>
      </c>
      <c r="M27" s="106" t="s">
        <v>64</v>
      </c>
      <c r="N27" s="108"/>
    </row>
    <row r="28">
      <c r="A28" s="105">
        <v>27.0</v>
      </c>
      <c r="B28" s="106" t="s">
        <v>223</v>
      </c>
      <c r="C28" s="106" t="s">
        <v>224</v>
      </c>
      <c r="D28" s="107"/>
      <c r="E28" s="104"/>
      <c r="F28" s="106" t="s">
        <v>1961</v>
      </c>
      <c r="G28" s="106">
        <v>3.040250713E9</v>
      </c>
      <c r="H28" s="104"/>
      <c r="I28" s="104"/>
      <c r="J28" s="111">
        <v>45849.0</v>
      </c>
      <c r="K28" s="107"/>
      <c r="L28" s="106" t="s">
        <v>1962</v>
      </c>
      <c r="M28" s="106" t="s">
        <v>62</v>
      </c>
      <c r="N28" s="108"/>
    </row>
    <row r="29">
      <c r="A29" s="105">
        <v>28.0</v>
      </c>
      <c r="B29" s="109" t="s">
        <v>223</v>
      </c>
      <c r="C29" s="109" t="s">
        <v>224</v>
      </c>
      <c r="D29" s="110"/>
      <c r="E29" s="104"/>
      <c r="F29" s="106" t="s">
        <v>1963</v>
      </c>
      <c r="G29" s="106">
        <v>3.040250714E9</v>
      </c>
      <c r="H29" s="104"/>
      <c r="I29" s="104"/>
      <c r="J29" s="111">
        <v>45838.0</v>
      </c>
      <c r="K29" s="107"/>
      <c r="L29" s="106" t="s">
        <v>1959</v>
      </c>
      <c r="M29" s="106" t="s">
        <v>71</v>
      </c>
      <c r="N29" s="108"/>
    </row>
    <row r="30">
      <c r="A30" s="105">
        <v>29.0</v>
      </c>
      <c r="B30" s="106" t="s">
        <v>223</v>
      </c>
      <c r="C30" s="106" t="s">
        <v>224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1964</v>
      </c>
      <c r="M30" s="106" t="s">
        <v>63</v>
      </c>
      <c r="N30" s="108"/>
    </row>
    <row r="31">
      <c r="A31" s="105">
        <v>30.0</v>
      </c>
      <c r="B31" s="109" t="s">
        <v>223</v>
      </c>
      <c r="C31" s="109" t="s">
        <v>224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1965</v>
      </c>
      <c r="M31" s="106" t="s">
        <v>60</v>
      </c>
      <c r="N31" s="108"/>
    </row>
    <row r="32">
      <c r="A32" s="105">
        <v>31.0</v>
      </c>
      <c r="B32" s="106" t="s">
        <v>223</v>
      </c>
      <c r="C32" s="106" t="s">
        <v>224</v>
      </c>
      <c r="D32" s="107"/>
      <c r="E32" s="104"/>
      <c r="F32" s="106" t="s">
        <v>225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223</v>
      </c>
      <c r="C33" s="109" t="s">
        <v>224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1960</v>
      </c>
      <c r="M33" s="106" t="s">
        <v>64</v>
      </c>
      <c r="N33" s="108"/>
    </row>
    <row r="34">
      <c r="A34" s="105">
        <v>33.0</v>
      </c>
      <c r="B34" s="106" t="s">
        <v>223</v>
      </c>
      <c r="C34" s="106" t="s">
        <v>224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223</v>
      </c>
      <c r="C35" s="109" t="s">
        <v>224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1966</v>
      </c>
      <c r="M35" s="106" t="s">
        <v>45</v>
      </c>
      <c r="N35" s="108"/>
    </row>
    <row r="36">
      <c r="A36" s="105">
        <v>35.0</v>
      </c>
      <c r="B36" s="106" t="s">
        <v>223</v>
      </c>
      <c r="C36" s="106" t="s">
        <v>224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1967</v>
      </c>
      <c r="M36" s="106" t="s">
        <v>63</v>
      </c>
      <c r="N36" s="108"/>
    </row>
    <row r="37">
      <c r="A37" s="105">
        <v>36.0</v>
      </c>
      <c r="B37" s="109" t="s">
        <v>223</v>
      </c>
      <c r="C37" s="109" t="s">
        <v>224</v>
      </c>
      <c r="D37" s="110"/>
      <c r="E37" s="104"/>
      <c r="F37" s="106" t="s">
        <v>1968</v>
      </c>
      <c r="G37" s="106">
        <v>3.040252938E9</v>
      </c>
      <c r="H37" s="104"/>
      <c r="I37" s="104"/>
      <c r="J37" s="111">
        <v>45849.0</v>
      </c>
      <c r="K37" s="107"/>
      <c r="L37" s="106" t="s">
        <v>1969</v>
      </c>
      <c r="M37" s="106" t="s">
        <v>63</v>
      </c>
      <c r="N37" s="108"/>
    </row>
    <row r="38">
      <c r="A38" s="105">
        <v>37.0</v>
      </c>
      <c r="B38" s="106" t="s">
        <v>223</v>
      </c>
      <c r="C38" s="106" t="s">
        <v>224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1970</v>
      </c>
      <c r="M38" s="114" t="s">
        <v>45</v>
      </c>
      <c r="N38" s="108"/>
    </row>
    <row r="39">
      <c r="A39" s="105">
        <v>38.0</v>
      </c>
      <c r="B39" s="109" t="s">
        <v>223</v>
      </c>
      <c r="C39" s="109" t="s">
        <v>224</v>
      </c>
      <c r="D39" s="110"/>
      <c r="E39" s="104"/>
      <c r="F39" s="106" t="s">
        <v>520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223</v>
      </c>
      <c r="C40" s="106" t="s">
        <v>224</v>
      </c>
      <c r="D40" s="107"/>
      <c r="E40" s="104"/>
      <c r="F40" s="106" t="s">
        <v>528</v>
      </c>
      <c r="G40" s="106">
        <v>3.040256713E9</v>
      </c>
      <c r="H40" s="104"/>
      <c r="I40" s="104"/>
      <c r="J40" s="111">
        <v>46092.0</v>
      </c>
      <c r="K40" s="107"/>
      <c r="L40" s="106" t="s">
        <v>1971</v>
      </c>
      <c r="M40" s="106" t="s">
        <v>63</v>
      </c>
      <c r="N40" s="108"/>
    </row>
    <row r="41">
      <c r="A41" s="105">
        <v>40.0</v>
      </c>
      <c r="B41" s="109" t="s">
        <v>223</v>
      </c>
      <c r="C41" s="109" t="s">
        <v>1972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223</v>
      </c>
      <c r="C42" s="106" t="s">
        <v>1972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223</v>
      </c>
      <c r="C43" s="109" t="s">
        <v>1972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1698</v>
      </c>
      <c r="M43" s="106" t="s">
        <v>63</v>
      </c>
      <c r="N43" s="108"/>
    </row>
    <row r="44">
      <c r="A44" s="105">
        <v>43.0</v>
      </c>
      <c r="B44" s="106" t="s">
        <v>223</v>
      </c>
      <c r="C44" s="106" t="s">
        <v>1972</v>
      </c>
      <c r="D44" s="107"/>
      <c r="E44" s="104"/>
      <c r="F44" s="106" t="s">
        <v>592</v>
      </c>
      <c r="G44" s="106">
        <v>3.040257441E9</v>
      </c>
      <c r="H44" s="104"/>
      <c r="I44" s="104"/>
      <c r="J44" s="111">
        <v>46122.0</v>
      </c>
      <c r="K44" s="107"/>
      <c r="L44" s="106" t="s">
        <v>1698</v>
      </c>
      <c r="M44" s="106" t="s">
        <v>63</v>
      </c>
      <c r="N44" s="108"/>
    </row>
    <row r="45">
      <c r="A45" s="105">
        <v>44.0</v>
      </c>
      <c r="B45" s="109" t="s">
        <v>199</v>
      </c>
      <c r="C45" s="109" t="s">
        <v>200</v>
      </c>
      <c r="D45" s="110"/>
      <c r="E45" s="104"/>
      <c r="F45" s="106" t="s">
        <v>201</v>
      </c>
      <c r="G45" s="106">
        <v>3.040250719E9</v>
      </c>
      <c r="H45" s="104"/>
      <c r="I45" s="104"/>
      <c r="J45" s="111">
        <v>46135.0</v>
      </c>
      <c r="K45" s="107"/>
      <c r="L45" s="106" t="s">
        <v>1610</v>
      </c>
      <c r="M45" s="106" t="s">
        <v>64</v>
      </c>
      <c r="N45" s="108"/>
    </row>
    <row r="46">
      <c r="A46" s="105">
        <v>45.0</v>
      </c>
      <c r="B46" s="106" t="s">
        <v>199</v>
      </c>
      <c r="C46" s="106" t="s">
        <v>200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1973</v>
      </c>
      <c r="M46" s="106" t="s">
        <v>57</v>
      </c>
      <c r="N46" s="108"/>
    </row>
    <row r="47">
      <c r="A47" s="105">
        <v>46.0</v>
      </c>
      <c r="B47" s="109" t="s">
        <v>199</v>
      </c>
      <c r="C47" s="109" t="s">
        <v>200</v>
      </c>
      <c r="D47" s="110"/>
      <c r="E47" s="104"/>
      <c r="F47" s="106" t="s">
        <v>1417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57</v>
      </c>
      <c r="N47" s="108"/>
    </row>
    <row r="48">
      <c r="A48" s="105">
        <v>47.0</v>
      </c>
      <c r="B48" s="106" t="s">
        <v>337</v>
      </c>
      <c r="C48" s="106" t="s">
        <v>1974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1975</v>
      </c>
      <c r="M48" s="107"/>
      <c r="N48" s="108"/>
    </row>
    <row r="49">
      <c r="A49" s="105">
        <v>48.0</v>
      </c>
      <c r="B49" s="109" t="s">
        <v>788</v>
      </c>
      <c r="C49" s="109" t="s">
        <v>1976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1977</v>
      </c>
      <c r="M49" s="106" t="s">
        <v>57</v>
      </c>
      <c r="N49" s="108"/>
    </row>
    <row r="50">
      <c r="A50" s="105">
        <v>49.0</v>
      </c>
      <c r="B50" s="106" t="s">
        <v>564</v>
      </c>
      <c r="C50" s="106" t="s">
        <v>1978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1979</v>
      </c>
      <c r="M50" s="106" t="s">
        <v>64</v>
      </c>
      <c r="N50" s="108"/>
    </row>
    <row r="51">
      <c r="A51" s="105">
        <v>50.0</v>
      </c>
      <c r="B51" s="109" t="s">
        <v>564</v>
      </c>
      <c r="C51" s="109" t="s">
        <v>1978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1979</v>
      </c>
      <c r="M51" s="106" t="s">
        <v>64</v>
      </c>
      <c r="N51" s="108"/>
    </row>
    <row r="52">
      <c r="A52" s="105">
        <v>51.0</v>
      </c>
      <c r="B52" s="106" t="s">
        <v>259</v>
      </c>
      <c r="C52" s="106" t="s">
        <v>260</v>
      </c>
      <c r="D52" s="107"/>
      <c r="E52" s="104"/>
      <c r="F52" s="106" t="s">
        <v>261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259</v>
      </c>
      <c r="C53" s="109" t="s">
        <v>260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1981</v>
      </c>
      <c r="M53" s="106" t="s">
        <v>45</v>
      </c>
      <c r="N53" s="108"/>
    </row>
    <row r="54">
      <c r="A54" s="105">
        <v>53.0</v>
      </c>
      <c r="B54" s="106" t="s">
        <v>259</v>
      </c>
      <c r="C54" s="106" t="s">
        <v>260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1982</v>
      </c>
      <c r="M54" s="106" t="s">
        <v>60</v>
      </c>
      <c r="N54" s="108"/>
    </row>
    <row r="55">
      <c r="A55" s="105">
        <v>54.0</v>
      </c>
      <c r="B55" s="109" t="s">
        <v>259</v>
      </c>
      <c r="C55" s="109" t="s">
        <v>260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259</v>
      </c>
      <c r="C56" s="106" t="s">
        <v>260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1983</v>
      </c>
      <c r="M56" s="114" t="s">
        <v>45</v>
      </c>
      <c r="N56" s="108"/>
    </row>
    <row r="57">
      <c r="A57" s="105">
        <v>56.0</v>
      </c>
      <c r="B57" s="109" t="s">
        <v>281</v>
      </c>
      <c r="C57" s="109" t="s">
        <v>282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837</v>
      </c>
      <c r="C58" s="106" t="s">
        <v>303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1984</v>
      </c>
      <c r="M58" s="106" t="s">
        <v>45</v>
      </c>
      <c r="N58" s="108"/>
    </row>
    <row r="59">
      <c r="A59" s="105">
        <v>58.0</v>
      </c>
      <c r="B59" s="109" t="s">
        <v>42</v>
      </c>
      <c r="C59" s="109" t="s">
        <v>43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42</v>
      </c>
      <c r="C60" s="106" t="s">
        <v>43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1599</v>
      </c>
      <c r="M60" s="107"/>
      <c r="N60" s="108"/>
    </row>
    <row r="61">
      <c r="A61" s="105">
        <v>60.0</v>
      </c>
      <c r="B61" s="109" t="s">
        <v>42</v>
      </c>
      <c r="C61" s="109" t="s">
        <v>43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42</v>
      </c>
      <c r="C62" s="106" t="s">
        <v>1985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1986</v>
      </c>
      <c r="M62" s="106" t="s">
        <v>64</v>
      </c>
      <c r="N62" s="108"/>
    </row>
    <row r="63">
      <c r="A63" s="105">
        <v>62.0</v>
      </c>
      <c r="B63" s="109" t="s">
        <v>42</v>
      </c>
      <c r="C63" s="109" t="s">
        <v>1985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42</v>
      </c>
      <c r="C64" s="106" t="s">
        <v>1985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286</v>
      </c>
      <c r="C65" s="115" t="s">
        <v>287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1987</v>
      </c>
      <c r="M65" s="106" t="s">
        <v>64</v>
      </c>
      <c r="N65" s="108"/>
    </row>
    <row r="66">
      <c r="A66" s="105">
        <v>65.0</v>
      </c>
      <c r="B66" s="106" t="s">
        <v>286</v>
      </c>
      <c r="C66" s="113" t="s">
        <v>287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1988</v>
      </c>
      <c r="M66" s="106" t="s">
        <v>45</v>
      </c>
      <c r="N66" s="108"/>
    </row>
    <row r="67">
      <c r="A67" s="105">
        <v>66.0</v>
      </c>
      <c r="B67" s="109" t="s">
        <v>286</v>
      </c>
      <c r="C67" s="115" t="s">
        <v>287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1988</v>
      </c>
      <c r="M67" s="106" t="s">
        <v>45</v>
      </c>
      <c r="N67" s="108"/>
    </row>
    <row r="68">
      <c r="A68" s="105">
        <v>67.0</v>
      </c>
      <c r="B68" s="106" t="s">
        <v>286</v>
      </c>
      <c r="C68" s="113" t="s">
        <v>287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1988</v>
      </c>
      <c r="M68" s="106" t="s">
        <v>45</v>
      </c>
      <c r="N68" s="108"/>
    </row>
    <row r="69">
      <c r="A69" s="105">
        <v>68.0</v>
      </c>
      <c r="B69" s="109" t="s">
        <v>286</v>
      </c>
      <c r="C69" s="115" t="s">
        <v>287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1988</v>
      </c>
      <c r="M69" s="106" t="s">
        <v>45</v>
      </c>
      <c r="N69" s="108"/>
    </row>
    <row r="70">
      <c r="A70" s="105">
        <v>69.0</v>
      </c>
      <c r="B70" s="106" t="s">
        <v>286</v>
      </c>
      <c r="C70" s="113" t="s">
        <v>287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1988</v>
      </c>
      <c r="M70" s="106" t="s">
        <v>45</v>
      </c>
      <c r="N70" s="108"/>
    </row>
    <row r="71">
      <c r="A71" s="105">
        <v>70.0</v>
      </c>
      <c r="B71" s="109" t="s">
        <v>286</v>
      </c>
      <c r="C71" s="115" t="s">
        <v>287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1989</v>
      </c>
      <c r="M71" s="106" t="s">
        <v>64</v>
      </c>
      <c r="N71" s="108"/>
    </row>
    <row r="72">
      <c r="A72" s="105">
        <v>71.0</v>
      </c>
      <c r="B72" s="106" t="s">
        <v>286</v>
      </c>
      <c r="C72" s="113" t="s">
        <v>287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210</v>
      </c>
      <c r="C73" s="109" t="s">
        <v>211</v>
      </c>
      <c r="D73" s="110"/>
      <c r="E73" s="104"/>
      <c r="F73" s="106" t="s">
        <v>212</v>
      </c>
      <c r="G73" s="106">
        <v>3.040250724E9</v>
      </c>
      <c r="H73" s="104"/>
      <c r="I73" s="104"/>
      <c r="J73" s="111">
        <v>45891.0</v>
      </c>
      <c r="K73" s="107"/>
      <c r="L73" s="106" t="s">
        <v>1611</v>
      </c>
      <c r="M73" s="106" t="s">
        <v>64</v>
      </c>
      <c r="N73" s="108"/>
    </row>
    <row r="74">
      <c r="A74" s="105">
        <v>73.0</v>
      </c>
      <c r="B74" s="106" t="s">
        <v>568</v>
      </c>
      <c r="C74" s="113" t="s">
        <v>1990</v>
      </c>
      <c r="D74" s="107"/>
      <c r="E74" s="104"/>
      <c r="F74" s="106" t="s">
        <v>1991</v>
      </c>
      <c r="G74" s="106">
        <v>3.040252174E9</v>
      </c>
      <c r="H74" s="104"/>
      <c r="I74" s="104"/>
      <c r="J74" s="111">
        <v>45817.0</v>
      </c>
      <c r="K74" s="107"/>
      <c r="L74" s="106" t="s">
        <v>1984</v>
      </c>
      <c r="M74" s="107"/>
      <c r="N74" s="108"/>
    </row>
    <row r="75">
      <c r="A75" s="105">
        <v>74.0</v>
      </c>
      <c r="B75" s="109" t="s">
        <v>568</v>
      </c>
      <c r="C75" s="115" t="s">
        <v>1990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1992</v>
      </c>
      <c r="M75" s="107"/>
      <c r="N75" s="108"/>
    </row>
    <row r="76">
      <c r="A76" s="105">
        <v>75.0</v>
      </c>
      <c r="B76" s="106" t="s">
        <v>345</v>
      </c>
      <c r="C76" s="106" t="s">
        <v>346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1984</v>
      </c>
      <c r="M76" s="107"/>
      <c r="N76" s="108"/>
    </row>
    <row r="77">
      <c r="A77" s="105">
        <v>76.0</v>
      </c>
      <c r="B77" s="109" t="s">
        <v>345</v>
      </c>
      <c r="C77" s="109" t="s">
        <v>346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1992</v>
      </c>
      <c r="M77" s="107"/>
      <c r="N77" s="108"/>
    </row>
    <row r="78">
      <c r="A78" s="105">
        <v>77.0</v>
      </c>
      <c r="B78" s="106" t="s">
        <v>923</v>
      </c>
      <c r="C78" s="106" t="s">
        <v>924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1983</v>
      </c>
      <c r="M78" s="114" t="s">
        <v>45</v>
      </c>
      <c r="N78" s="108"/>
    </row>
    <row r="79">
      <c r="A79" s="105">
        <v>78.0</v>
      </c>
      <c r="B79" s="109" t="s">
        <v>923</v>
      </c>
      <c r="C79" s="109" t="s">
        <v>924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1993</v>
      </c>
      <c r="M79" s="106" t="s">
        <v>63</v>
      </c>
      <c r="N79" s="108"/>
    </row>
    <row r="80">
      <c r="A80" s="105">
        <v>79.0</v>
      </c>
      <c r="B80" s="106" t="s">
        <v>302</v>
      </c>
      <c r="C80" s="106" t="s">
        <v>303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1994</v>
      </c>
      <c r="M80" s="106" t="s">
        <v>64</v>
      </c>
      <c r="N80" s="108"/>
    </row>
    <row r="81">
      <c r="A81" s="105">
        <v>80.0</v>
      </c>
      <c r="B81" s="109" t="s">
        <v>302</v>
      </c>
      <c r="C81" s="109" t="s">
        <v>303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1996</v>
      </c>
      <c r="M81" s="106" t="s">
        <v>63</v>
      </c>
      <c r="N81" s="108"/>
    </row>
    <row r="82">
      <c r="A82" s="105">
        <v>81.0</v>
      </c>
      <c r="B82" s="106" t="s">
        <v>302</v>
      </c>
      <c r="C82" s="106" t="s">
        <v>303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1987</v>
      </c>
      <c r="M82" s="106" t="s">
        <v>64</v>
      </c>
      <c r="N82" s="108"/>
    </row>
    <row r="83">
      <c r="A83" s="105">
        <v>82.0</v>
      </c>
      <c r="B83" s="109" t="s">
        <v>302</v>
      </c>
      <c r="C83" s="109" t="s">
        <v>303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1997</v>
      </c>
      <c r="M83" s="106" t="s">
        <v>63</v>
      </c>
      <c r="N83" s="108"/>
    </row>
    <row r="84">
      <c r="A84" s="105">
        <v>83.0</v>
      </c>
      <c r="B84" s="106" t="s">
        <v>302</v>
      </c>
      <c r="C84" s="106" t="s">
        <v>303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1983</v>
      </c>
      <c r="M84" s="114" t="s">
        <v>45</v>
      </c>
      <c r="N84" s="108"/>
    </row>
    <row r="85">
      <c r="A85" s="105">
        <v>84.0</v>
      </c>
      <c r="B85" s="109" t="s">
        <v>302</v>
      </c>
      <c r="C85" s="109" t="s">
        <v>303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1998</v>
      </c>
      <c r="M85" s="106" t="s">
        <v>57</v>
      </c>
      <c r="N85" s="108"/>
    </row>
    <row r="86">
      <c r="A86" s="105">
        <v>85.0</v>
      </c>
      <c r="B86" s="106" t="s">
        <v>684</v>
      </c>
      <c r="C86" s="106" t="s">
        <v>685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1999</v>
      </c>
      <c r="M86" s="107"/>
      <c r="N86" s="108"/>
    </row>
    <row r="87">
      <c r="A87" s="105">
        <v>86.0</v>
      </c>
      <c r="B87" s="109" t="s">
        <v>684</v>
      </c>
      <c r="C87" s="109" t="s">
        <v>685</v>
      </c>
      <c r="D87" s="110"/>
      <c r="E87" s="104"/>
      <c r="F87" s="106" t="s">
        <v>1033</v>
      </c>
      <c r="G87" s="106">
        <v>3.040250726E9</v>
      </c>
      <c r="H87" s="104"/>
      <c r="I87" s="104"/>
      <c r="J87" s="106" t="s">
        <v>2000</v>
      </c>
      <c r="K87" s="107"/>
      <c r="L87" s="106" t="s">
        <v>2001</v>
      </c>
      <c r="M87" s="106" t="s">
        <v>57</v>
      </c>
      <c r="N87" s="108"/>
    </row>
    <row r="88">
      <c r="A88" s="105">
        <v>87.0</v>
      </c>
      <c r="B88" s="106" t="s">
        <v>684</v>
      </c>
      <c r="C88" s="106" t="s">
        <v>685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2002</v>
      </c>
      <c r="M88" s="106" t="s">
        <v>45</v>
      </c>
      <c r="N88" s="108"/>
    </row>
    <row r="89">
      <c r="A89" s="105">
        <v>88.0</v>
      </c>
      <c r="B89" s="109" t="s">
        <v>684</v>
      </c>
      <c r="C89" s="109" t="s">
        <v>685</v>
      </c>
      <c r="D89" s="110"/>
      <c r="E89" s="104"/>
      <c r="F89" s="106" t="s">
        <v>2003</v>
      </c>
      <c r="G89" s="106">
        <v>3.040250728E9</v>
      </c>
      <c r="H89" s="104"/>
      <c r="I89" s="104"/>
      <c r="J89" s="111">
        <v>45777.0</v>
      </c>
      <c r="K89" s="107"/>
      <c r="L89" s="106" t="s">
        <v>2004</v>
      </c>
      <c r="M89" s="106" t="s">
        <v>45</v>
      </c>
      <c r="N89" s="108"/>
    </row>
    <row r="90">
      <c r="A90" s="105">
        <v>89.0</v>
      </c>
      <c r="B90" s="106" t="s">
        <v>452</v>
      </c>
      <c r="C90" s="106" t="s">
        <v>2005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2007</v>
      </c>
      <c r="M90" s="106" t="s">
        <v>45</v>
      </c>
      <c r="N90" s="108"/>
    </row>
    <row r="91">
      <c r="A91" s="105">
        <v>90.0</v>
      </c>
      <c r="B91" s="109" t="s">
        <v>452</v>
      </c>
      <c r="C91" s="109" t="s">
        <v>2005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2007</v>
      </c>
      <c r="M91" s="106" t="s">
        <v>45</v>
      </c>
      <c r="N91" s="108"/>
    </row>
    <row r="92">
      <c r="A92" s="105">
        <v>91.0</v>
      </c>
      <c r="B92" s="106" t="s">
        <v>452</v>
      </c>
      <c r="C92" s="106" t="s">
        <v>2005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2009</v>
      </c>
      <c r="M92" s="106" t="s">
        <v>64</v>
      </c>
      <c r="N92" s="108"/>
    </row>
    <row r="93">
      <c r="A93" s="105">
        <v>92.0</v>
      </c>
      <c r="B93" s="109" t="s">
        <v>510</v>
      </c>
      <c r="C93" s="109" t="s">
        <v>512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2011</v>
      </c>
      <c r="M93" s="106" t="s">
        <v>45</v>
      </c>
      <c r="N93" s="108"/>
    </row>
    <row r="94">
      <c r="A94" s="105">
        <v>93.0</v>
      </c>
      <c r="B94" s="106" t="s">
        <v>510</v>
      </c>
      <c r="C94" s="106" t="s">
        <v>512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2011</v>
      </c>
      <c r="M94" s="106" t="s">
        <v>45</v>
      </c>
      <c r="N94" s="108"/>
    </row>
    <row r="95">
      <c r="A95" s="105">
        <v>94.0</v>
      </c>
      <c r="B95" s="109" t="s">
        <v>510</v>
      </c>
      <c r="C95" s="109" t="s">
        <v>512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1947</v>
      </c>
      <c r="M95" s="106" t="s">
        <v>45</v>
      </c>
      <c r="N95" s="108"/>
    </row>
    <row r="96">
      <c r="A96" s="105">
        <v>95.0</v>
      </c>
      <c r="B96" s="106" t="s">
        <v>510</v>
      </c>
      <c r="C96" s="106" t="s">
        <v>512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510</v>
      </c>
      <c r="C97" s="109" t="s">
        <v>512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2017</v>
      </c>
      <c r="M97" s="106" t="s">
        <v>45</v>
      </c>
      <c r="N97" s="108"/>
    </row>
    <row r="98">
      <c r="A98" s="105">
        <v>97.0</v>
      </c>
      <c r="B98" s="106" t="s">
        <v>986</v>
      </c>
      <c r="C98" s="106" t="s">
        <v>2018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2019</v>
      </c>
      <c r="M98" s="106" t="s">
        <v>45</v>
      </c>
      <c r="N98" s="108"/>
    </row>
    <row r="99">
      <c r="A99" s="105">
        <v>98.0</v>
      </c>
      <c r="B99" s="109" t="s">
        <v>986</v>
      </c>
      <c r="C99" s="109" t="s">
        <v>2018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2019</v>
      </c>
      <c r="M99" s="106" t="s">
        <v>45</v>
      </c>
      <c r="N99" s="108"/>
    </row>
    <row r="100">
      <c r="A100" s="105">
        <v>99.0</v>
      </c>
      <c r="B100" s="106" t="s">
        <v>986</v>
      </c>
      <c r="C100" s="106" t="s">
        <v>2018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2019</v>
      </c>
      <c r="M100" s="106" t="s">
        <v>45</v>
      </c>
      <c r="N100" s="108"/>
    </row>
    <row r="101">
      <c r="A101" s="105">
        <v>100.0</v>
      </c>
      <c r="B101" s="109" t="s">
        <v>618</v>
      </c>
      <c r="C101" s="109" t="s">
        <v>2022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1722</v>
      </c>
      <c r="M101" s="107"/>
      <c r="N101" s="108"/>
    </row>
    <row r="102">
      <c r="A102" s="105">
        <v>101.0</v>
      </c>
      <c r="B102" s="106" t="s">
        <v>618</v>
      </c>
      <c r="C102" s="106" t="s">
        <v>2022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2024</v>
      </c>
      <c r="M102" s="107"/>
      <c r="N102" s="108"/>
    </row>
    <row r="103">
      <c r="A103" s="105">
        <v>102.0</v>
      </c>
      <c r="B103" s="109" t="s">
        <v>216</v>
      </c>
      <c r="C103" s="109" t="s">
        <v>217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216</v>
      </c>
      <c r="C104" s="106" t="s">
        <v>217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2011</v>
      </c>
      <c r="M104" s="106" t="s">
        <v>45</v>
      </c>
      <c r="N104" s="108"/>
    </row>
    <row r="105">
      <c r="A105" s="105">
        <v>104.0</v>
      </c>
      <c r="B105" s="109" t="s">
        <v>216</v>
      </c>
      <c r="C105" s="109" t="s">
        <v>217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2011</v>
      </c>
      <c r="M105" s="106" t="s">
        <v>45</v>
      </c>
      <c r="N105" s="108"/>
    </row>
    <row r="106">
      <c r="A106" s="105">
        <v>105.0</v>
      </c>
      <c r="B106" s="106" t="s">
        <v>216</v>
      </c>
      <c r="C106" s="106" t="s">
        <v>2026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2027</v>
      </c>
      <c r="M106" s="106" t="s">
        <v>62</v>
      </c>
      <c r="N106" s="108"/>
    </row>
    <row r="107">
      <c r="A107" s="105">
        <v>106.0</v>
      </c>
      <c r="B107" s="109" t="s">
        <v>216</v>
      </c>
      <c r="C107" s="109" t="s">
        <v>2026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1984</v>
      </c>
      <c r="M107" s="107"/>
      <c r="N107" s="108"/>
    </row>
    <row r="108">
      <c r="A108" s="105">
        <v>107.0</v>
      </c>
      <c r="B108" s="106" t="s">
        <v>216</v>
      </c>
      <c r="C108" s="106" t="s">
        <v>2026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375</v>
      </c>
      <c r="C109" s="109" t="s">
        <v>2029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375</v>
      </c>
      <c r="C110" s="106" t="s">
        <v>2029</v>
      </c>
      <c r="D110" s="107"/>
      <c r="E110" s="104"/>
      <c r="F110" s="106" t="s">
        <v>1567</v>
      </c>
      <c r="G110" s="106">
        <v>3.04025559E9</v>
      </c>
      <c r="H110" s="104"/>
      <c r="I110" s="104"/>
      <c r="J110" s="111">
        <v>45891.0</v>
      </c>
      <c r="K110" s="107"/>
      <c r="L110" s="106" t="s">
        <v>2032</v>
      </c>
      <c r="M110" s="106" t="s">
        <v>64</v>
      </c>
      <c r="N110" s="108"/>
    </row>
    <row r="111">
      <c r="A111" s="105">
        <v>110.0</v>
      </c>
      <c r="B111" s="109" t="s">
        <v>375</v>
      </c>
      <c r="C111" s="109" t="s">
        <v>491</v>
      </c>
      <c r="D111" s="110"/>
      <c r="E111" s="104"/>
      <c r="F111" s="106" t="s">
        <v>2033</v>
      </c>
      <c r="G111" s="106">
        <v>3.04025983E9</v>
      </c>
      <c r="H111" s="104"/>
      <c r="I111" s="104"/>
      <c r="J111" s="111">
        <v>45769.0</v>
      </c>
      <c r="K111" s="107"/>
      <c r="L111" s="106" t="s">
        <v>2011</v>
      </c>
      <c r="M111" s="106" t="s">
        <v>45</v>
      </c>
      <c r="N111" s="108"/>
    </row>
    <row r="112">
      <c r="A112" s="105">
        <v>111.0</v>
      </c>
      <c r="B112" s="106" t="s">
        <v>231</v>
      </c>
      <c r="C112" s="106" t="s">
        <v>2034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2036</v>
      </c>
      <c r="M112" s="106" t="s">
        <v>45</v>
      </c>
      <c r="N112" s="108"/>
    </row>
    <row r="113">
      <c r="A113" s="105">
        <v>112.0</v>
      </c>
      <c r="B113" s="109" t="s">
        <v>231</v>
      </c>
      <c r="C113" s="109" t="s">
        <v>2034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2039</v>
      </c>
      <c r="M113" s="107"/>
      <c r="N113" s="108"/>
    </row>
    <row r="114">
      <c r="A114" s="105">
        <v>113.0</v>
      </c>
      <c r="B114" s="106" t="s">
        <v>231</v>
      </c>
      <c r="C114" s="106" t="s">
        <v>2034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2039</v>
      </c>
      <c r="M114" s="107"/>
      <c r="N114" s="108"/>
    </row>
    <row r="115">
      <c r="A115" s="105">
        <v>114.0</v>
      </c>
      <c r="B115" s="109" t="s">
        <v>231</v>
      </c>
      <c r="C115" s="109" t="s">
        <v>2034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1970</v>
      </c>
      <c r="M115" s="114" t="s">
        <v>45</v>
      </c>
      <c r="N115" s="108"/>
    </row>
    <row r="116">
      <c r="A116" s="105">
        <v>115.0</v>
      </c>
      <c r="B116" s="106" t="s">
        <v>231</v>
      </c>
      <c r="C116" s="106" t="s">
        <v>2034</v>
      </c>
      <c r="D116" s="107"/>
      <c r="E116" s="104"/>
      <c r="F116" s="106" t="s">
        <v>1638</v>
      </c>
      <c r="G116" s="106">
        <v>3.040256666E9</v>
      </c>
      <c r="H116" s="104"/>
      <c r="I116" s="104"/>
      <c r="J116" s="111">
        <v>46029.0</v>
      </c>
      <c r="K116" s="107"/>
      <c r="L116" s="106" t="s">
        <v>2044</v>
      </c>
      <c r="M116" s="114" t="s">
        <v>45</v>
      </c>
      <c r="N116" s="108"/>
    </row>
    <row r="117">
      <c r="A117" s="105">
        <v>116.0</v>
      </c>
      <c r="B117" s="109" t="s">
        <v>231</v>
      </c>
      <c r="C117" s="109" t="s">
        <v>2034</v>
      </c>
      <c r="D117" s="110"/>
      <c r="E117" s="104"/>
      <c r="F117" s="106" t="s">
        <v>1645</v>
      </c>
      <c r="G117" s="106">
        <v>3.040256667E9</v>
      </c>
      <c r="H117" s="104"/>
      <c r="I117" s="104"/>
      <c r="J117" s="111">
        <v>46029.0</v>
      </c>
      <c r="K117" s="107"/>
      <c r="L117" s="106" t="s">
        <v>2044</v>
      </c>
      <c r="M117" s="114" t="s">
        <v>45</v>
      </c>
      <c r="N117" s="108"/>
    </row>
    <row r="118">
      <c r="A118" s="105">
        <v>117.0</v>
      </c>
      <c r="B118" s="106" t="s">
        <v>231</v>
      </c>
      <c r="C118" s="106" t="s">
        <v>2034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1970</v>
      </c>
      <c r="M118" s="114" t="s">
        <v>45</v>
      </c>
      <c r="N118" s="108"/>
    </row>
    <row r="119">
      <c r="A119" s="105">
        <v>118.0</v>
      </c>
      <c r="B119" s="109" t="s">
        <v>231</v>
      </c>
      <c r="C119" s="109" t="s">
        <v>2034</v>
      </c>
      <c r="D119" s="110"/>
      <c r="E119" s="104"/>
      <c r="F119" s="106" t="s">
        <v>525</v>
      </c>
      <c r="G119" s="106">
        <v>3.040256669E9</v>
      </c>
      <c r="H119" s="104"/>
      <c r="I119" s="104"/>
      <c r="J119" s="111">
        <v>46230.0</v>
      </c>
      <c r="K119" s="107"/>
      <c r="L119" s="106" t="s">
        <v>2046</v>
      </c>
      <c r="M119" s="106" t="s">
        <v>45</v>
      </c>
      <c r="N119" s="108"/>
    </row>
    <row r="120">
      <c r="A120" s="105">
        <v>119.0</v>
      </c>
      <c r="B120" s="106" t="s">
        <v>231</v>
      </c>
      <c r="C120" s="106" t="s">
        <v>2034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1970</v>
      </c>
      <c r="M120" s="114" t="s">
        <v>45</v>
      </c>
      <c r="N120" s="108"/>
    </row>
    <row r="121">
      <c r="A121" s="105">
        <v>120.0</v>
      </c>
      <c r="B121" s="109" t="s">
        <v>231</v>
      </c>
      <c r="C121" s="109" t="s">
        <v>2034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1970</v>
      </c>
      <c r="M121" s="114" t="s">
        <v>45</v>
      </c>
      <c r="N121" s="108"/>
    </row>
    <row r="122">
      <c r="A122" s="105">
        <v>121.0</v>
      </c>
      <c r="B122" s="106" t="s">
        <v>226</v>
      </c>
      <c r="C122" s="106" t="s">
        <v>2049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2050</v>
      </c>
      <c r="M122" s="106" t="s">
        <v>64</v>
      </c>
      <c r="N122" s="108"/>
    </row>
    <row r="123">
      <c r="A123" s="105">
        <v>122.0</v>
      </c>
      <c r="B123" s="109" t="s">
        <v>226</v>
      </c>
      <c r="C123" s="109" t="s">
        <v>2049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2036</v>
      </c>
      <c r="M123" s="106" t="s">
        <v>45</v>
      </c>
      <c r="N123" s="108"/>
    </row>
    <row r="124">
      <c r="A124" s="105">
        <v>123.0</v>
      </c>
      <c r="B124" s="106" t="s">
        <v>226</v>
      </c>
      <c r="C124" s="106" t="s">
        <v>320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2052</v>
      </c>
      <c r="M124" s="106" t="s">
        <v>64</v>
      </c>
      <c r="N124" s="108"/>
    </row>
    <row r="125">
      <c r="A125" s="105">
        <v>124.0</v>
      </c>
      <c r="B125" s="109" t="s">
        <v>226</v>
      </c>
      <c r="C125" s="109" t="s">
        <v>2049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2054</v>
      </c>
      <c r="M125" s="106" t="s">
        <v>45</v>
      </c>
      <c r="N125" s="108"/>
    </row>
    <row r="126">
      <c r="A126" s="105">
        <v>125.0</v>
      </c>
      <c r="B126" s="106" t="s">
        <v>226</v>
      </c>
      <c r="C126" s="106" t="s">
        <v>2049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2056</v>
      </c>
      <c r="M126" s="107"/>
      <c r="N126" s="108"/>
    </row>
    <row r="127">
      <c r="A127" s="105">
        <v>126.0</v>
      </c>
      <c r="B127" s="109" t="s">
        <v>226</v>
      </c>
      <c r="C127" s="109" t="s">
        <v>2049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226</v>
      </c>
      <c r="C128" s="106" t="s">
        <v>2049</v>
      </c>
      <c r="D128" s="107"/>
      <c r="E128" s="104"/>
      <c r="F128" s="106" t="s">
        <v>2059</v>
      </c>
      <c r="G128" s="106">
        <v>3.040253171E9</v>
      </c>
      <c r="H128" s="104"/>
      <c r="I128" s="104"/>
      <c r="J128" s="116">
        <v>45876.0</v>
      </c>
      <c r="K128" s="107"/>
      <c r="L128" s="117" t="s">
        <v>2056</v>
      </c>
      <c r="M128" s="114" t="s">
        <v>45</v>
      </c>
      <c r="N128" s="108"/>
    </row>
    <row r="129">
      <c r="A129" s="105">
        <v>128.0</v>
      </c>
      <c r="B129" s="109" t="s">
        <v>226</v>
      </c>
      <c r="C129" s="109" t="s">
        <v>2049</v>
      </c>
      <c r="D129" s="110"/>
      <c r="E129" s="104"/>
      <c r="F129" s="106" t="s">
        <v>321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226</v>
      </c>
      <c r="C130" s="106" t="s">
        <v>2049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2046</v>
      </c>
      <c r="M130" s="106" t="s">
        <v>45</v>
      </c>
      <c r="N130" s="108"/>
    </row>
    <row r="131">
      <c r="A131" s="105">
        <v>130.0</v>
      </c>
      <c r="B131" s="109" t="s">
        <v>226</v>
      </c>
      <c r="C131" s="109" t="s">
        <v>2049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2054</v>
      </c>
      <c r="M131" s="106" t="s">
        <v>45</v>
      </c>
      <c r="N131" s="108"/>
    </row>
    <row r="132">
      <c r="A132" s="105">
        <v>131.0</v>
      </c>
      <c r="B132" s="106" t="s">
        <v>226</v>
      </c>
      <c r="C132" s="106" t="s">
        <v>2049</v>
      </c>
      <c r="D132" s="107"/>
      <c r="E132" s="104"/>
      <c r="F132" s="106" t="s">
        <v>534</v>
      </c>
      <c r="G132" s="106">
        <v>3.040256672E9</v>
      </c>
      <c r="H132" s="104"/>
      <c r="I132" s="104"/>
      <c r="J132" s="111">
        <v>46230.0</v>
      </c>
      <c r="K132" s="107"/>
      <c r="L132" s="106" t="s">
        <v>2046</v>
      </c>
      <c r="M132" s="106" t="s">
        <v>45</v>
      </c>
      <c r="N132" s="108"/>
    </row>
    <row r="133">
      <c r="A133" s="105">
        <v>132.0</v>
      </c>
      <c r="B133" s="109" t="s">
        <v>226</v>
      </c>
      <c r="C133" s="109" t="s">
        <v>2049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226</v>
      </c>
      <c r="C134" s="106" t="s">
        <v>2049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2064</v>
      </c>
      <c r="M134" s="106" t="s">
        <v>63</v>
      </c>
      <c r="N134" s="108"/>
    </row>
    <row r="135">
      <c r="A135" s="105">
        <v>134.0</v>
      </c>
      <c r="B135" s="109" t="s">
        <v>335</v>
      </c>
      <c r="C135" s="109" t="s">
        <v>2065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2054</v>
      </c>
      <c r="M135" s="106" t="s">
        <v>45</v>
      </c>
      <c r="N135" s="108"/>
    </row>
    <row r="136">
      <c r="A136" s="105">
        <v>135.0</v>
      </c>
      <c r="B136" s="106" t="s">
        <v>335</v>
      </c>
      <c r="C136" s="106" t="s">
        <v>2065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62</v>
      </c>
      <c r="N136" s="108"/>
    </row>
    <row r="137">
      <c r="A137" s="105">
        <v>136.0</v>
      </c>
      <c r="B137" s="109" t="s">
        <v>335</v>
      </c>
      <c r="C137" s="109" t="s">
        <v>2065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2046</v>
      </c>
      <c r="M137" s="106" t="s">
        <v>45</v>
      </c>
      <c r="N137" s="108"/>
    </row>
    <row r="138">
      <c r="A138" s="105">
        <v>137.0</v>
      </c>
      <c r="B138" s="106" t="s">
        <v>335</v>
      </c>
      <c r="C138" s="106" t="s">
        <v>2065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335</v>
      </c>
      <c r="C139" s="109" t="s">
        <v>2065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2067</v>
      </c>
      <c r="M139" s="107"/>
      <c r="N139" s="108"/>
    </row>
    <row r="140">
      <c r="A140" s="105">
        <v>139.0</v>
      </c>
      <c r="B140" s="106" t="s">
        <v>335</v>
      </c>
      <c r="C140" s="106" t="s">
        <v>2065</v>
      </c>
      <c r="D140" s="107"/>
      <c r="E140" s="104"/>
      <c r="F140" s="106" t="s">
        <v>1704</v>
      </c>
      <c r="G140" s="106">
        <v>3.040257447E9</v>
      </c>
      <c r="H140" s="104"/>
      <c r="I140" s="104"/>
      <c r="J140" s="111">
        <v>46029.0</v>
      </c>
      <c r="K140" s="107"/>
      <c r="L140" s="106" t="s">
        <v>2067</v>
      </c>
      <c r="M140" s="107"/>
      <c r="N140" s="108"/>
    </row>
    <row r="141">
      <c r="A141" s="105">
        <v>140.0</v>
      </c>
      <c r="B141" s="109" t="s">
        <v>335</v>
      </c>
      <c r="C141" s="109" t="s">
        <v>2065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218</v>
      </c>
      <c r="C142" s="106" t="s">
        <v>2071</v>
      </c>
      <c r="D142" s="107"/>
      <c r="E142" s="104"/>
      <c r="F142" s="106" t="s">
        <v>2072</v>
      </c>
      <c r="G142" s="106">
        <v>3.040250777E9</v>
      </c>
      <c r="H142" s="104"/>
      <c r="I142" s="104"/>
      <c r="J142" s="111">
        <v>45894.0</v>
      </c>
      <c r="K142" s="107"/>
      <c r="L142" s="106" t="s">
        <v>2073</v>
      </c>
      <c r="M142" s="107"/>
      <c r="N142" s="108"/>
    </row>
    <row r="143">
      <c r="A143" s="105">
        <v>142.0</v>
      </c>
      <c r="B143" s="109" t="s">
        <v>218</v>
      </c>
      <c r="C143" s="109" t="s">
        <v>2071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1970</v>
      </c>
      <c r="M143" s="114" t="s">
        <v>45</v>
      </c>
      <c r="N143" s="108"/>
    </row>
    <row r="144">
      <c r="A144" s="105">
        <v>143.0</v>
      </c>
      <c r="B144" s="106" t="s">
        <v>218</v>
      </c>
      <c r="C144" s="106" t="s">
        <v>2071</v>
      </c>
      <c r="D144" s="107"/>
      <c r="E144" s="104"/>
      <c r="F144" s="106" t="s">
        <v>1435</v>
      </c>
      <c r="G144" s="106">
        <v>3.040250779E9</v>
      </c>
      <c r="H144" s="104"/>
      <c r="I144" s="104"/>
      <c r="J144" s="112">
        <v>46119.0</v>
      </c>
      <c r="K144" s="107"/>
      <c r="L144" s="106" t="s">
        <v>1970</v>
      </c>
      <c r="M144" s="114" t="s">
        <v>45</v>
      </c>
      <c r="N144" s="108"/>
    </row>
    <row r="145">
      <c r="A145" s="105">
        <v>144.0</v>
      </c>
      <c r="B145" s="109" t="s">
        <v>218</v>
      </c>
      <c r="C145" s="109" t="s">
        <v>343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218</v>
      </c>
      <c r="C146" s="106" t="s">
        <v>343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218</v>
      </c>
      <c r="C147" s="109" t="s">
        <v>343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2064</v>
      </c>
      <c r="M147" s="106" t="s">
        <v>63</v>
      </c>
      <c r="N147" s="108"/>
    </row>
    <row r="148">
      <c r="A148" s="105">
        <v>147.0</v>
      </c>
      <c r="B148" s="106" t="s">
        <v>218</v>
      </c>
      <c r="C148" s="106" t="s">
        <v>343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2046</v>
      </c>
      <c r="M148" s="106" t="s">
        <v>45</v>
      </c>
      <c r="N148" s="108"/>
    </row>
    <row r="149">
      <c r="A149" s="105">
        <v>148.0</v>
      </c>
      <c r="B149" s="109" t="s">
        <v>218</v>
      </c>
      <c r="C149" s="109" t="s">
        <v>343</v>
      </c>
      <c r="D149" s="110"/>
      <c r="E149" s="104"/>
      <c r="F149" s="106" t="s">
        <v>534</v>
      </c>
      <c r="G149" s="106">
        <v>3.040256694E9</v>
      </c>
      <c r="H149" s="104"/>
      <c r="I149" s="104"/>
      <c r="J149" s="111">
        <v>46230.0</v>
      </c>
      <c r="K149" s="107"/>
      <c r="L149" s="106" t="s">
        <v>2046</v>
      </c>
      <c r="M149" s="106" t="s">
        <v>45</v>
      </c>
      <c r="N149" s="108"/>
    </row>
    <row r="150">
      <c r="A150" s="105">
        <v>149.0</v>
      </c>
      <c r="B150" s="106" t="s">
        <v>218</v>
      </c>
      <c r="C150" s="106" t="s">
        <v>343</v>
      </c>
      <c r="D150" s="107"/>
      <c r="E150" s="104"/>
      <c r="F150" s="106" t="s">
        <v>2059</v>
      </c>
      <c r="G150" s="106">
        <v>3.040256695E9</v>
      </c>
      <c r="H150" s="104"/>
      <c r="I150" s="104"/>
      <c r="J150" s="112">
        <v>46119.0</v>
      </c>
      <c r="K150" s="107"/>
      <c r="L150" s="106" t="s">
        <v>1970</v>
      </c>
      <c r="M150" s="114" t="s">
        <v>45</v>
      </c>
      <c r="N150" s="108"/>
    </row>
    <row r="151">
      <c r="A151" s="105">
        <v>150.0</v>
      </c>
      <c r="B151" s="109" t="s">
        <v>218</v>
      </c>
      <c r="C151" s="109" t="s">
        <v>343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2046</v>
      </c>
      <c r="M151" s="106" t="s">
        <v>45</v>
      </c>
      <c r="N151" s="108"/>
    </row>
    <row r="152">
      <c r="A152" s="105">
        <v>151.0</v>
      </c>
      <c r="B152" s="106" t="s">
        <v>218</v>
      </c>
      <c r="C152" s="106" t="s">
        <v>343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2064</v>
      </c>
      <c r="M152" s="106" t="s">
        <v>63</v>
      </c>
      <c r="N152" s="108"/>
    </row>
    <row r="153">
      <c r="A153" s="105">
        <v>152.0</v>
      </c>
      <c r="B153" s="109" t="s">
        <v>761</v>
      </c>
      <c r="C153" s="109" t="s">
        <v>762</v>
      </c>
      <c r="D153" s="110"/>
      <c r="E153" s="104"/>
      <c r="F153" s="106" t="s">
        <v>2081</v>
      </c>
      <c r="G153" s="106">
        <v>3.040250229E9</v>
      </c>
      <c r="H153" s="104"/>
      <c r="I153" s="104"/>
      <c r="J153" s="111">
        <v>45876.0</v>
      </c>
      <c r="K153" s="107"/>
      <c r="L153" s="106" t="s">
        <v>2083</v>
      </c>
      <c r="M153" s="106" t="s">
        <v>45</v>
      </c>
      <c r="N153" s="108"/>
    </row>
    <row r="154">
      <c r="A154" s="105">
        <v>153.0</v>
      </c>
      <c r="B154" s="106" t="s">
        <v>642</v>
      </c>
      <c r="C154" s="106" t="s">
        <v>2084</v>
      </c>
      <c r="D154" s="107"/>
      <c r="E154" s="104"/>
      <c r="F154" s="106" t="s">
        <v>644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277</v>
      </c>
      <c r="C155" s="109" t="s">
        <v>2085</v>
      </c>
      <c r="D155" s="110"/>
      <c r="E155" s="104"/>
      <c r="F155" s="106" t="s">
        <v>2086</v>
      </c>
      <c r="G155" s="106">
        <v>3.040254813E9</v>
      </c>
      <c r="H155" s="104"/>
      <c r="I155" s="104"/>
      <c r="J155" s="111">
        <v>45863.0</v>
      </c>
      <c r="K155" s="107"/>
      <c r="L155" s="106" t="s">
        <v>2088</v>
      </c>
      <c r="M155" s="106" t="s">
        <v>45</v>
      </c>
      <c r="N155" s="108"/>
    </row>
    <row r="156">
      <c r="A156" s="105">
        <v>155.0</v>
      </c>
      <c r="B156" s="106" t="s">
        <v>277</v>
      </c>
      <c r="C156" s="106" t="s">
        <v>2085</v>
      </c>
      <c r="D156" s="107"/>
      <c r="E156" s="104"/>
      <c r="F156" s="106" t="s">
        <v>2089</v>
      </c>
      <c r="G156" s="106">
        <v>3.040254814E9</v>
      </c>
      <c r="H156" s="104"/>
      <c r="I156" s="104"/>
      <c r="J156" s="111">
        <v>45863.0</v>
      </c>
      <c r="K156" s="107"/>
      <c r="L156" s="106" t="s">
        <v>2088</v>
      </c>
      <c r="M156" s="106" t="s">
        <v>45</v>
      </c>
      <c r="N156" s="108"/>
    </row>
    <row r="157">
      <c r="A157" s="105">
        <v>156.0</v>
      </c>
      <c r="B157" s="109" t="s">
        <v>1068</v>
      </c>
      <c r="C157" s="109" t="s">
        <v>2085</v>
      </c>
      <c r="D157" s="110"/>
      <c r="E157" s="104"/>
      <c r="F157" s="106" t="s">
        <v>2091</v>
      </c>
      <c r="G157" s="106">
        <v>3.040254821E9</v>
      </c>
      <c r="H157" s="104"/>
      <c r="I157" s="104"/>
      <c r="J157" s="111">
        <v>45863.0</v>
      </c>
      <c r="K157" s="107"/>
      <c r="L157" s="106" t="s">
        <v>2088</v>
      </c>
      <c r="M157" s="106" t="s">
        <v>45</v>
      </c>
      <c r="N157" s="108"/>
    </row>
    <row r="158">
      <c r="A158" s="105">
        <v>157.0</v>
      </c>
      <c r="B158" s="106" t="s">
        <v>1068</v>
      </c>
      <c r="C158" s="106" t="s">
        <v>2085</v>
      </c>
      <c r="D158" s="107"/>
      <c r="E158" s="104"/>
      <c r="F158" s="106" t="s">
        <v>2092</v>
      </c>
      <c r="G158" s="106">
        <v>3.040254822E9</v>
      </c>
      <c r="H158" s="104"/>
      <c r="I158" s="104"/>
      <c r="J158" s="111">
        <v>45860.0</v>
      </c>
      <c r="K158" s="107"/>
      <c r="L158" s="106" t="s">
        <v>2093</v>
      </c>
      <c r="M158" s="106" t="s">
        <v>45</v>
      </c>
      <c r="N158" s="108"/>
    </row>
    <row r="159">
      <c r="A159" s="105">
        <v>158.0</v>
      </c>
      <c r="B159" s="109" t="s">
        <v>610</v>
      </c>
      <c r="C159" s="109" t="s">
        <v>2094</v>
      </c>
      <c r="D159" s="110"/>
      <c r="E159" s="104"/>
      <c r="F159" s="106" t="s">
        <v>2095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606</v>
      </c>
      <c r="C160" s="113" t="s">
        <v>607</v>
      </c>
      <c r="D160" s="107"/>
      <c r="E160" s="104"/>
      <c r="F160" s="106" t="s">
        <v>1427</v>
      </c>
      <c r="G160" s="106">
        <v>3.040250782E9</v>
      </c>
      <c r="H160" s="104"/>
      <c r="I160" s="104"/>
      <c r="J160" s="111">
        <v>46119.0</v>
      </c>
      <c r="K160" s="107"/>
      <c r="L160" s="106" t="s">
        <v>1970</v>
      </c>
      <c r="M160" s="114" t="s">
        <v>45</v>
      </c>
      <c r="N160" s="108"/>
    </row>
    <row r="161">
      <c r="A161" s="105">
        <v>160.0</v>
      </c>
      <c r="B161" s="109" t="s">
        <v>606</v>
      </c>
      <c r="C161" s="115" t="s">
        <v>607</v>
      </c>
      <c r="D161" s="110"/>
      <c r="E161" s="104"/>
      <c r="F161" s="106" t="s">
        <v>2097</v>
      </c>
      <c r="G161" s="106">
        <v>3.040250783E9</v>
      </c>
      <c r="H161" s="104"/>
      <c r="I161" s="104"/>
      <c r="J161" s="111">
        <v>45814.0</v>
      </c>
      <c r="K161" s="107"/>
      <c r="L161" s="106" t="s">
        <v>2098</v>
      </c>
      <c r="M161" s="106" t="s">
        <v>45</v>
      </c>
      <c r="N161" s="108"/>
    </row>
    <row r="162">
      <c r="A162" s="105">
        <v>161.0</v>
      </c>
      <c r="B162" s="106" t="s">
        <v>2099</v>
      </c>
      <c r="C162" s="106" t="s">
        <v>2100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2102</v>
      </c>
      <c r="M162" s="106" t="s">
        <v>70</v>
      </c>
      <c r="N162" s="108"/>
    </row>
    <row r="163">
      <c r="A163" s="105">
        <v>162.0</v>
      </c>
      <c r="B163" s="109" t="s">
        <v>2099</v>
      </c>
      <c r="C163" s="109" t="s">
        <v>2103</v>
      </c>
      <c r="D163" s="110"/>
      <c r="E163" s="104"/>
      <c r="F163" s="106" t="s">
        <v>2104</v>
      </c>
      <c r="G163" s="106">
        <v>3.040256705E9</v>
      </c>
      <c r="H163" s="104"/>
      <c r="I163" s="104"/>
      <c r="J163" s="111">
        <v>45971.0</v>
      </c>
      <c r="K163" s="107"/>
      <c r="L163" s="106" t="s">
        <v>2019</v>
      </c>
      <c r="M163" s="106" t="s">
        <v>45</v>
      </c>
      <c r="N163" s="108"/>
    </row>
    <row r="164">
      <c r="A164" s="105">
        <v>163.0</v>
      </c>
      <c r="B164" s="106" t="s">
        <v>2099</v>
      </c>
      <c r="C164" s="106" t="s">
        <v>2103</v>
      </c>
      <c r="D164" s="107"/>
      <c r="E164" s="104"/>
      <c r="F164" s="106" t="s">
        <v>2105</v>
      </c>
      <c r="G164" s="106">
        <v>3.040256706E9</v>
      </c>
      <c r="H164" s="104"/>
      <c r="I164" s="104"/>
      <c r="J164" s="111">
        <v>45971.0</v>
      </c>
      <c r="K164" s="107"/>
      <c r="L164" s="106" t="s">
        <v>2019</v>
      </c>
      <c r="M164" s="106" t="s">
        <v>45</v>
      </c>
      <c r="N164" s="108"/>
    </row>
    <row r="165">
      <c r="A165" s="105">
        <v>164.0</v>
      </c>
      <c r="B165" s="109" t="s">
        <v>406</v>
      </c>
      <c r="C165" s="109" t="s">
        <v>2103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2106</v>
      </c>
      <c r="M165" s="107"/>
      <c r="N165" s="108"/>
    </row>
    <row r="166">
      <c r="A166" s="105">
        <v>165.0</v>
      </c>
      <c r="B166" s="106" t="s">
        <v>406</v>
      </c>
      <c r="C166" s="106" t="s">
        <v>2103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2109</v>
      </c>
      <c r="M166" s="106" t="s">
        <v>57</v>
      </c>
      <c r="N166" s="108"/>
    </row>
    <row r="167">
      <c r="A167" s="105">
        <v>166.0</v>
      </c>
      <c r="B167" s="109" t="s">
        <v>556</v>
      </c>
      <c r="C167" s="109" t="s">
        <v>2110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649</v>
      </c>
      <c r="C168" s="106" t="s">
        <v>2110</v>
      </c>
      <c r="D168" s="107"/>
      <c r="E168" s="104"/>
      <c r="F168" s="106" t="s">
        <v>2111</v>
      </c>
      <c r="G168" s="106">
        <v>3.040259314E9</v>
      </c>
      <c r="H168" s="104"/>
      <c r="I168" s="104"/>
      <c r="J168" s="111">
        <v>46064.0</v>
      </c>
      <c r="K168" s="107"/>
      <c r="L168" s="106" t="s">
        <v>2113</v>
      </c>
      <c r="M168" s="106" t="s">
        <v>1614</v>
      </c>
      <c r="N168" s="108"/>
    </row>
    <row r="169">
      <c r="A169" s="105">
        <v>168.0</v>
      </c>
      <c r="B169" s="109" t="s">
        <v>649</v>
      </c>
      <c r="C169" s="109" t="s">
        <v>2110</v>
      </c>
      <c r="D169" s="110"/>
      <c r="E169" s="104"/>
      <c r="F169" s="106" t="s">
        <v>2114</v>
      </c>
      <c r="G169" s="106">
        <v>3.040259315E9</v>
      </c>
      <c r="H169" s="104"/>
      <c r="I169" s="104"/>
      <c r="J169" s="111">
        <v>45982.0</v>
      </c>
      <c r="K169" s="107"/>
      <c r="L169" s="106" t="s">
        <v>2115</v>
      </c>
      <c r="M169" s="107"/>
      <c r="N169" s="108"/>
    </row>
    <row r="170">
      <c r="A170" s="105">
        <v>169.0</v>
      </c>
      <c r="B170" s="106" t="s">
        <v>649</v>
      </c>
      <c r="C170" s="106" t="s">
        <v>2110</v>
      </c>
      <c r="D170" s="107"/>
      <c r="E170" s="104"/>
      <c r="F170" s="106" t="s">
        <v>652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1048</v>
      </c>
      <c r="C171" s="109" t="s">
        <v>1049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2117</v>
      </c>
      <c r="M171" s="106" t="s">
        <v>45</v>
      </c>
      <c r="N171" s="108"/>
    </row>
    <row r="172">
      <c r="A172" s="105">
        <v>171.0</v>
      </c>
      <c r="B172" s="106" t="s">
        <v>949</v>
      </c>
      <c r="C172" s="106" t="s">
        <v>950</v>
      </c>
      <c r="D172" s="107"/>
      <c r="E172" s="104"/>
      <c r="F172" s="106" t="s">
        <v>2118</v>
      </c>
      <c r="G172" s="106">
        <v>3.040250786E9</v>
      </c>
      <c r="H172" s="104"/>
      <c r="I172" s="104"/>
      <c r="J172" s="111">
        <v>45816.0</v>
      </c>
      <c r="K172" s="107"/>
      <c r="L172" s="106" t="s">
        <v>2120</v>
      </c>
      <c r="M172" s="106" t="s">
        <v>68</v>
      </c>
      <c r="N172" s="108"/>
    </row>
    <row r="173">
      <c r="A173" s="105">
        <v>172.0</v>
      </c>
      <c r="B173" s="109" t="s">
        <v>949</v>
      </c>
      <c r="C173" s="109" t="s">
        <v>950</v>
      </c>
      <c r="D173" s="110"/>
      <c r="E173" s="104"/>
      <c r="F173" s="106" t="s">
        <v>2122</v>
      </c>
      <c r="G173" s="106">
        <v>3.040250787E9</v>
      </c>
      <c r="H173" s="104"/>
      <c r="I173" s="104"/>
      <c r="J173" s="111">
        <v>45816.0</v>
      </c>
      <c r="K173" s="107"/>
      <c r="L173" s="106" t="s">
        <v>2120</v>
      </c>
      <c r="M173" s="106" t="s">
        <v>68</v>
      </c>
      <c r="N173" s="108"/>
    </row>
    <row r="174">
      <c r="A174" s="105">
        <v>173.0</v>
      </c>
      <c r="B174" s="106" t="s">
        <v>949</v>
      </c>
      <c r="C174" s="106" t="s">
        <v>950</v>
      </c>
      <c r="D174" s="107"/>
      <c r="E174" s="104"/>
      <c r="F174" s="106" t="s">
        <v>1547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70</v>
      </c>
      <c r="N174" s="108"/>
    </row>
    <row r="175">
      <c r="A175" s="105">
        <v>174.0</v>
      </c>
      <c r="B175" s="109" t="s">
        <v>949</v>
      </c>
      <c r="C175" s="109" t="s">
        <v>950</v>
      </c>
      <c r="D175" s="110"/>
      <c r="E175" s="104"/>
      <c r="F175" s="106" t="s">
        <v>1543</v>
      </c>
      <c r="G175" s="106">
        <v>3.040254818E9</v>
      </c>
      <c r="H175" s="104"/>
      <c r="I175" s="104"/>
      <c r="J175" s="111">
        <v>46101.0</v>
      </c>
      <c r="K175" s="107"/>
      <c r="L175" s="106" t="s">
        <v>2126</v>
      </c>
      <c r="M175" s="106" t="s">
        <v>57</v>
      </c>
      <c r="N175" s="108"/>
    </row>
    <row r="176">
      <c r="A176" s="105">
        <v>175.0</v>
      </c>
      <c r="B176" s="106" t="s">
        <v>949</v>
      </c>
      <c r="C176" s="106" t="s">
        <v>950</v>
      </c>
      <c r="D176" s="107"/>
      <c r="E176" s="104"/>
      <c r="F176" s="106" t="s">
        <v>1549</v>
      </c>
      <c r="G176" s="106">
        <v>3.040254819E9</v>
      </c>
      <c r="H176" s="104"/>
      <c r="I176" s="104"/>
      <c r="J176" s="111">
        <v>46101.0</v>
      </c>
      <c r="K176" s="107"/>
      <c r="L176" s="106" t="s">
        <v>2126</v>
      </c>
      <c r="M176" s="106" t="s">
        <v>57</v>
      </c>
      <c r="N176" s="108"/>
    </row>
    <row r="177">
      <c r="A177" s="105">
        <v>176.0</v>
      </c>
      <c r="B177" s="109" t="s">
        <v>949</v>
      </c>
      <c r="C177" s="109" t="s">
        <v>950</v>
      </c>
      <c r="D177" s="110"/>
      <c r="E177" s="104"/>
      <c r="F177" s="106" t="s">
        <v>1545</v>
      </c>
      <c r="G177" s="106">
        <v>3.04025482E9</v>
      </c>
      <c r="H177" s="104"/>
      <c r="I177" s="104"/>
      <c r="J177" s="111">
        <v>46105.0</v>
      </c>
      <c r="K177" s="107"/>
      <c r="L177" s="106" t="s">
        <v>2128</v>
      </c>
      <c r="M177" s="106" t="s">
        <v>60</v>
      </c>
      <c r="N177" s="108"/>
    </row>
    <row r="178">
      <c r="A178" s="105">
        <v>177.0</v>
      </c>
      <c r="B178" s="106" t="s">
        <v>1442</v>
      </c>
      <c r="C178" s="106" t="s">
        <v>1443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2036</v>
      </c>
      <c r="M178" s="106" t="s">
        <v>45</v>
      </c>
      <c r="N178" s="108"/>
    </row>
    <row r="179">
      <c r="A179" s="105">
        <v>178.0</v>
      </c>
      <c r="B179" s="109" t="s">
        <v>1442</v>
      </c>
      <c r="C179" s="109" t="s">
        <v>1443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2098</v>
      </c>
      <c r="M179" s="106" t="s">
        <v>45</v>
      </c>
      <c r="N179" s="108"/>
    </row>
    <row r="180">
      <c r="A180" s="105">
        <v>179.0</v>
      </c>
      <c r="B180" s="106" t="s">
        <v>1442</v>
      </c>
      <c r="C180" s="106" t="s">
        <v>1443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2036</v>
      </c>
      <c r="M180" s="106" t="s">
        <v>45</v>
      </c>
      <c r="N180" s="108"/>
    </row>
    <row r="181">
      <c r="A181" s="105">
        <v>180.0</v>
      </c>
      <c r="B181" s="109" t="s">
        <v>2132</v>
      </c>
      <c r="C181" s="109" t="s">
        <v>2133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2136</v>
      </c>
      <c r="M181" s="106" t="s">
        <v>45</v>
      </c>
      <c r="N181" s="108"/>
    </row>
    <row r="182">
      <c r="A182" s="105">
        <v>181.0</v>
      </c>
      <c r="B182" s="106" t="s">
        <v>1439</v>
      </c>
      <c r="C182" s="106" t="s">
        <v>1440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2036</v>
      </c>
      <c r="M182" s="106" t="s">
        <v>45</v>
      </c>
      <c r="N182" s="108"/>
    </row>
    <row r="183">
      <c r="A183" s="105">
        <v>182.0</v>
      </c>
      <c r="B183" s="109" t="s">
        <v>237</v>
      </c>
      <c r="C183" s="109" t="s">
        <v>238</v>
      </c>
      <c r="D183" s="110"/>
      <c r="E183" s="104"/>
      <c r="F183" s="106" t="s">
        <v>2138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237</v>
      </c>
      <c r="C184" s="106" t="s">
        <v>238</v>
      </c>
      <c r="D184" s="107"/>
      <c r="E184" s="104"/>
      <c r="F184" s="106" t="s">
        <v>2138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378</v>
      </c>
      <c r="C185" s="109" t="s">
        <v>2140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365</v>
      </c>
      <c r="C186" s="106" t="s">
        <v>366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2036</v>
      </c>
      <c r="M186" s="106" t="s">
        <v>45</v>
      </c>
      <c r="N186" s="108"/>
    </row>
    <row r="187">
      <c r="A187" s="105">
        <v>186.0</v>
      </c>
      <c r="B187" s="109" t="s">
        <v>365</v>
      </c>
      <c r="C187" s="109" t="s">
        <v>366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2144</v>
      </c>
      <c r="C188" s="106" t="s">
        <v>869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2098</v>
      </c>
      <c r="M188" s="106" t="s">
        <v>45</v>
      </c>
      <c r="N188" s="108"/>
    </row>
    <row r="189">
      <c r="A189" s="105">
        <v>188.0</v>
      </c>
      <c r="B189" s="109" t="s">
        <v>2144</v>
      </c>
      <c r="C189" s="109" t="s">
        <v>869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2145</v>
      </c>
      <c r="M189" s="106" t="s">
        <v>45</v>
      </c>
      <c r="N189" s="108"/>
    </row>
    <row r="190">
      <c r="A190" s="105">
        <v>189.0</v>
      </c>
      <c r="B190" s="106" t="s">
        <v>2144</v>
      </c>
      <c r="C190" s="106" t="s">
        <v>2147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2148</v>
      </c>
      <c r="M190" s="106" t="s">
        <v>45</v>
      </c>
      <c r="N190" s="108"/>
    </row>
    <row r="191">
      <c r="A191" s="105">
        <v>190.0</v>
      </c>
      <c r="B191" s="109" t="s">
        <v>2144</v>
      </c>
      <c r="C191" s="109" t="s">
        <v>2147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2145</v>
      </c>
      <c r="M191" s="106" t="s">
        <v>45</v>
      </c>
      <c r="N191" s="108"/>
    </row>
    <row r="192">
      <c r="A192" s="105">
        <v>191.0</v>
      </c>
      <c r="B192" s="106" t="s">
        <v>326</v>
      </c>
      <c r="C192" s="106" t="s">
        <v>327</v>
      </c>
      <c r="D192" s="107"/>
      <c r="E192" s="104"/>
      <c r="F192" s="106" t="s">
        <v>2150</v>
      </c>
      <c r="G192" s="106">
        <v>3.040250796E9</v>
      </c>
      <c r="H192" s="104"/>
      <c r="I192" s="104"/>
      <c r="J192" s="111">
        <v>45876.0</v>
      </c>
      <c r="K192" s="107"/>
      <c r="L192" s="106" t="s">
        <v>2083</v>
      </c>
      <c r="M192" s="106" t="s">
        <v>45</v>
      </c>
      <c r="N192" s="108"/>
    </row>
    <row r="193">
      <c r="A193" s="105">
        <v>192.0</v>
      </c>
      <c r="B193" s="109" t="s">
        <v>517</v>
      </c>
      <c r="C193" s="109" t="s">
        <v>518</v>
      </c>
      <c r="D193" s="110"/>
      <c r="E193" s="104"/>
      <c r="F193" s="106" t="s">
        <v>2151</v>
      </c>
      <c r="G193" s="106">
        <v>3.040250797E9</v>
      </c>
      <c r="H193" s="104"/>
      <c r="I193" s="104"/>
      <c r="J193" s="111">
        <v>45876.0</v>
      </c>
      <c r="K193" s="107"/>
      <c r="L193" s="106" t="s">
        <v>2153</v>
      </c>
      <c r="M193" s="106" t="s">
        <v>60</v>
      </c>
      <c r="N193" s="108"/>
    </row>
    <row r="194">
      <c r="A194" s="105">
        <v>193.0</v>
      </c>
      <c r="B194" s="106" t="s">
        <v>1476</v>
      </c>
      <c r="C194" s="106" t="s">
        <v>224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1476</v>
      </c>
      <c r="C195" s="109" t="s">
        <v>224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2083</v>
      </c>
      <c r="M195" s="114" t="s">
        <v>45</v>
      </c>
      <c r="N195" s="108"/>
    </row>
    <row r="196">
      <c r="A196" s="105">
        <v>195.0</v>
      </c>
      <c r="B196" s="106" t="s">
        <v>1476</v>
      </c>
      <c r="C196" s="106" t="s">
        <v>224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1970</v>
      </c>
      <c r="M196" s="114" t="s">
        <v>45</v>
      </c>
      <c r="N196" s="108"/>
    </row>
    <row r="197">
      <c r="A197" s="105">
        <v>196.0</v>
      </c>
      <c r="B197" s="109" t="s">
        <v>1476</v>
      </c>
      <c r="C197" s="109" t="s">
        <v>224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1970</v>
      </c>
      <c r="M197" s="114" t="s">
        <v>45</v>
      </c>
      <c r="N197" s="108"/>
    </row>
    <row r="198">
      <c r="A198" s="105">
        <v>197.0</v>
      </c>
      <c r="B198" s="106" t="s">
        <v>1476</v>
      </c>
      <c r="C198" s="106" t="s">
        <v>224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2158</v>
      </c>
      <c r="M198" s="106" t="s">
        <v>63</v>
      </c>
      <c r="N198" s="108"/>
    </row>
    <row r="199">
      <c r="A199" s="105">
        <v>198.0</v>
      </c>
      <c r="B199" s="109" t="s">
        <v>2159</v>
      </c>
      <c r="C199" s="109" t="s">
        <v>224</v>
      </c>
      <c r="D199" s="110"/>
      <c r="E199" s="104"/>
      <c r="F199" s="106" t="s">
        <v>2160</v>
      </c>
      <c r="G199" s="106">
        <v>3.040253162E9</v>
      </c>
      <c r="H199" s="104"/>
      <c r="I199" s="104"/>
      <c r="J199" s="111">
        <v>45860.0</v>
      </c>
      <c r="K199" s="107"/>
      <c r="L199" s="106" t="s">
        <v>2161</v>
      </c>
      <c r="M199" s="106" t="s">
        <v>68</v>
      </c>
      <c r="N199" s="108"/>
    </row>
    <row r="200">
      <c r="A200" s="105">
        <v>199.0</v>
      </c>
      <c r="B200" s="106">
        <v>3034792.0</v>
      </c>
      <c r="C200" s="106" t="s">
        <v>78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2163</v>
      </c>
      <c r="M200" s="107"/>
      <c r="N200" s="108"/>
    </row>
    <row r="201">
      <c r="A201" s="105">
        <v>200.0</v>
      </c>
      <c r="B201" s="109" t="s">
        <v>663</v>
      </c>
      <c r="C201" s="109" t="s">
        <v>2164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2165</v>
      </c>
      <c r="M201" s="106" t="s">
        <v>63</v>
      </c>
      <c r="N201" s="108"/>
    </row>
    <row r="202">
      <c r="A202" s="105">
        <v>201.0</v>
      </c>
      <c r="B202" s="106" t="s">
        <v>663</v>
      </c>
      <c r="C202" s="106" t="s">
        <v>2164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1970</v>
      </c>
      <c r="M202" s="114" t="s">
        <v>45</v>
      </c>
      <c r="N202" s="108"/>
    </row>
    <row r="203">
      <c r="A203" s="105">
        <v>202.0</v>
      </c>
      <c r="B203" s="109" t="s">
        <v>2168</v>
      </c>
      <c r="C203" s="109" t="s">
        <v>876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2170</v>
      </c>
      <c r="M203" s="106" t="s">
        <v>63</v>
      </c>
      <c r="N203" s="108"/>
    </row>
    <row r="204">
      <c r="A204" s="105">
        <v>203.0</v>
      </c>
      <c r="B204" s="106" t="s">
        <v>1278</v>
      </c>
      <c r="C204" s="106" t="s">
        <v>1279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2171</v>
      </c>
      <c r="M204" s="106" t="s">
        <v>45</v>
      </c>
      <c r="N204" s="108"/>
    </row>
    <row r="205">
      <c r="A205" s="105">
        <v>204.0</v>
      </c>
      <c r="B205" s="109" t="s">
        <v>1278</v>
      </c>
      <c r="C205" s="109" t="s">
        <v>1279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2171</v>
      </c>
      <c r="M205" s="106" t="s">
        <v>45</v>
      </c>
      <c r="N205" s="108"/>
    </row>
    <row r="206">
      <c r="A206" s="105">
        <v>205.0</v>
      </c>
      <c r="B206" s="106" t="s">
        <v>1278</v>
      </c>
      <c r="C206" s="106" t="s">
        <v>1279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2171</v>
      </c>
      <c r="M206" s="106" t="s">
        <v>45</v>
      </c>
      <c r="N206" s="108"/>
    </row>
    <row r="207">
      <c r="A207" s="105">
        <v>206.0</v>
      </c>
      <c r="B207" s="109" t="s">
        <v>1278</v>
      </c>
      <c r="C207" s="109" t="s">
        <v>2176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2177</v>
      </c>
      <c r="M207" s="107"/>
      <c r="N207" s="108"/>
    </row>
    <row r="208">
      <c r="A208" s="105">
        <v>207.0</v>
      </c>
      <c r="B208" s="106" t="s">
        <v>1278</v>
      </c>
      <c r="C208" s="106" t="s">
        <v>2179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2171</v>
      </c>
      <c r="M208" s="106" t="s">
        <v>45</v>
      </c>
      <c r="N208" s="108"/>
    </row>
    <row r="209">
      <c r="A209" s="105">
        <v>208.0</v>
      </c>
      <c r="B209" s="109" t="s">
        <v>547</v>
      </c>
      <c r="C209" s="109" t="s">
        <v>2181</v>
      </c>
      <c r="D209" s="110"/>
      <c r="E209" s="104"/>
      <c r="F209" s="106" t="s">
        <v>1596</v>
      </c>
      <c r="G209" s="106">
        <v>3.040256311E9</v>
      </c>
      <c r="H209" s="104"/>
      <c r="I209" s="104"/>
      <c r="J209" s="111">
        <v>46119.0</v>
      </c>
      <c r="K209" s="107"/>
      <c r="L209" s="106" t="s">
        <v>1970</v>
      </c>
      <c r="M209" s="114" t="s">
        <v>45</v>
      </c>
      <c r="N209" s="108"/>
    </row>
    <row r="210">
      <c r="A210" s="105">
        <v>209.0</v>
      </c>
      <c r="B210" s="106" t="s">
        <v>547</v>
      </c>
      <c r="C210" s="106" t="s">
        <v>2164</v>
      </c>
      <c r="D210" s="107"/>
      <c r="E210" s="104"/>
      <c r="F210" s="106" t="s">
        <v>549</v>
      </c>
      <c r="G210" s="106">
        <v>3.040256709E9</v>
      </c>
      <c r="H210" s="104"/>
      <c r="I210" s="104"/>
      <c r="J210" s="111">
        <v>45946.0</v>
      </c>
      <c r="K210" s="107"/>
      <c r="L210" s="106" t="s">
        <v>2182</v>
      </c>
      <c r="M210" s="107"/>
      <c r="N210" s="108"/>
    </row>
    <row r="211">
      <c r="A211" s="105">
        <v>210.0</v>
      </c>
      <c r="B211" s="109" t="s">
        <v>547</v>
      </c>
      <c r="C211" s="109" t="s">
        <v>2164</v>
      </c>
      <c r="D211" s="110"/>
      <c r="E211" s="104"/>
      <c r="F211" s="106" t="s">
        <v>2184</v>
      </c>
      <c r="G211" s="106">
        <v>3.04025671E9</v>
      </c>
      <c r="H211" s="104"/>
      <c r="I211" s="104"/>
      <c r="J211" s="111">
        <v>45937.0</v>
      </c>
      <c r="K211" s="107"/>
      <c r="L211" s="106" t="s">
        <v>2185</v>
      </c>
      <c r="M211" s="106" t="s">
        <v>60</v>
      </c>
      <c r="N211" s="108"/>
    </row>
    <row r="212">
      <c r="A212" s="105">
        <v>211.0</v>
      </c>
      <c r="B212" s="106" t="s">
        <v>777</v>
      </c>
      <c r="C212" s="106" t="s">
        <v>778</v>
      </c>
      <c r="D212" s="107"/>
      <c r="E212" s="104"/>
      <c r="F212" s="106" t="s">
        <v>2187</v>
      </c>
      <c r="G212" s="106">
        <v>3.040250799E9</v>
      </c>
      <c r="H212" s="104"/>
      <c r="I212" s="104"/>
      <c r="J212" s="111">
        <v>45849.0</v>
      </c>
      <c r="K212" s="107"/>
      <c r="L212" s="106" t="s">
        <v>2188</v>
      </c>
      <c r="M212" s="106" t="s">
        <v>60</v>
      </c>
      <c r="N212" s="108"/>
    </row>
    <row r="213">
      <c r="A213" s="105">
        <v>212.0</v>
      </c>
      <c r="B213" s="109" t="s">
        <v>777</v>
      </c>
      <c r="C213" s="109" t="s">
        <v>778</v>
      </c>
      <c r="D213" s="110"/>
      <c r="E213" s="104"/>
      <c r="F213" s="106" t="s">
        <v>2189</v>
      </c>
      <c r="G213" s="106">
        <v>3.040253165E9</v>
      </c>
      <c r="H213" s="104"/>
      <c r="I213" s="104"/>
      <c r="J213" s="111">
        <v>45876.0</v>
      </c>
      <c r="K213" s="107"/>
      <c r="L213" s="106" t="s">
        <v>2083</v>
      </c>
      <c r="M213" s="106" t="s">
        <v>45</v>
      </c>
      <c r="N213" s="108"/>
    </row>
    <row r="214">
      <c r="A214" s="105">
        <v>213.0</v>
      </c>
      <c r="B214" s="106" t="s">
        <v>777</v>
      </c>
      <c r="C214" s="106" t="s">
        <v>2190</v>
      </c>
      <c r="D214" s="107"/>
      <c r="E214" s="104"/>
      <c r="F214" s="106" t="s">
        <v>2191</v>
      </c>
      <c r="G214" s="106">
        <v>3.040257449E9</v>
      </c>
      <c r="H214" s="104"/>
      <c r="I214" s="104"/>
      <c r="J214" s="111">
        <v>46008.0</v>
      </c>
      <c r="K214" s="107"/>
      <c r="L214" s="106" t="s">
        <v>2170</v>
      </c>
      <c r="M214" s="106" t="s">
        <v>63</v>
      </c>
      <c r="N214" s="108"/>
    </row>
    <row r="215">
      <c r="A215" s="105">
        <v>214.0</v>
      </c>
      <c r="B215" s="109" t="s">
        <v>784</v>
      </c>
      <c r="C215" s="109" t="s">
        <v>577</v>
      </c>
      <c r="D215" s="110"/>
      <c r="E215" s="104"/>
      <c r="F215" s="106" t="s">
        <v>2193</v>
      </c>
      <c r="G215" s="106">
        <v>3.040250253E9</v>
      </c>
      <c r="H215" s="104"/>
      <c r="I215" s="104"/>
      <c r="J215" s="106" t="s">
        <v>2195</v>
      </c>
      <c r="K215" s="107"/>
      <c r="L215" s="106" t="s">
        <v>2196</v>
      </c>
      <c r="M215" s="106" t="s">
        <v>45</v>
      </c>
      <c r="N215" s="108"/>
    </row>
    <row r="216">
      <c r="A216" s="105">
        <v>215.0</v>
      </c>
      <c r="B216" s="106" t="s">
        <v>1690</v>
      </c>
      <c r="C216" s="106" t="s">
        <v>2190</v>
      </c>
      <c r="D216" s="107"/>
      <c r="E216" s="104"/>
      <c r="F216" s="106" t="s">
        <v>1691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576</v>
      </c>
      <c r="C217" s="109" t="s">
        <v>2190</v>
      </c>
      <c r="D217" s="110"/>
      <c r="E217" s="104"/>
      <c r="F217" s="106" t="s">
        <v>578</v>
      </c>
      <c r="G217" s="106">
        <v>3.040257451E9</v>
      </c>
      <c r="H217" s="104"/>
      <c r="I217" s="104"/>
      <c r="J217" s="111">
        <v>45973.0</v>
      </c>
      <c r="K217" s="107"/>
      <c r="L217" s="106" t="s">
        <v>1702</v>
      </c>
      <c r="M217" s="106" t="s">
        <v>64</v>
      </c>
      <c r="N217" s="108"/>
    </row>
    <row r="218">
      <c r="A218" s="105">
        <v>217.0</v>
      </c>
      <c r="B218" s="106" t="s">
        <v>1179</v>
      </c>
      <c r="C218" s="106" t="s">
        <v>2190</v>
      </c>
      <c r="D218" s="107"/>
      <c r="E218" s="104"/>
      <c r="F218" s="106" t="s">
        <v>1679</v>
      </c>
      <c r="G218" s="106">
        <v>3.040257452E9</v>
      </c>
      <c r="H218" s="104"/>
      <c r="I218" s="104"/>
      <c r="J218" s="111">
        <v>46014.0</v>
      </c>
      <c r="K218" s="107"/>
      <c r="L218" s="106" t="s">
        <v>2200</v>
      </c>
      <c r="M218" s="106" t="s">
        <v>70</v>
      </c>
      <c r="N218" s="108"/>
    </row>
    <row r="219">
      <c r="A219" s="105">
        <v>218.0</v>
      </c>
      <c r="B219" s="109" t="s">
        <v>436</v>
      </c>
      <c r="C219" s="109" t="s">
        <v>778</v>
      </c>
      <c r="D219" s="110"/>
      <c r="E219" s="104"/>
      <c r="F219" s="106" t="s">
        <v>1185</v>
      </c>
      <c r="G219" s="106">
        <v>3.040253163E9</v>
      </c>
      <c r="H219" s="104"/>
      <c r="I219" s="104"/>
      <c r="J219" s="111">
        <v>45876.0</v>
      </c>
      <c r="K219" s="107"/>
      <c r="L219" s="106" t="s">
        <v>2201</v>
      </c>
      <c r="M219" s="106" t="s">
        <v>68</v>
      </c>
      <c r="N219" s="108"/>
    </row>
    <row r="220">
      <c r="A220" s="105">
        <v>219.0</v>
      </c>
      <c r="B220" s="106" t="s">
        <v>436</v>
      </c>
      <c r="C220" s="106" t="s">
        <v>778</v>
      </c>
      <c r="D220" s="107"/>
      <c r="E220" s="104"/>
      <c r="F220" s="106" t="s">
        <v>2202</v>
      </c>
      <c r="G220" s="106">
        <v>3.040253164E9</v>
      </c>
      <c r="H220" s="104"/>
      <c r="I220" s="104"/>
      <c r="J220" s="111">
        <v>45937.0</v>
      </c>
      <c r="K220" s="107"/>
      <c r="L220" s="106" t="s">
        <v>2204</v>
      </c>
      <c r="M220" s="106" t="s">
        <v>63</v>
      </c>
      <c r="N220" s="108"/>
    </row>
    <row r="221">
      <c r="A221" s="105">
        <v>220.0</v>
      </c>
      <c r="B221" s="109" t="s">
        <v>436</v>
      </c>
      <c r="C221" s="109" t="s">
        <v>2190</v>
      </c>
      <c r="D221" s="110"/>
      <c r="E221" s="104"/>
      <c r="F221" s="106" t="s">
        <v>2206</v>
      </c>
      <c r="G221" s="106">
        <v>3.040257448E9</v>
      </c>
      <c r="H221" s="104"/>
      <c r="I221" s="104"/>
      <c r="J221" s="111">
        <v>45980.0</v>
      </c>
      <c r="K221" s="107"/>
      <c r="L221" s="106" t="s">
        <v>2207</v>
      </c>
      <c r="M221" s="106" t="s">
        <v>64</v>
      </c>
      <c r="N221" s="108"/>
    </row>
    <row r="222">
      <c r="A222" s="105">
        <v>221.0</v>
      </c>
      <c r="B222" s="106" t="s">
        <v>51</v>
      </c>
      <c r="C222" s="106" t="s">
        <v>54</v>
      </c>
      <c r="D222" s="107"/>
      <c r="E222" s="104"/>
      <c r="F222" s="106" t="s">
        <v>67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51</v>
      </c>
      <c r="C223" s="109" t="s">
        <v>54</v>
      </c>
      <c r="D223" s="110"/>
      <c r="E223" s="104"/>
      <c r="F223" s="106" t="s">
        <v>55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51</v>
      </c>
      <c r="C224" s="106" t="s">
        <v>2176</v>
      </c>
      <c r="D224" s="107"/>
      <c r="E224" s="104"/>
      <c r="F224" s="106" t="s">
        <v>459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51</v>
      </c>
      <c r="C225" s="109" t="s">
        <v>2176</v>
      </c>
      <c r="D225" s="110"/>
      <c r="E225" s="104"/>
      <c r="F225" s="106" t="s">
        <v>473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51</v>
      </c>
      <c r="C226" s="106" t="s">
        <v>2176</v>
      </c>
      <c r="D226" s="107"/>
      <c r="E226" s="104"/>
      <c r="F226" s="106" t="s">
        <v>468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51</v>
      </c>
      <c r="C227" s="109" t="s">
        <v>2176</v>
      </c>
      <c r="D227" s="110"/>
      <c r="E227" s="104"/>
      <c r="F227" s="106" t="s">
        <v>464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51</v>
      </c>
      <c r="C228" s="106" t="s">
        <v>2176</v>
      </c>
      <c r="D228" s="107"/>
      <c r="E228" s="104"/>
      <c r="F228" s="106" t="s">
        <v>450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51</v>
      </c>
      <c r="C229" s="109" t="s">
        <v>2176</v>
      </c>
      <c r="D229" s="110"/>
      <c r="E229" s="104"/>
      <c r="F229" s="106" t="s">
        <v>455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2213</v>
      </c>
      <c r="C230" s="106" t="s">
        <v>2214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2218</v>
      </c>
      <c r="C231" s="109" t="s">
        <v>2214</v>
      </c>
      <c r="D231" s="110"/>
      <c r="E231" s="104"/>
      <c r="F231" s="106" t="s">
        <v>2219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82</v>
      </c>
      <c r="C232" s="113" t="s">
        <v>1522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2007</v>
      </c>
      <c r="M232" s="106" t="s">
        <v>45</v>
      </c>
      <c r="N232" s="108"/>
    </row>
    <row r="233">
      <c r="A233" s="105">
        <v>232.0</v>
      </c>
      <c r="B233" s="109" t="s">
        <v>82</v>
      </c>
      <c r="C233" s="115" t="s">
        <v>1522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2007</v>
      </c>
      <c r="M233" s="106" t="s">
        <v>45</v>
      </c>
      <c r="N233" s="108"/>
    </row>
    <row r="234">
      <c r="A234" s="105">
        <v>233.0</v>
      </c>
      <c r="B234" s="106" t="s">
        <v>82</v>
      </c>
      <c r="C234" s="113" t="s">
        <v>1522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2007</v>
      </c>
      <c r="M234" s="106" t="s">
        <v>45</v>
      </c>
      <c r="N234" s="108"/>
    </row>
    <row r="235">
      <c r="A235" s="105">
        <v>234.0</v>
      </c>
      <c r="B235" s="109" t="s">
        <v>82</v>
      </c>
      <c r="C235" s="109" t="s">
        <v>2214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2019</v>
      </c>
      <c r="M235" s="106" t="s">
        <v>45</v>
      </c>
      <c r="N235" s="108"/>
    </row>
    <row r="236">
      <c r="A236" s="105">
        <v>235.0</v>
      </c>
      <c r="B236" s="106" t="s">
        <v>82</v>
      </c>
      <c r="C236" s="106" t="s">
        <v>2214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2019</v>
      </c>
      <c r="M236" s="106" t="s">
        <v>45</v>
      </c>
      <c r="N236" s="108"/>
    </row>
    <row r="237">
      <c r="A237" s="105">
        <v>236.0</v>
      </c>
      <c r="B237" s="109" t="s">
        <v>82</v>
      </c>
      <c r="C237" s="109" t="s">
        <v>2214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2019</v>
      </c>
      <c r="M237" s="106" t="s">
        <v>45</v>
      </c>
      <c r="N237" s="108"/>
    </row>
    <row r="238">
      <c r="A238" s="105">
        <v>237.0</v>
      </c>
      <c r="B238" s="106" t="s">
        <v>84</v>
      </c>
      <c r="C238" s="106" t="s">
        <v>85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2226</v>
      </c>
      <c r="M238" s="106" t="s">
        <v>45</v>
      </c>
      <c r="N238" s="108"/>
    </row>
    <row r="239">
      <c r="A239" s="105">
        <v>238.0</v>
      </c>
      <c r="B239" s="109" t="s">
        <v>100</v>
      </c>
      <c r="C239" s="109" t="s">
        <v>101</v>
      </c>
      <c r="D239" s="110"/>
      <c r="E239" s="104"/>
      <c r="F239" s="106" t="s">
        <v>102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100</v>
      </c>
      <c r="C240" s="106" t="s">
        <v>101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100</v>
      </c>
      <c r="C241" s="109" t="s">
        <v>101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372</v>
      </c>
      <c r="C242" s="106" t="s">
        <v>2229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2230</v>
      </c>
      <c r="M242" s="106" t="s">
        <v>64</v>
      </c>
      <c r="N242" s="108"/>
    </row>
    <row r="243">
      <c r="A243" s="105">
        <v>242.0</v>
      </c>
      <c r="B243" s="109" t="s">
        <v>372</v>
      </c>
      <c r="C243" s="109" t="s">
        <v>2229</v>
      </c>
      <c r="D243" s="110"/>
      <c r="E243" s="104"/>
      <c r="F243" s="106" t="s">
        <v>2232</v>
      </c>
      <c r="G243" s="106">
        <v>3.040254195E9</v>
      </c>
      <c r="H243" s="104"/>
      <c r="I243" s="104"/>
      <c r="J243" s="111">
        <v>45918.0</v>
      </c>
      <c r="K243" s="107"/>
      <c r="L243" s="106" t="s">
        <v>2233</v>
      </c>
      <c r="M243" s="106" t="s">
        <v>70</v>
      </c>
      <c r="N243" s="108"/>
    </row>
    <row r="244">
      <c r="A244" s="105">
        <v>243.0</v>
      </c>
      <c r="B244" s="106" t="s">
        <v>487</v>
      </c>
      <c r="C244" s="106" t="s">
        <v>2234</v>
      </c>
      <c r="D244" s="107"/>
      <c r="E244" s="104"/>
      <c r="F244" s="106" t="s">
        <v>497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487</v>
      </c>
      <c r="C245" s="109" t="s">
        <v>2234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2236</v>
      </c>
      <c r="M245" s="106" t="s">
        <v>57</v>
      </c>
      <c r="N245" s="108"/>
    </row>
    <row r="246">
      <c r="A246" s="105">
        <v>245.0</v>
      </c>
      <c r="B246" s="106" t="s">
        <v>2237</v>
      </c>
      <c r="C246" s="106" t="s">
        <v>2238</v>
      </c>
      <c r="D246" s="107"/>
      <c r="E246" s="104"/>
      <c r="F246" s="106" t="s">
        <v>2095</v>
      </c>
      <c r="G246" s="106">
        <v>3.040259278E9</v>
      </c>
      <c r="H246" s="104"/>
      <c r="I246" s="104"/>
      <c r="J246" s="111">
        <v>45975.0</v>
      </c>
      <c r="K246" s="107"/>
      <c r="L246" s="106" t="s">
        <v>2239</v>
      </c>
      <c r="M246" s="106" t="s">
        <v>45</v>
      </c>
      <c r="N246" s="108"/>
    </row>
    <row r="247">
      <c r="A247" s="105">
        <v>246.0</v>
      </c>
      <c r="B247" s="109" t="s">
        <v>2237</v>
      </c>
      <c r="C247" s="109" t="s">
        <v>2238</v>
      </c>
      <c r="D247" s="110"/>
      <c r="E247" s="104"/>
      <c r="F247" s="106" t="s">
        <v>2095</v>
      </c>
      <c r="G247" s="106">
        <v>3.04025928E9</v>
      </c>
      <c r="H247" s="104"/>
      <c r="I247" s="104"/>
      <c r="J247" s="111">
        <v>45975.0</v>
      </c>
      <c r="K247" s="107"/>
      <c r="L247" s="106" t="s">
        <v>2239</v>
      </c>
      <c r="M247" s="106" t="s">
        <v>45</v>
      </c>
      <c r="N247" s="108"/>
    </row>
    <row r="248">
      <c r="A248" s="105">
        <v>247.0</v>
      </c>
      <c r="B248" s="106" t="s">
        <v>2237</v>
      </c>
      <c r="C248" s="106" t="s">
        <v>2238</v>
      </c>
      <c r="D248" s="107"/>
      <c r="E248" s="104"/>
      <c r="F248" s="106" t="s">
        <v>2095</v>
      </c>
      <c r="G248" s="106">
        <v>3.040259281E9</v>
      </c>
      <c r="H248" s="104"/>
      <c r="I248" s="104"/>
      <c r="J248" s="111">
        <v>45975.0</v>
      </c>
      <c r="K248" s="107"/>
      <c r="L248" s="106" t="s">
        <v>2239</v>
      </c>
      <c r="M248" s="106" t="s">
        <v>45</v>
      </c>
      <c r="N248" s="108"/>
    </row>
    <row r="249">
      <c r="A249" s="105">
        <v>248.0</v>
      </c>
      <c r="B249" s="109" t="s">
        <v>442</v>
      </c>
      <c r="C249" s="109" t="s">
        <v>443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90</v>
      </c>
      <c r="C250" s="106" t="s">
        <v>91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90</v>
      </c>
      <c r="C251" s="109" t="s">
        <v>91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90</v>
      </c>
      <c r="C252" s="106" t="s">
        <v>91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90</v>
      </c>
      <c r="C253" s="109" t="s">
        <v>91</v>
      </c>
      <c r="D253" s="110"/>
      <c r="E253" s="104"/>
      <c r="F253" s="106" t="s">
        <v>357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90</v>
      </c>
      <c r="C254" s="106" t="s">
        <v>91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90</v>
      </c>
      <c r="C255" s="109" t="s">
        <v>91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533</v>
      </c>
      <c r="C256" s="106" t="s">
        <v>2249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1970</v>
      </c>
      <c r="M256" s="114" t="s">
        <v>45</v>
      </c>
      <c r="N256" s="108"/>
    </row>
    <row r="257">
      <c r="A257" s="105">
        <v>256.0</v>
      </c>
      <c r="B257" s="109" t="s">
        <v>2250</v>
      </c>
      <c r="C257" s="109" t="s">
        <v>2251</v>
      </c>
      <c r="D257" s="110"/>
      <c r="E257" s="104"/>
      <c r="F257" s="106" t="s">
        <v>2252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2250</v>
      </c>
      <c r="C258" s="106" t="s">
        <v>2251</v>
      </c>
      <c r="D258" s="107"/>
      <c r="E258" s="104"/>
      <c r="F258" s="106" t="s">
        <v>2253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147</v>
      </c>
      <c r="C259" s="109" t="s">
        <v>148</v>
      </c>
      <c r="D259" s="110"/>
      <c r="E259" s="104"/>
      <c r="F259" s="106" t="s">
        <v>150</v>
      </c>
      <c r="G259" s="106">
        <v>3.040250832E9</v>
      </c>
      <c r="H259" s="104"/>
      <c r="I259" s="104"/>
      <c r="J259" s="111">
        <v>45802.0</v>
      </c>
      <c r="K259" s="107"/>
      <c r="L259" s="106" t="s">
        <v>2255</v>
      </c>
      <c r="M259" s="106" t="s">
        <v>45</v>
      </c>
      <c r="N259" s="108"/>
    </row>
    <row r="260">
      <c r="A260" s="105">
        <v>259.0</v>
      </c>
      <c r="B260" s="106" t="s">
        <v>658</v>
      </c>
      <c r="C260" s="106" t="s">
        <v>971</v>
      </c>
      <c r="D260" s="107"/>
      <c r="E260" s="104"/>
      <c r="F260" s="106" t="s">
        <v>1470</v>
      </c>
      <c r="G260" s="106">
        <v>3.040252189E9</v>
      </c>
      <c r="H260" s="104"/>
      <c r="I260" s="104"/>
      <c r="J260" s="111">
        <v>45804.0</v>
      </c>
      <c r="K260" s="107"/>
      <c r="L260" s="106" t="s">
        <v>1987</v>
      </c>
      <c r="M260" s="106" t="s">
        <v>64</v>
      </c>
      <c r="N260" s="108"/>
    </row>
    <row r="261">
      <c r="A261" s="105">
        <v>260.0</v>
      </c>
      <c r="B261" s="109" t="s">
        <v>658</v>
      </c>
      <c r="C261" s="109" t="s">
        <v>971</v>
      </c>
      <c r="D261" s="110"/>
      <c r="E261" s="104"/>
      <c r="F261" s="106" t="s">
        <v>1468</v>
      </c>
      <c r="G261" s="106">
        <v>3.04025219E9</v>
      </c>
      <c r="H261" s="104"/>
      <c r="I261" s="104"/>
      <c r="J261" s="111">
        <v>46097.0</v>
      </c>
      <c r="K261" s="107"/>
      <c r="L261" s="106" t="s">
        <v>2257</v>
      </c>
      <c r="M261" s="106" t="s">
        <v>62</v>
      </c>
      <c r="N261" s="108"/>
    </row>
    <row r="262">
      <c r="A262" s="105">
        <v>261.0</v>
      </c>
      <c r="B262" s="106" t="s">
        <v>155</v>
      </c>
      <c r="C262" s="106" t="s">
        <v>157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1603</v>
      </c>
      <c r="M262" s="107"/>
      <c r="N262" s="108"/>
    </row>
    <row r="263">
      <c r="A263" s="105">
        <v>262.0</v>
      </c>
      <c r="B263" s="109" t="s">
        <v>155</v>
      </c>
      <c r="C263" s="109" t="s">
        <v>157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2036</v>
      </c>
      <c r="M263" s="106" t="s">
        <v>45</v>
      </c>
      <c r="N263" s="108"/>
    </row>
    <row r="264">
      <c r="A264" s="105">
        <v>263.0</v>
      </c>
      <c r="B264" s="106" t="s">
        <v>2259</v>
      </c>
      <c r="C264" s="106" t="s">
        <v>2260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2262</v>
      </c>
      <c r="M264" s="106" t="s">
        <v>45</v>
      </c>
      <c r="N264" s="108"/>
    </row>
    <row r="265">
      <c r="A265" s="105">
        <v>264.0</v>
      </c>
      <c r="B265" s="109" t="s">
        <v>2259</v>
      </c>
      <c r="C265" s="109" t="s">
        <v>2260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2262</v>
      </c>
      <c r="M265" s="106" t="s">
        <v>45</v>
      </c>
      <c r="N265" s="108"/>
    </row>
    <row r="266">
      <c r="A266" s="105">
        <v>265.0</v>
      </c>
      <c r="B266" s="106" t="s">
        <v>164</v>
      </c>
      <c r="C266" s="106" t="s">
        <v>165</v>
      </c>
      <c r="D266" s="106" t="s">
        <v>2263</v>
      </c>
      <c r="E266" s="118">
        <v>2741.0</v>
      </c>
      <c r="F266" s="106" t="s">
        <v>167</v>
      </c>
      <c r="G266" s="106">
        <v>3.040250835E9</v>
      </c>
      <c r="H266" s="104"/>
      <c r="I266" s="104"/>
      <c r="J266" s="111">
        <v>46408.0</v>
      </c>
      <c r="K266" s="107"/>
      <c r="L266" s="106" t="s">
        <v>2265</v>
      </c>
      <c r="M266" s="106" t="s">
        <v>63</v>
      </c>
      <c r="N266" s="108"/>
    </row>
    <row r="267">
      <c r="A267" s="105">
        <v>266.0</v>
      </c>
      <c r="B267" s="109" t="s">
        <v>164</v>
      </c>
      <c r="C267" s="109" t="s">
        <v>722</v>
      </c>
      <c r="D267" s="110"/>
      <c r="E267" s="104"/>
      <c r="F267" s="106" t="s">
        <v>2266</v>
      </c>
      <c r="G267" s="106">
        <v>3.040256315E9</v>
      </c>
      <c r="H267" s="104"/>
      <c r="I267" s="104"/>
      <c r="J267" s="111">
        <v>45898.0</v>
      </c>
      <c r="K267" s="107"/>
      <c r="L267" s="106" t="s">
        <v>2267</v>
      </c>
      <c r="M267" s="106" t="s">
        <v>60</v>
      </c>
      <c r="N267" s="108"/>
    </row>
    <row r="268">
      <c r="A268" s="105">
        <v>267.0</v>
      </c>
      <c r="B268" s="106" t="s">
        <v>164</v>
      </c>
      <c r="C268" s="106" t="s">
        <v>722</v>
      </c>
      <c r="D268" s="107"/>
      <c r="E268" s="104"/>
      <c r="F268" s="106" t="s">
        <v>2269</v>
      </c>
      <c r="G268" s="106">
        <v>3.040256316E9</v>
      </c>
      <c r="H268" s="104"/>
      <c r="I268" s="104"/>
      <c r="J268" s="111">
        <v>45971.0</v>
      </c>
      <c r="K268" s="107"/>
      <c r="L268" s="106" t="s">
        <v>1983</v>
      </c>
      <c r="M268" s="106" t="s">
        <v>45</v>
      </c>
      <c r="N268" s="108"/>
    </row>
    <row r="269">
      <c r="A269" s="105">
        <v>268.0</v>
      </c>
      <c r="B269" s="109" t="s">
        <v>2270</v>
      </c>
      <c r="C269" s="109" t="s">
        <v>722</v>
      </c>
      <c r="D269" s="110"/>
      <c r="E269" s="104"/>
      <c r="F269" s="106" t="s">
        <v>2271</v>
      </c>
      <c r="G269" s="119">
        <v>3.040250228E9</v>
      </c>
      <c r="H269" s="104"/>
      <c r="I269" s="104"/>
      <c r="J269" s="111">
        <v>45744.0</v>
      </c>
      <c r="K269" s="107"/>
      <c r="L269" s="106" t="s">
        <v>2262</v>
      </c>
      <c r="M269" s="106" t="s">
        <v>45</v>
      </c>
      <c r="N269" s="108"/>
    </row>
    <row r="270">
      <c r="A270" s="105">
        <v>269.0</v>
      </c>
      <c r="B270" s="106" t="s">
        <v>310</v>
      </c>
      <c r="C270" s="106" t="s">
        <v>311</v>
      </c>
      <c r="D270" s="107"/>
      <c r="E270" s="104"/>
      <c r="F270" s="106" t="s">
        <v>312</v>
      </c>
      <c r="G270" s="106">
        <v>3.040252939E9</v>
      </c>
      <c r="H270" s="104"/>
      <c r="I270" s="104"/>
      <c r="J270" s="111">
        <v>46092.0</v>
      </c>
      <c r="K270" s="107"/>
      <c r="L270" s="106" t="s">
        <v>1971</v>
      </c>
      <c r="M270" s="106" t="s">
        <v>63</v>
      </c>
      <c r="N270" s="108"/>
    </row>
    <row r="271">
      <c r="A271" s="105">
        <v>270.0</v>
      </c>
      <c r="B271" s="109" t="s">
        <v>310</v>
      </c>
      <c r="C271" s="109" t="s">
        <v>1972</v>
      </c>
      <c r="D271" s="109" t="s">
        <v>2273</v>
      </c>
      <c r="E271" s="118">
        <v>2732.0</v>
      </c>
      <c r="F271" s="106" t="s">
        <v>1676</v>
      </c>
      <c r="G271" s="106">
        <v>3.040257442E9</v>
      </c>
      <c r="H271" s="104"/>
      <c r="I271" s="104"/>
      <c r="J271" s="111">
        <v>46204.0</v>
      </c>
      <c r="K271" s="107"/>
      <c r="L271" s="106" t="s">
        <v>2274</v>
      </c>
      <c r="M271" s="106" t="s">
        <v>63</v>
      </c>
      <c r="N271" s="108"/>
    </row>
    <row r="272">
      <c r="A272" s="105">
        <v>271.0</v>
      </c>
      <c r="B272" s="106" t="s">
        <v>413</v>
      </c>
      <c r="C272" s="106" t="s">
        <v>2275</v>
      </c>
      <c r="D272" s="107"/>
      <c r="E272" s="104"/>
      <c r="F272" s="106" t="s">
        <v>421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413</v>
      </c>
      <c r="C273" s="109" t="s">
        <v>2275</v>
      </c>
      <c r="D273" s="110"/>
      <c r="E273" s="104"/>
      <c r="F273" s="106" t="s">
        <v>2280</v>
      </c>
      <c r="G273" s="106">
        <v>3.040254801E9</v>
      </c>
      <c r="H273" s="104"/>
      <c r="I273" s="104"/>
      <c r="J273" s="111">
        <v>45890.0</v>
      </c>
      <c r="K273" s="107"/>
      <c r="L273" s="106" t="s">
        <v>2281</v>
      </c>
      <c r="M273" s="107"/>
      <c r="N273" s="108"/>
    </row>
    <row r="274">
      <c r="A274" s="105">
        <v>273.0</v>
      </c>
      <c r="B274" s="106" t="s">
        <v>413</v>
      </c>
      <c r="C274" s="106" t="s">
        <v>2275</v>
      </c>
      <c r="D274" s="107"/>
      <c r="E274" s="104"/>
      <c r="F274" s="106" t="s">
        <v>415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413</v>
      </c>
      <c r="C275" s="109" t="s">
        <v>2275</v>
      </c>
      <c r="D275" s="110"/>
      <c r="E275" s="104"/>
      <c r="F275" s="106" t="s">
        <v>1531</v>
      </c>
      <c r="G275" s="106">
        <v>3.040254803E9</v>
      </c>
      <c r="H275" s="104"/>
      <c r="I275" s="104"/>
      <c r="J275" s="112">
        <v>46175.0</v>
      </c>
      <c r="K275" s="107"/>
      <c r="L275" s="114" t="s">
        <v>2283</v>
      </c>
      <c r="M275" s="106" t="s">
        <v>45</v>
      </c>
      <c r="N275" s="108"/>
    </row>
    <row r="276">
      <c r="A276" s="105">
        <v>275.0</v>
      </c>
      <c r="B276" s="106" t="s">
        <v>413</v>
      </c>
      <c r="C276" s="106" t="s">
        <v>2275</v>
      </c>
      <c r="D276" s="107"/>
      <c r="E276" s="104"/>
      <c r="F276" s="106" t="s">
        <v>2285</v>
      </c>
      <c r="G276" s="106">
        <v>3.040254804E9</v>
      </c>
      <c r="H276" s="104"/>
      <c r="I276" s="104"/>
      <c r="J276" s="111">
        <v>45890.0</v>
      </c>
      <c r="K276" s="107"/>
      <c r="L276" s="106" t="s">
        <v>2286</v>
      </c>
      <c r="M276" s="107"/>
      <c r="N276" s="108"/>
    </row>
    <row r="277">
      <c r="A277" s="105">
        <v>276.0</v>
      </c>
      <c r="B277" s="109" t="s">
        <v>413</v>
      </c>
      <c r="C277" s="109" t="s">
        <v>2275</v>
      </c>
      <c r="D277" s="110"/>
      <c r="E277" s="104"/>
      <c r="F277" s="106" t="s">
        <v>1526</v>
      </c>
      <c r="G277" s="106">
        <v>3.040254805E9</v>
      </c>
      <c r="H277" s="104"/>
      <c r="I277" s="104"/>
      <c r="J277" s="112">
        <v>46175.0</v>
      </c>
      <c r="K277" s="107"/>
      <c r="L277" s="114" t="s">
        <v>2283</v>
      </c>
      <c r="M277" s="106" t="s">
        <v>45</v>
      </c>
      <c r="N277" s="108"/>
    </row>
    <row r="278">
      <c r="A278" s="105">
        <v>277.0</v>
      </c>
      <c r="B278" s="106" t="s">
        <v>413</v>
      </c>
      <c r="C278" s="106" t="s">
        <v>2275</v>
      </c>
      <c r="D278" s="107"/>
      <c r="E278" s="104"/>
      <c r="F278" s="106" t="s">
        <v>428</v>
      </c>
      <c r="G278" s="106">
        <v>3.040254806E9</v>
      </c>
      <c r="H278" s="104"/>
      <c r="I278" s="104"/>
      <c r="J278" s="112">
        <v>46185.0</v>
      </c>
      <c r="K278" s="107"/>
      <c r="L278" s="106" t="s">
        <v>2286</v>
      </c>
      <c r="M278" s="107"/>
      <c r="N278" s="108"/>
    </row>
    <row r="279">
      <c r="A279" s="105">
        <v>278.0</v>
      </c>
      <c r="B279" s="109" t="s">
        <v>413</v>
      </c>
      <c r="C279" s="109" t="s">
        <v>2275</v>
      </c>
      <c r="D279" s="110"/>
      <c r="E279" s="104"/>
      <c r="F279" s="106" t="s">
        <v>2289</v>
      </c>
      <c r="G279" s="106">
        <v>3.040254808E9</v>
      </c>
      <c r="H279" s="104"/>
      <c r="I279" s="104"/>
      <c r="J279" s="111">
        <v>45890.0</v>
      </c>
      <c r="K279" s="107"/>
      <c r="L279" s="106" t="s">
        <v>2286</v>
      </c>
      <c r="M279" s="107"/>
      <c r="N279" s="108"/>
    </row>
    <row r="280">
      <c r="A280" s="105">
        <v>279.0</v>
      </c>
      <c r="B280" s="106" t="s">
        <v>413</v>
      </c>
      <c r="C280" s="106" t="s">
        <v>2275</v>
      </c>
      <c r="D280" s="107"/>
      <c r="E280" s="104"/>
      <c r="F280" s="106" t="s">
        <v>2290</v>
      </c>
      <c r="G280" s="106">
        <v>3.040254809E9</v>
      </c>
      <c r="H280" s="104"/>
      <c r="I280" s="104"/>
      <c r="J280" s="111">
        <v>45890.0</v>
      </c>
      <c r="K280" s="107"/>
      <c r="L280" s="106" t="s">
        <v>2286</v>
      </c>
      <c r="M280" s="107"/>
      <c r="N280" s="108"/>
    </row>
    <row r="281">
      <c r="A281" s="105">
        <v>280.0</v>
      </c>
      <c r="B281" s="109" t="s">
        <v>413</v>
      </c>
      <c r="C281" s="109" t="s">
        <v>2275</v>
      </c>
      <c r="D281" s="110"/>
      <c r="E281" s="104"/>
      <c r="F281" s="106" t="s">
        <v>2292</v>
      </c>
      <c r="G281" s="106">
        <v>3.04025481E9</v>
      </c>
      <c r="H281" s="104"/>
      <c r="I281" s="104"/>
      <c r="J281" s="111">
        <v>45890.0</v>
      </c>
      <c r="K281" s="107"/>
      <c r="L281" s="106" t="s">
        <v>2286</v>
      </c>
      <c r="M281" s="107"/>
      <c r="N281" s="108"/>
    </row>
    <row r="282">
      <c r="A282" s="105">
        <v>281.0</v>
      </c>
      <c r="B282" s="106" t="s">
        <v>413</v>
      </c>
      <c r="C282" s="106" t="s">
        <v>2275</v>
      </c>
      <c r="D282" s="107"/>
      <c r="E282" s="104"/>
      <c r="F282" s="106" t="s">
        <v>1528</v>
      </c>
      <c r="G282" s="106">
        <v>3.040254811E9</v>
      </c>
      <c r="H282" s="104"/>
      <c r="I282" s="104"/>
      <c r="J282" s="112">
        <v>46175.0</v>
      </c>
      <c r="K282" s="107"/>
      <c r="L282" s="114" t="s">
        <v>2283</v>
      </c>
      <c r="M282" s="106" t="s">
        <v>45</v>
      </c>
      <c r="N282" s="108"/>
    </row>
    <row r="283">
      <c r="A283" s="105">
        <v>282.0</v>
      </c>
      <c r="B283" s="109" t="s">
        <v>413</v>
      </c>
      <c r="C283" s="109" t="s">
        <v>2275</v>
      </c>
      <c r="D283" s="110"/>
      <c r="E283" s="104"/>
      <c r="F283" s="106" t="s">
        <v>2294</v>
      </c>
      <c r="G283" s="106">
        <v>3.040254812E9</v>
      </c>
      <c r="H283" s="104"/>
      <c r="I283" s="104"/>
      <c r="J283" s="111">
        <v>45890.0</v>
      </c>
      <c r="K283" s="107"/>
      <c r="L283" s="106" t="s">
        <v>2286</v>
      </c>
      <c r="M283" s="107"/>
      <c r="N283" s="108"/>
    </row>
    <row r="284">
      <c r="A284" s="105">
        <v>283.0</v>
      </c>
      <c r="B284" s="106" t="s">
        <v>402</v>
      </c>
      <c r="C284" s="106" t="s">
        <v>403</v>
      </c>
      <c r="D284" s="107"/>
      <c r="E284" s="104"/>
      <c r="F284" s="106" t="s">
        <v>1774</v>
      </c>
      <c r="G284" s="106">
        <v>3.040259564E9</v>
      </c>
      <c r="H284" s="104"/>
      <c r="I284" s="104"/>
      <c r="J284" s="111">
        <v>46119.0</v>
      </c>
      <c r="K284" s="107"/>
      <c r="L284" s="106" t="s">
        <v>1970</v>
      </c>
      <c r="M284" s="106" t="s">
        <v>45</v>
      </c>
      <c r="N284" s="108"/>
    </row>
    <row r="285">
      <c r="A285" s="105">
        <v>284.0</v>
      </c>
      <c r="B285" s="109" t="s">
        <v>402</v>
      </c>
      <c r="C285" s="109" t="s">
        <v>403</v>
      </c>
      <c r="D285" s="110"/>
      <c r="E285" s="104"/>
      <c r="F285" s="106" t="s">
        <v>1771</v>
      </c>
      <c r="G285" s="106">
        <v>3.040259568E9</v>
      </c>
      <c r="H285" s="104"/>
      <c r="I285" s="104"/>
      <c r="J285" s="111">
        <v>46119.0</v>
      </c>
      <c r="K285" s="107"/>
      <c r="L285" s="106" t="s">
        <v>1970</v>
      </c>
      <c r="M285" s="106" t="s">
        <v>45</v>
      </c>
      <c r="N285" s="108"/>
    </row>
    <row r="286">
      <c r="A286" s="105">
        <v>285.0</v>
      </c>
      <c r="B286" s="106" t="s">
        <v>402</v>
      </c>
      <c r="C286" s="106" t="s">
        <v>403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1970</v>
      </c>
      <c r="M286" s="106" t="s">
        <v>45</v>
      </c>
      <c r="N286" s="108"/>
    </row>
    <row r="287">
      <c r="A287" s="105">
        <v>286.0</v>
      </c>
      <c r="B287" s="109" t="s">
        <v>244</v>
      </c>
      <c r="C287" s="109" t="s">
        <v>2298</v>
      </c>
      <c r="D287" s="110"/>
      <c r="E287" s="104"/>
      <c r="F287" s="106" t="s">
        <v>438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244</v>
      </c>
      <c r="C288" s="106" t="s">
        <v>2298</v>
      </c>
      <c r="D288" s="107"/>
      <c r="E288" s="104"/>
      <c r="F288" s="106" t="s">
        <v>431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251</v>
      </c>
      <c r="C289" s="109" t="s">
        <v>252</v>
      </c>
      <c r="D289" s="110"/>
      <c r="E289" s="104"/>
      <c r="F289" s="106" t="s">
        <v>253</v>
      </c>
      <c r="G289" s="106">
        <v>3.040252191E9</v>
      </c>
      <c r="H289" s="104"/>
      <c r="I289" s="104"/>
      <c r="J289" s="111">
        <v>45856.0</v>
      </c>
      <c r="K289" s="107"/>
      <c r="L289" s="106" t="s">
        <v>1629</v>
      </c>
      <c r="M289" s="106" t="s">
        <v>57</v>
      </c>
      <c r="N289" s="108"/>
    </row>
    <row r="290">
      <c r="A290" s="105">
        <v>289.0</v>
      </c>
      <c r="B290" s="106" t="s">
        <v>694</v>
      </c>
      <c r="C290" s="106" t="s">
        <v>695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2011</v>
      </c>
      <c r="M290" s="117" t="s">
        <v>45</v>
      </c>
      <c r="N290" s="108"/>
    </row>
    <row r="291">
      <c r="A291" s="105">
        <v>290.0</v>
      </c>
      <c r="B291" s="109" t="s">
        <v>694</v>
      </c>
      <c r="C291" s="109" t="s">
        <v>695</v>
      </c>
      <c r="D291" s="110"/>
      <c r="E291" s="104"/>
      <c r="F291" s="106" t="s">
        <v>2299</v>
      </c>
      <c r="G291" s="106">
        <v>3.040250771E9</v>
      </c>
      <c r="H291" s="104"/>
      <c r="I291" s="104"/>
      <c r="J291" s="111">
        <v>45769.0</v>
      </c>
      <c r="K291" s="107"/>
      <c r="L291" s="106" t="s">
        <v>2011</v>
      </c>
      <c r="M291" s="117" t="s">
        <v>45</v>
      </c>
      <c r="N291" s="108"/>
    </row>
    <row r="292">
      <c r="A292" s="105">
        <v>291.0</v>
      </c>
      <c r="B292" s="106" t="s">
        <v>694</v>
      </c>
      <c r="C292" s="106" t="s">
        <v>695</v>
      </c>
      <c r="D292" s="107"/>
      <c r="E292" s="104"/>
      <c r="F292" s="106" t="s">
        <v>2300</v>
      </c>
      <c r="G292" s="106">
        <v>3.040250772E9</v>
      </c>
      <c r="H292" s="104"/>
      <c r="I292" s="104"/>
      <c r="J292" s="111">
        <v>45769.0</v>
      </c>
      <c r="K292" s="107"/>
      <c r="L292" s="106" t="s">
        <v>2011</v>
      </c>
      <c r="M292" s="117" t="s">
        <v>45</v>
      </c>
      <c r="N292" s="108"/>
    </row>
    <row r="293">
      <c r="A293" s="105">
        <v>292.0</v>
      </c>
      <c r="B293" s="109" t="s">
        <v>694</v>
      </c>
      <c r="C293" s="109" t="s">
        <v>695</v>
      </c>
      <c r="D293" s="110"/>
      <c r="E293" s="104"/>
      <c r="F293" s="106" t="s">
        <v>2301</v>
      </c>
      <c r="G293" s="106">
        <v>3.040250836E9</v>
      </c>
      <c r="H293" s="104"/>
      <c r="I293" s="104"/>
      <c r="J293" s="111">
        <v>45769.0</v>
      </c>
      <c r="K293" s="107"/>
      <c r="L293" s="106" t="s">
        <v>2011</v>
      </c>
      <c r="M293" s="117" t="s">
        <v>45</v>
      </c>
      <c r="N293" s="108"/>
    </row>
    <row r="294">
      <c r="A294" s="105">
        <v>293.0</v>
      </c>
      <c r="B294" s="106" t="s">
        <v>694</v>
      </c>
      <c r="C294" s="106" t="s">
        <v>2302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2011</v>
      </c>
      <c r="M294" s="117" t="s">
        <v>45</v>
      </c>
      <c r="N294" s="108"/>
    </row>
    <row r="295">
      <c r="A295" s="105">
        <v>294.0</v>
      </c>
      <c r="B295" s="109" t="s">
        <v>2303</v>
      </c>
      <c r="C295" s="109" t="s">
        <v>2302</v>
      </c>
      <c r="D295" s="110"/>
      <c r="E295" s="104"/>
      <c r="F295" s="106" t="s">
        <v>2304</v>
      </c>
      <c r="G295" s="106">
        <v>3.040250838E9</v>
      </c>
      <c r="H295" s="104"/>
      <c r="I295" s="104"/>
      <c r="J295" s="111">
        <v>45769.0</v>
      </c>
      <c r="K295" s="107"/>
      <c r="L295" s="106" t="s">
        <v>2011</v>
      </c>
      <c r="M295" s="117" t="s">
        <v>45</v>
      </c>
      <c r="N295" s="108"/>
    </row>
    <row r="296">
      <c r="A296" s="105">
        <v>295.0</v>
      </c>
      <c r="B296" s="106" t="s">
        <v>2303</v>
      </c>
      <c r="C296" s="106" t="s">
        <v>2302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2011</v>
      </c>
      <c r="M296" s="117" t="s">
        <v>45</v>
      </c>
      <c r="N296" s="108"/>
    </row>
    <row r="297">
      <c r="A297" s="105">
        <v>296.0</v>
      </c>
      <c r="B297" s="109" t="s">
        <v>383</v>
      </c>
      <c r="C297" s="109" t="s">
        <v>2305</v>
      </c>
      <c r="D297" s="110"/>
      <c r="E297" s="104"/>
      <c r="F297" s="106" t="s">
        <v>385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383</v>
      </c>
      <c r="C298" s="106" t="s">
        <v>2305</v>
      </c>
      <c r="D298" s="107"/>
      <c r="E298" s="104"/>
      <c r="F298" s="106" t="s">
        <v>393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383</v>
      </c>
      <c r="C299" s="109" t="s">
        <v>2305</v>
      </c>
      <c r="D299" s="110"/>
      <c r="E299" s="104"/>
      <c r="F299" s="106" t="s">
        <v>388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174</v>
      </c>
      <c r="C300" s="106" t="s">
        <v>175</v>
      </c>
      <c r="D300" s="107"/>
      <c r="E300" s="104"/>
      <c r="F300" s="106" t="s">
        <v>2307</v>
      </c>
      <c r="G300" s="106">
        <v>3.04025084E9</v>
      </c>
      <c r="H300" s="104"/>
      <c r="I300" s="104"/>
      <c r="J300" s="111">
        <v>45814.0</v>
      </c>
      <c r="K300" s="107"/>
      <c r="L300" s="106" t="s">
        <v>2098</v>
      </c>
      <c r="M300" s="106" t="s">
        <v>45</v>
      </c>
      <c r="N300" s="108"/>
    </row>
    <row r="301">
      <c r="A301" s="105">
        <v>300.0</v>
      </c>
      <c r="B301" s="109" t="s">
        <v>174</v>
      </c>
      <c r="C301" s="109" t="s">
        <v>175</v>
      </c>
      <c r="D301" s="110"/>
      <c r="E301" s="104"/>
      <c r="F301" s="106" t="s">
        <v>176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1008</v>
      </c>
      <c r="C302" s="106" t="s">
        <v>2308</v>
      </c>
      <c r="D302" s="107"/>
      <c r="E302" s="104"/>
      <c r="F302" s="106" t="s">
        <v>2309</v>
      </c>
      <c r="G302" s="106">
        <v>3.040255705E9</v>
      </c>
      <c r="H302" s="104"/>
      <c r="I302" s="104"/>
      <c r="J302" s="111">
        <v>45860.0</v>
      </c>
      <c r="K302" s="107"/>
      <c r="L302" s="106" t="s">
        <v>2310</v>
      </c>
      <c r="M302" s="106" t="s">
        <v>62</v>
      </c>
      <c r="N302" s="108"/>
    </row>
    <row r="303">
      <c r="A303" s="105">
        <v>302.0</v>
      </c>
      <c r="B303" s="109" t="s">
        <v>1008</v>
      </c>
      <c r="C303" s="109" t="s">
        <v>2308</v>
      </c>
      <c r="D303" s="110"/>
      <c r="E303" s="104"/>
      <c r="F303" s="106" t="s">
        <v>1009</v>
      </c>
      <c r="G303" s="106">
        <v>3.040255706E9</v>
      </c>
      <c r="H303" s="104"/>
      <c r="I303" s="104"/>
      <c r="J303" s="111">
        <v>45971.0</v>
      </c>
      <c r="K303" s="107"/>
      <c r="L303" s="106" t="s">
        <v>1983</v>
      </c>
      <c r="M303" s="106" t="s">
        <v>45</v>
      </c>
      <c r="N303" s="108"/>
    </row>
    <row r="304">
      <c r="A304" s="105">
        <v>303.0</v>
      </c>
      <c r="B304" s="106" t="s">
        <v>1008</v>
      </c>
      <c r="C304" s="106" t="s">
        <v>2308</v>
      </c>
      <c r="D304" s="107"/>
      <c r="E304" s="104"/>
      <c r="F304" s="106" t="s">
        <v>2311</v>
      </c>
      <c r="G304" s="106">
        <v>3.040255707E9</v>
      </c>
      <c r="H304" s="104"/>
      <c r="I304" s="104"/>
      <c r="J304" s="111">
        <v>45863.0</v>
      </c>
      <c r="K304" s="107"/>
      <c r="L304" s="106" t="s">
        <v>2312</v>
      </c>
      <c r="M304" s="106" t="s">
        <v>64</v>
      </c>
      <c r="N304" s="108"/>
    </row>
    <row r="305">
      <c r="A305" s="105">
        <v>304.0</v>
      </c>
      <c r="B305" s="109" t="s">
        <v>1008</v>
      </c>
      <c r="C305" s="109" t="s">
        <v>2308</v>
      </c>
      <c r="D305" s="110"/>
      <c r="E305" s="104"/>
      <c r="F305" s="106" t="s">
        <v>1619</v>
      </c>
      <c r="G305" s="106">
        <v>3.040256702E9</v>
      </c>
      <c r="H305" s="104"/>
      <c r="I305" s="104"/>
      <c r="J305" s="111">
        <v>45905.0</v>
      </c>
      <c r="K305" s="107"/>
      <c r="L305" s="106" t="s">
        <v>2313</v>
      </c>
      <c r="M305" s="107"/>
      <c r="N305" s="108"/>
    </row>
    <row r="306">
      <c r="A306" s="105">
        <v>305.0</v>
      </c>
      <c r="B306" s="106" t="s">
        <v>1008</v>
      </c>
      <c r="C306" s="106" t="s">
        <v>2308</v>
      </c>
      <c r="D306" s="107"/>
      <c r="E306" s="104"/>
      <c r="F306" s="106" t="s">
        <v>1015</v>
      </c>
      <c r="G306" s="106">
        <v>3.040256703E9</v>
      </c>
      <c r="H306" s="104"/>
      <c r="I306" s="104"/>
      <c r="J306" s="111">
        <v>45971.0</v>
      </c>
      <c r="K306" s="107"/>
      <c r="L306" s="106" t="s">
        <v>1983</v>
      </c>
      <c r="M306" s="106" t="s">
        <v>45</v>
      </c>
      <c r="N306" s="108"/>
    </row>
    <row r="307">
      <c r="A307" s="105">
        <v>306.0</v>
      </c>
      <c r="B307" s="109" t="s">
        <v>1008</v>
      </c>
      <c r="C307" s="109" t="s">
        <v>2308</v>
      </c>
      <c r="D307" s="110"/>
      <c r="E307" s="104"/>
      <c r="F307" s="106" t="s">
        <v>1017</v>
      </c>
      <c r="G307" s="106">
        <v>3.040256704E9</v>
      </c>
      <c r="H307" s="104"/>
      <c r="I307" s="104"/>
      <c r="J307" s="111">
        <v>45971.0</v>
      </c>
      <c r="K307" s="107"/>
      <c r="L307" s="106" t="s">
        <v>1983</v>
      </c>
      <c r="M307" s="106" t="s">
        <v>45</v>
      </c>
      <c r="N307" s="108"/>
    </row>
    <row r="308">
      <c r="A308" s="105">
        <v>307.0</v>
      </c>
      <c r="B308" s="106" t="s">
        <v>1008</v>
      </c>
      <c r="C308" s="106" t="s">
        <v>292</v>
      </c>
      <c r="D308" s="107"/>
      <c r="E308" s="104"/>
      <c r="F308" s="106" t="s">
        <v>2314</v>
      </c>
      <c r="G308" s="106">
        <v>3.040259829E9</v>
      </c>
      <c r="H308" s="104"/>
      <c r="I308" s="104"/>
      <c r="J308" s="111">
        <v>45744.0</v>
      </c>
      <c r="K308" s="107"/>
      <c r="L308" s="120">
        <v>45839.0</v>
      </c>
      <c r="M308" s="106" t="s">
        <v>64</v>
      </c>
      <c r="N308" s="108"/>
    </row>
    <row r="309">
      <c r="A309" s="105">
        <v>308.0</v>
      </c>
      <c r="B309" s="109" t="s">
        <v>291</v>
      </c>
      <c r="C309" s="109" t="s">
        <v>292</v>
      </c>
      <c r="D309" s="110"/>
      <c r="E309" s="104"/>
      <c r="F309" s="106" t="s">
        <v>2315</v>
      </c>
      <c r="G309" s="106">
        <v>3.040251141E9</v>
      </c>
      <c r="H309" s="104"/>
      <c r="I309" s="104"/>
      <c r="J309" s="111">
        <v>45814.0</v>
      </c>
      <c r="K309" s="107"/>
      <c r="L309" s="106" t="s">
        <v>2098</v>
      </c>
      <c r="M309" s="106" t="s">
        <v>45</v>
      </c>
      <c r="N309" s="108"/>
    </row>
    <row r="310">
      <c r="A310" s="105">
        <v>309.0</v>
      </c>
      <c r="B310" s="106" t="s">
        <v>291</v>
      </c>
      <c r="C310" s="106" t="s">
        <v>292</v>
      </c>
      <c r="D310" s="107"/>
      <c r="E310" s="104"/>
      <c r="F310" s="106" t="s">
        <v>2316</v>
      </c>
      <c r="G310" s="106">
        <v>3.040251142E9</v>
      </c>
      <c r="H310" s="104"/>
      <c r="I310" s="104"/>
      <c r="J310" s="111">
        <v>45807.0</v>
      </c>
      <c r="K310" s="107"/>
      <c r="L310" s="106" t="s">
        <v>2317</v>
      </c>
      <c r="M310" s="106" t="s">
        <v>64</v>
      </c>
      <c r="N310" s="108"/>
    </row>
    <row r="311">
      <c r="A311" s="105">
        <v>310.0</v>
      </c>
      <c r="B311" s="109" t="s">
        <v>181</v>
      </c>
      <c r="C311" s="109" t="s">
        <v>182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2255</v>
      </c>
      <c r="M311" s="106" t="s">
        <v>45</v>
      </c>
      <c r="N311" s="108"/>
    </row>
    <row r="312">
      <c r="A312" s="105">
        <v>311.0</v>
      </c>
      <c r="B312" s="106" t="s">
        <v>181</v>
      </c>
      <c r="C312" s="106" t="s">
        <v>182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2255</v>
      </c>
      <c r="M312" s="106" t="s">
        <v>45</v>
      </c>
      <c r="N312" s="108"/>
    </row>
    <row r="313">
      <c r="A313" s="105">
        <v>312.0</v>
      </c>
      <c r="B313" s="109" t="s">
        <v>181</v>
      </c>
      <c r="C313" s="109" t="s">
        <v>182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2255</v>
      </c>
      <c r="M313" s="106" t="s">
        <v>45</v>
      </c>
      <c r="N313" s="108"/>
    </row>
    <row r="314">
      <c r="A314" s="105">
        <v>313.0</v>
      </c>
      <c r="B314" s="106" t="s">
        <v>181</v>
      </c>
      <c r="C314" s="106" t="s">
        <v>182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504</v>
      </c>
      <c r="C315" s="109" t="s">
        <v>505</v>
      </c>
      <c r="D315" s="110"/>
      <c r="E315" s="104"/>
      <c r="F315" s="106" t="s">
        <v>2318</v>
      </c>
      <c r="G315" s="106">
        <v>3.040250846E9</v>
      </c>
      <c r="H315" s="104"/>
      <c r="I315" s="104"/>
      <c r="J315" s="111">
        <v>45802.0</v>
      </c>
      <c r="K315" s="107"/>
      <c r="L315" s="106" t="s">
        <v>2255</v>
      </c>
      <c r="M315" s="106" t="s">
        <v>45</v>
      </c>
      <c r="N315" s="108"/>
    </row>
    <row r="316">
      <c r="A316" s="105">
        <v>315.0</v>
      </c>
      <c r="B316" s="106" t="s">
        <v>504</v>
      </c>
      <c r="C316" s="106" t="s">
        <v>505</v>
      </c>
      <c r="D316" s="107"/>
      <c r="E316" s="104"/>
      <c r="F316" s="106" t="s">
        <v>2319</v>
      </c>
      <c r="G316" s="106">
        <v>3.040250847E9</v>
      </c>
      <c r="H316" s="104"/>
      <c r="I316" s="104"/>
      <c r="J316" s="111">
        <v>45802.0</v>
      </c>
      <c r="K316" s="107"/>
      <c r="L316" s="106" t="s">
        <v>2255</v>
      </c>
      <c r="M316" s="106" t="s">
        <v>45</v>
      </c>
      <c r="N316" s="108"/>
    </row>
    <row r="317">
      <c r="A317" s="105">
        <v>316.0</v>
      </c>
      <c r="B317" s="109" t="s">
        <v>440</v>
      </c>
      <c r="C317" s="109" t="s">
        <v>441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2320</v>
      </c>
      <c r="M317" s="106" t="s">
        <v>45</v>
      </c>
      <c r="N317" s="108"/>
    </row>
    <row r="318">
      <c r="A318" s="105">
        <v>317.0</v>
      </c>
      <c r="B318" s="106" t="s">
        <v>440</v>
      </c>
      <c r="C318" s="106" t="s">
        <v>441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2145</v>
      </c>
      <c r="M318" s="106" t="s">
        <v>45</v>
      </c>
      <c r="N318" s="108"/>
    </row>
    <row r="319">
      <c r="A319" s="105">
        <v>318.0</v>
      </c>
      <c r="B319" s="109" t="s">
        <v>440</v>
      </c>
      <c r="C319" s="109" t="s">
        <v>441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2320</v>
      </c>
      <c r="M319" s="106" t="s">
        <v>45</v>
      </c>
      <c r="N319" s="108"/>
    </row>
    <row r="320">
      <c r="A320" s="105">
        <v>319.0</v>
      </c>
      <c r="B320" s="106" t="s">
        <v>515</v>
      </c>
      <c r="C320" s="106" t="s">
        <v>516</v>
      </c>
      <c r="D320" s="107"/>
      <c r="E320" s="104"/>
      <c r="F320" s="106" t="s">
        <v>2321</v>
      </c>
      <c r="G320" s="106">
        <v>3.040250851E9</v>
      </c>
      <c r="H320" s="104"/>
      <c r="I320" s="104"/>
      <c r="J320" s="111">
        <v>45926.0</v>
      </c>
      <c r="K320" s="107"/>
      <c r="L320" s="106" t="s">
        <v>2322</v>
      </c>
      <c r="M320" s="106" t="s">
        <v>45</v>
      </c>
      <c r="N320" s="108"/>
    </row>
    <row r="321">
      <c r="A321" s="105">
        <v>320.0</v>
      </c>
      <c r="B321" s="109" t="s">
        <v>515</v>
      </c>
      <c r="C321" s="109" t="s">
        <v>516</v>
      </c>
      <c r="D321" s="110"/>
      <c r="E321" s="104"/>
      <c r="F321" s="106" t="s">
        <v>2323</v>
      </c>
      <c r="G321" s="106">
        <v>3.040250852E9</v>
      </c>
      <c r="H321" s="104"/>
      <c r="I321" s="104"/>
      <c r="J321" s="111">
        <v>45909.0</v>
      </c>
      <c r="K321" s="107"/>
      <c r="L321" s="106" t="s">
        <v>2324</v>
      </c>
      <c r="M321" s="106" t="s">
        <v>45</v>
      </c>
      <c r="N321" s="108"/>
    </row>
    <row r="322">
      <c r="A322" s="105">
        <v>321.0</v>
      </c>
      <c r="B322" s="106" t="s">
        <v>515</v>
      </c>
      <c r="C322" s="106" t="s">
        <v>2325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1970</v>
      </c>
      <c r="M322" s="106" t="s">
        <v>45</v>
      </c>
      <c r="N322" s="108"/>
    </row>
    <row r="323">
      <c r="A323" s="105">
        <v>322.0</v>
      </c>
      <c r="B323" s="109" t="s">
        <v>515</v>
      </c>
      <c r="C323" s="109" t="s">
        <v>2325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515</v>
      </c>
      <c r="C324" s="106" t="s">
        <v>2326</v>
      </c>
      <c r="D324" s="107"/>
      <c r="E324" s="104"/>
      <c r="F324" s="106" t="s">
        <v>605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515</v>
      </c>
      <c r="C325" s="109" t="s">
        <v>2326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1970</v>
      </c>
      <c r="M325" s="106" t="s">
        <v>45</v>
      </c>
      <c r="N325" s="108"/>
    </row>
    <row r="326">
      <c r="A326" s="105">
        <v>325.0</v>
      </c>
      <c r="B326" s="106" t="s">
        <v>515</v>
      </c>
      <c r="C326" s="106" t="s">
        <v>2326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1970</v>
      </c>
      <c r="M326" s="106" t="s">
        <v>45</v>
      </c>
      <c r="N326" s="108"/>
    </row>
    <row r="327">
      <c r="A327" s="105">
        <v>326.0</v>
      </c>
      <c r="B327" s="109" t="s">
        <v>515</v>
      </c>
      <c r="C327" s="109" t="s">
        <v>2326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515</v>
      </c>
      <c r="C328" s="106" t="s">
        <v>2326</v>
      </c>
      <c r="D328" s="107"/>
      <c r="E328" s="104"/>
      <c r="F328" s="106" t="s">
        <v>1724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271</v>
      </c>
      <c r="C329" s="109" t="s">
        <v>2327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571</v>
      </c>
      <c r="C330" s="106" t="s">
        <v>2328</v>
      </c>
      <c r="D330" s="107"/>
      <c r="E330" s="104"/>
      <c r="F330" s="106" t="s">
        <v>1683</v>
      </c>
      <c r="G330" s="106">
        <v>3.040257453E9</v>
      </c>
      <c r="H330" s="104"/>
      <c r="I330" s="104"/>
      <c r="J330" s="112">
        <v>46086.0</v>
      </c>
      <c r="K330" s="107"/>
      <c r="L330" s="106" t="s">
        <v>1946</v>
      </c>
      <c r="M330" s="107"/>
      <c r="N330" s="108"/>
    </row>
    <row r="331">
      <c r="A331" s="105">
        <v>330.0</v>
      </c>
      <c r="B331" s="109" t="s">
        <v>571</v>
      </c>
      <c r="C331" s="109" t="s">
        <v>2328</v>
      </c>
      <c r="D331" s="110"/>
      <c r="E331" s="104"/>
      <c r="F331" s="106" t="s">
        <v>2329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571</v>
      </c>
      <c r="C332" s="106" t="s">
        <v>2328</v>
      </c>
      <c r="D332" s="107"/>
      <c r="E332" s="104"/>
      <c r="F332" s="106" t="s">
        <v>573</v>
      </c>
      <c r="G332" s="106">
        <v>3.040257455E9</v>
      </c>
      <c r="H332" s="104"/>
      <c r="I332" s="104"/>
      <c r="J332" s="111">
        <v>45965.0</v>
      </c>
      <c r="K332" s="107"/>
      <c r="L332" s="106" t="s">
        <v>1599</v>
      </c>
      <c r="M332" s="106" t="s">
        <v>57</v>
      </c>
      <c r="N332" s="108"/>
    </row>
    <row r="333">
      <c r="A333" s="105">
        <v>332.0</v>
      </c>
      <c r="B333" s="109" t="s">
        <v>1509</v>
      </c>
      <c r="C333" s="109" t="s">
        <v>2140</v>
      </c>
      <c r="D333" s="110"/>
      <c r="E333" s="104"/>
      <c r="F333" s="106" t="s">
        <v>2330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657</v>
      </c>
      <c r="C334" s="106" t="s">
        <v>443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2331</v>
      </c>
      <c r="M334" s="106" t="s">
        <v>143</v>
      </c>
      <c r="N334" s="108"/>
    </row>
    <row r="335">
      <c r="A335" s="105">
        <v>334.0</v>
      </c>
      <c r="B335" s="109" t="s">
        <v>402</v>
      </c>
      <c r="C335" s="109" t="s">
        <v>403</v>
      </c>
      <c r="D335" s="110"/>
      <c r="E335" s="107"/>
      <c r="F335" s="106" t="s">
        <v>2332</v>
      </c>
      <c r="G335" s="106">
        <v>3.040259921E9</v>
      </c>
      <c r="H335" s="107"/>
      <c r="I335" s="107"/>
      <c r="J335" s="111">
        <v>45996.0</v>
      </c>
      <c r="K335" s="107"/>
      <c r="L335" s="106" t="s">
        <v>2333</v>
      </c>
      <c r="M335" s="107"/>
      <c r="N335" s="108"/>
    </row>
    <row r="336">
      <c r="A336" s="105">
        <v>335.0</v>
      </c>
      <c r="B336" s="106" t="s">
        <v>402</v>
      </c>
      <c r="C336" s="106" t="s">
        <v>403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2333</v>
      </c>
      <c r="M336" s="107"/>
      <c r="N336" s="108"/>
    </row>
    <row r="337">
      <c r="A337" s="105">
        <v>336.0</v>
      </c>
      <c r="B337" s="109" t="s">
        <v>402</v>
      </c>
      <c r="C337" s="109" t="s">
        <v>403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2334</v>
      </c>
      <c r="M337" s="107"/>
      <c r="N337" s="108"/>
    </row>
    <row r="338">
      <c r="A338" s="105">
        <v>337.0</v>
      </c>
      <c r="B338" s="106" t="s">
        <v>402</v>
      </c>
      <c r="C338" s="106" t="s">
        <v>403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402</v>
      </c>
      <c r="C339" s="109" t="s">
        <v>403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2333</v>
      </c>
      <c r="M339" s="107"/>
      <c r="N339" s="108"/>
    </row>
    <row r="340">
      <c r="A340" s="105">
        <v>339.0</v>
      </c>
      <c r="B340" s="106" t="s">
        <v>358</v>
      </c>
      <c r="C340" s="106" t="s">
        <v>359</v>
      </c>
      <c r="D340" s="107"/>
      <c r="E340" s="110"/>
      <c r="F340" s="106" t="s">
        <v>2335</v>
      </c>
      <c r="G340" s="106">
        <v>3.040259819E9</v>
      </c>
      <c r="H340" s="110"/>
      <c r="I340" s="110"/>
      <c r="J340" s="111">
        <v>45989.0</v>
      </c>
      <c r="K340" s="107"/>
      <c r="L340" s="106" t="s">
        <v>2334</v>
      </c>
      <c r="M340" s="107"/>
      <c r="N340" s="108"/>
    </row>
    <row r="341">
      <c r="A341" s="105">
        <v>340.0</v>
      </c>
      <c r="B341" s="109" t="s">
        <v>358</v>
      </c>
      <c r="C341" s="109" t="s">
        <v>359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2336</v>
      </c>
      <c r="M341" s="107"/>
      <c r="N341" s="108"/>
    </row>
    <row r="342">
      <c r="A342" s="105">
        <v>341.0</v>
      </c>
      <c r="B342" s="106" t="s">
        <v>358</v>
      </c>
      <c r="C342" s="106" t="s">
        <v>359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2336</v>
      </c>
      <c r="M342" s="107"/>
      <c r="N342" s="108"/>
    </row>
    <row r="343">
      <c r="A343" s="105">
        <v>342.0</v>
      </c>
      <c r="B343" s="109" t="s">
        <v>678</v>
      </c>
      <c r="C343" s="109" t="s">
        <v>2337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2333</v>
      </c>
      <c r="M343" s="107"/>
      <c r="N343" s="108"/>
    </row>
    <row r="344">
      <c r="A344" s="105">
        <v>343.0</v>
      </c>
      <c r="B344" s="106" t="s">
        <v>678</v>
      </c>
      <c r="C344" s="106" t="s">
        <v>2337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2338</v>
      </c>
      <c r="M344" s="107"/>
      <c r="N344" s="108"/>
    </row>
    <row r="345">
      <c r="A345" s="105">
        <v>344.0</v>
      </c>
      <c r="B345" s="109" t="s">
        <v>684</v>
      </c>
      <c r="C345" s="109" t="s">
        <v>2339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2340</v>
      </c>
      <c r="M345" s="107"/>
      <c r="N345" s="108"/>
    </row>
    <row r="346">
      <c r="A346" s="105">
        <v>345.0</v>
      </c>
      <c r="B346" s="106" t="s">
        <v>684</v>
      </c>
      <c r="C346" s="106" t="s">
        <v>2339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2342</v>
      </c>
      <c r="M346" s="106" t="s">
        <v>64</v>
      </c>
      <c r="N346" s="108"/>
    </row>
    <row r="347">
      <c r="A347" s="105">
        <v>346.0</v>
      </c>
      <c r="B347" s="109" t="s">
        <v>684</v>
      </c>
      <c r="C347" s="109" t="s">
        <v>2339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57</v>
      </c>
      <c r="N347" s="108"/>
    </row>
    <row r="348">
      <c r="A348" s="105">
        <v>347.0</v>
      </c>
      <c r="B348" s="106" t="s">
        <v>678</v>
      </c>
      <c r="C348" s="106" t="s">
        <v>738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678</v>
      </c>
      <c r="C349" s="109" t="s">
        <v>738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402</v>
      </c>
      <c r="C350" s="106" t="s">
        <v>403</v>
      </c>
      <c r="D350" s="107"/>
      <c r="E350" s="110"/>
      <c r="F350" s="106" t="s">
        <v>674</v>
      </c>
      <c r="G350" s="106">
        <v>3.040259918E9</v>
      </c>
      <c r="H350" s="110"/>
      <c r="I350" s="110"/>
      <c r="J350" s="111">
        <v>46230.0</v>
      </c>
      <c r="K350" s="107"/>
      <c r="L350" s="106" t="s">
        <v>2046</v>
      </c>
      <c r="M350" s="106" t="s">
        <v>45</v>
      </c>
      <c r="N350" s="108"/>
    </row>
    <row r="351">
      <c r="A351" s="105">
        <v>350.0</v>
      </c>
      <c r="B351" s="109" t="s">
        <v>402</v>
      </c>
      <c r="C351" s="109" t="s">
        <v>403</v>
      </c>
      <c r="D351" s="110"/>
      <c r="E351" s="107"/>
      <c r="F351" s="106" t="s">
        <v>666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402</v>
      </c>
      <c r="C352" s="106" t="s">
        <v>403</v>
      </c>
      <c r="D352" s="107"/>
      <c r="E352" s="110"/>
      <c r="F352" s="106" t="s">
        <v>661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1008</v>
      </c>
      <c r="C353" s="109" t="s">
        <v>292</v>
      </c>
      <c r="D353" s="110"/>
      <c r="E353" s="107"/>
      <c r="F353" s="106" t="s">
        <v>2343</v>
      </c>
      <c r="G353" s="106">
        <v>3.040259953E9</v>
      </c>
      <c r="H353" s="107"/>
      <c r="I353" s="107"/>
      <c r="J353" s="111">
        <v>45996.0</v>
      </c>
      <c r="K353" s="107"/>
      <c r="L353" s="106" t="s">
        <v>2333</v>
      </c>
      <c r="M353" s="107"/>
      <c r="N353" s="108"/>
    </row>
    <row r="354">
      <c r="A354" s="105">
        <v>353.0</v>
      </c>
      <c r="B354" s="106" t="s">
        <v>1008</v>
      </c>
      <c r="C354" s="106" t="s">
        <v>292</v>
      </c>
      <c r="D354" s="107"/>
      <c r="E354" s="110"/>
      <c r="F354" s="106" t="s">
        <v>2344</v>
      </c>
      <c r="G354" s="106">
        <v>3.040259954E9</v>
      </c>
      <c r="H354" s="110"/>
      <c r="I354" s="110"/>
      <c r="J354" s="111">
        <v>45996.0</v>
      </c>
      <c r="K354" s="107"/>
      <c r="L354" s="106" t="s">
        <v>2333</v>
      </c>
      <c r="M354" s="107"/>
      <c r="N354" s="108"/>
    </row>
    <row r="355">
      <c r="A355" s="105">
        <v>354.0</v>
      </c>
      <c r="B355" s="109" t="s">
        <v>2345</v>
      </c>
      <c r="C355" s="109" t="s">
        <v>2346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721</v>
      </c>
      <c r="C356" s="106" t="s">
        <v>722</v>
      </c>
      <c r="D356" s="107"/>
      <c r="E356" s="110"/>
      <c r="F356" s="106" t="s">
        <v>723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721</v>
      </c>
      <c r="C357" s="109" t="s">
        <v>722</v>
      </c>
      <c r="D357" s="110"/>
      <c r="E357" s="107"/>
      <c r="F357" s="106" t="s">
        <v>2347</v>
      </c>
      <c r="G357" s="106">
        <v>3.040260522E9</v>
      </c>
      <c r="H357" s="107"/>
      <c r="I357" s="107"/>
      <c r="J357" s="111">
        <v>46020.0</v>
      </c>
      <c r="K357" s="107"/>
      <c r="L357" s="106" t="s">
        <v>2348</v>
      </c>
      <c r="M357" s="107"/>
      <c r="N357" s="108"/>
    </row>
    <row r="358">
      <c r="A358" s="105">
        <v>357.0</v>
      </c>
      <c r="B358" s="106" t="s">
        <v>721</v>
      </c>
      <c r="C358" s="106" t="s">
        <v>722</v>
      </c>
      <c r="D358" s="106" t="s">
        <v>2263</v>
      </c>
      <c r="E358" s="121">
        <v>2721.0</v>
      </c>
      <c r="F358" s="106" t="s">
        <v>727</v>
      </c>
      <c r="G358" s="106">
        <v>3.040260523E9</v>
      </c>
      <c r="H358" s="110"/>
      <c r="I358" s="110"/>
      <c r="J358" s="111">
        <v>46225.0</v>
      </c>
      <c r="K358" s="107"/>
      <c r="L358" s="106" t="s">
        <v>2349</v>
      </c>
      <c r="M358" s="106" t="s">
        <v>57</v>
      </c>
      <c r="N358" s="108"/>
    </row>
    <row r="359">
      <c r="A359" s="105">
        <v>358.0</v>
      </c>
      <c r="B359" s="109" t="s">
        <v>164</v>
      </c>
      <c r="C359" s="109" t="s">
        <v>722</v>
      </c>
      <c r="D359" s="110"/>
      <c r="E359" s="107"/>
      <c r="F359" s="106" t="s">
        <v>713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164</v>
      </c>
      <c r="C360" s="106" t="s">
        <v>722</v>
      </c>
      <c r="D360" s="107"/>
      <c r="E360" s="110"/>
      <c r="F360" s="106" t="s">
        <v>1192</v>
      </c>
      <c r="G360" s="106">
        <v>3.040260517E9</v>
      </c>
      <c r="H360" s="110"/>
      <c r="I360" s="110"/>
      <c r="J360" s="112">
        <v>46086.0</v>
      </c>
      <c r="K360" s="107"/>
      <c r="L360" s="106" t="s">
        <v>1946</v>
      </c>
      <c r="M360" s="107"/>
      <c r="N360" s="108"/>
    </row>
    <row r="361">
      <c r="A361" s="105">
        <v>360.0</v>
      </c>
      <c r="B361" s="109" t="s">
        <v>717</v>
      </c>
      <c r="C361" s="109" t="s">
        <v>2350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1734</v>
      </c>
      <c r="M361" s="107"/>
      <c r="N361" s="108"/>
    </row>
    <row r="362">
      <c r="A362" s="105">
        <v>361.0</v>
      </c>
      <c r="B362" s="106" t="s">
        <v>274</v>
      </c>
      <c r="C362" s="106" t="s">
        <v>2351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2352</v>
      </c>
      <c r="K362" s="107"/>
      <c r="L362" s="106" t="s">
        <v>1728</v>
      </c>
      <c r="M362" s="107"/>
      <c r="N362" s="108"/>
    </row>
    <row r="363">
      <c r="A363" s="105">
        <v>362.0</v>
      </c>
      <c r="B363" s="109" t="s">
        <v>697</v>
      </c>
      <c r="C363" s="109" t="s">
        <v>2353</v>
      </c>
      <c r="D363" s="110"/>
      <c r="E363" s="107"/>
      <c r="F363" s="106" t="s">
        <v>2354</v>
      </c>
      <c r="G363" s="106">
        <v>3.040260203E9</v>
      </c>
      <c r="H363" s="107"/>
      <c r="I363" s="107"/>
      <c r="J363" s="111">
        <v>46010.0</v>
      </c>
      <c r="K363" s="107"/>
      <c r="L363" s="106" t="s">
        <v>2355</v>
      </c>
      <c r="M363" s="107"/>
      <c r="N363" s="108"/>
    </row>
    <row r="364">
      <c r="A364" s="105">
        <v>363.0</v>
      </c>
      <c r="B364" s="106" t="s">
        <v>697</v>
      </c>
      <c r="C364" s="106" t="s">
        <v>2353</v>
      </c>
      <c r="D364" s="107"/>
      <c r="E364" s="110"/>
      <c r="F364" s="106" t="s">
        <v>1809</v>
      </c>
      <c r="G364" s="106">
        <v>3.040260204E9</v>
      </c>
      <c r="H364" s="110"/>
      <c r="I364" s="110"/>
      <c r="J364" s="111">
        <v>46010.0</v>
      </c>
      <c r="K364" s="107"/>
      <c r="L364" s="106" t="s">
        <v>2356</v>
      </c>
      <c r="M364" s="107"/>
      <c r="N364" s="108"/>
    </row>
    <row r="365">
      <c r="A365" s="105">
        <v>364.0</v>
      </c>
      <c r="B365" s="109" t="s">
        <v>697</v>
      </c>
      <c r="C365" s="109" t="s">
        <v>2353</v>
      </c>
      <c r="D365" s="110"/>
      <c r="E365" s="107"/>
      <c r="F365" s="106" t="s">
        <v>699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697</v>
      </c>
      <c r="C366" s="106" t="s">
        <v>2353</v>
      </c>
      <c r="D366" s="107"/>
      <c r="E366" s="110"/>
      <c r="F366" s="106" t="s">
        <v>1811</v>
      </c>
      <c r="G366" s="106">
        <v>3.040260206E9</v>
      </c>
      <c r="H366" s="110"/>
      <c r="I366" s="110"/>
      <c r="J366" s="111">
        <v>46079.0</v>
      </c>
      <c r="K366" s="107"/>
      <c r="L366" s="106" t="s">
        <v>2357</v>
      </c>
      <c r="M366" s="106" t="s">
        <v>60</v>
      </c>
      <c r="N366" s="108"/>
    </row>
    <row r="367">
      <c r="A367" s="105">
        <v>366.0</v>
      </c>
      <c r="B367" s="109" t="s">
        <v>697</v>
      </c>
      <c r="C367" s="109" t="s">
        <v>2353</v>
      </c>
      <c r="D367" s="110"/>
      <c r="E367" s="107"/>
      <c r="F367" s="106" t="s">
        <v>2358</v>
      </c>
      <c r="G367" s="106">
        <v>3.040260207E9</v>
      </c>
      <c r="H367" s="107"/>
      <c r="I367" s="107"/>
      <c r="J367" s="111">
        <v>46010.0</v>
      </c>
      <c r="K367" s="107"/>
      <c r="L367" s="106" t="s">
        <v>2355</v>
      </c>
      <c r="M367" s="107"/>
      <c r="N367" s="108"/>
    </row>
    <row r="368">
      <c r="A368" s="105">
        <v>367.0</v>
      </c>
      <c r="B368" s="106" t="s">
        <v>697</v>
      </c>
      <c r="C368" s="106" t="s">
        <v>2353</v>
      </c>
      <c r="D368" s="107"/>
      <c r="E368" s="110"/>
      <c r="F368" s="106" t="s">
        <v>2359</v>
      </c>
      <c r="G368" s="106">
        <v>3.040260208E9</v>
      </c>
      <c r="H368" s="110"/>
      <c r="I368" s="110"/>
      <c r="J368" s="111">
        <v>46010.0</v>
      </c>
      <c r="K368" s="107"/>
      <c r="L368" s="106" t="s">
        <v>2355</v>
      </c>
      <c r="M368" s="107"/>
      <c r="N368" s="108"/>
    </row>
    <row r="369">
      <c r="A369" s="105">
        <v>368.0</v>
      </c>
      <c r="B369" s="109" t="s">
        <v>697</v>
      </c>
      <c r="C369" s="109" t="s">
        <v>2353</v>
      </c>
      <c r="D369" s="110"/>
      <c r="E369" s="107"/>
      <c r="F369" s="106" t="s">
        <v>752</v>
      </c>
      <c r="G369" s="106">
        <v>3.040260538E9</v>
      </c>
      <c r="H369" s="107"/>
      <c r="I369" s="107"/>
      <c r="J369" s="111">
        <v>46230.0</v>
      </c>
      <c r="K369" s="107"/>
      <c r="L369" s="106" t="s">
        <v>2360</v>
      </c>
      <c r="M369" s="106" t="s">
        <v>45</v>
      </c>
      <c r="N369" s="108"/>
    </row>
    <row r="370">
      <c r="A370" s="105">
        <v>369.0</v>
      </c>
      <c r="B370" s="106" t="s">
        <v>697</v>
      </c>
      <c r="C370" s="106" t="s">
        <v>2353</v>
      </c>
      <c r="D370" s="107"/>
      <c r="E370" s="110"/>
      <c r="F370" s="106" t="s">
        <v>1839</v>
      </c>
      <c r="G370" s="106">
        <v>3.040260539E9</v>
      </c>
      <c r="H370" s="110"/>
      <c r="I370" s="110"/>
      <c r="J370" s="111">
        <v>46063.0</v>
      </c>
      <c r="K370" s="107"/>
      <c r="L370" s="106" t="s">
        <v>2361</v>
      </c>
      <c r="M370" s="107"/>
      <c r="N370" s="108"/>
    </row>
    <row r="371">
      <c r="A371" s="105">
        <v>370.0</v>
      </c>
      <c r="B371" s="109" t="s">
        <v>697</v>
      </c>
      <c r="C371" s="109" t="s">
        <v>2353</v>
      </c>
      <c r="D371" s="110"/>
      <c r="E371" s="107"/>
      <c r="F371" s="106" t="s">
        <v>760</v>
      </c>
      <c r="G371" s="106">
        <v>3.04026054E9</v>
      </c>
      <c r="H371" s="107"/>
      <c r="I371" s="107"/>
      <c r="J371" s="111">
        <v>46063.0</v>
      </c>
      <c r="K371" s="107"/>
      <c r="L371" s="106" t="s">
        <v>2362</v>
      </c>
      <c r="M371" s="106" t="s">
        <v>60</v>
      </c>
      <c r="N371" s="108"/>
    </row>
    <row r="372">
      <c r="A372" s="105">
        <v>371.0</v>
      </c>
      <c r="B372" s="106" t="s">
        <v>697</v>
      </c>
      <c r="C372" s="106" t="s">
        <v>2353</v>
      </c>
      <c r="D372" s="107"/>
      <c r="E372" s="110"/>
      <c r="F372" s="106" t="s">
        <v>764</v>
      </c>
      <c r="G372" s="106">
        <v>3.040260541E9</v>
      </c>
      <c r="H372" s="110"/>
      <c r="I372" s="110"/>
      <c r="J372" s="111">
        <v>46063.0</v>
      </c>
      <c r="K372" s="107"/>
      <c r="L372" s="106" t="s">
        <v>2362</v>
      </c>
      <c r="M372" s="106" t="s">
        <v>60</v>
      </c>
      <c r="N372" s="108"/>
    </row>
    <row r="373">
      <c r="A373" s="105">
        <v>372.0</v>
      </c>
      <c r="B373" s="109" t="s">
        <v>697</v>
      </c>
      <c r="C373" s="109" t="s">
        <v>2353</v>
      </c>
      <c r="D373" s="110"/>
      <c r="E373" s="107"/>
      <c r="F373" s="106" t="s">
        <v>756</v>
      </c>
      <c r="G373" s="106">
        <v>3.040260542E9</v>
      </c>
      <c r="H373" s="107"/>
      <c r="I373" s="107"/>
      <c r="J373" s="111">
        <v>46063.0</v>
      </c>
      <c r="K373" s="107"/>
      <c r="L373" s="106" t="s">
        <v>2362</v>
      </c>
      <c r="M373" s="106" t="s">
        <v>60</v>
      </c>
      <c r="N373" s="108"/>
    </row>
    <row r="374">
      <c r="A374" s="105">
        <v>373.0</v>
      </c>
      <c r="B374" s="106" t="s">
        <v>697</v>
      </c>
      <c r="C374" s="106" t="s">
        <v>2353</v>
      </c>
      <c r="D374" s="107"/>
      <c r="E374" s="110"/>
      <c r="F374" s="106" t="s">
        <v>1837</v>
      </c>
      <c r="G374" s="106">
        <v>3.040260543E9</v>
      </c>
      <c r="H374" s="110"/>
      <c r="I374" s="110"/>
      <c r="J374" s="111">
        <v>46063.0</v>
      </c>
      <c r="K374" s="107"/>
      <c r="L374" s="106" t="s">
        <v>2361</v>
      </c>
      <c r="M374" s="107"/>
      <c r="N374" s="108"/>
    </row>
    <row r="375">
      <c r="A375" s="105">
        <v>374.0</v>
      </c>
      <c r="B375" s="109" t="s">
        <v>702</v>
      </c>
      <c r="C375" s="109" t="s">
        <v>2363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702</v>
      </c>
      <c r="C376" s="106" t="s">
        <v>2363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564</v>
      </c>
      <c r="C377" s="109" t="s">
        <v>2364</v>
      </c>
      <c r="D377" s="110"/>
      <c r="E377" s="107"/>
      <c r="F377" s="106" t="s">
        <v>709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2345</v>
      </c>
      <c r="C378" s="106" t="s">
        <v>2346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155</v>
      </c>
      <c r="C379" s="109" t="s">
        <v>2366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155</v>
      </c>
      <c r="C380" s="106" t="s">
        <v>2366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2367</v>
      </c>
      <c r="M380" s="106" t="s">
        <v>63</v>
      </c>
      <c r="N380" s="108"/>
    </row>
    <row r="381">
      <c r="A381" s="105">
        <v>380.0</v>
      </c>
      <c r="B381" s="109" t="s">
        <v>1278</v>
      </c>
      <c r="C381" s="109" t="s">
        <v>2176</v>
      </c>
      <c r="D381" s="110"/>
      <c r="E381" s="107"/>
      <c r="F381" s="106" t="s">
        <v>1286</v>
      </c>
      <c r="G381" s="106">
        <v>3.040260552E9</v>
      </c>
      <c r="H381" s="107"/>
      <c r="I381" s="107"/>
      <c r="J381" s="111">
        <v>46191.0</v>
      </c>
      <c r="K381" s="107"/>
      <c r="L381" s="106" t="s">
        <v>2171</v>
      </c>
      <c r="M381" s="106" t="s">
        <v>45</v>
      </c>
      <c r="N381" s="108"/>
    </row>
    <row r="382">
      <c r="A382" s="105">
        <v>381.0</v>
      </c>
      <c r="B382" s="106" t="s">
        <v>335</v>
      </c>
      <c r="C382" s="106" t="s">
        <v>2368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2046</v>
      </c>
      <c r="M382" s="106" t="s">
        <v>45</v>
      </c>
      <c r="N382" s="108"/>
    </row>
    <row r="383">
      <c r="A383" s="105">
        <v>382.0</v>
      </c>
      <c r="B383" s="109" t="s">
        <v>335</v>
      </c>
      <c r="C383" s="109" t="s">
        <v>2368</v>
      </c>
      <c r="D383" s="110"/>
      <c r="E383" s="107"/>
      <c r="F383" s="106" t="s">
        <v>746</v>
      </c>
      <c r="G383" s="106">
        <v>3.04026055E9</v>
      </c>
      <c r="H383" s="107"/>
      <c r="I383" s="107"/>
      <c r="J383" s="111">
        <v>46230.0</v>
      </c>
      <c r="K383" s="107"/>
      <c r="L383" s="106" t="s">
        <v>2046</v>
      </c>
      <c r="M383" s="106" t="s">
        <v>45</v>
      </c>
      <c r="N383" s="108"/>
    </row>
    <row r="384">
      <c r="A384" s="105">
        <v>383.0</v>
      </c>
      <c r="B384" s="106" t="s">
        <v>218</v>
      </c>
      <c r="C384" s="106" t="s">
        <v>2369</v>
      </c>
      <c r="D384" s="107"/>
      <c r="E384" s="110"/>
      <c r="F384" s="106" t="s">
        <v>743</v>
      </c>
      <c r="G384" s="106">
        <v>3.040260551E9</v>
      </c>
      <c r="H384" s="110"/>
      <c r="I384" s="110"/>
      <c r="J384" s="111">
        <v>46230.0</v>
      </c>
      <c r="K384" s="107"/>
      <c r="L384" s="106" t="s">
        <v>2046</v>
      </c>
      <c r="M384" s="106" t="s">
        <v>45</v>
      </c>
      <c r="N384" s="108"/>
    </row>
    <row r="385">
      <c r="A385" s="105">
        <v>384.0</v>
      </c>
      <c r="B385" s="109" t="s">
        <v>231</v>
      </c>
      <c r="C385" s="109" t="s">
        <v>2370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2046</v>
      </c>
      <c r="M385" s="106" t="s">
        <v>45</v>
      </c>
      <c r="N385" s="108"/>
    </row>
    <row r="386">
      <c r="A386" s="105">
        <v>385.0</v>
      </c>
      <c r="B386" s="106" t="s">
        <v>231</v>
      </c>
      <c r="C386" s="106" t="s">
        <v>2370</v>
      </c>
      <c r="D386" s="107"/>
      <c r="E386" s="110"/>
      <c r="F386" s="106" t="s">
        <v>736</v>
      </c>
      <c r="G386" s="106">
        <v>3.040260545E9</v>
      </c>
      <c r="H386" s="110"/>
      <c r="I386" s="110"/>
      <c r="J386" s="111">
        <v>46230.0</v>
      </c>
      <c r="K386" s="107"/>
      <c r="L386" s="106" t="s">
        <v>2046</v>
      </c>
      <c r="M386" s="106" t="s">
        <v>45</v>
      </c>
      <c r="N386" s="108"/>
    </row>
    <row r="387">
      <c r="A387" s="105">
        <v>386.0</v>
      </c>
      <c r="B387" s="109" t="s">
        <v>231</v>
      </c>
      <c r="C387" s="109" t="s">
        <v>2370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2046</v>
      </c>
      <c r="M387" s="106" t="s">
        <v>45</v>
      </c>
      <c r="N387" s="108"/>
    </row>
    <row r="388">
      <c r="A388" s="105">
        <v>387.0</v>
      </c>
      <c r="B388" s="106" t="s">
        <v>226</v>
      </c>
      <c r="C388" s="106" t="s">
        <v>2370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2046</v>
      </c>
      <c r="M388" s="106" t="s">
        <v>45</v>
      </c>
      <c r="N388" s="108"/>
    </row>
    <row r="389">
      <c r="A389" s="105">
        <v>388.0</v>
      </c>
      <c r="B389" s="109" t="s">
        <v>226</v>
      </c>
      <c r="C389" s="109" t="s">
        <v>2370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657</v>
      </c>
      <c r="C390" s="106" t="s">
        <v>443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2375</v>
      </c>
      <c r="M390" s="107"/>
      <c r="N390" s="108"/>
    </row>
    <row r="391">
      <c r="A391" s="105">
        <v>390.0</v>
      </c>
      <c r="B391" s="109" t="s">
        <v>2376</v>
      </c>
      <c r="C391" s="109" t="s">
        <v>2377</v>
      </c>
      <c r="D391" s="110"/>
      <c r="E391" s="107"/>
      <c r="F391" s="106" t="s">
        <v>2378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2376</v>
      </c>
      <c r="C392" s="106" t="s">
        <v>2377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2376</v>
      </c>
      <c r="C393" s="109" t="s">
        <v>2377</v>
      </c>
      <c r="D393" s="110"/>
      <c r="E393" s="107"/>
      <c r="F393" s="106" t="s">
        <v>2379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2376</v>
      </c>
      <c r="C394" s="106" t="s">
        <v>2377</v>
      </c>
      <c r="D394" s="107"/>
      <c r="E394" s="110"/>
      <c r="F394" s="106" t="s">
        <v>2380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2382</v>
      </c>
      <c r="C395" s="109" t="s">
        <v>2383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2382</v>
      </c>
      <c r="C396" s="106" t="s">
        <v>2383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777</v>
      </c>
      <c r="C397" s="109" t="s">
        <v>2384</v>
      </c>
      <c r="D397" s="110"/>
      <c r="E397" s="107"/>
      <c r="F397" s="106" t="s">
        <v>779</v>
      </c>
      <c r="G397" s="106">
        <v>3.04026075E9</v>
      </c>
      <c r="H397" s="107"/>
      <c r="I397" s="107"/>
      <c r="J397" s="112">
        <v>46052.0</v>
      </c>
      <c r="K397" s="107"/>
      <c r="L397" s="114" t="s">
        <v>1754</v>
      </c>
      <c r="M397" s="106" t="s">
        <v>64</v>
      </c>
      <c r="N397" s="108"/>
    </row>
    <row r="398">
      <c r="A398" s="105">
        <v>397.0</v>
      </c>
      <c r="B398" s="106" t="s">
        <v>777</v>
      </c>
      <c r="C398" s="106" t="s">
        <v>2384</v>
      </c>
      <c r="D398" s="107"/>
      <c r="E398" s="110"/>
      <c r="F398" s="106" t="s">
        <v>1200</v>
      </c>
      <c r="G398" s="106">
        <v>3.040260751E9</v>
      </c>
      <c r="H398" s="110"/>
      <c r="I398" s="110"/>
      <c r="J398" s="112">
        <v>46057.0</v>
      </c>
      <c r="K398" s="107"/>
      <c r="L398" s="114" t="s">
        <v>2385</v>
      </c>
      <c r="M398" s="106" t="s">
        <v>57</v>
      </c>
      <c r="N398" s="108"/>
    </row>
    <row r="399">
      <c r="A399" s="105">
        <v>398.0</v>
      </c>
      <c r="B399" s="109" t="s">
        <v>436</v>
      </c>
      <c r="C399" s="109" t="s">
        <v>2190</v>
      </c>
      <c r="D399" s="110"/>
      <c r="E399" s="107"/>
      <c r="F399" s="106" t="s">
        <v>2206</v>
      </c>
      <c r="G399" s="107"/>
      <c r="H399" s="107"/>
      <c r="I399" s="107"/>
      <c r="J399" s="112">
        <v>46044.0</v>
      </c>
      <c r="K399" s="107"/>
      <c r="L399" s="114" t="s">
        <v>2386</v>
      </c>
      <c r="M399" s="106" t="s">
        <v>57</v>
      </c>
      <c r="N399" s="108"/>
    </row>
    <row r="400">
      <c r="A400" s="105">
        <v>399.0</v>
      </c>
      <c r="B400" s="106" t="s">
        <v>436</v>
      </c>
      <c r="C400" s="106" t="s">
        <v>2384</v>
      </c>
      <c r="D400" s="107"/>
      <c r="E400" s="110"/>
      <c r="F400" s="106" t="s">
        <v>1853</v>
      </c>
      <c r="G400" s="106">
        <v>3.040260752E9</v>
      </c>
      <c r="H400" s="110"/>
      <c r="I400" s="110"/>
      <c r="J400" s="112">
        <v>46112.0</v>
      </c>
      <c r="K400" s="107"/>
      <c r="L400" s="114" t="s">
        <v>2387</v>
      </c>
      <c r="M400" s="106" t="s">
        <v>57</v>
      </c>
      <c r="N400" s="108"/>
    </row>
    <row r="401">
      <c r="A401" s="105">
        <v>400.0</v>
      </c>
      <c r="B401" s="109" t="s">
        <v>576</v>
      </c>
      <c r="C401" s="109" t="s">
        <v>2384</v>
      </c>
      <c r="D401" s="110"/>
      <c r="E401" s="107"/>
      <c r="F401" s="106" t="s">
        <v>1110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788</v>
      </c>
      <c r="C402" s="106" t="s">
        <v>623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2388</v>
      </c>
      <c r="M402" s="107"/>
      <c r="N402" s="108"/>
    </row>
    <row r="403">
      <c r="A403" s="105">
        <v>403.0</v>
      </c>
      <c r="B403" s="109" t="s">
        <v>788</v>
      </c>
      <c r="C403" s="109" t="s">
        <v>623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2389</v>
      </c>
      <c r="M403" s="107"/>
      <c r="N403" s="108"/>
    </row>
    <row r="404">
      <c r="A404" s="105">
        <v>404.0</v>
      </c>
      <c r="B404" s="106" t="s">
        <v>788</v>
      </c>
      <c r="C404" s="106" t="s">
        <v>623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2390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2390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1970</v>
      </c>
      <c r="M406" s="106" t="s">
        <v>45</v>
      </c>
      <c r="N406" s="108"/>
    </row>
    <row r="407">
      <c r="A407" s="105">
        <v>407.0</v>
      </c>
      <c r="B407" s="109" t="s">
        <v>223</v>
      </c>
      <c r="C407" s="109" t="s">
        <v>2391</v>
      </c>
      <c r="D407" s="110"/>
      <c r="E407" s="110"/>
      <c r="F407" s="106" t="s">
        <v>794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218</v>
      </c>
      <c r="C408" s="106" t="s">
        <v>2369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1966</v>
      </c>
      <c r="M408" s="114" t="s">
        <v>45</v>
      </c>
      <c r="N408" s="108"/>
    </row>
    <row r="409">
      <c r="A409" s="105">
        <v>409.0</v>
      </c>
      <c r="B409" s="109" t="s">
        <v>283</v>
      </c>
      <c r="C409" s="109" t="s">
        <v>2392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2393</v>
      </c>
      <c r="M409" s="106" t="s">
        <v>57</v>
      </c>
      <c r="N409" s="108"/>
    </row>
    <row r="410">
      <c r="A410" s="105">
        <v>410.0</v>
      </c>
      <c r="B410" s="106" t="s">
        <v>283</v>
      </c>
      <c r="C410" s="106" t="s">
        <v>2392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2394</v>
      </c>
      <c r="M410" s="106" t="s">
        <v>45</v>
      </c>
      <c r="N410" s="108"/>
    </row>
    <row r="411">
      <c r="A411" s="105">
        <v>411.0</v>
      </c>
      <c r="B411" s="109" t="s">
        <v>806</v>
      </c>
      <c r="C411" s="109" t="s">
        <v>2308</v>
      </c>
      <c r="D411" s="110"/>
      <c r="E411" s="110"/>
      <c r="F411" s="106" t="s">
        <v>807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849</v>
      </c>
      <c r="C412" s="106" t="s">
        <v>2395</v>
      </c>
      <c r="D412" s="107"/>
      <c r="E412" s="107"/>
      <c r="F412" s="106" t="s">
        <v>850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839</v>
      </c>
      <c r="C413" s="109" t="s">
        <v>2396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2360</v>
      </c>
      <c r="M413" s="106" t="s">
        <v>45</v>
      </c>
      <c r="N413" s="108"/>
    </row>
    <row r="414">
      <c r="A414" s="105">
        <v>414.0</v>
      </c>
      <c r="B414" s="106" t="s">
        <v>408</v>
      </c>
      <c r="C414" s="106" t="s">
        <v>2398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1946</v>
      </c>
      <c r="M414" s="107"/>
      <c r="N414" s="108"/>
    </row>
    <row r="415">
      <c r="A415" s="105">
        <v>415.0</v>
      </c>
      <c r="B415" s="109" t="s">
        <v>408</v>
      </c>
      <c r="C415" s="109" t="s">
        <v>2398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1946</v>
      </c>
      <c r="M415" s="107"/>
      <c r="N415" s="108"/>
    </row>
    <row r="416">
      <c r="A416" s="105">
        <v>416.0</v>
      </c>
      <c r="B416" s="106" t="s">
        <v>824</v>
      </c>
      <c r="C416" s="106" t="s">
        <v>2399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812</v>
      </c>
      <c r="C417" s="109" t="s">
        <v>2400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2360</v>
      </c>
      <c r="M417" s="106" t="s">
        <v>45</v>
      </c>
      <c r="N417" s="108"/>
    </row>
    <row r="418">
      <c r="A418" s="105">
        <v>418.0</v>
      </c>
      <c r="B418" s="106" t="s">
        <v>818</v>
      </c>
      <c r="C418" s="106" t="s">
        <v>2308</v>
      </c>
      <c r="D418" s="107"/>
      <c r="E418" s="107"/>
      <c r="F418" s="106" t="s">
        <v>820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591</v>
      </c>
      <c r="C419" s="109" t="s">
        <v>2396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510</v>
      </c>
      <c r="C420" s="106" t="s">
        <v>623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844</v>
      </c>
      <c r="C421" s="109" t="s">
        <v>623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837</v>
      </c>
      <c r="C422" s="106" t="s">
        <v>623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788</v>
      </c>
      <c r="C423" s="109" t="s">
        <v>623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362</v>
      </c>
      <c r="C424" s="106" t="s">
        <v>363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362</v>
      </c>
      <c r="C425" s="109" t="s">
        <v>363</v>
      </c>
      <c r="D425" s="109" t="s">
        <v>2401</v>
      </c>
      <c r="E425" s="121">
        <v>2719.0</v>
      </c>
      <c r="F425" s="106" t="s">
        <v>834</v>
      </c>
      <c r="G425" s="106">
        <v>3.040261335E9</v>
      </c>
      <c r="H425" s="110"/>
      <c r="I425" s="110"/>
      <c r="J425" s="111">
        <v>46227.0</v>
      </c>
      <c r="K425" s="107"/>
      <c r="L425" s="106" t="s">
        <v>2402</v>
      </c>
      <c r="M425" s="107"/>
      <c r="N425" s="108"/>
    </row>
    <row r="426">
      <c r="A426" s="105">
        <v>426.0</v>
      </c>
      <c r="B426" s="106" t="s">
        <v>872</v>
      </c>
      <c r="C426" s="106" t="s">
        <v>2403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2404</v>
      </c>
      <c r="M426" s="106" t="s">
        <v>45</v>
      </c>
      <c r="N426" s="108"/>
    </row>
    <row r="427">
      <c r="A427" s="105">
        <v>427.0</v>
      </c>
      <c r="B427" s="109">
        <v>3034792.0</v>
      </c>
      <c r="C427" s="109" t="s">
        <v>2390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2405</v>
      </c>
      <c r="M427" s="106" t="s">
        <v>57</v>
      </c>
      <c r="N427" s="108"/>
    </row>
    <row r="428">
      <c r="A428" s="105">
        <v>428.0</v>
      </c>
      <c r="B428" s="106">
        <v>3034792.0</v>
      </c>
      <c r="C428" s="106" t="s">
        <v>2390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2406</v>
      </c>
      <c r="M428" s="107"/>
      <c r="N428" s="108"/>
    </row>
    <row r="429">
      <c r="A429" s="105">
        <v>429.0</v>
      </c>
      <c r="B429" s="109">
        <v>3034792.0</v>
      </c>
      <c r="C429" s="109" t="s">
        <v>2390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2407</v>
      </c>
      <c r="M429" s="106" t="s">
        <v>75</v>
      </c>
      <c r="N429" s="108"/>
    </row>
    <row r="430">
      <c r="A430" s="105">
        <v>430.0</v>
      </c>
      <c r="B430" s="106" t="s">
        <v>326</v>
      </c>
      <c r="C430" s="106" t="s">
        <v>2408</v>
      </c>
      <c r="D430" s="107"/>
      <c r="E430" s="107"/>
      <c r="F430" s="106" t="s">
        <v>1895</v>
      </c>
      <c r="G430" s="106">
        <v>3.040261357E9</v>
      </c>
      <c r="H430" s="107"/>
      <c r="I430" s="107"/>
      <c r="J430" s="112">
        <v>46127.0</v>
      </c>
      <c r="K430" s="107"/>
      <c r="L430" s="114" t="s">
        <v>2409</v>
      </c>
      <c r="M430" s="106" t="s">
        <v>63</v>
      </c>
      <c r="N430" s="108"/>
    </row>
    <row r="431">
      <c r="A431" s="105">
        <v>431.0</v>
      </c>
      <c r="B431" s="109" t="s">
        <v>868</v>
      </c>
      <c r="C431" s="109" t="s">
        <v>2410</v>
      </c>
      <c r="D431" s="110"/>
      <c r="E431" s="107"/>
      <c r="F431" s="106" t="s">
        <v>1899</v>
      </c>
      <c r="G431" s="106">
        <v>3.040261354E9</v>
      </c>
      <c r="H431" s="107"/>
      <c r="I431" s="107"/>
      <c r="J431" s="112">
        <v>46100.0</v>
      </c>
      <c r="K431" s="107"/>
      <c r="L431" s="114" t="s">
        <v>2411</v>
      </c>
      <c r="M431" s="106" t="s">
        <v>45</v>
      </c>
      <c r="N431" s="108"/>
    </row>
    <row r="432">
      <c r="A432" s="105">
        <v>432.0</v>
      </c>
      <c r="B432" s="106" t="s">
        <v>868</v>
      </c>
      <c r="C432" s="106" t="s">
        <v>2410</v>
      </c>
      <c r="D432" s="107"/>
      <c r="E432" s="107"/>
      <c r="F432" s="106" t="s">
        <v>870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854</v>
      </c>
      <c r="C433" s="109" t="s">
        <v>2412</v>
      </c>
      <c r="D433" s="110"/>
      <c r="E433" s="107"/>
      <c r="F433" s="106" t="s">
        <v>856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369</v>
      </c>
      <c r="C434" s="106" t="s">
        <v>2413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860</v>
      </c>
      <c r="C435" s="109" t="s">
        <v>2414</v>
      </c>
      <c r="D435" s="110"/>
      <c r="E435" s="107"/>
      <c r="F435" s="106" t="s">
        <v>2095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875</v>
      </c>
      <c r="C436" s="106" t="s">
        <v>2415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878</v>
      </c>
      <c r="C437" s="109" t="s">
        <v>2416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2360</v>
      </c>
      <c r="M437" s="106" t="s">
        <v>45</v>
      </c>
      <c r="N437" s="108"/>
    </row>
    <row r="438">
      <c r="A438" s="105">
        <v>438.0</v>
      </c>
      <c r="B438" s="106" t="s">
        <v>878</v>
      </c>
      <c r="C438" s="106" t="s">
        <v>2416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884</v>
      </c>
      <c r="C439" s="109" t="s">
        <v>2417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884</v>
      </c>
      <c r="C440" s="106" t="s">
        <v>2417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2390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697</v>
      </c>
      <c r="C442" s="106" t="s">
        <v>2353</v>
      </c>
      <c r="D442" s="107"/>
      <c r="E442" s="107"/>
      <c r="F442" s="106" t="s">
        <v>1920</v>
      </c>
      <c r="G442" s="106">
        <v>3.040262273E9</v>
      </c>
      <c r="H442" s="107"/>
      <c r="I442" s="107"/>
      <c r="J442" s="112">
        <v>46176.0</v>
      </c>
      <c r="K442" s="107"/>
      <c r="L442" s="114" t="s">
        <v>2418</v>
      </c>
      <c r="M442" s="106" t="s">
        <v>60</v>
      </c>
      <c r="N442" s="108"/>
    </row>
    <row r="443">
      <c r="A443" s="105">
        <v>443.0</v>
      </c>
      <c r="B443" s="109" t="s">
        <v>697</v>
      </c>
      <c r="C443" s="109" t="s">
        <v>2353</v>
      </c>
      <c r="D443" s="110"/>
      <c r="E443" s="107"/>
      <c r="F443" s="106" t="s">
        <v>1919</v>
      </c>
      <c r="G443" s="106">
        <v>3.040262275E9</v>
      </c>
      <c r="H443" s="107"/>
      <c r="I443" s="107"/>
      <c r="J443" s="112">
        <v>46176.0</v>
      </c>
      <c r="K443" s="107"/>
      <c r="L443" s="114" t="s">
        <v>2418</v>
      </c>
      <c r="M443" s="106" t="s">
        <v>60</v>
      </c>
      <c r="N443" s="108"/>
    </row>
    <row r="444">
      <c r="A444" s="105">
        <v>444.0</v>
      </c>
      <c r="B444" s="106" t="s">
        <v>1068</v>
      </c>
      <c r="C444" s="106" t="s">
        <v>2085</v>
      </c>
      <c r="D444" s="107"/>
      <c r="E444" s="107"/>
      <c r="F444" s="106" t="s">
        <v>1915</v>
      </c>
      <c r="G444" s="106">
        <v>3.040262245E9</v>
      </c>
      <c r="H444" s="107"/>
      <c r="I444" s="107"/>
      <c r="J444" s="112">
        <v>46155.0</v>
      </c>
      <c r="K444" s="107"/>
      <c r="L444" s="114" t="s">
        <v>2357</v>
      </c>
      <c r="M444" s="106" t="s">
        <v>60</v>
      </c>
      <c r="N444" s="108"/>
    </row>
    <row r="445">
      <c r="A445" s="105">
        <v>445.0</v>
      </c>
      <c r="B445" s="109" t="s">
        <v>1068</v>
      </c>
      <c r="C445" s="109" t="s">
        <v>2085</v>
      </c>
      <c r="D445" s="110"/>
      <c r="E445" s="107"/>
      <c r="F445" s="106" t="s">
        <v>1918</v>
      </c>
      <c r="G445" s="106">
        <v>3.040262246E9</v>
      </c>
      <c r="H445" s="107"/>
      <c r="I445" s="107"/>
      <c r="J445" s="112">
        <v>46155.0</v>
      </c>
      <c r="K445" s="107"/>
      <c r="L445" s="114" t="s">
        <v>2419</v>
      </c>
      <c r="M445" s="107"/>
      <c r="N445" s="108"/>
    </row>
    <row r="446">
      <c r="A446" s="105">
        <v>446.0</v>
      </c>
      <c r="B446" s="106" t="s">
        <v>84</v>
      </c>
      <c r="C446" s="106" t="s">
        <v>2214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313</v>
      </c>
      <c r="C447" s="109" t="s">
        <v>2420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2421</v>
      </c>
      <c r="M447" s="106" t="s">
        <v>70</v>
      </c>
      <c r="N447" s="108"/>
    </row>
    <row r="448">
      <c r="A448" s="105">
        <v>448.0</v>
      </c>
      <c r="B448" s="106" t="s">
        <v>313</v>
      </c>
      <c r="C448" s="106" t="s">
        <v>2420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2422</v>
      </c>
      <c r="M448" s="106" t="s">
        <v>60</v>
      </c>
      <c r="N448" s="108"/>
    </row>
    <row r="449">
      <c r="A449" s="105">
        <v>449.0</v>
      </c>
      <c r="B449" s="109" t="s">
        <v>313</v>
      </c>
      <c r="C449" s="109" t="s">
        <v>2420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100</v>
      </c>
      <c r="C450" s="106" t="s">
        <v>2424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717</v>
      </c>
      <c r="C451" s="109" t="s">
        <v>2424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283</v>
      </c>
      <c r="C452" s="106" t="s">
        <v>2392</v>
      </c>
      <c r="D452" s="107"/>
      <c r="E452" s="107"/>
      <c r="F452" s="106" t="s">
        <v>896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326</v>
      </c>
      <c r="C453" s="109" t="s">
        <v>2425</v>
      </c>
      <c r="D453" s="110"/>
      <c r="E453" s="107"/>
      <c r="F453" s="106" t="s">
        <v>1821</v>
      </c>
      <c r="G453" s="106">
        <v>3.040262966E9</v>
      </c>
      <c r="H453" s="107"/>
      <c r="I453" s="107"/>
      <c r="J453" s="112">
        <v>46175.0</v>
      </c>
      <c r="K453" s="107"/>
      <c r="L453" s="114" t="s">
        <v>2283</v>
      </c>
      <c r="M453" s="106" t="s">
        <v>45</v>
      </c>
      <c r="N453" s="108"/>
    </row>
    <row r="454">
      <c r="A454" s="105">
        <v>454.0</v>
      </c>
      <c r="B454" s="106" t="s">
        <v>326</v>
      </c>
      <c r="C454" s="106" t="s">
        <v>2425</v>
      </c>
      <c r="D454" s="107"/>
      <c r="E454" s="107"/>
      <c r="F454" s="106" t="s">
        <v>976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326</v>
      </c>
      <c r="C455" s="109" t="s">
        <v>2425</v>
      </c>
      <c r="D455" s="110"/>
      <c r="E455" s="107"/>
      <c r="F455" s="106" t="s">
        <v>974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326</v>
      </c>
      <c r="C456" s="106" t="s">
        <v>2425</v>
      </c>
      <c r="D456" s="107"/>
      <c r="E456" s="107"/>
      <c r="F456" s="106" t="s">
        <v>1823</v>
      </c>
      <c r="G456" s="106">
        <v>3.040262969E9</v>
      </c>
      <c r="H456" s="107"/>
      <c r="I456" s="107"/>
      <c r="J456" s="112">
        <v>46175.0</v>
      </c>
      <c r="K456" s="107"/>
      <c r="L456" s="114" t="s">
        <v>2283</v>
      </c>
      <c r="M456" s="106" t="s">
        <v>45</v>
      </c>
      <c r="N456" s="108"/>
    </row>
    <row r="457">
      <c r="A457" s="105">
        <v>457.0</v>
      </c>
      <c r="B457" s="109" t="s">
        <v>796</v>
      </c>
      <c r="C457" s="109" t="s">
        <v>2426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796</v>
      </c>
      <c r="C458" s="106" t="s">
        <v>2426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796</v>
      </c>
      <c r="C459" s="109" t="s">
        <v>2426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684</v>
      </c>
      <c r="C460" s="106" t="s">
        <v>2339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2427</v>
      </c>
      <c r="M460" s="106" t="s">
        <v>64</v>
      </c>
      <c r="N460" s="108"/>
    </row>
    <row r="461">
      <c r="A461" s="105">
        <v>461.0</v>
      </c>
      <c r="B461" s="109" t="s">
        <v>684</v>
      </c>
      <c r="C461" s="109" t="s">
        <v>2339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1795</v>
      </c>
      <c r="M461" s="107"/>
      <c r="N461" s="108"/>
    </row>
    <row r="462">
      <c r="A462" s="105">
        <v>462.0</v>
      </c>
      <c r="B462" s="106" t="s">
        <v>482</v>
      </c>
      <c r="C462" s="106" t="s">
        <v>2428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482</v>
      </c>
      <c r="C463" s="109" t="s">
        <v>2428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923</v>
      </c>
      <c r="C464" s="106" t="s">
        <v>2429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345</v>
      </c>
      <c r="C465" s="109" t="s">
        <v>2430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658</v>
      </c>
      <c r="C466" s="106" t="s">
        <v>2431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2360</v>
      </c>
      <c r="M466" s="106" t="s">
        <v>45</v>
      </c>
      <c r="N466" s="108"/>
    </row>
    <row r="467">
      <c r="A467" s="105">
        <v>467.0</v>
      </c>
      <c r="B467" s="109" t="s">
        <v>413</v>
      </c>
      <c r="C467" s="109" t="s">
        <v>2275</v>
      </c>
      <c r="D467" s="110"/>
      <c r="E467" s="107"/>
      <c r="F467" s="106" t="s">
        <v>910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413</v>
      </c>
      <c r="C468" s="106" t="s">
        <v>2275</v>
      </c>
      <c r="D468" s="107"/>
      <c r="E468" s="107"/>
      <c r="F468" s="106" t="s">
        <v>906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413</v>
      </c>
      <c r="C469" s="109" t="s">
        <v>2275</v>
      </c>
      <c r="D469" s="110"/>
      <c r="E469" s="107"/>
      <c r="F469" s="106" t="s">
        <v>912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898</v>
      </c>
      <c r="C470" s="106" t="s">
        <v>2275</v>
      </c>
      <c r="D470" s="107"/>
      <c r="E470" s="107"/>
      <c r="F470" s="106" t="s">
        <v>900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277</v>
      </c>
      <c r="C471" s="109" t="s">
        <v>2085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277</v>
      </c>
      <c r="C472" s="106" t="s">
        <v>2085</v>
      </c>
      <c r="D472" s="107"/>
      <c r="E472" s="107"/>
      <c r="F472" s="106" t="s">
        <v>1803</v>
      </c>
      <c r="G472" s="106">
        <v>3.040262639E9</v>
      </c>
      <c r="H472" s="107"/>
      <c r="I472" s="107"/>
      <c r="J472" s="112">
        <v>46175.0</v>
      </c>
      <c r="K472" s="107"/>
      <c r="L472" s="114" t="s">
        <v>2283</v>
      </c>
      <c r="M472" s="106" t="s">
        <v>45</v>
      </c>
      <c r="N472" s="108"/>
    </row>
    <row r="473">
      <c r="A473" s="105">
        <v>473.0</v>
      </c>
      <c r="B473" s="109" t="s">
        <v>277</v>
      </c>
      <c r="C473" s="109" t="s">
        <v>2085</v>
      </c>
      <c r="D473" s="110"/>
      <c r="E473" s="107"/>
      <c r="F473" s="106" t="s">
        <v>1805</v>
      </c>
      <c r="G473" s="106">
        <v>3.040262646E9</v>
      </c>
      <c r="H473" s="107"/>
      <c r="I473" s="107"/>
      <c r="J473" s="112">
        <v>46175.0</v>
      </c>
      <c r="K473" s="107"/>
      <c r="L473" s="114" t="s">
        <v>2283</v>
      </c>
      <c r="M473" s="106" t="s">
        <v>45</v>
      </c>
      <c r="N473" s="108"/>
    </row>
    <row r="474">
      <c r="A474" s="105">
        <v>474.0</v>
      </c>
      <c r="B474" s="106" t="s">
        <v>949</v>
      </c>
      <c r="C474" s="106" t="s">
        <v>2432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2046</v>
      </c>
      <c r="M474" s="106" t="s">
        <v>45</v>
      </c>
      <c r="N474" s="108"/>
    </row>
    <row r="475">
      <c r="A475" s="105">
        <v>475.0</v>
      </c>
      <c r="B475" s="109" t="s">
        <v>949</v>
      </c>
      <c r="C475" s="109" t="s">
        <v>2432</v>
      </c>
      <c r="D475" s="110"/>
      <c r="E475" s="107"/>
      <c r="F475" s="106" t="s">
        <v>2433</v>
      </c>
      <c r="G475" s="106">
        <v>3.040262707E9</v>
      </c>
      <c r="H475" s="107"/>
      <c r="I475" s="107"/>
      <c r="J475" s="112">
        <v>46175.0</v>
      </c>
      <c r="K475" s="107"/>
      <c r="L475" s="114" t="s">
        <v>1797</v>
      </c>
      <c r="M475" s="107"/>
      <c r="N475" s="108"/>
    </row>
    <row r="476">
      <c r="A476" s="105">
        <v>476.0</v>
      </c>
      <c r="B476" s="106" t="s">
        <v>949</v>
      </c>
      <c r="C476" s="106" t="s">
        <v>2432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1797</v>
      </c>
      <c r="M476" s="107"/>
      <c r="N476" s="108"/>
    </row>
    <row r="477">
      <c r="A477" s="105">
        <v>477.0</v>
      </c>
      <c r="B477" s="109" t="s">
        <v>949</v>
      </c>
      <c r="C477" s="109" t="s">
        <v>2432</v>
      </c>
      <c r="D477" s="110"/>
      <c r="E477" s="107"/>
      <c r="F477" s="106" t="s">
        <v>2434</v>
      </c>
      <c r="G477" s="106">
        <v>3.040262712E9</v>
      </c>
      <c r="H477" s="107"/>
      <c r="I477" s="107"/>
      <c r="J477" s="112">
        <v>46175.0</v>
      </c>
      <c r="K477" s="107"/>
      <c r="L477" s="114" t="s">
        <v>1797</v>
      </c>
      <c r="M477" s="107"/>
      <c r="N477" s="108"/>
    </row>
    <row r="478">
      <c r="A478" s="105">
        <v>478.0</v>
      </c>
      <c r="B478" s="106" t="s">
        <v>949</v>
      </c>
      <c r="C478" s="106" t="s">
        <v>2432</v>
      </c>
      <c r="D478" s="107"/>
      <c r="E478" s="107"/>
      <c r="F478" s="106" t="s">
        <v>2435</v>
      </c>
      <c r="G478" s="106">
        <v>3.040262708E9</v>
      </c>
      <c r="H478" s="107"/>
      <c r="I478" s="107"/>
      <c r="J478" s="111">
        <v>46230.0</v>
      </c>
      <c r="K478" s="107"/>
      <c r="L478" s="106" t="s">
        <v>2046</v>
      </c>
      <c r="M478" s="106" t="s">
        <v>45</v>
      </c>
      <c r="N478" s="108"/>
    </row>
    <row r="479">
      <c r="A479" s="105">
        <v>479.0</v>
      </c>
      <c r="B479" s="109" t="s">
        <v>949</v>
      </c>
      <c r="C479" s="109" t="s">
        <v>2432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1797</v>
      </c>
      <c r="M479" s="107"/>
      <c r="N479" s="108"/>
    </row>
    <row r="480">
      <c r="A480" s="105">
        <v>480.0</v>
      </c>
      <c r="B480" s="106" t="s">
        <v>949</v>
      </c>
      <c r="C480" s="106" t="s">
        <v>2432</v>
      </c>
      <c r="D480" s="107"/>
      <c r="E480" s="107"/>
      <c r="F480" s="106" t="s">
        <v>951</v>
      </c>
      <c r="G480" s="106">
        <v>3.040262713E9</v>
      </c>
      <c r="H480" s="107"/>
      <c r="I480" s="107"/>
      <c r="J480" s="112">
        <v>46175.0</v>
      </c>
      <c r="K480" s="107"/>
      <c r="L480" s="114" t="s">
        <v>1797</v>
      </c>
      <c r="M480" s="107"/>
      <c r="N480" s="108"/>
    </row>
    <row r="481">
      <c r="A481" s="105">
        <v>481.0</v>
      </c>
      <c r="B481" s="109" t="s">
        <v>949</v>
      </c>
      <c r="C481" s="109" t="s">
        <v>2432</v>
      </c>
      <c r="D481" s="110"/>
      <c r="E481" s="107"/>
      <c r="F481" s="106" t="s">
        <v>959</v>
      </c>
      <c r="G481" s="106">
        <v>3.040262714E9</v>
      </c>
      <c r="H481" s="107"/>
      <c r="I481" s="107"/>
      <c r="J481" s="112">
        <v>46175.0</v>
      </c>
      <c r="K481" s="107"/>
      <c r="L481" s="114" t="s">
        <v>1797</v>
      </c>
      <c r="M481" s="107"/>
      <c r="N481" s="108"/>
    </row>
    <row r="482">
      <c r="A482" s="105">
        <v>482.0</v>
      </c>
      <c r="B482" s="106" t="s">
        <v>949</v>
      </c>
      <c r="C482" s="106" t="s">
        <v>2432</v>
      </c>
      <c r="D482" s="107"/>
      <c r="E482" s="107"/>
      <c r="F482" s="106" t="s">
        <v>2437</v>
      </c>
      <c r="G482" s="106">
        <v>3.040262717E9</v>
      </c>
      <c r="H482" s="107"/>
      <c r="I482" s="107"/>
      <c r="J482" s="111">
        <v>46230.0</v>
      </c>
      <c r="K482" s="107"/>
      <c r="L482" s="106" t="s">
        <v>2046</v>
      </c>
      <c r="M482" s="106" t="s">
        <v>45</v>
      </c>
      <c r="N482" s="108"/>
    </row>
    <row r="483">
      <c r="A483" s="105">
        <v>483.0</v>
      </c>
      <c r="B483" s="109" t="s">
        <v>684</v>
      </c>
      <c r="C483" s="109" t="s">
        <v>2438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684</v>
      </c>
      <c r="C484" s="106" t="s">
        <v>2438</v>
      </c>
      <c r="D484" s="106" t="s">
        <v>2263</v>
      </c>
      <c r="E484" s="122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2439</v>
      </c>
      <c r="M484" s="106" t="s">
        <v>57</v>
      </c>
      <c r="N484" s="108"/>
    </row>
    <row r="485">
      <c r="A485" s="105">
        <v>485.0</v>
      </c>
      <c r="B485" s="109" t="s">
        <v>965</v>
      </c>
      <c r="C485" s="109" t="s">
        <v>2190</v>
      </c>
      <c r="D485" s="110"/>
      <c r="E485" s="104"/>
      <c r="F485" s="106" t="s">
        <v>967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147</v>
      </c>
      <c r="C486" s="106" t="s">
        <v>2440</v>
      </c>
      <c r="D486" s="107"/>
      <c r="E486" s="104"/>
      <c r="F486" s="106" t="s">
        <v>969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556</v>
      </c>
      <c r="C487" s="109" t="s">
        <v>2441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456</v>
      </c>
      <c r="C488" s="106" t="s">
        <v>2442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456</v>
      </c>
      <c r="C489" s="109" t="s">
        <v>2442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2404</v>
      </c>
      <c r="M489" s="106" t="s">
        <v>45</v>
      </c>
      <c r="N489" s="108"/>
    </row>
    <row r="490">
      <c r="A490" s="105">
        <v>490.0</v>
      </c>
      <c r="B490" s="106" t="s">
        <v>231</v>
      </c>
      <c r="C490" s="106" t="s">
        <v>2443</v>
      </c>
      <c r="D490" s="107"/>
      <c r="E490" s="104"/>
      <c r="F490" s="106" t="s">
        <v>933</v>
      </c>
      <c r="G490" s="106">
        <v>3.04026263E9</v>
      </c>
      <c r="H490" s="104"/>
      <c r="I490" s="104"/>
      <c r="J490" s="111">
        <v>46230.0</v>
      </c>
      <c r="K490" s="107"/>
      <c r="L490" s="106" t="s">
        <v>2046</v>
      </c>
      <c r="M490" s="106" t="s">
        <v>45</v>
      </c>
      <c r="N490" s="108"/>
    </row>
    <row r="491">
      <c r="A491" s="105">
        <v>491.0</v>
      </c>
      <c r="B491" s="109" t="s">
        <v>335</v>
      </c>
      <c r="C491" s="109" t="s">
        <v>2443</v>
      </c>
      <c r="D491" s="110"/>
      <c r="E491" s="104"/>
      <c r="F491" s="106" t="s">
        <v>938</v>
      </c>
      <c r="G491" s="106">
        <v>3.040262634E9</v>
      </c>
      <c r="H491" s="104"/>
      <c r="I491" s="104"/>
      <c r="J491" s="111">
        <v>46230.0</v>
      </c>
      <c r="K491" s="107"/>
      <c r="L491" s="106" t="s">
        <v>2046</v>
      </c>
      <c r="M491" s="106" t="s">
        <v>45</v>
      </c>
      <c r="N491" s="108"/>
    </row>
    <row r="492">
      <c r="A492" s="105">
        <v>492.0</v>
      </c>
      <c r="B492" s="106" t="s">
        <v>2444</v>
      </c>
      <c r="C492" s="106" t="s">
        <v>2431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337</v>
      </c>
      <c r="C493" s="109" t="s">
        <v>2445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226</v>
      </c>
      <c r="C494" s="106" t="s">
        <v>2443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226</v>
      </c>
      <c r="C495" s="109" t="s">
        <v>2443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218</v>
      </c>
      <c r="C496" s="106" t="s">
        <v>2443</v>
      </c>
      <c r="D496" s="107"/>
      <c r="E496" s="104"/>
      <c r="F496" s="106" t="s">
        <v>2446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218</v>
      </c>
      <c r="C497" s="109" t="s">
        <v>2443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218</v>
      </c>
      <c r="C498" s="106" t="s">
        <v>2443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291</v>
      </c>
      <c r="C499" s="109" t="s">
        <v>2447</v>
      </c>
      <c r="D499" s="110"/>
      <c r="E499" s="104"/>
      <c r="F499" s="106" t="s">
        <v>1002</v>
      </c>
      <c r="G499" s="106">
        <v>3.040263286E9</v>
      </c>
      <c r="H499" s="104"/>
      <c r="I499" s="104"/>
      <c r="J499" s="111">
        <v>46230.0</v>
      </c>
      <c r="K499" s="107"/>
      <c r="L499" s="106" t="s">
        <v>2360</v>
      </c>
      <c r="M499" s="106" t="s">
        <v>45</v>
      </c>
      <c r="N499" s="108"/>
    </row>
    <row r="500">
      <c r="A500" s="105">
        <v>500.0</v>
      </c>
      <c r="B500" s="106" t="s">
        <v>1008</v>
      </c>
      <c r="C500" s="106" t="s">
        <v>2447</v>
      </c>
      <c r="D500" s="107"/>
      <c r="E500" s="104"/>
      <c r="F500" s="106" t="s">
        <v>1009</v>
      </c>
      <c r="G500" s="106">
        <v>3.040263327E9</v>
      </c>
      <c r="H500" s="104"/>
      <c r="I500" s="104"/>
      <c r="J500" s="111">
        <v>46230.0</v>
      </c>
      <c r="K500" s="107"/>
      <c r="L500" s="106" t="s">
        <v>2360</v>
      </c>
      <c r="M500" s="106" t="s">
        <v>45</v>
      </c>
      <c r="N500" s="108"/>
    </row>
    <row r="501">
      <c r="A501" s="105">
        <v>501.0</v>
      </c>
      <c r="B501" s="109" t="s">
        <v>1008</v>
      </c>
      <c r="C501" s="109" t="s">
        <v>2447</v>
      </c>
      <c r="D501" s="110"/>
      <c r="E501" s="104"/>
      <c r="F501" s="106" t="s">
        <v>1021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1008</v>
      </c>
      <c r="C502" s="106" t="s">
        <v>2447</v>
      </c>
      <c r="D502" s="107"/>
      <c r="E502" s="104"/>
      <c r="F502" s="106" t="s">
        <v>1019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1008</v>
      </c>
      <c r="C503" s="109" t="s">
        <v>2447</v>
      </c>
      <c r="D503" s="110"/>
      <c r="E503" s="104"/>
      <c r="F503" s="106" t="s">
        <v>1015</v>
      </c>
      <c r="G503" s="106">
        <v>3.04026333E9</v>
      </c>
      <c r="H503" s="104"/>
      <c r="I503" s="104"/>
      <c r="J503" s="111">
        <v>46230.0</v>
      </c>
      <c r="K503" s="107"/>
      <c r="L503" s="106" t="s">
        <v>2360</v>
      </c>
      <c r="M503" s="106" t="s">
        <v>45</v>
      </c>
      <c r="N503" s="108"/>
    </row>
    <row r="504">
      <c r="A504" s="105">
        <v>504.0</v>
      </c>
      <c r="B504" s="106" t="s">
        <v>1008</v>
      </c>
      <c r="C504" s="106" t="s">
        <v>2447</v>
      </c>
      <c r="D504" s="107"/>
      <c r="E504" s="104"/>
      <c r="F504" s="106" t="s">
        <v>1017</v>
      </c>
      <c r="G504" s="106">
        <v>3.040263331E9</v>
      </c>
      <c r="H504" s="104"/>
      <c r="I504" s="104"/>
      <c r="J504" s="111">
        <v>46230.0</v>
      </c>
      <c r="K504" s="107"/>
      <c r="L504" s="106" t="s">
        <v>2360</v>
      </c>
      <c r="M504" s="106" t="s">
        <v>45</v>
      </c>
      <c r="N504" s="108"/>
    </row>
    <row r="505">
      <c r="A505" s="105">
        <v>505.0</v>
      </c>
      <c r="B505" s="109" t="s">
        <v>251</v>
      </c>
      <c r="C505" s="109" t="s">
        <v>2448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2449</v>
      </c>
      <c r="M505" s="107"/>
      <c r="N505" s="108"/>
    </row>
    <row r="506">
      <c r="A506" s="105">
        <v>506.0</v>
      </c>
      <c r="B506" s="106" t="s">
        <v>251</v>
      </c>
      <c r="C506" s="106" t="s">
        <v>2448</v>
      </c>
      <c r="D506" s="106" t="s">
        <v>2273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2450</v>
      </c>
      <c r="M506" s="106" t="s">
        <v>143</v>
      </c>
      <c r="N506" s="108"/>
    </row>
    <row r="507">
      <c r="A507" s="105">
        <v>507.0</v>
      </c>
      <c r="B507" s="109" t="s">
        <v>313</v>
      </c>
      <c r="C507" s="109" t="s">
        <v>2451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1011</v>
      </c>
      <c r="C508" s="106" t="s">
        <v>2452</v>
      </c>
      <c r="D508" s="106" t="s">
        <v>2401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2453</v>
      </c>
      <c r="M508" s="106" t="s">
        <v>63</v>
      </c>
      <c r="N508" s="108"/>
    </row>
    <row r="509">
      <c r="A509" s="105">
        <v>509.0</v>
      </c>
      <c r="B509" s="109" t="s">
        <v>199</v>
      </c>
      <c r="C509" s="109" t="s">
        <v>2454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2455</v>
      </c>
      <c r="M509" s="106" t="s">
        <v>57</v>
      </c>
      <c r="N509" s="108"/>
    </row>
    <row r="510">
      <c r="A510" s="105">
        <v>510.0</v>
      </c>
      <c r="B510" s="106" t="s">
        <v>986</v>
      </c>
      <c r="C510" s="106" t="s">
        <v>2456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2457</v>
      </c>
      <c r="M510" s="106" t="s">
        <v>64</v>
      </c>
      <c r="N510" s="108"/>
    </row>
    <row r="511">
      <c r="A511" s="105">
        <v>511.0</v>
      </c>
      <c r="B511" s="109" t="s">
        <v>1011</v>
      </c>
      <c r="C511" s="109" t="s">
        <v>2452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1011</v>
      </c>
      <c r="C512" s="106" t="s">
        <v>2452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251</v>
      </c>
      <c r="C513" s="109" t="s">
        <v>2448</v>
      </c>
      <c r="D513" s="109" t="s">
        <v>2273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2458</v>
      </c>
      <c r="M513" s="106" t="s">
        <v>64</v>
      </c>
      <c r="N513" s="108"/>
    </row>
    <row r="514">
      <c r="A514" s="105">
        <v>514.0</v>
      </c>
      <c r="B514" s="106" t="s">
        <v>251</v>
      </c>
      <c r="C514" s="106" t="s">
        <v>2448</v>
      </c>
      <c r="D514" s="106" t="s">
        <v>2273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2459</v>
      </c>
      <c r="M514" s="106" t="s">
        <v>64</v>
      </c>
      <c r="N514" s="108"/>
    </row>
    <row r="515">
      <c r="A515" s="105">
        <v>515.0</v>
      </c>
      <c r="B515" s="109" t="s">
        <v>313</v>
      </c>
      <c r="C515" s="109" t="s">
        <v>2460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199</v>
      </c>
      <c r="C516" s="106" t="s">
        <v>2454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199</v>
      </c>
      <c r="C517" s="109" t="s">
        <v>2454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2427</v>
      </c>
      <c r="M517" s="106" t="s">
        <v>64</v>
      </c>
      <c r="N517" s="108"/>
    </row>
    <row r="518">
      <c r="A518" s="105">
        <v>518.0</v>
      </c>
      <c r="B518" s="106" t="s">
        <v>986</v>
      </c>
      <c r="C518" s="106" t="s">
        <v>2456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291</v>
      </c>
      <c r="C519" s="109" t="s">
        <v>2447</v>
      </c>
      <c r="D519" s="110"/>
      <c r="E519" s="104"/>
      <c r="F519" s="106" t="s">
        <v>993</v>
      </c>
      <c r="G519" s="106">
        <v>3.040263287E9</v>
      </c>
      <c r="H519" s="104"/>
      <c r="I519" s="104"/>
      <c r="J519" s="111">
        <v>46230.0</v>
      </c>
      <c r="K519" s="107"/>
      <c r="L519" s="106" t="s">
        <v>2404</v>
      </c>
      <c r="M519" s="106" t="s">
        <v>45</v>
      </c>
      <c r="N519" s="108"/>
    </row>
    <row r="520">
      <c r="A520" s="105">
        <v>520.0</v>
      </c>
      <c r="B520" s="106" t="s">
        <v>291</v>
      </c>
      <c r="C520" s="106" t="s">
        <v>2447</v>
      </c>
      <c r="D520" s="107"/>
      <c r="E520" s="104"/>
      <c r="F520" s="106" t="s">
        <v>990</v>
      </c>
      <c r="G520" s="106">
        <v>3.040263288E9</v>
      </c>
      <c r="H520" s="104"/>
      <c r="I520" s="104"/>
      <c r="J520" s="111">
        <v>46230.0</v>
      </c>
      <c r="K520" s="107"/>
      <c r="L520" s="106" t="s">
        <v>2404</v>
      </c>
      <c r="M520" s="106" t="s">
        <v>45</v>
      </c>
      <c r="N520" s="108"/>
    </row>
    <row r="521">
      <c r="A521" s="105">
        <v>521.0</v>
      </c>
      <c r="B521" s="109" t="s">
        <v>313</v>
      </c>
      <c r="C521" s="109" t="s">
        <v>2460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2046</v>
      </c>
      <c r="M521" s="106" t="s">
        <v>45</v>
      </c>
      <c r="N521" s="108"/>
    </row>
    <row r="522">
      <c r="A522" s="105">
        <v>522.0</v>
      </c>
      <c r="B522" s="106" t="s">
        <v>440</v>
      </c>
      <c r="C522" s="106" t="s">
        <v>2461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2046</v>
      </c>
      <c r="M522" s="106" t="s">
        <v>45</v>
      </c>
      <c r="N522" s="108"/>
    </row>
    <row r="523">
      <c r="A523" s="105">
        <v>523.0</v>
      </c>
      <c r="B523" s="109" t="s">
        <v>440</v>
      </c>
      <c r="C523" s="109" t="s">
        <v>2461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2046</v>
      </c>
      <c r="M523" s="106" t="s">
        <v>45</v>
      </c>
      <c r="N523" s="108"/>
    </row>
    <row r="524">
      <c r="A524" s="105">
        <v>524.0</v>
      </c>
      <c r="B524" s="106" t="s">
        <v>199</v>
      </c>
      <c r="C524" s="106" t="s">
        <v>2454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986</v>
      </c>
      <c r="C525" s="109" t="s">
        <v>2456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84</v>
      </c>
      <c r="C526" s="106" t="s">
        <v>2214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2462</v>
      </c>
      <c r="M526" s="107"/>
      <c r="N526" s="108"/>
    </row>
    <row r="527">
      <c r="A527" s="105">
        <v>527.0</v>
      </c>
      <c r="B527" s="109" t="s">
        <v>436</v>
      </c>
      <c r="C527" s="109" t="s">
        <v>2190</v>
      </c>
      <c r="D527" s="110"/>
      <c r="E527" s="104"/>
      <c r="F527" s="106" t="s">
        <v>1037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436</v>
      </c>
      <c r="C528" s="106" t="s">
        <v>2190</v>
      </c>
      <c r="D528" s="107"/>
      <c r="E528" s="104"/>
      <c r="F528" s="106" t="s">
        <v>1035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986</v>
      </c>
      <c r="C529" s="109" t="s">
        <v>1976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986</v>
      </c>
      <c r="C530" s="106" t="s">
        <v>1976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2464</v>
      </c>
      <c r="M530" s="106" t="s">
        <v>64</v>
      </c>
      <c r="N530" s="108"/>
    </row>
    <row r="531">
      <c r="A531" s="105">
        <v>531.0</v>
      </c>
      <c r="B531" s="109" t="s">
        <v>986</v>
      </c>
      <c r="C531" s="109" t="s">
        <v>1976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286</v>
      </c>
      <c r="C532" s="106" t="s">
        <v>2465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286</v>
      </c>
      <c r="C533" s="109" t="s">
        <v>2465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286</v>
      </c>
      <c r="C534" s="106" t="s">
        <v>2465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2360</v>
      </c>
      <c r="M534" s="106" t="s">
        <v>45</v>
      </c>
      <c r="N534" s="108"/>
    </row>
    <row r="535">
      <c r="A535" s="105">
        <v>535.0</v>
      </c>
      <c r="B535" s="109" t="s">
        <v>418</v>
      </c>
      <c r="C535" s="109" t="s">
        <v>2466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452</v>
      </c>
      <c r="C536" s="106" t="s">
        <v>2396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452</v>
      </c>
      <c r="C537" s="109" t="s">
        <v>2396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452</v>
      </c>
      <c r="C538" s="106" t="s">
        <v>2396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1840</v>
      </c>
      <c r="M538" s="106" t="s">
        <v>57</v>
      </c>
      <c r="N538" s="108"/>
    </row>
    <row r="539">
      <c r="A539" s="105">
        <v>539.0</v>
      </c>
      <c r="B539" s="109" t="s">
        <v>302</v>
      </c>
      <c r="C539" s="109" t="s">
        <v>2467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302</v>
      </c>
      <c r="C540" s="106" t="s">
        <v>2467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302</v>
      </c>
      <c r="C541" s="109" t="s">
        <v>2467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2468</v>
      </c>
      <c r="M541" s="107"/>
      <c r="N541" s="108"/>
    </row>
    <row r="542">
      <c r="A542" s="105">
        <v>542.0</v>
      </c>
      <c r="B542" s="106" t="s">
        <v>1048</v>
      </c>
      <c r="C542" s="106" t="s">
        <v>2448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2360</v>
      </c>
      <c r="M542" s="106" t="s">
        <v>45</v>
      </c>
      <c r="N542" s="108"/>
    </row>
    <row r="543">
      <c r="A543" s="105">
        <v>543.0</v>
      </c>
      <c r="B543" s="109" t="s">
        <v>1048</v>
      </c>
      <c r="C543" s="109" t="s">
        <v>2448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949</v>
      </c>
      <c r="C544" s="106" t="s">
        <v>2469</v>
      </c>
      <c r="D544" s="107"/>
      <c r="E544" s="104"/>
      <c r="F544" s="106" t="s">
        <v>1055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949</v>
      </c>
      <c r="C545" s="109" t="s">
        <v>2469</v>
      </c>
      <c r="D545" s="110"/>
      <c r="E545" s="104"/>
      <c r="F545" s="106" t="s">
        <v>1846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684</v>
      </c>
      <c r="C546" s="106" t="s">
        <v>2470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684</v>
      </c>
      <c r="C547" s="109" t="s">
        <v>2470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684</v>
      </c>
      <c r="C548" s="106" t="s">
        <v>2470</v>
      </c>
      <c r="D548" s="106" t="s">
        <v>2263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2471</v>
      </c>
      <c r="M548" s="106" t="s">
        <v>70</v>
      </c>
      <c r="N548" s="108"/>
    </row>
    <row r="549">
      <c r="A549" s="105">
        <v>549.0</v>
      </c>
      <c r="B549" s="109" t="s">
        <v>199</v>
      </c>
      <c r="C549" s="109" t="s">
        <v>2454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579</v>
      </c>
      <c r="C550" s="106" t="s">
        <v>2472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579</v>
      </c>
      <c r="C551" s="109" t="s">
        <v>2472</v>
      </c>
      <c r="D551" s="110"/>
      <c r="E551" s="104"/>
      <c r="F551" s="106" t="s">
        <v>1849</v>
      </c>
      <c r="G551" s="106">
        <v>3.040264263E9</v>
      </c>
      <c r="H551" s="104"/>
      <c r="I551" s="104"/>
      <c r="J551" s="112">
        <v>46176.0</v>
      </c>
      <c r="K551" s="107"/>
      <c r="L551" s="114" t="s">
        <v>2455</v>
      </c>
      <c r="M551" s="106" t="s">
        <v>57</v>
      </c>
      <c r="N551" s="108"/>
    </row>
    <row r="552">
      <c r="A552" s="105">
        <v>552.0</v>
      </c>
      <c r="B552" s="106" t="s">
        <v>375</v>
      </c>
      <c r="C552" s="106" t="s">
        <v>2396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375</v>
      </c>
      <c r="C553" s="109" t="s">
        <v>2396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986</v>
      </c>
      <c r="C554" s="106" t="s">
        <v>2473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986</v>
      </c>
      <c r="C555" s="109" t="s">
        <v>2473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1068</v>
      </c>
      <c r="C556" s="106" t="s">
        <v>2085</v>
      </c>
      <c r="D556" s="107"/>
      <c r="E556" s="104"/>
      <c r="F556" s="106" t="s">
        <v>1069</v>
      </c>
      <c r="G556" s="106">
        <v>3.040264263E9</v>
      </c>
      <c r="H556" s="104"/>
      <c r="I556" s="104"/>
      <c r="J556" s="112">
        <v>46191.0</v>
      </c>
      <c r="K556" s="107"/>
      <c r="L556" s="114" t="s">
        <v>1856</v>
      </c>
      <c r="M556" s="107"/>
      <c r="N556" s="108"/>
    </row>
    <row r="557">
      <c r="A557" s="105">
        <v>557.0</v>
      </c>
      <c r="B557" s="109" t="s">
        <v>1068</v>
      </c>
      <c r="C557" s="109" t="s">
        <v>2085</v>
      </c>
      <c r="D557" s="110"/>
      <c r="E557" s="104"/>
      <c r="F557" s="106" t="s">
        <v>1072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551</v>
      </c>
      <c r="C558" s="106" t="s">
        <v>2353</v>
      </c>
      <c r="D558" s="107"/>
      <c r="E558" s="104"/>
      <c r="F558" s="106" t="s">
        <v>1080</v>
      </c>
      <c r="G558" s="106">
        <v>3.04026424E9</v>
      </c>
      <c r="H558" s="104"/>
      <c r="I558" s="104"/>
      <c r="J558" s="111">
        <v>46230.0</v>
      </c>
      <c r="K558" s="107"/>
      <c r="L558" s="106" t="s">
        <v>2360</v>
      </c>
      <c r="M558" s="106" t="s">
        <v>45</v>
      </c>
      <c r="N558" s="108"/>
    </row>
    <row r="559">
      <c r="A559" s="105">
        <v>559.0</v>
      </c>
      <c r="B559" s="109" t="s">
        <v>551</v>
      </c>
      <c r="C559" s="109" t="s">
        <v>2353</v>
      </c>
      <c r="D559" s="110"/>
      <c r="E559" s="104"/>
      <c r="F559" s="106" t="s">
        <v>1084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551</v>
      </c>
      <c r="C560" s="106" t="s">
        <v>2353</v>
      </c>
      <c r="D560" s="107"/>
      <c r="E560" s="104"/>
      <c r="F560" s="106" t="s">
        <v>1086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551</v>
      </c>
      <c r="C561" s="109" t="s">
        <v>2353</v>
      </c>
      <c r="D561" s="110"/>
      <c r="E561" s="104"/>
      <c r="F561" s="106" t="s">
        <v>1088</v>
      </c>
      <c r="G561" s="106">
        <v>3.040264241E9</v>
      </c>
      <c r="H561" s="104"/>
      <c r="I561" s="104"/>
      <c r="J561" s="111">
        <v>46230.0</v>
      </c>
      <c r="K561" s="107"/>
      <c r="L561" s="106" t="s">
        <v>2360</v>
      </c>
      <c r="M561" s="106" t="s">
        <v>45</v>
      </c>
      <c r="N561" s="108"/>
    </row>
    <row r="562">
      <c r="A562" s="105">
        <v>562.0</v>
      </c>
      <c r="B562" s="106" t="s">
        <v>551</v>
      </c>
      <c r="C562" s="106" t="s">
        <v>2353</v>
      </c>
      <c r="D562" s="107"/>
      <c r="E562" s="104"/>
      <c r="F562" s="106" t="s">
        <v>1078</v>
      </c>
      <c r="G562" s="106">
        <v>3.040264242E9</v>
      </c>
      <c r="H562" s="104"/>
      <c r="I562" s="104"/>
      <c r="J562" s="112">
        <v>46191.0</v>
      </c>
      <c r="K562" s="107"/>
      <c r="L562" s="114" t="s">
        <v>1856</v>
      </c>
      <c r="M562" s="107"/>
      <c r="N562" s="108"/>
    </row>
    <row r="563">
      <c r="A563" s="105">
        <v>563.0</v>
      </c>
      <c r="B563" s="109" t="s">
        <v>199</v>
      </c>
      <c r="C563" s="109" t="s">
        <v>2454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199</v>
      </c>
      <c r="C564" s="106" t="s">
        <v>2454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199</v>
      </c>
      <c r="C565" s="109" t="s">
        <v>2454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199</v>
      </c>
      <c r="C566" s="106" t="s">
        <v>2454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199</v>
      </c>
      <c r="C567" s="109" t="s">
        <v>2454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2474</v>
      </c>
      <c r="M567" s="107"/>
      <c r="N567" s="108"/>
    </row>
    <row r="568">
      <c r="A568" s="105">
        <v>568.0</v>
      </c>
      <c r="B568" s="106" t="s">
        <v>199</v>
      </c>
      <c r="C568" s="106" t="s">
        <v>2454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1129</v>
      </c>
      <c r="C569" s="109" t="s">
        <v>2084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1125</v>
      </c>
      <c r="C570" s="106" t="s">
        <v>2084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1125</v>
      </c>
      <c r="C571" s="109" t="s">
        <v>2084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461</v>
      </c>
      <c r="C572" s="106" t="s">
        <v>2476</v>
      </c>
      <c r="D572" s="107"/>
      <c r="E572" s="104"/>
      <c r="F572" s="106" t="s">
        <v>1123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579</v>
      </c>
      <c r="C573" s="109" t="s">
        <v>2440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2360</v>
      </c>
      <c r="M573" s="106" t="s">
        <v>45</v>
      </c>
      <c r="N573" s="108"/>
    </row>
    <row r="574">
      <c r="A574" s="105">
        <v>574.0</v>
      </c>
      <c r="B574" s="106" t="s">
        <v>1114</v>
      </c>
      <c r="C574" s="106" t="s">
        <v>2085</v>
      </c>
      <c r="D574" s="107"/>
      <c r="E574" s="104"/>
      <c r="F574" s="106" t="s">
        <v>1120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1114</v>
      </c>
      <c r="C575" s="109" t="s">
        <v>2085</v>
      </c>
      <c r="D575" s="110"/>
      <c r="E575" s="104"/>
      <c r="F575" s="106" t="s">
        <v>1116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854</v>
      </c>
      <c r="C576" s="106" t="s">
        <v>2412</v>
      </c>
      <c r="D576" s="107"/>
      <c r="E576" s="104"/>
      <c r="F576" s="106" t="s">
        <v>1102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854</v>
      </c>
      <c r="C577" s="109" t="s">
        <v>2412</v>
      </c>
      <c r="D577" s="110"/>
      <c r="E577" s="104"/>
      <c r="F577" s="106" t="s">
        <v>1099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854</v>
      </c>
      <c r="C578" s="106" t="s">
        <v>2412</v>
      </c>
      <c r="D578" s="107"/>
      <c r="E578" s="104"/>
      <c r="F578" s="106" t="s">
        <v>1107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854</v>
      </c>
      <c r="C579" s="109" t="s">
        <v>2412</v>
      </c>
      <c r="D579" s="110"/>
      <c r="E579" s="104"/>
      <c r="F579" s="106" t="s">
        <v>1105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533</v>
      </c>
      <c r="C580" s="106" t="s">
        <v>2477</v>
      </c>
      <c r="D580" s="107"/>
      <c r="E580" s="104"/>
      <c r="F580" s="106" t="s">
        <v>1170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533</v>
      </c>
      <c r="C581" s="109" t="s">
        <v>2477</v>
      </c>
      <c r="D581" s="110"/>
      <c r="E581" s="104"/>
      <c r="F581" s="106" t="s">
        <v>1161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1165</v>
      </c>
      <c r="C582" s="106" t="s">
        <v>2478</v>
      </c>
      <c r="D582" s="107"/>
      <c r="E582" s="104"/>
      <c r="F582" s="106" t="s">
        <v>1167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461</v>
      </c>
      <c r="C583" s="109" t="s">
        <v>2103</v>
      </c>
      <c r="D583" s="110"/>
      <c r="E583" s="104"/>
      <c r="F583" s="106" t="s">
        <v>1153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585</v>
      </c>
      <c r="C584" s="106" t="s">
        <v>2479</v>
      </c>
      <c r="D584" s="107"/>
      <c r="E584" s="104"/>
      <c r="F584" s="106" t="s">
        <v>1139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585</v>
      </c>
      <c r="C585" s="109" t="s">
        <v>2479</v>
      </c>
      <c r="D585" s="110"/>
      <c r="E585" s="104"/>
      <c r="F585" s="106" t="s">
        <v>1141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585</v>
      </c>
      <c r="C586" s="106" t="s">
        <v>2479</v>
      </c>
      <c r="D586" s="107"/>
      <c r="E586" s="104"/>
      <c r="F586" s="106" t="s">
        <v>1135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649</v>
      </c>
      <c r="C587" s="109" t="s">
        <v>2441</v>
      </c>
      <c r="D587" s="110"/>
      <c r="E587" s="104"/>
      <c r="F587" s="106" t="s">
        <v>1151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231</v>
      </c>
      <c r="C588" s="106" t="s">
        <v>2369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223</v>
      </c>
      <c r="C589" s="109" t="s">
        <v>2391</v>
      </c>
      <c r="D589" s="110"/>
      <c r="E589" s="104"/>
      <c r="F589" s="106" t="s">
        <v>1137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223</v>
      </c>
      <c r="C590" s="106" t="s">
        <v>2391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1114</v>
      </c>
      <c r="C591" s="109" t="s">
        <v>2085</v>
      </c>
      <c r="D591" s="110"/>
      <c r="E591" s="104"/>
      <c r="F591" s="106" t="s">
        <v>1155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372</v>
      </c>
      <c r="C592" s="106" t="s">
        <v>2480</v>
      </c>
      <c r="D592" s="106" t="s">
        <v>2273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2481</v>
      </c>
      <c r="M592" s="106" t="s">
        <v>64</v>
      </c>
      <c r="N592" s="108"/>
    </row>
    <row r="593">
      <c r="A593" s="105">
        <v>593.0</v>
      </c>
      <c r="B593" s="109" t="s">
        <v>226</v>
      </c>
      <c r="C593" s="109" t="s">
        <v>2369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469</v>
      </c>
      <c r="C594" s="106" t="s">
        <v>2482</v>
      </c>
      <c r="D594" s="107"/>
      <c r="E594" s="104"/>
      <c r="F594" s="106" t="s">
        <v>1172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469</v>
      </c>
      <c r="C595" s="109" t="s">
        <v>2482</v>
      </c>
      <c r="D595" s="110"/>
      <c r="E595" s="104"/>
      <c r="F595" s="106" t="s">
        <v>1175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1011</v>
      </c>
      <c r="C596" s="106" t="s">
        <v>2483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1011</v>
      </c>
      <c r="C597" s="109" t="s">
        <v>2483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4">
        <v>598.0</v>
      </c>
      <c r="B598" s="125" t="s">
        <v>796</v>
      </c>
      <c r="C598" s="125" t="s">
        <v>2484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5">
        <v>599.0</v>
      </c>
      <c r="B599" s="109" t="s">
        <v>796</v>
      </c>
      <c r="C599" s="109" t="s">
        <v>2484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1011</v>
      </c>
      <c r="C600" s="106" t="s">
        <v>2485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1011</v>
      </c>
      <c r="C601" s="109" t="s">
        <v>2485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RBS19/08/26.")</f>
        <v>Acerto virtual de item atendido pela empresa Vee One através do contrato 005/CELOG-PAMALS/2025; RBS19/08/26.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NGS19/08/26.")</f>
        <v>Acerto virtual de item atendido pela empresa Vee One através do contrato 005/CELOG-PAMALS/2025; NGS19/08/26.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IFERROR(__xludf.DUMMYFUNCTION("""COMPUTED_VALUE"""),"BANT")</f>
        <v>BANT</v>
      </c>
      <c r="C114" s="129" t="str">
        <f>IFERROR(__xludf.DUMMYFUNCTION("""COMPUTED_VALUE"""),"066-03064-0005")</f>
        <v>066-03064-0005</v>
      </c>
      <c r="D114" s="129" t="str">
        <f>IFERROR(__xludf.DUMMYFUNCTION("""COMPUTED_VALUE"""),"ENCODING ALTIMETER")</f>
        <v>ENCODING ALTIMETER</v>
      </c>
      <c r="E114" s="129" t="str">
        <f>IFERROR(__xludf.DUMMYFUNCTION("""COMPUTED_VALUE"""),"35595")</f>
        <v>35595</v>
      </c>
      <c r="F114" s="129" t="str">
        <f>IFERROR(__xludf.DUMMYFUNCTION("""COMPUTED_VALUE"""),"015/2025")</f>
        <v>015/2025</v>
      </c>
      <c r="G114" s="129" t="str">
        <f>IFERROR(__xludf.DUMMYFUNCTION("""COMPUTED_VALUE"""),"28/07")</f>
        <v>28/07</v>
      </c>
      <c r="H114" s="129" t="str">
        <f>IFERROR(__xludf.DUMMYFUNCTION("""COMPUTED_VALUE"""),"30/01")</f>
        <v>30/01</v>
      </c>
      <c r="I114" s="129" t="str">
        <f>IFERROR(__xludf.DUMMYFUNCTION("""COMPUTED_VALUE"""),"CERTIFICADO ok")</f>
        <v>CERTIFICADO ok</v>
      </c>
      <c r="J114" s="129" t="str">
        <f>IFERROR(__xludf.DUMMYFUNCTION("""COMPUTED_VALUE"""),"21/05")</f>
        <v>21/05</v>
      </c>
      <c r="K114" s="129" t="str">
        <f>IFERROR(__xludf.DUMMYFUNCTION("""COMPUTED_VALUE"""),"*")</f>
        <v>*</v>
      </c>
      <c r="L114" s="130"/>
      <c r="M114" s="130"/>
      <c r="N114" s="130"/>
      <c r="O114" s="130"/>
      <c r="P114" s="130"/>
      <c r="Q114" s="130"/>
      <c r="R114" s="130"/>
      <c r="S114" s="130"/>
      <c r="T114" s="130"/>
      <c r="U114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IFERROR(__xludf.DUMMYFUNCTION("""COMPUTED_VALUE"""),"BABE")</f>
        <v>BABE</v>
      </c>
      <c r="C115" s="129" t="str">
        <f>IFERROR(__xludf.DUMMYFUNCTION("""COMPUTED_VALUE"""),"066-01141-5101")</f>
        <v>066-01141-5101</v>
      </c>
      <c r="D115" s="129" t="str">
        <f>IFERROR(__xludf.DUMMYFUNCTION("""COMPUTED_VALUE"""),"RECEIVER-TRANSMITTER,RADIO (KT71)")</f>
        <v>RECEIVER-TRANSMITTER,RADIO (KT71)</v>
      </c>
      <c r="E115" s="129" t="str">
        <f>IFERROR(__xludf.DUMMYFUNCTION("""COMPUTED_VALUE"""),"4623")</f>
        <v>4623</v>
      </c>
      <c r="F115" s="129" t="str">
        <f>IFERROR(__xludf.DUMMYFUNCTION("""COMPUTED_VALUE"""),"001/2025")</f>
        <v>001/2025</v>
      </c>
      <c r="G115" s="129" t="str">
        <f>IFERROR(__xludf.DUMMYFUNCTION("""COMPUTED_VALUE"""),"26/02")</f>
        <v>26/02</v>
      </c>
      <c r="H115" s="129" t="str">
        <f>IFERROR(__xludf.DUMMYFUNCTION("""COMPUTED_VALUE"""),"06/03")</f>
        <v>06/03</v>
      </c>
      <c r="I115" s="129" t="str">
        <f>IFERROR(__xludf.DUMMYFUNCTION("""COMPUTED_VALUE"""),"orçamento 10")</f>
        <v>orçamento 10</v>
      </c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IFERROR(__xludf.DUMMYFUNCTION("""COMPUTED_VALUE"""),"066-04035-1101")</f>
        <v>066-04035-1101</v>
      </c>
      <c r="D116" s="129" t="str">
        <f>IFERROR(__xludf.DUMMYFUNCTION("""COMPUTED_VALUE"""),"DISPLAY UNIT,RADAR")</f>
        <v>DISPLAY UNIT,RADAR</v>
      </c>
      <c r="E116" s="129" t="str">
        <f>IFERROR(__xludf.DUMMYFUNCTION("""COMPUTED_VALUE"""),"8706")</f>
        <v>8706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IFERROR(__xludf.DUMMYFUNCTION("""COMPUTED_VALUE"""),"1H101-4")</f>
        <v>1H101-4</v>
      </c>
      <c r="D117" s="129" t="str">
        <f>IFERROR(__xludf.DUMMYFUNCTION("""COMPUTED_VALUE"""),"FLOW CONTROL VALVE")</f>
        <v>FLOW CONTROL VALVE</v>
      </c>
      <c r="E117" s="129" t="str">
        <f>IFERROR(__xludf.DUMMYFUNCTION("""COMPUTED_VALUE"""),"9BT12")</f>
        <v>9BT12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IFERROR(__xludf.DUMMYFUNCTION("""COMPUTED_VALUE"""),"C661064-0237")</f>
        <v>C661064-0237</v>
      </c>
      <c r="D118" s="129" t="str">
        <f>IFERROR(__xludf.DUMMYFUNCTION("""COMPUTED_VALUE"""),"AIRSPEED INDICATOR")</f>
        <v>AIRSPEED INDICATOR</v>
      </c>
      <c r="E118" s="129" t="str">
        <f>IFERROR(__xludf.DUMMYFUNCTION("""COMPUTED_VALUE"""),"T25090")</f>
        <v>T25090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IFERROR(__xludf.DUMMYFUNCTION("""COMPUTED_VALUE"""),"BAPV")</f>
        <v>BAPV</v>
      </c>
      <c r="C119" s="129" t="str">
        <f>IFERROR(__xludf.DUMMYFUNCTION("""COMPUTED_VALUE"""),"161-12800")</f>
        <v>161-12800</v>
      </c>
      <c r="D119" s="129" t="str">
        <f>IFERROR(__xludf.DUMMYFUNCTION("""COMPUTED_VALUE"""),"WHEEL HALF ASSY")</f>
        <v>WHEEL HALF ASSY</v>
      </c>
      <c r="E119" s="129" t="str">
        <f>IFERROR(__xludf.DUMMYFUNCTION("""COMPUTED_VALUE"""),"13")</f>
        <v>13</v>
      </c>
      <c r="F119" s="129" t="str">
        <f>IFERROR(__xludf.DUMMYFUNCTION("""COMPUTED_VALUE"""),"007/2025")</f>
        <v>007/2025</v>
      </c>
      <c r="G119" s="129" t="str">
        <f>IFERROR(__xludf.DUMMYFUNCTION("""COMPUTED_VALUE"""),"08/09")</f>
        <v>08/09</v>
      </c>
      <c r="H119" s="129" t="str">
        <f>IFERROR(__xludf.DUMMYFUNCTION("""COMPUTED_VALUE"""),"09/09")</f>
        <v>09/09</v>
      </c>
      <c r="I119" s="129" t="str">
        <f>IFERROR(__xludf.DUMMYFUNCTION("""COMPUTED_VALUE"""),"15/10")</f>
        <v>15/10</v>
      </c>
      <c r="J119" s="129" t="str">
        <f>IFERROR(__xludf.DUMMYFUNCTION("""COMPUTED_VALUE"""),"12/12")</f>
        <v>12/12</v>
      </c>
      <c r="K119" s="129" t="str">
        <f>IFERROR(__xludf.DUMMYFUNCTION("""COMPUTED_VALUE"""),"16/12")</f>
        <v>16/12</v>
      </c>
      <c r="L119" s="129" t="str">
        <f>IFERROR(__xludf.DUMMYFUNCTION("""COMPUTED_VALUE"""),"16/12")</f>
        <v>16/12</v>
      </c>
      <c r="M119" s="129" t="str">
        <f>IFERROR(__xludf.DUMMYFUNCTION("""COMPUTED_VALUE"""),"16/12")</f>
        <v>16/12</v>
      </c>
      <c r="N119" s="129" t="str">
        <f>IFERROR(__xludf.DUMMYFUNCTION("""COMPUTED_VALUE"""),"16/12")</f>
        <v>16/12</v>
      </c>
      <c r="O119" s="129" t="str">
        <f>IFERROR(__xludf.DUMMYFUNCTION("""COMPUTED_VALUE"""),"16/12")</f>
        <v>16/12</v>
      </c>
      <c r="P119" s="130"/>
      <c r="Q119" s="130"/>
      <c r="R119" s="130"/>
      <c r="S119" s="130"/>
      <c r="T119" s="130"/>
      <c r="U119" s="129" t="str">
        <f>IFERROR(__xludf.DUMMYFUNCTION("""COMPUTED_VALUE"""),"OS estava atrelada")</f>
        <v>OS estava atrelada</v>
      </c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IFERROR(__xludf.DUMMYFUNCTION("""COMPUTED_VALUE"""),"162-11800")</f>
        <v>162-11800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IFERROR(__xludf.DUMMYFUNCTION("""COMPUTED_VALUE"""),"A4H-024-03")</f>
        <v>A4H-024-03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IFERROR(__xludf.DUMMYFUNCTION("""COMPUTED_VALUE"""),"Agd certificado corrigido da Vee One")</f>
        <v>Agd certificado corrigido da Vee One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IFERROR(__xludf.DUMMYFUNCTION("""COMPUTED_VALUE"""),"BAMN")</f>
        <v>BAMN</v>
      </c>
      <c r="C121" s="129" t="str">
        <f>IFERROR(__xludf.DUMMYFUNCTION("""COMPUTED_VALUE"""),"76-207-12")</f>
        <v>76-207-12</v>
      </c>
      <c r="D121" s="129" t="str">
        <f>IFERROR(__xludf.DUMMYFUNCTION("""COMPUTED_VALUE"""),"SENSOR, FUEL LEVEL SHORT")</f>
        <v>SENSOR, FUEL LEVEL SHORT</v>
      </c>
      <c r="E121" s="129" t="str">
        <f>IFERROR(__xludf.DUMMYFUNCTION("""COMPUTED_VALUE"""),"VCF01030")</f>
        <v>VCF01030</v>
      </c>
      <c r="F121" s="129" t="str">
        <f>IFERROR(__xludf.DUMMYFUNCTION("""COMPUTED_VALUE"""),"026/2025")</f>
        <v>026/2025</v>
      </c>
      <c r="G121" s="129" t="str">
        <f>IFERROR(__xludf.DUMMYFUNCTION("""COMPUTED_VALUE"""),"25/09")</f>
        <v>25/09</v>
      </c>
      <c r="H121" s="129" t="str">
        <f>IFERROR(__xludf.DUMMYFUNCTION("""COMPUTED_VALUE"""),"13/10")</f>
        <v>13/10</v>
      </c>
      <c r="I121" s="129" t="str">
        <f>IFERROR(__xludf.DUMMYFUNCTION("""COMPUTED_VALUE"""),"Requisição")</f>
        <v>Requisição</v>
      </c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IFERROR(__xludf.DUMMYFUNCTION("""COMPUTED_VALUE"""),"BABE")</f>
        <v>BABE</v>
      </c>
      <c r="C122" s="129" t="str">
        <f>IFERROR(__xludf.DUMMYFUNCTION("""COMPUTED_VALUE"""),"011-00878-10")</f>
        <v>011-00878-10</v>
      </c>
      <c r="D122" s="129" t="str">
        <f>IFERROR(__xludf.DUMMYFUNCTION("""COMPUTED_VALUE"""),"TORQUE SERVO GSA-81")</f>
        <v>TORQUE SERVO GSA-81</v>
      </c>
      <c r="E122" s="129" t="str">
        <f>IFERROR(__xludf.DUMMYFUNCTION("""COMPUTED_VALUE"""),"71306971")</f>
        <v>71306971</v>
      </c>
      <c r="F122" s="129" t="str">
        <f>IFERROR(__xludf.DUMMYFUNCTION("""COMPUTED_VALUE"""),"014/2025")</f>
        <v>014/2025</v>
      </c>
      <c r="G122" s="129" t="str">
        <f>IFERROR(__xludf.DUMMYFUNCTION("""COMPUTED_VALUE"""),"19/09")</f>
        <v>19/09</v>
      </c>
      <c r="H122" s="129" t="str">
        <f>IFERROR(__xludf.DUMMYFUNCTION("""COMPUTED_VALUE"""),"09/10")</f>
        <v>09/10</v>
      </c>
      <c r="I122" s="129" t="str">
        <f>IFERROR(__xludf.DUMMYFUNCTION("""COMPUTED_VALUE"""),"15/10, 09/12 e 26/03")</f>
        <v>15/10, 09/12 e 26/03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29" t="str">
        <f>IFERROR(__xludf.DUMMYFUNCTION("""COMPUTED_VALUE"""),"Item não cadastrado no SILOMS")</f>
        <v>Item não cadastrado no SILOMS</v>
      </c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IFERROR(__xludf.DUMMYFUNCTION("""COMPUTED_VALUE"""),"BAMN")</f>
        <v>BAMN</v>
      </c>
      <c r="C123" s="129" t="str">
        <f>IFERROR(__xludf.DUMMYFUNCTION("""COMPUTED_VALUE"""),"011-00883-20")</f>
        <v>011-00883-20</v>
      </c>
      <c r="D123" s="129" t="str">
        <f>IFERROR(__xludf.DUMMYFUNCTION("""COMPUTED_VALUE"""),"RADAR GWX 68 WEATHER")</f>
        <v>RADAR GWX 68 WEATHER</v>
      </c>
      <c r="E123" s="129" t="str">
        <f>IFERROR(__xludf.DUMMYFUNCTION("""COMPUTED_VALUE"""),"47203648")</f>
        <v>47203648</v>
      </c>
      <c r="F123" s="129" t="str">
        <f>IFERROR(__xludf.DUMMYFUNCTION("""COMPUTED_VALUE"""),"018/2025")</f>
        <v>018/2025</v>
      </c>
      <c r="G123" s="129" t="str">
        <f>IFERROR(__xludf.DUMMYFUNCTION("""COMPUTED_VALUE"""),"01/10")</f>
        <v>01/10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IFERROR(__xludf.DUMMYFUNCTION("""COMPUTED_VALUE"""),"Agd termo corrigido da BAMN")</f>
        <v>Agd termo corrigido da BAMN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IFERROR(__xludf.DUMMYFUNCTION("""COMPUTED_VALUE"""),"47202466")</f>
        <v>47202466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IFERROR(__xludf.DUMMYFUNCTION("""COMPUTED_VALUE"""),"011-01105-01")</f>
        <v>011-01105-01</v>
      </c>
      <c r="D125" s="129" t="str">
        <f>IFERROR(__xludf.DUMMYFUNCTION("""COMPUTED_VALUE"""),"INTEGRATED AVIONICS  UNIT")</f>
        <v>INTEGRATED AVIONICS  UNIT</v>
      </c>
      <c r="E125" s="129" t="str">
        <f>IFERROR(__xludf.DUMMYFUNCTION("""COMPUTED_VALUE"""),"15W005529")</f>
        <v>15W005529</v>
      </c>
      <c r="F125" s="129" t="str">
        <f>IFERROR(__xludf.DUMMYFUNCTION("""COMPUTED_VALUE"""),"033/2025")</f>
        <v>033/2025</v>
      </c>
      <c r="G125" s="129" t="str">
        <f>IFERROR(__xludf.DUMMYFUNCTION("""COMPUTED_VALUE"""),"30/10")</f>
        <v>30/10</v>
      </c>
      <c r="H125" s="129" t="str">
        <f>IFERROR(__xludf.DUMMYFUNCTION("""COMPUTED_VALUE"""),"16/11")</f>
        <v>16/11</v>
      </c>
      <c r="I125" s="129" t="str">
        <f>IFERROR(__xludf.DUMMYFUNCTION("""COMPUTED_VALUE"""),"12/12 e 26/03")</f>
        <v>12/12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IFERROR(__xludf.DUMMYFUNCTION("""COMPUTED_VALUE"""),"Exchange??? Foi proposto requisição pelo SO Rezende.")</f>
        <v>Exchange??? Foi proposto requisição pelo SO Rezende.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IFERROR(__xludf.DUMMYFUNCTION("""COMPUTED_VALUE"""),"BABR")</f>
        <v>BABR</v>
      </c>
      <c r="C126" s="129" t="str">
        <f>IFERROR(__xludf.DUMMYFUNCTION("""COMPUTED_VALUE"""),"069-01033-0101")</f>
        <v>069-01033-0101</v>
      </c>
      <c r="D126" s="129" t="str">
        <f>IFERROR(__xludf.DUMMYFUNCTION("""COMPUTED_VALUE"""),"TRANSCEIVER")</f>
        <v>TRANSCEIVER</v>
      </c>
      <c r="E126" s="129" t="str">
        <f>IFERROR(__xludf.DUMMYFUNCTION("""COMPUTED_VALUE"""),"4288")</f>
        <v>4288</v>
      </c>
      <c r="F126" s="129" t="str">
        <f>IFERROR(__xludf.DUMMYFUNCTION("""COMPUTED_VALUE"""),"005/2025")</f>
        <v>005/2025</v>
      </c>
      <c r="G126" s="129" t="str">
        <f>IFERROR(__xludf.DUMMYFUNCTION("""COMPUTED_VALUE"""),"24/11")</f>
        <v>24/11</v>
      </c>
      <c r="H126" s="129" t="str">
        <f>IFERROR(__xludf.DUMMYFUNCTION("""COMPUTED_VALUE"""),"15/01")</f>
        <v>15/01</v>
      </c>
      <c r="I126" s="129" t="str">
        <f>IFERROR(__xludf.DUMMYFUNCTION("""COMPUTED_VALUE"""),"20/02 e 26/03")</f>
        <v>20/02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IFERROR(__xludf.DUMMYFUNCTION("""COMPUTED_VALUE"""),"C611008-0101")</f>
        <v>C611008-0101</v>
      </c>
      <c r="D127" s="129" t="str">
        <f>IFERROR(__xludf.DUMMYFUNCTION("""COMPUTED_VALUE"""),"ALTERNADOR CONTROL UNIT")</f>
        <v>ALTERNADOR CONTROL UNIT</v>
      </c>
      <c r="E127" s="129" t="str">
        <f>IFERROR(__xludf.DUMMYFUNCTION("""COMPUTED_VALUE"""),"LS0414")</f>
        <v>LS0414</v>
      </c>
      <c r="F127" s="129" t="str">
        <f>IFERROR(__xludf.DUMMYFUNCTION("""COMPUTED_VALUE"""),"006/2025")</f>
        <v>006/2025</v>
      </c>
      <c r="G127" s="129" t="str">
        <f>IFERROR(__xludf.DUMMYFUNCTION("""COMPUTED_VALUE"""),"28/11")</f>
        <v>28/11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IFERROR(__xludf.DUMMYFUNCTION("""COMPUTED_VALUE"""),"066-01141-5101")</f>
        <v>066-01141-5101</v>
      </c>
      <c r="D128" s="129" t="str">
        <f>IFERROR(__xludf.DUMMYFUNCTION("""COMPUTED_VALUE"""),"RECEIVER-TRANSMITTER,RADIO (KT71)")</f>
        <v>RECEIVER-TRANSMITTER,RADIO (KT71)</v>
      </c>
      <c r="E128" s="129" t="str">
        <f>IFERROR(__xludf.DUMMYFUNCTION("""COMPUTED_VALUE"""),"3861")</f>
        <v>3861</v>
      </c>
      <c r="F128" s="129" t="str">
        <f>IFERROR(__xludf.DUMMYFUNCTION("""COMPUTED_VALUE"""),"007/2025")</f>
        <v>007/2025</v>
      </c>
      <c r="G128" s="129" t="str">
        <f>IFERROR(__xludf.DUMMYFUNCTION("""COMPUTED_VALUE"""),"19/11")</f>
        <v>19/11</v>
      </c>
      <c r="H128" s="129" t="str">
        <f>IFERROR(__xludf.DUMMYFUNCTION("""COMPUTED_VALUE"""),"02/02")</f>
        <v>02/02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IFERROR(__xludf.DUMMYFUNCTION("""COMPUTED_VALUE"""),"BABE")</f>
        <v>BABE</v>
      </c>
      <c r="C129" s="129" t="str">
        <f>IFERROR(__xludf.DUMMYFUNCTION("""COMPUTED_VALUE"""),"453-5060")</f>
        <v>453-5060</v>
      </c>
      <c r="D129" s="129" t="str">
        <f>IFERROR(__xludf.DUMMYFUNCTION("""COMPUTED_VALUE"""),"TRANSMISSOR LOCALIZADOR DE EMERGÊNCIA")</f>
        <v>TRANSMISSOR LOCALIZADOR DE EMERGÊNCIA</v>
      </c>
      <c r="E129" s="129" t="str">
        <f>IFERROR(__xludf.DUMMYFUNCTION("""COMPUTED_VALUE"""),"06457")</f>
        <v>06457</v>
      </c>
      <c r="F129" s="129" t="str">
        <f>IFERROR(__xludf.DUMMYFUNCTION("""COMPUTED_VALUE"""),"006/2026")</f>
        <v>006/2026</v>
      </c>
      <c r="G129" s="129" t="str">
        <f>IFERROR(__xludf.DUMMYFUNCTION("""COMPUTED_VALUE"""),"04/03")</f>
        <v>04/03</v>
      </c>
      <c r="H129" s="129" t="str">
        <f>IFERROR(__xludf.DUMMYFUNCTION("""COMPUTED_VALUE"""),"04/03")</f>
        <v>04/03</v>
      </c>
      <c r="I129" s="129" t="str">
        <f>IFERROR(__xludf.DUMMYFUNCTION("""COMPUTED_VALUE"""),"05/03 e 26/03")</f>
        <v>05/03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IFERROR(__xludf.DUMMYFUNCTION("""COMPUTED_VALUE"""),"5934PAD-3")</f>
        <v>5934PAD-3</v>
      </c>
      <c r="D130" s="129" t="str">
        <f>IFERROR(__xludf.DUMMYFUNCTION("""COMPUTED_VALUE"""),"ALTIMETER")</f>
        <v>ALTIMETER</v>
      </c>
      <c r="E130" s="129" t="str">
        <f>IFERROR(__xludf.DUMMYFUNCTION("""COMPUTED_VALUE"""),"471591")</f>
        <v>471591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29" t="str">
        <f>IFERROR(__xludf.DUMMYFUNCTION("""COMPUTED_VALUE"""),"Segundo a empresa o PN correto é S3828-1.")</f>
        <v>Segundo a empresa o PN correto é S3828-1.</v>
      </c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IFERROR(__xludf.DUMMYFUNCTION("""COMPUTED_VALUE"""),"BAMN")</f>
        <v>BAMN</v>
      </c>
      <c r="C131" s="129" t="str">
        <f>IFERROR(__xludf.DUMMYFUNCTION("""COMPUTED_VALUE"""),"C163030-1001")</f>
        <v>C163030-1001</v>
      </c>
      <c r="D131" s="129" t="str">
        <f>IFERROR(__xludf.DUMMYFUNCTION("""COMPUTED_VALUE"""),"MAIN WHEEL BRAKE")</f>
        <v>MAIN WHEEL BRAKE</v>
      </c>
      <c r="E131" s="129" t="str">
        <f>IFERROR(__xludf.DUMMYFUNCTION("""COMPUTED_VALUE"""),"1882C")</f>
        <v>1882C</v>
      </c>
      <c r="F131" s="129" t="str">
        <f>IFERROR(__xludf.DUMMYFUNCTION("""COMPUTED_VALUE"""),"045/2026")</f>
        <v>045/2026</v>
      </c>
      <c r="G131" s="129" t="str">
        <f>IFERROR(__xludf.DUMMYFUNCTION("""COMPUTED_VALUE"""),"17/03")</f>
        <v>17/03</v>
      </c>
      <c r="H131" s="129" t="str">
        <f>IFERROR(__xludf.DUMMYFUNCTION("""COMPUTED_VALUE"""),"18/03")</f>
        <v>18/03</v>
      </c>
      <c r="I131" s="129" t="str">
        <f>IFERROR(__xludf.DUMMYFUNCTION("""COMPUTED_VALUE"""),"23/03")</f>
        <v>23/03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IFERROR(__xludf.DUMMYFUNCTION("""COMPUTED_VALUE"""),"030-18200")</f>
        <v>030-18200</v>
      </c>
      <c r="D132" s="129" t="str">
        <f>IFERROR(__xludf.DUMMYFUNCTION("""COMPUTED_VALUE"""),"CONJUNTO DE FREIO")</f>
        <v>CONJUNTO DE FREIO</v>
      </c>
      <c r="E132" s="129" t="str">
        <f>IFERROR(__xludf.DUMMYFUNCTION("""COMPUTED_VALUE"""),"016B")</f>
        <v>016B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IFERROR(__xludf.DUMMYFUNCTION("""COMPUTED_VALUE"""),"BABE")</f>
        <v>BABE</v>
      </c>
      <c r="C133" s="129" t="str">
        <f>IFERROR(__xludf.DUMMYFUNCTION("""COMPUTED_VALUE"""),"324843-W020")</f>
        <v>324843-W020</v>
      </c>
      <c r="D133" s="129" t="str">
        <f>IFERROR(__xludf.DUMMYFUNCTION("""COMPUTED_VALUE"""),"HEADSET-MICROPHONE")</f>
        <v>HEADSET-MICROPHONE</v>
      </c>
      <c r="E133" s="129" t="str">
        <f>IFERROR(__xludf.DUMMYFUNCTION("""COMPUTED_VALUE"""),"073200G90080045AE")</f>
        <v>073200G90080045AE</v>
      </c>
      <c r="F133" s="129" t="str">
        <f>IFERROR(__xludf.DUMMYFUNCTION("""COMPUTED_VALUE"""),"007/2026")</f>
        <v>007/2026</v>
      </c>
      <c r="G133" s="129" t="str">
        <f>IFERROR(__xludf.DUMMYFUNCTION("""COMPUTED_VALUE"""),"19/03")</f>
        <v>19/03</v>
      </c>
      <c r="H133" s="129" t="str">
        <f>IFERROR(__xludf.DUMMYFUNCTION("""COMPUTED_VALUE"""),"23/03")</f>
        <v>23/03</v>
      </c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IFERROR(__xludf.DUMMYFUNCTION("""COMPUTED_VALUE"""),"073200G2170087AE")</f>
        <v>073200G2170087AE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29" t="str">
        <f>IFERROR(__xludf.DUMMYFUNCTION("""COMPUTED_VALUE"""),"SN correto 073200G02170087AE")</f>
        <v>SN correto 073200G02170087AE</v>
      </c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IFERROR(__xludf.DUMMYFUNCTION("""COMPUTED_VALUE"""),"073200G02170034AE")</f>
        <v>073200G02170034AE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IFERROR(__xludf.DUMMYFUNCTION("""COMPUTED_VALUE"""),"BAMN")</f>
        <v>BAMN</v>
      </c>
      <c r="C136" s="129" t="str">
        <f>IFERROR(__xludf.DUMMYFUNCTION("""COMPUTED_VALUE"""),"011-00916-10")</f>
        <v>011-00916-10</v>
      </c>
      <c r="D136" s="129" t="str">
        <f>IFERROR(__xludf.DUMMYFUNCTION("""COMPUTED_VALUE"""),"UNIDADE DE EXIBIÇÃO DE INFORMAÇÕES DE VOO")</f>
        <v>UNIDADE DE EXIBIÇÃO DE INFORMAÇÕES DE VOO</v>
      </c>
      <c r="E136" s="129" t="str">
        <f>IFERROR(__xludf.DUMMYFUNCTION("""COMPUTED_VALUE"""),"86818658")</f>
        <v>86818658</v>
      </c>
      <c r="F136" s="129" t="str">
        <f>IFERROR(__xludf.DUMMYFUNCTION("""COMPUTED_VALUE"""),"047/2026")</f>
        <v>047/2026</v>
      </c>
      <c r="G136" s="129" t="str">
        <f>IFERROR(__xludf.DUMMYFUNCTION("""COMPUTED_VALUE"""),"26/03")</f>
        <v>26/03</v>
      </c>
      <c r="H136" s="129" t="str">
        <f>IFERROR(__xludf.DUMMYFUNCTION("""COMPUTED_VALUE"""),"26/03")</f>
        <v>26/03</v>
      </c>
      <c r="I136" s="129" t="str">
        <f>IFERROR(__xludf.DUMMYFUNCTION("""COMPUTED_VALUE"""),"26/03")</f>
        <v>26/03</v>
      </c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IFERROR(__xludf.DUMMYFUNCTION("""COMPUTED_VALUE"""),"86816488")</f>
        <v>86816488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IFERROR(__xludf.DUMMYFUNCTION("""COMPUTED_VALUE"""),"BABE")</f>
        <v>BABE</v>
      </c>
      <c r="C138" s="129" t="str">
        <f>IFERROR(__xludf.DUMMYFUNCTION("""COMPUTED_VALUE"""),"AD-4078-19")</f>
        <v>AD-4078-19</v>
      </c>
      <c r="D138" s="129" t="str">
        <f>IFERROR(__xludf.DUMMYFUNCTION("""COMPUTED_VALUE"""),"NICKEL CADMIUM BATTERY")</f>
        <v>NICKEL CADMIUM BATTERY</v>
      </c>
      <c r="E138" s="129" t="str">
        <f>IFERROR(__xludf.DUMMYFUNCTION("""COMPUTED_VALUE"""),"510087")</f>
        <v>510087</v>
      </c>
      <c r="F138" s="129" t="str">
        <f>IFERROR(__xludf.DUMMYFUNCTION("""COMPUTED_VALUE"""),"009/2026")</f>
        <v>009/2026</v>
      </c>
      <c r="G138" s="129" t="str">
        <f>IFERROR(__xludf.DUMMYFUNCTION("""COMPUTED_VALUE"""),"31/03")</f>
        <v>31/03</v>
      </c>
      <c r="H138" s="129" t="str">
        <f>IFERROR(__xludf.DUMMYFUNCTION("""COMPUTED_VALUE"""),"31/03")</f>
        <v>31/03</v>
      </c>
      <c r="I138" s="129" t="str">
        <f>IFERROR(__xludf.DUMMYFUNCTION("""COMPUTED_VALUE"""),"Requisição??")</f>
        <v>Requisição??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IFERROR(__xludf.DUMMYFUNCTION("""COMPUTED_VALUE"""),"011-01020-10")</f>
        <v>011-01020-10</v>
      </c>
      <c r="D139" s="129" t="str">
        <f>IFERROR(__xludf.DUMMYFUNCTION("""COMPUTED_VALUE"""),"AFCS MODE CONTROLLER GMC 710")</f>
        <v>AFCS MODE CONTROLLER GMC 710</v>
      </c>
      <c r="E139" s="129" t="str">
        <f>IFERROR(__xludf.DUMMYFUNCTION("""COMPUTED_VALUE"""),"22007425")</f>
        <v>22007425</v>
      </c>
      <c r="F139" s="129" t="str">
        <f>IFERROR(__xludf.DUMMYFUNCTION("""COMPUTED_VALUE"""),"010/2026")</f>
        <v>010/2026</v>
      </c>
      <c r="G139" s="129" t="str">
        <f>IFERROR(__xludf.DUMMYFUNCTION("""COMPUTED_VALUE"""),"06/04")</f>
        <v>06/04</v>
      </c>
      <c r="H139" s="129" t="str">
        <f>IFERROR(__xludf.DUMMYFUNCTION("""COMPUTED_VALUE"""),"06/04")</f>
        <v>06/04</v>
      </c>
      <c r="I139" s="129" t="str">
        <f>IFERROR(__xludf.DUMMYFUNCTION("""COMPUTED_VALUE"""),"06/04")</f>
        <v>06/04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IFERROR(__xludf.DUMMYFUNCTION("""COMPUTED_VALUE"""),"065-0042-03")</f>
        <v>065-0042-03</v>
      </c>
      <c r="D140" s="129" t="str">
        <f>IFERROR(__xludf.DUMMYFUNCTION("""COMPUTED_VALUE"""),"AUTOPILOT COMPUTER/FLIGHT DIRECTOT")</f>
        <v>AUTOPILOT COMPUTER/FLIGHT DIRECTOT</v>
      </c>
      <c r="E140" s="129" t="str">
        <f>IFERROR(__xludf.DUMMYFUNCTION("""COMPUTED_VALUE"""),"53450")</f>
        <v>53450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IFERROR(__xludf.DUMMYFUNCTION("""COMPUTED_VALUE"""),"BABR")</f>
        <v>BABR</v>
      </c>
      <c r="C141" s="129" t="str">
        <f>IFERROR(__xludf.DUMMYFUNCTION("""COMPUTED_VALUE"""),"066-3046-07")</f>
        <v>066-3046-07</v>
      </c>
      <c r="D141" s="129" t="str">
        <f>IFERROR(__xludf.DUMMYFUNCTION("""COMPUTED_VALUE"""),"CONTROL INDICATOR")</f>
        <v>CONTROL INDICATOR</v>
      </c>
      <c r="E141" s="129" t="str">
        <f>IFERROR(__xludf.DUMMYFUNCTION("""COMPUTED_VALUE"""),"KI525A-B100660")</f>
        <v>KI525A-B100660</v>
      </c>
      <c r="F141" s="129" t="str">
        <f>IFERROR(__xludf.DUMMYFUNCTION("""COMPUTED_VALUE"""),"015/2026")</f>
        <v>015/2026</v>
      </c>
      <c r="G141" s="129" t="str">
        <f>IFERROR(__xludf.DUMMYFUNCTION("""COMPUTED_VALUE"""),"22/04")</f>
        <v>22/04</v>
      </c>
      <c r="H141" s="129" t="str">
        <f>IFERROR(__xludf.DUMMYFUNCTION("""COMPUTED_VALUE"""),"04/05")</f>
        <v>04/05</v>
      </c>
      <c r="I141" s="129" t="str">
        <f>IFERROR(__xludf.DUMMYFUNCTION("""COMPUTED_VALUE"""),"gmm assinada do recolhimento entregue em 21/05")</f>
        <v>gmm assinada do recolhimento entregue em 21/05</v>
      </c>
      <c r="J141" s="129" t="str">
        <f>IFERROR(__xludf.DUMMYFUNCTION("""COMPUTED_VALUE"""),"21/05")</f>
        <v>21/05</v>
      </c>
      <c r="K141" s="129" t="str">
        <f>IFERROR(__xludf.DUMMYFUNCTION("""COMPUTED_VALUE"""),"06/08")</f>
        <v>06/08</v>
      </c>
      <c r="L141" s="129" t="str">
        <f>IFERROR(__xludf.DUMMYFUNCTION("""COMPUTED_VALUE"""),"06/08")</f>
        <v>06/08</v>
      </c>
      <c r="M141" s="129" t="str">
        <f>IFERROR(__xludf.DUMMYFUNCTION("""COMPUTED_VALUE"""),"07/08")</f>
        <v>07/08</v>
      </c>
      <c r="N141" s="129" t="str">
        <f>IFERROR(__xludf.DUMMYFUNCTION("""COMPUTED_VALUE"""),"07/08")</f>
        <v>07/08</v>
      </c>
      <c r="O141" s="129" t="str">
        <f>IFERROR(__xludf.DUMMYFUNCTION("""COMPUTED_VALUE"""),"07/08")</f>
        <v>07/08</v>
      </c>
      <c r="P141" s="129" t="str">
        <f>IFERROR(__xludf.DUMMYFUNCTION("""COMPUTED_VALUE"""),"12/08")</f>
        <v>12/08</v>
      </c>
      <c r="Q141" s="129" t="str">
        <f>IFERROR(__xludf.DUMMYFUNCTION("""COMPUTED_VALUE"""),"12/08")</f>
        <v>12/08</v>
      </c>
      <c r="R141" s="129" t="str">
        <f>IFERROR(__xludf.DUMMYFUNCTION("""COMPUTED_VALUE"""),"12/08")</f>
        <v>12/08</v>
      </c>
      <c r="S141" s="130"/>
      <c r="T141" s="130"/>
      <c r="U141" s="129" t="str">
        <f>IFERROR(__xludf.DUMMYFUNCTION("""COMPUTED_VALUE"""),"RECEBIMENTO PENDENTE - ENTRADA EM ABERTO - GODOY 06/08/2026.")</f>
        <v>RECEBIMENTO PENDENTE - ENTRADA EM ABERTO - GODOY 06/08/2026.</v>
      </c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IFERROR(__xludf.DUMMYFUNCTION("""COMPUTED_VALUE"""),"065-0061-36")</f>
        <v>065-0061-36</v>
      </c>
      <c r="D142" s="129" t="str">
        <f>IFERROR(__xludf.DUMMYFUNCTION("""COMPUTED_VALUE"""),"ACTUATOR TRIM")</f>
        <v>ACTUATOR TRIM</v>
      </c>
      <c r="E142" s="129" t="str">
        <f>IFERROR(__xludf.DUMMYFUNCTION("""COMPUTED_VALUE"""),"42966")</f>
        <v>42966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30"/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IFERROR(__xludf.DUMMYFUNCTION("""COMPUTED_VALUE"""),"BAMN")</f>
        <v>BAMN</v>
      </c>
      <c r="C143" s="129" t="str">
        <f>IFERROR(__xludf.DUMMYFUNCTION("""COMPUTED_VALUE"""),"161-12800")</f>
        <v>161-12800</v>
      </c>
      <c r="D143" s="129" t="str">
        <f>IFERROR(__xludf.DUMMYFUNCTION("""COMPUTED_VALUE"""),"WHEEL HALF ASSY")</f>
        <v>WHEEL HALF ASSY</v>
      </c>
      <c r="E143" s="129" t="str">
        <f>IFERROR(__xludf.DUMMYFUNCTION("""COMPUTED_VALUE"""),"4793")</f>
        <v>4793</v>
      </c>
      <c r="F143" s="129" t="str">
        <f>IFERROR(__xludf.DUMMYFUNCTION("""COMPUTED_VALUE"""),"061/2026")</f>
        <v>061/2026</v>
      </c>
      <c r="G143" s="129" t="str">
        <f>IFERROR(__xludf.DUMMYFUNCTION("""COMPUTED_VALUE"""),"07/05")</f>
        <v>07/05</v>
      </c>
      <c r="H143" s="129" t="str">
        <f>IFERROR(__xludf.DUMMYFUNCTION("""COMPUTED_VALUE"""),"08/05")</f>
        <v>08/05</v>
      </c>
      <c r="I143" s="129" t="str">
        <f>IFERROR(__xludf.DUMMYFUNCTION("""COMPUTED_VALUE"""),"SN diferente")</f>
        <v>SN diferente</v>
      </c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IFERROR(__xludf.DUMMYFUNCTION("""COMPUTED_VALUE"""),"030-18200")</f>
        <v>030-18200</v>
      </c>
      <c r="D144" s="129" t="str">
        <f>IFERROR(__xludf.DUMMYFUNCTION("""COMPUTED_VALUE"""),"CONJUNTO DE FREIO")</f>
        <v>CONJUNTO DE FREIO</v>
      </c>
      <c r="E144" s="129" t="str">
        <f>IFERROR(__xludf.DUMMYFUNCTION("""COMPUTED_VALUE"""),"015A")</f>
        <v>015A</v>
      </c>
      <c r="F144" s="129" t="str">
        <f>IFERROR(__xludf.DUMMYFUNCTION("""COMPUTED_VALUE"""),"062/2026")</f>
        <v>062/2026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IFERROR(__xludf.DUMMYFUNCTION("""COMPUTED_VALUE"""),"corrigir PN do certificado")</f>
        <v>corrigir PN do certificado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IFERROR(__xludf.DUMMYFUNCTION("""COMPUTED_VALUE"""),"327")</f>
        <v>327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IFERROR(__xludf.DUMMYFUNCTION("""COMPUTED_VALUE"""),"2682001-1")</f>
        <v>2682001-1</v>
      </c>
      <c r="D146" s="129" t="str">
        <f>IFERROR(__xludf.DUMMYFUNCTION("""COMPUTED_VALUE"""),"CILINDRO DE FREIO")</f>
        <v>CILINDRO DE FREIO</v>
      </c>
      <c r="E146" s="129" t="str">
        <f>IFERROR(__xludf.DUMMYFUNCTION("""COMPUTED_VALUE"""),"ATE3715")</f>
        <v>ATE3715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IFERROR(__xludf.DUMMYFUNCTION("""COMPUTED_VALUE"""),"BANT")</f>
        <v>BANT</v>
      </c>
      <c r="C147" s="129" t="str">
        <f>IFERROR(__xludf.DUMMYFUNCTION("""COMPUTED_VALUE"""),"066-3084-32")</f>
        <v>066-3084-32</v>
      </c>
      <c r="D147" s="129" t="str">
        <f>IFERROR(__xludf.DUMMYFUNCTION("""COMPUTED_VALUE"""),"IND RDR 200 IN")</f>
        <v>IND RDR 200 IN</v>
      </c>
      <c r="E147" s="129" t="str">
        <f>IFERROR(__xludf.DUMMYFUNCTION("""COMPUTED_VALUE"""),"20126")</f>
        <v>20126</v>
      </c>
      <c r="F147" s="129" t="str">
        <f>IFERROR(__xludf.DUMMYFUNCTION("""COMPUTED_VALUE"""),"020/2025")</f>
        <v>020/2025</v>
      </c>
      <c r="G147" s="129" t="str">
        <f>IFERROR(__xludf.DUMMYFUNCTION("""COMPUTED_VALUE"""),"06/08")</f>
        <v>06/08</v>
      </c>
      <c r="H147" s="129" t="str">
        <f>IFERROR(__xludf.DUMMYFUNCTION("""COMPUTED_VALUE"""),"30/01")</f>
        <v>30/01</v>
      </c>
      <c r="I147" s="129" t="str">
        <f>IFERROR(__xludf.DUMMYFUNCTION("""COMPUTED_VALUE"""),"CERTIFICADO")</f>
        <v>CERTIFICADO</v>
      </c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IFERROR(__xludf.DUMMYFUNCTION("""COMPUTED_VALUE"""),"C661064-0237")</f>
        <v>C661064-0237</v>
      </c>
      <c r="D148" s="129" t="str">
        <f>IFERROR(__xludf.DUMMYFUNCTION("""COMPUTED_VALUE"""),"AIRSPEED INDICATOR")</f>
        <v>AIRSPEED INDICATOR</v>
      </c>
      <c r="E148" s="129" t="str">
        <f>IFERROR(__xludf.DUMMYFUNCTION("""COMPUTED_VALUE"""),"T23157")</f>
        <v>T23157</v>
      </c>
      <c r="F148" s="129" t="str">
        <f>IFERROR(__xludf.DUMMYFUNCTION("""COMPUTED_VALUE"""),"022/2025")</f>
        <v>022/2025</v>
      </c>
      <c r="G148" s="129" t="str">
        <f>IFERROR(__xludf.DUMMYFUNCTION("""COMPUTED_VALUE"""),"13/08")</f>
        <v>13/08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IFERROR(__xludf.DUMMYFUNCTION("""COMPUTED_VALUE"""),"2606013-1RX")</f>
        <v>2606013-1RX</v>
      </c>
      <c r="D149" s="129" t="str">
        <f>IFERROR(__xludf.DUMMYFUNCTION("""COMPUTED_VALUE"""),"INDICATOR-PERCENT RPM")</f>
        <v>INDICATOR-PERCENT RPM</v>
      </c>
      <c r="E149" s="129" t="str">
        <f>IFERROR(__xludf.DUMMYFUNCTION("""COMPUTED_VALUE"""),"203103")</f>
        <v>203103</v>
      </c>
      <c r="F149" s="129" t="str">
        <f>IFERROR(__xludf.DUMMYFUNCTION("""COMPUTED_VALUE"""),"026/2025")</f>
        <v>026/2025</v>
      </c>
      <c r="G149" s="129" t="str">
        <f>IFERROR(__xludf.DUMMYFUNCTION("""COMPUTED_VALUE"""),"02/08")</f>
        <v>02/08</v>
      </c>
      <c r="H149" s="129" t="str">
        <f>IFERROR(__xludf.DUMMYFUNCTION("""COMPUTED_VALUE"""),"30/01")</f>
        <v>30/01</v>
      </c>
      <c r="I149" s="129" t="str">
        <f>IFERROR(__xludf.DUMMYFUNCTION("""COMPUTED_VALUE"""),"CERTIFICADO e colocar SN no termo")</f>
        <v>CERTIFICADO e colocar SN no termo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IFERROR(__xludf.DUMMYFUNCTION("""COMPUTED_VALUE"""),"066-04035-1101")</f>
        <v>066-04035-1101</v>
      </c>
      <c r="D150" s="129" t="str">
        <f>IFERROR(__xludf.DUMMYFUNCTION("""COMPUTED_VALUE"""),"DISPLAY UNIT,RADAR")</f>
        <v>DISPLAY UNIT,RADAR</v>
      </c>
      <c r="E150" s="129" t="str">
        <f>IFERROR(__xludf.DUMMYFUNCTION("""COMPUTED_VALUE"""),"KMD540-10071")</f>
        <v>KMD540-10071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IFERROR(__xludf.DUMMYFUNCTION("""COMPUTED_VALUE"""),"540-1407-4")</f>
        <v>540-1407-4</v>
      </c>
      <c r="D151" s="129" t="str">
        <f>IFERROR(__xludf.DUMMYFUNCTION("""COMPUTED_VALUE""")," VALVE,BLEED,TURBINEENGINE")</f>
        <v> VALVE,BLEED,TURBINEENGINE</v>
      </c>
      <c r="E151" s="129" t="str">
        <f>IFERROR(__xludf.DUMMYFUNCTION("""COMPUTED_VALUE"""),"5385")</f>
        <v>5385</v>
      </c>
      <c r="F151" s="129" t="str">
        <f>IFERROR(__xludf.DUMMYFUNCTION("""COMPUTED_VALUE"""),"027/2025")</f>
        <v>027/2025</v>
      </c>
      <c r="G151" s="129" t="str">
        <f>IFERROR(__xludf.DUMMYFUNCTION("""COMPUTED_VALUE"""),"10/09")</f>
        <v>10/09</v>
      </c>
      <c r="H151" s="129" t="str">
        <f>IFERROR(__xludf.DUMMYFUNCTION("""COMPUTED_VALUE"""),"30/01")</f>
        <v>30/01</v>
      </c>
      <c r="I151" s="129" t="str">
        <f>IFERROR(__xludf.DUMMYFUNCTION("""COMPUTED_VALUE"""),"CERTIFICADO ok")</f>
        <v>CERTIFICADO ok</v>
      </c>
      <c r="J151" s="129" t="str">
        <f>IFERROR(__xludf.DUMMYFUNCTION("""COMPUTED_VALUE"""),"21/05")</f>
        <v>21/05</v>
      </c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IFERROR(__xludf.DUMMYFUNCTION("""COMPUTED_VALUE"""),"EA-5175-52-CES")</f>
        <v>EA-5175-52-CES</v>
      </c>
      <c r="D152" s="129" t="str">
        <f>IFERROR(__xludf.DUMMYFUNCTION("""COMPUTED_VALUE"""),"AIRSPEED INDICATOR")</f>
        <v>AIRSPEED INDICATOR</v>
      </c>
      <c r="E152" s="129" t="str">
        <f>IFERROR(__xludf.DUMMYFUNCTION("""COMPUTED_VALUE"""),"T35197")</f>
        <v>T35197</v>
      </c>
      <c r="F152" s="129" t="str">
        <f>IFERROR(__xludf.DUMMYFUNCTION("""COMPUTED_VALUE"""),"033/2025")</f>
        <v>033/2025</v>
      </c>
      <c r="G152" s="129" t="str">
        <f>IFERROR(__xludf.DUMMYFUNCTION("""COMPUTED_VALUE"""),"14/10")</f>
        <v>14/10</v>
      </c>
      <c r="H152" s="129" t="str">
        <f>IFERROR(__xludf.DUMMYFUNCTION("""COMPUTED_VALUE"""),"30/01")</f>
        <v>30/01</v>
      </c>
      <c r="I152" s="129" t="str">
        <f>IFERROR(__xludf.DUMMYFUNCTION("""COMPUTED_VALUE"""),"CERTIFICADO")</f>
        <v>CERTIFICADO</v>
      </c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IFERROR(__xludf.DUMMYFUNCTION("""COMPUTED_VALUE"""),"069-01034-0102")</f>
        <v>069-01034-0102</v>
      </c>
      <c r="D153" s="129" t="str">
        <f>IFERROR(__xludf.DUMMYFUNCTION("""COMPUTED_VALUE"""),"NAVIGATION SET,SATELLITE SIGNALS KLN-94")</f>
        <v>NAVIGATION SET,SATELLITE SIGNALS KLN-94</v>
      </c>
      <c r="E153" s="129" t="str">
        <f>IFERROR(__xludf.DUMMYFUNCTION("""COMPUTED_VALUE"""),"21107")</f>
        <v>21107</v>
      </c>
      <c r="F153" s="129" t="str">
        <f>IFERROR(__xludf.DUMMYFUNCTION("""COMPUTED_VALUE"""),"037/2025")</f>
        <v>037/2025</v>
      </c>
      <c r="G153" s="129" t="str">
        <f>IFERROR(__xludf.DUMMYFUNCTION("""COMPUTED_VALUE"""),"04/12")</f>
        <v>04/12</v>
      </c>
      <c r="H153" s="129" t="str">
        <f>IFERROR(__xludf.DUMMYFUNCTION("""COMPUTED_VALUE"""),"06/02")</f>
        <v>06/02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IFERROR(__xludf.DUMMYFUNCTION("""COMPUTED_VALUE"""),"BACG")</f>
        <v>BACG</v>
      </c>
      <c r="C154" s="129" t="str">
        <f>IFERROR(__xludf.DUMMYFUNCTION("""COMPUTED_VALUE"""),"2682001-1")</f>
        <v>2682001-1</v>
      </c>
      <c r="D154" s="129" t="str">
        <f>IFERROR(__xludf.DUMMYFUNCTION("""COMPUTED_VALUE"""),"CILINDRO DE FREIO")</f>
        <v>CILINDRO DE FREIO</v>
      </c>
      <c r="E154" s="129" t="str">
        <f>IFERROR(__xludf.DUMMYFUNCTION("""COMPUTED_VALUE"""),"*")</f>
        <v>*</v>
      </c>
      <c r="F154" s="129" t="str">
        <f>IFERROR(__xludf.DUMMYFUNCTION("""COMPUTED_VALUE"""),"005/2026")</f>
        <v>005/2026</v>
      </c>
      <c r="G154" s="129" t="str">
        <f>IFERROR(__xludf.DUMMYFUNCTION("""COMPUTED_VALUE"""),"27/05")</f>
        <v>27/05</v>
      </c>
      <c r="H154" s="129" t="str">
        <f>IFERROR(__xludf.DUMMYFUNCTION("""COMPUTED_VALUE"""),"03/06")</f>
        <v>03/06</v>
      </c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29" t="str">
        <f>IFERROR(__xludf.DUMMYFUNCTION("""COMPUTED_VALUE"""),"Solicitado SN")</f>
        <v>Solicitado SN</v>
      </c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IFERROR(__xludf.DUMMYFUNCTION("""COMPUTED_VALUE"""),"BABR")</f>
        <v>BABR</v>
      </c>
      <c r="C155" s="129" t="str">
        <f>IFERROR(__xludf.DUMMYFUNCTION("""COMPUTED_VALUE"""),"2618510-10")</f>
        <v>2618510-10</v>
      </c>
      <c r="D155" s="129" t="str">
        <f>IFERROR(__xludf.DUMMYFUNCTION("""COMPUTED_VALUE"""),"ALTERNATOR CONTROL UNIT ASSY")</f>
        <v>ALTERNATOR CONTROL UNIT ASSY</v>
      </c>
      <c r="E155" s="129" t="str">
        <f>IFERROR(__xludf.DUMMYFUNCTION("""COMPUTED_VALUE"""),"3174")</f>
        <v>3174</v>
      </c>
      <c r="F155" s="129" t="str">
        <f>IFERROR(__xludf.DUMMYFUNCTION("""COMPUTED_VALUE"""),"021/2026")</f>
        <v>021/2026</v>
      </c>
      <c r="G155" s="129" t="str">
        <f>IFERROR(__xludf.DUMMYFUNCTION("""COMPUTED_VALUE"""),"27/05")</f>
        <v>27/05</v>
      </c>
      <c r="H155" s="129" t="str">
        <f>IFERROR(__xludf.DUMMYFUNCTION("""COMPUTED_VALUE"""),"08/06")</f>
        <v>08/06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IFERROR(__xludf.DUMMYFUNCTION("""COMPUTED_VALUE"""),"AGD RESPOSTA DO E-MAIL ENVIADO P/ V1  NO DIA 16/06/2026 PELO TEN WALLACE ")</f>
        <v>AGD RESPOSTA DO E-MAIL ENVIADO P/ V1  NO DIA 16/06/2026 PELO TEN WALLACE 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IFERROR(__xludf.DUMMYFUNCTION("""COMPUTED_VALUE"""),"060-0017-00")</f>
        <v>060-0017-00</v>
      </c>
      <c r="D156" s="129" t="str">
        <f>IFERROR(__xludf.DUMMYFUNCTION("""COMPUTED_VALUE"""),"IND DE COMANDO DE VOO")</f>
        <v>IND DE COMANDO DE VOO</v>
      </c>
      <c r="E156" s="129" t="str">
        <f>IFERROR(__xludf.DUMMYFUNCTION("""COMPUTED_VALUE"""),"18685")</f>
        <v>18685</v>
      </c>
      <c r="F156" s="129" t="str">
        <f>IFERROR(__xludf.DUMMYFUNCTION("""COMPUTED_VALUE"""),"022/2026")</f>
        <v>022/2026</v>
      </c>
      <c r="G156" s="129" t="str">
        <f>IFERROR(__xludf.DUMMYFUNCTION("""COMPUTED_VALUE"""),"22/06")</f>
        <v>22/06</v>
      </c>
      <c r="H156" s="129" t="str">
        <f>IFERROR(__xludf.DUMMYFUNCTION("""COMPUTED_VALUE"""),"23/06")</f>
        <v>23/06</v>
      </c>
      <c r="I156" s="130"/>
      <c r="J156" s="129" t="str">
        <f>IFERROR(__xludf.DUMMYFUNCTION("""COMPUTED_VALUE"""),"23/06")</f>
        <v>23/06</v>
      </c>
      <c r="K156" s="129" t="str">
        <f>IFERROR(__xludf.DUMMYFUNCTION("""COMPUTED_VALUE"""),"24/06")</f>
        <v>24/06</v>
      </c>
      <c r="L156" s="129" t="str">
        <f>IFERROR(__xludf.DUMMYFUNCTION("""COMPUTED_VALUE"""),"24/06")</f>
        <v>24/06</v>
      </c>
      <c r="M156" s="129" t="str">
        <f>IFERROR(__xludf.DUMMYFUNCTION("""COMPUTED_VALUE"""),"24/06")</f>
        <v>24/06</v>
      </c>
      <c r="N156" s="129" t="str">
        <f>IFERROR(__xludf.DUMMYFUNCTION("""COMPUTED_VALUE"""),"24/06")</f>
        <v>24/06</v>
      </c>
      <c r="O156" s="129" t="str">
        <f>IFERROR(__xludf.DUMMYFUNCTION("""COMPUTED_VALUE"""),"24/06")</f>
        <v>24/06</v>
      </c>
      <c r="P156" s="129" t="str">
        <f>IFERROR(__xludf.DUMMYFUNCTION("""COMPUTED_VALUE"""),"02/07")</f>
        <v>02/07</v>
      </c>
      <c r="Q156" s="129" t="str">
        <f>IFERROR(__xludf.DUMMYFUNCTION("""COMPUTED_VALUE"""),"02/07")</f>
        <v>02/07</v>
      </c>
      <c r="R156" s="129" t="str">
        <f>IFERROR(__xludf.DUMMYFUNCTION("""COMPUTED_VALUE"""),"02/07")</f>
        <v>02/07</v>
      </c>
      <c r="S156" s="129" t="str">
        <f>IFERROR(__xludf.DUMMYFUNCTION("""COMPUTED_VALUE"""),"02/07")</f>
        <v>02/07</v>
      </c>
      <c r="T156" s="130"/>
      <c r="U156" s="129" t="str">
        <f>IFERROR(__xludf.DUMMYFUNCTION("""COMPUTED_VALUE"""),"RECEBIMENTO PENDENTE - ENTRADA EM ABERTO - GODOY 06/08/2026.")</f>
        <v>RECEBIMENTO PENDENTE - ENTRADA EM ABERTO - GODOY 06/08/2026.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IFERROR(__xludf.DUMMYFUNCTION("""COMPUTED_VALUE"""),"9910338-8")</f>
        <v>9910338-8</v>
      </c>
      <c r="D157" s="129" t="str">
        <f>IFERROR(__xludf.DUMMYFUNCTION("""COMPUTED_VALUE"""),"INDICATOR,FUEL FLOW")</f>
        <v>INDICATOR,FUEL FLOW</v>
      </c>
      <c r="E157" s="129" t="str">
        <f>IFERROR(__xludf.DUMMYFUNCTION("""COMPUTED_VALUE"""),"9933-49")</f>
        <v>9933-49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IFERROR(__xludf.DUMMYFUNCTION("""COMPUTED_VALUE"""),"BAMN")</f>
        <v>BAMN</v>
      </c>
      <c r="C158" s="129" t="str">
        <f>IFERROR(__xludf.DUMMYFUNCTION("""COMPUTED_VALUE"""),"1H75-21")</f>
        <v>1H75-21</v>
      </c>
      <c r="D158" s="129" t="str">
        <f>IFERROR(__xludf.DUMMYFUNCTION("""COMPUTED_VALUE"""),"PRESSURE REGULATOR")</f>
        <v>PRESSURE REGULATOR</v>
      </c>
      <c r="E158" s="129" t="str">
        <f>IFERROR(__xludf.DUMMYFUNCTION("""COMPUTED_VALUE"""),"2AY7")</f>
        <v>2AY7</v>
      </c>
      <c r="F158" s="129" t="str">
        <f>IFERROR(__xludf.DUMMYFUNCTION("""COMPUTED_VALUE"""),"068/2026")</f>
        <v>068/2026</v>
      </c>
      <c r="G158" s="129" t="str">
        <f>IFERROR(__xludf.DUMMYFUNCTION("""COMPUTED_VALUE"""),"15/06")</f>
        <v>15/06</v>
      </c>
      <c r="H158" s="129" t="str">
        <f>IFERROR(__xludf.DUMMYFUNCTION("""COMPUTED_VALUE"""),"03/07")</f>
        <v>03/07</v>
      </c>
      <c r="I158" s="129" t="str">
        <f>IFERROR(__xludf.DUMMYFUNCTION("""COMPUTED_VALUE"""),"07/07")</f>
        <v>07/07</v>
      </c>
      <c r="J158" s="129" t="str">
        <f>IFERROR(__xludf.DUMMYFUNCTION("""COMPUTED_VALUE"""),"08/07, 12/08")</f>
        <v>08/07, 12/08</v>
      </c>
      <c r="K158" s="129" t="str">
        <f>IFERROR(__xludf.DUMMYFUNCTION("""COMPUTED_VALUE"""),"17/08")</f>
        <v>17/08</v>
      </c>
      <c r="L158" s="129" t="str">
        <f>IFERROR(__xludf.DUMMYFUNCTION("""COMPUTED_VALUE"""),"17/08")</f>
        <v>17/08</v>
      </c>
      <c r="M158" s="129" t="str">
        <f>IFERROR(__xludf.DUMMYFUNCTION("""COMPUTED_VALUE"""),"17/08")</f>
        <v>17/08</v>
      </c>
      <c r="N158" s="129" t="str">
        <f>IFERROR(__xludf.DUMMYFUNCTION("""COMPUTED_VALUE"""),"17/08")</f>
        <v>17/08</v>
      </c>
      <c r="O158" s="129" t="str">
        <f>IFERROR(__xludf.DUMMYFUNCTION("""COMPUTED_VALUE"""),"17/08")</f>
        <v>17/08</v>
      </c>
      <c r="P158" s="129" t="str">
        <f>IFERROR(__xludf.DUMMYFUNCTION("""COMPUTED_VALUE"""),"17/08")</f>
        <v>17/08</v>
      </c>
      <c r="Q158" s="129" t="str">
        <f>IFERROR(__xludf.DUMMYFUNCTION("""COMPUTED_VALUE"""),"17/08")</f>
        <v>17/08</v>
      </c>
      <c r="R158" s="129" t="str">
        <f>IFERROR(__xludf.DUMMYFUNCTION("""COMPUTED_VALUE"""),"18/08")</f>
        <v>18/08</v>
      </c>
      <c r="S158" s="130"/>
      <c r="T158" s="130"/>
      <c r="U158" s="129" t="str">
        <f>IFERROR(__xludf.DUMMYFUNCTION("""COMPUTED_VALUE"""),"exchange com SN 5BE34")</f>
        <v>exchange com SN 5BE34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IFERROR(__xludf.DUMMYFUNCTION("""COMPUTED_VALUE"""),"BABR")</f>
        <v>BABR</v>
      </c>
      <c r="C159" s="129" t="str">
        <f>IFERROR(__xludf.DUMMYFUNCTION("""COMPUTED_VALUE"""),"066-1072-04")</f>
        <v>066-1072-04</v>
      </c>
      <c r="D159" s="129" t="str">
        <f>IFERROR(__xludf.DUMMYFUNCTION("""COMPUTED_VALUE"""),"RECEIVER RADIO")</f>
        <v>RECEIVER RADIO</v>
      </c>
      <c r="E159" s="129" t="str">
        <f>IFERROR(__xludf.DUMMYFUNCTION("""COMPUTED_VALUE"""),"64318")</f>
        <v>64318</v>
      </c>
      <c r="F159" s="129" t="str">
        <f>IFERROR(__xludf.DUMMYFUNCTION("""COMPUTED_VALUE"""),"024/2026")</f>
        <v>024/2026</v>
      </c>
      <c r="G159" s="129" t="str">
        <f>IFERROR(__xludf.DUMMYFUNCTION("""COMPUTED_VALUE"""),"07/07")</f>
        <v>07/07</v>
      </c>
      <c r="H159" s="129" t="str">
        <f>IFERROR(__xludf.DUMMYFUNCTION("""COMPUTED_VALUE"""),"09/07")</f>
        <v>09/07</v>
      </c>
      <c r="I159" s="130"/>
      <c r="J159" s="129" t="str">
        <f>IFERROR(__xludf.DUMMYFUNCTION("""COMPUTED_VALUE"""),"09/07")</f>
        <v>09/07</v>
      </c>
      <c r="K159" s="129" t="str">
        <f>IFERROR(__xludf.DUMMYFUNCTION("""COMPUTED_VALUE"""),"10/07")</f>
        <v>10/07</v>
      </c>
      <c r="L159" s="129" t="str">
        <f>IFERROR(__xludf.DUMMYFUNCTION("""COMPUTED_VALUE"""),"10/07")</f>
        <v>10/07</v>
      </c>
      <c r="M159" s="129" t="str">
        <f>IFERROR(__xludf.DUMMYFUNCTION("""COMPUTED_VALUE"""),"13/07")</f>
        <v>13/07</v>
      </c>
      <c r="N159" s="129" t="str">
        <f>IFERROR(__xludf.DUMMYFUNCTION("""COMPUTED_VALUE"""),"13/07")</f>
        <v>13/07</v>
      </c>
      <c r="O159" s="129" t="str">
        <f>IFERROR(__xludf.DUMMYFUNCTION("""COMPUTED_VALUE"""),"13/07")</f>
        <v>13/07</v>
      </c>
      <c r="P159" s="129" t="str">
        <f>IFERROR(__xludf.DUMMYFUNCTION("""COMPUTED_VALUE"""),"13/07")</f>
        <v>13/07</v>
      </c>
      <c r="Q159" s="129" t="str">
        <f>IFERROR(__xludf.DUMMYFUNCTION("""COMPUTED_VALUE"""),"13/07")</f>
        <v>13/07</v>
      </c>
      <c r="R159" s="129" t="str">
        <f>IFERROR(__xludf.DUMMYFUNCTION("""COMPUTED_VALUE"""),"13/07")</f>
        <v>13/07</v>
      </c>
      <c r="S159" s="129" t="str">
        <f>IFERROR(__xludf.DUMMYFUNCTION("""COMPUTED_VALUE"""),"13/07")</f>
        <v>13/07</v>
      </c>
      <c r="T159" s="130"/>
      <c r="U159" s="129" t="str">
        <f>IFERROR(__xludf.DUMMYFUNCTION("""COMPUTED_VALUE"""),"RECEBIMENTO PENDENTE - ENTRADA EM ABERTO - GODOY 06/08/2026.")</f>
        <v>RECEBIMENTO PENDENTE - ENTRADA EM ABERTO - GODOY 06/08/2026.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IFERROR(__xludf.DUMMYFUNCTION("""COMPUTED_VALUE"""),"060-0017-00")</f>
        <v>060-0017-00</v>
      </c>
      <c r="D160" s="129" t="str">
        <f>IFERROR(__xludf.DUMMYFUNCTION("""COMPUTED_VALUE"""),"IND DE COMANDO DE VOO")</f>
        <v>IND DE COMANDO DE VOO</v>
      </c>
      <c r="E160" s="129" t="str">
        <f>IFERROR(__xludf.DUMMYFUNCTION("""COMPUTED_VALUE"""),"9599")</f>
        <v>9599</v>
      </c>
      <c r="F160" s="129" t="str">
        <f>IFERROR(__xludf.DUMMYFUNCTION("""COMPUTED_VALUE"""),"025/2026")</f>
        <v>025/2026</v>
      </c>
      <c r="G160" s="129" t="str">
        <f>IFERROR(__xludf.DUMMYFUNCTION("""COMPUTED_VALUE"""),"09/07")</f>
        <v>09/07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IFERROR(__xludf.DUMMYFUNCTION("""COMPUTED_VALUE"""),"BABE")</f>
        <v>BABE</v>
      </c>
      <c r="C161" s="129" t="str">
        <f>IFERROR(__xludf.DUMMYFUNCTION("""COMPUTED_VALUE"""),"1H75-21")</f>
        <v>1H75-21</v>
      </c>
      <c r="D161" s="129" t="str">
        <f>IFERROR(__xludf.DUMMYFUNCTION("""COMPUTED_VALUE"""),"PRESSURE REGULATOR")</f>
        <v>PRESSURE REGULATOR</v>
      </c>
      <c r="E161" s="129" t="str">
        <f>IFERROR(__xludf.DUMMYFUNCTION("""COMPUTED_VALUE"""),"11BP82")</f>
        <v>11BP82</v>
      </c>
      <c r="F161" s="129" t="str">
        <f>IFERROR(__xludf.DUMMYFUNCTION("""COMPUTED_VALUE"""),"022/2026")</f>
        <v>022/2026</v>
      </c>
      <c r="G161" s="129" t="str">
        <f>IFERROR(__xludf.DUMMYFUNCTION("""COMPUTED_VALUE"""),"14/07")</f>
        <v>14/07</v>
      </c>
      <c r="H161" s="129" t="str">
        <f>IFERROR(__xludf.DUMMYFUNCTION("""COMPUTED_VALUE"""),"14/07")</f>
        <v>14/07</v>
      </c>
      <c r="I161" s="129" t="str">
        <f>IFERROR(__xludf.DUMMYFUNCTION("""COMPUTED_VALUE""")," consultar se é exchange")</f>
        <v> consultar se é exchange</v>
      </c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IFERROR(__xludf.DUMMYFUNCTION("""COMPUTED_VALUE"""),"BAMN")</f>
        <v>BAMN</v>
      </c>
      <c r="C162" s="129" t="str">
        <f>IFERROR(__xludf.DUMMYFUNCTION("""COMPUTED_VALUE"""),"ASG12000-2")</f>
        <v>ASG12000-2</v>
      </c>
      <c r="D162" s="129" t="str">
        <f>IFERROR(__xludf.DUMMYFUNCTION("""COMPUTED_VALUE"""),"ALTERNADOR")</f>
        <v>ALTERNADOR</v>
      </c>
      <c r="E162" s="129" t="str">
        <f>IFERROR(__xludf.DUMMYFUNCTION("""COMPUTED_VALUE"""),"K010158A")</f>
        <v>K010158A</v>
      </c>
      <c r="F162" s="129" t="str">
        <f>IFERROR(__xludf.DUMMYFUNCTION("""COMPUTED_VALUE"""),"084/2026")</f>
        <v>084/2026</v>
      </c>
      <c r="G162" s="129" t="str">
        <f>IFERROR(__xludf.DUMMYFUNCTION("""COMPUTED_VALUE"""),"30/07")</f>
        <v>30/07</v>
      </c>
      <c r="H162" s="129" t="str">
        <f>IFERROR(__xludf.DUMMYFUNCTION("""COMPUTED_VALUE"""),"30/07")</f>
        <v>30/07</v>
      </c>
      <c r="I162" s="129" t="str">
        <f>IFERROR(__xludf.DUMMYFUNCTION("""COMPUTED_VALUE"""),"consultado exchange em 03/08")</f>
        <v>consultado exchange em 03/08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IFERROR(__xludf.DUMMYFUNCTION("""COMPUTED_VALUE"""),"011-00883-20")</f>
        <v>011-00883-20</v>
      </c>
      <c r="D163" s="129" t="str">
        <f>IFERROR(__xludf.DUMMYFUNCTION("""COMPUTED_VALUE"""),"RADAR GWX 68 WEATHER")</f>
        <v>RADAR GWX 68 WEATHER</v>
      </c>
      <c r="E163" s="129" t="str">
        <f>IFERROR(__xludf.DUMMYFUNCTION("""COMPUTED_VALUE"""),"47203246")</f>
        <v>47203246</v>
      </c>
      <c r="F163" s="129" t="str">
        <f>IFERROR(__xludf.DUMMYFUNCTION("""COMPUTED_VALUE"""),"082/2026")</f>
        <v>082/2026</v>
      </c>
      <c r="G163" s="129" t="str">
        <f>IFERROR(__xludf.DUMMYFUNCTION("""COMPUTED_VALUE"""),"14/07")</f>
        <v>14/07</v>
      </c>
      <c r="H163" s="129" t="str">
        <f>IFERROR(__xludf.DUMMYFUNCTION("""COMPUTED_VALUE"""),"29/07")</f>
        <v>29/07</v>
      </c>
      <c r="I163" s="129" t="str">
        <f>IFERROR(__xludf.DUMMYFUNCTION("""COMPUTED_VALUE"""),"consultado exchange em 03/08")</f>
        <v>consultado exchange em 03/08</v>
      </c>
      <c r="J163" s="129" t="str">
        <f>IFERROR(__xludf.DUMMYFUNCTION("""COMPUTED_VALUE"""),"03/08")</f>
        <v>03/08</v>
      </c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29" t="str">
        <f>IFERROR(__xludf.DUMMYFUNCTION("""COMPUTED_VALUE"""),"exchange com SN 47202512")</f>
        <v>exchange com SN 47202512</v>
      </c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IFERROR(__xludf.DUMMYFUNCTION("""COMPUTED_VALUE"""),"011-01105-01")</f>
        <v>011-01105-01</v>
      </c>
      <c r="D164" s="129" t="str">
        <f>IFERROR(__xludf.DUMMYFUNCTION("""COMPUTED_VALUE"""),"INTEGRATED AVIONICS  UNIT")</f>
        <v>INTEGRATED AVIONICS  UNIT</v>
      </c>
      <c r="E164" s="129" t="str">
        <f>IFERROR(__xludf.DUMMYFUNCTION("""COMPUTED_VALUE"""),"15W011943")</f>
        <v>15W011943</v>
      </c>
      <c r="F164" s="129" t="str">
        <f>IFERROR(__xludf.DUMMYFUNCTION("""COMPUTED_VALUE"""),"081/2026")</f>
        <v>081/2026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15W013724")</f>
        <v>exchange com SN 15W013724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IFERROR(__xludf.DUMMYFUNCTION("""COMPUTED_VALUE"""),"BABR")</f>
        <v>BABR</v>
      </c>
      <c r="C165" s="129" t="str">
        <f>IFERROR(__xludf.DUMMYFUNCTION("""COMPUTED_VALUE"""),"9910592-2")</f>
        <v>9910592-2</v>
      </c>
      <c r="D165" s="129" t="str">
        <f>IFERROR(__xludf.DUMMYFUNCTION("""COMPUTED_VALUE"""),"ALTERNATOR ASSY")</f>
        <v>ALTERNATOR ASSY</v>
      </c>
      <c r="E165" s="129" t="str">
        <f>IFERROR(__xludf.DUMMYFUNCTION("""COMPUTED_VALUE"""),"A-180560")</f>
        <v>A-180560</v>
      </c>
      <c r="F165" s="129" t="str">
        <f>IFERROR(__xludf.DUMMYFUNCTION("""COMPUTED_VALUE"""),"029/2026")</f>
        <v>029/2026</v>
      </c>
      <c r="G165" s="129" t="str">
        <f>IFERROR(__xludf.DUMMYFUNCTION("""COMPUTED_VALUE"""),"23/06")</f>
        <v>23/06</v>
      </c>
      <c r="H165" s="129" t="str">
        <f>IFERROR(__xludf.DUMMYFUNCTION("""COMPUTED_VALUE"""),"05/08")</f>
        <v>05/08</v>
      </c>
      <c r="I165" s="130"/>
      <c r="J165" s="129" t="str">
        <f>IFERROR(__xludf.DUMMYFUNCTION("""COMPUTED_VALUE"""),"05/08")</f>
        <v>05/08</v>
      </c>
      <c r="K165" s="129" t="str">
        <f>IFERROR(__xludf.DUMMYFUNCTION("""COMPUTED_VALUE"""),"17/08")</f>
        <v>17/08</v>
      </c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IFERROR(__xludf.DUMMYFUNCTION("""COMPUTED_VALUE"""),"9910586-4")</f>
        <v>9910586-4</v>
      </c>
      <c r="D166" s="129" t="str">
        <f>IFERROR(__xludf.DUMMYFUNCTION("""COMPUTED_VALUE"""),"CONJUNTO DE MOTOR E ATUADOR DE FLAP")</f>
        <v>CONJUNTO DE MOTOR E ATUADOR DE FLAP</v>
      </c>
      <c r="E166" s="129" t="str">
        <f>IFERROR(__xludf.DUMMYFUNCTION("""COMPUTED_VALUE"""),"1270")</f>
        <v>1270</v>
      </c>
      <c r="F166" s="129" t="str">
        <f>IFERROR(__xludf.DUMMYFUNCTION("""COMPUTED_VALUE"""),"027/2026")</f>
        <v>027/2026</v>
      </c>
      <c r="G166" s="129" t="str">
        <f>IFERROR(__xludf.DUMMYFUNCTION("""COMPUTED_VALUE"""),"20/06")</f>
        <v>20/06</v>
      </c>
      <c r="H166" s="129" t="str">
        <f>IFERROR(__xludf.DUMMYFUNCTION("""COMPUTED_VALUE"""),"07/08")</f>
        <v>07/08</v>
      </c>
      <c r="I166" s="130"/>
      <c r="J166" s="129" t="str">
        <f>IFERROR(__xludf.DUMMYFUNCTION("""COMPUTED_VALUE"""),"07/08")</f>
        <v>07/08</v>
      </c>
      <c r="K166" s="129" t="str">
        <f>IFERROR(__xludf.DUMMYFUNCTION("""COMPUTED_VALUE"""),"12/08")</f>
        <v>12/08</v>
      </c>
      <c r="L166" s="129" t="str">
        <f>IFERROR(__xludf.DUMMYFUNCTION("""COMPUTED_VALUE"""),"12/08")</f>
        <v>12/08</v>
      </c>
      <c r="M166" s="129" t="str">
        <f>IFERROR(__xludf.DUMMYFUNCTION("""COMPUTED_VALUE"""),"12/08")</f>
        <v>12/08</v>
      </c>
      <c r="N166" s="129" t="str">
        <f>IFERROR(__xludf.DUMMYFUNCTION("""COMPUTED_VALUE"""),"12/08")</f>
        <v>12/08</v>
      </c>
      <c r="O166" s="129" t="str">
        <f>IFERROR(__xludf.DUMMYFUNCTION("""COMPUTED_VALUE"""),"12/08")</f>
        <v>12/08</v>
      </c>
      <c r="P166" s="129" t="str">
        <f>IFERROR(__xludf.DUMMYFUNCTION("""COMPUTED_VALUE"""),"12/08")</f>
        <v>12/08</v>
      </c>
      <c r="Q166" s="129" t="str">
        <f>IFERROR(__xludf.DUMMYFUNCTION("""COMPUTED_VALUE"""),"12/08")</f>
        <v>12/08</v>
      </c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IFERROR(__xludf.DUMMYFUNCTION("""COMPUTED_VALUE"""),"CLA")</f>
        <v>CLA</v>
      </c>
      <c r="C167" s="129" t="str">
        <f>IFERROR(__xludf.DUMMYFUNCTION("""COMPUTED_VALUE"""),"324843-2020")</f>
        <v>324843-2020</v>
      </c>
      <c r="D167" s="129" t="str">
        <f>IFERROR(__xludf.DUMMYFUNCTION("""COMPUTED_VALUE"""),"HEADSET-MICROPHONE")</f>
        <v>HEADSET-MICROPHONE</v>
      </c>
      <c r="E167" s="129" t="str">
        <f>IFERROR(__xludf.DUMMYFUNCTION("""COMPUTED_VALUE"""),"070407983320096AE")</f>
        <v>070407983320096AE</v>
      </c>
      <c r="F167" s="129" t="str">
        <f>IFERROR(__xludf.DUMMYFUNCTION("""COMPUTED_VALUE"""),"018/2026")</f>
        <v>018/2026</v>
      </c>
      <c r="G167" s="129" t="str">
        <f>IFERROR(__xludf.DUMMYFUNCTION("""COMPUTED_VALUE"""),"22/06")</f>
        <v>22/06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IFERROR(__xludf.DUMMYFUNCTION("""COMPUTED_VALUE"""),"10/08")</f>
        <v>10/08</v>
      </c>
      <c r="K167" s="129" t="str">
        <f>IFERROR(__xludf.DUMMYFUNCTION("""COMPUTED_VALUE"""),"10/08")</f>
        <v>10/08</v>
      </c>
      <c r="L167" s="129" t="str">
        <f>IFERROR(__xludf.DUMMYFUNCTION("""COMPUTED_VALUE"""),"10/08")</f>
        <v>10/08</v>
      </c>
      <c r="M167" s="129" t="str">
        <f>IFERROR(__xludf.DUMMYFUNCTION("""COMPUTED_VALUE"""),"10/08")</f>
        <v>10/08</v>
      </c>
      <c r="N167" s="129" t="str">
        <f>IFERROR(__xludf.DUMMYFUNCTION("""COMPUTED_VALUE"""),"10/08")</f>
        <v>10/08</v>
      </c>
      <c r="O167" s="129" t="str">
        <f>IFERROR(__xludf.DUMMYFUNCTION("""COMPUTED_VALUE"""),"10/08")</f>
        <v>10/08</v>
      </c>
      <c r="P167" s="129" t="str">
        <f>IFERROR(__xludf.DUMMYFUNCTION("""COMPUTED_VALUE"""),"10/08")</f>
        <v>10/08</v>
      </c>
      <c r="Q167" s="129" t="str">
        <f>IFERROR(__xludf.DUMMYFUNCTION("""COMPUTED_VALUE"""),"10/08")</f>
        <v>10/08</v>
      </c>
      <c r="R167" s="129" t="str">
        <f>IFERROR(__xludf.DUMMYFUNCTION("""COMPUTED_VALUE"""),"10/08")</f>
        <v>10/08</v>
      </c>
      <c r="S167" s="129" t="str">
        <f>IFERROR(__xludf.DUMMYFUNCTION("""COMPUTED_VALUE"""),"10/08")</f>
        <v>10/08</v>
      </c>
      <c r="T167" s="130"/>
      <c r="U167" s="129" t="str">
        <f>IFERROR(__xludf.DUMMYFUNCTION("""COMPUTED_VALUE"""),"RECEBIMENTO PENDENTE - ENTRADA EM ABERTO - GODOY 12/08/2026")</f>
        <v>RECEBIMENTO PENDENTE - ENTRADA EM ABERTO - GODOY 12/08/2026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IFERROR(__xludf.DUMMYFUNCTION("""COMPUTED_VALUE"""),"3034792")</f>
        <v>3034792</v>
      </c>
      <c r="D168" s="129" t="str">
        <f>IFERROR(__xludf.DUMMYFUNCTION("""COMPUTED_VALUE"""),"BOMBA DE COMBUSTÍVEL")</f>
        <v>BOMBA DE COMBUSTÍVEL</v>
      </c>
      <c r="E168" s="129" t="str">
        <f>IFERROR(__xludf.DUMMYFUNCTION("""COMPUTED_VALUE"""),"003665")</f>
        <v>003665</v>
      </c>
      <c r="F168" s="129" t="str">
        <f>IFERROR(__xludf.DUMMYFUNCTION("""COMPUTED_VALUE"""),"019/2026")</f>
        <v>019/2026</v>
      </c>
      <c r="G168" s="129" t="str">
        <f>IFERROR(__xludf.DUMMYFUNCTION("""COMPUTED_VALUE"""),"25/06")</f>
        <v>25/06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IFERROR(__xludf.DUMMYFUNCTION("""COMPUTED_VALUE"""),"BAMN")</f>
        <v>BAMN</v>
      </c>
      <c r="C169" s="129" t="str">
        <f>IFERROR(__xludf.DUMMYFUNCTION("""COMPUTED_VALUE"""),"011-00916-10")</f>
        <v>011-00916-10</v>
      </c>
      <c r="D169" s="129" t="str">
        <f>IFERROR(__xludf.DUMMYFUNCTION("""COMPUTED_VALUE"""),"UNIDADE DE EXIBIÇÃO DE INFORMAÇÕES DE VOO")</f>
        <v>UNIDADE DE EXIBIÇÃO DE INFORMAÇÕES DE VOO</v>
      </c>
      <c r="E169" s="129" t="str">
        <f>IFERROR(__xludf.DUMMYFUNCTION("""COMPUTED_VALUE"""),"86816588")</f>
        <v>86816588</v>
      </c>
      <c r="F169" s="129" t="str">
        <f>IFERROR(__xludf.DUMMYFUNCTION("""COMPUTED_VALUE"""),"089/2026")</f>
        <v>089/2026</v>
      </c>
      <c r="G169" s="129" t="str">
        <f>IFERROR(__xludf.DUMMYFUNCTION("""COMPUTED_VALUE"""),"07/08")</f>
        <v>07/08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IFERROR(__xludf.DUMMYFUNCTION("""COMPUTED_VALUE"""),"10/08, 12/08")</f>
        <v>10/08, 12/08</v>
      </c>
      <c r="K169" s="129" t="str">
        <f>IFERROR(__xludf.DUMMYFUNCTION("""COMPUTED_VALUE"""),"17/08")</f>
        <v>17/08</v>
      </c>
      <c r="L169" s="129" t="str">
        <f>IFERROR(__xludf.DUMMYFUNCTION("""COMPUTED_VALUE"""),"17/08")</f>
        <v>17/08</v>
      </c>
      <c r="M169" s="129" t="str">
        <f>IFERROR(__xludf.DUMMYFUNCTION("""COMPUTED_VALUE"""),"17/08")</f>
        <v>17/08</v>
      </c>
      <c r="N169" s="129" t="str">
        <f>IFERROR(__xludf.DUMMYFUNCTION("""COMPUTED_VALUE"""),"17/08")</f>
        <v>17/08</v>
      </c>
      <c r="O169" s="129" t="str">
        <f>IFERROR(__xludf.DUMMYFUNCTION("""COMPUTED_VALUE"""),"17/08")</f>
        <v>17/08</v>
      </c>
      <c r="P169" s="129" t="str">
        <f>IFERROR(__xludf.DUMMYFUNCTION("""COMPUTED_VALUE"""),"17/08")</f>
        <v>17/08</v>
      </c>
      <c r="Q169" s="129" t="str">
        <f>IFERROR(__xludf.DUMMYFUNCTION("""COMPUTED_VALUE"""),"17/08")</f>
        <v>17/08</v>
      </c>
      <c r="R169" s="129" t="str">
        <f>IFERROR(__xludf.DUMMYFUNCTION("""COMPUTED_VALUE"""),"18/08")</f>
        <v>18/08</v>
      </c>
      <c r="S169" s="129" t="str">
        <f>IFERROR(__xludf.DUMMYFUNCTION("""COMPUTED_VALUE"""),"18/08")</f>
        <v>18/08</v>
      </c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30"/>
      <c r="B171" s="130"/>
      <c r="C171" s="130"/>
      <c r="D171" s="129" t="str">
        <f>IFERROR(__xludf.DUMMYFUNCTION("""COMPUTED_VALUE"""),"")</f>
        <v/>
      </c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30"/>
      <c r="B172" s="130"/>
      <c r="C172" s="130"/>
      <c r="D172" s="129" t="str">
        <f>IFERROR(__xludf.DUMMYFUNCTION("""COMPUTED_VALUE"""),"")</f>
        <v/>
      </c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30"/>
      <c r="B173" s="130"/>
      <c r="C173" s="130"/>
      <c r="D173" s="129" t="str">
        <f>IFERROR(__xludf.DUMMYFUNCTION("""COMPUTED_VALUE"""),"")</f>
        <v/>
      </c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30"/>
      <c r="B174" s="130"/>
      <c r="C174" s="130"/>
      <c r="D174" s="129" t="str">
        <f>IFERROR(__xludf.DUMMYFUNCTION("""COMPUTED_VALUE"""),"")</f>
        <v/>
      </c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30"/>
      <c r="B175" s="130"/>
      <c r="C175" s="130"/>
      <c r="D175" s="129" t="str">
        <f>IFERROR(__xludf.DUMMYFUNCTION("""COMPUTED_VALUE"""),"")</f>
        <v/>
      </c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>
      <c r="A502" s="130"/>
      <c r="B502" s="130"/>
      <c r="C502" s="130"/>
      <c r="D502" s="129" t="str">
        <f>IFERROR(__xludf.DUMMYFUNCTION("""COMPUTED_VALUE"""),"")</f>
        <v/>
      </c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</sheetData>
  <autoFilter ref="$A$4:$Z$147">
    <filterColumn colId="1">
      <filters>
        <filter val="BANT"/>
      </filters>
    </filterColumn>
  </autoFilter>
  <drawing r:id="rId1"/>
</worksheet>
</file>
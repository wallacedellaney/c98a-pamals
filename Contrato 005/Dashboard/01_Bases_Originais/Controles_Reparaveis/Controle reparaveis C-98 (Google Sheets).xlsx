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<sst xmlns="http://schemas.openxmlformats.org/spreadsheetml/2006/main" count="21700" uniqueCount="2961">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</sst>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46309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611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595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595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595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573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573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573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573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573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573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573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573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573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573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573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573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573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573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573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573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573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573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540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540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540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>026/2026</v>
      </c>
      <c r="U49" s="51" t="str">
        <f t="array" ref="U49">IFERROR(_xlfn.XLOOKUP($F49,'Acerto virtual'!$E:$E,'Acerto virtual'!G:G),"")</f>
        <v>06/10</v>
      </c>
      <c r="V49" s="51" t="str">
        <f t="array" ref="V49">IFERROR(_xlfn.XLOOKUP($F49,'Acerto virtual'!$E:$E,'Acerto virtual'!H:H),"")</f>
        <v>06/10</v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>06/10</v>
      </c>
      <c r="Y49" s="51" t="str">
        <f t="array" ref="Y49">IFERROR(_xlfn.XLOOKUP($F49,'Acerto virtual'!$E:$E,'Acerto virtual'!K:K),"")</f>
        <v>07/10</v>
      </c>
      <c r="Z49" s="51" t="str">
        <f t="array" ref="Z49">IFERROR(_xlfn.XLOOKUP($F49,'Acerto virtual'!$E:$E,'Acerto virtual'!L:L),"")</f>
        <v>07/10</v>
      </c>
      <c r="AA49" s="51" t="str">
        <f t="array" ref="AA49">IFERROR(_xlfn.XLOOKUP($F49,'Acerto virtual'!$E:$E,'Acerto virtual'!M:M),"")</f>
        <v>07/10</v>
      </c>
      <c r="AB49" s="51" t="str">
        <f t="array" ref="AB49">IFERROR(_xlfn.XLOOKUP($F49,'Acerto virtual'!$E:$E,'Acerto virtual'!N:N),"")</f>
        <v>07/10</v>
      </c>
      <c r="AC49" s="51" t="str">
        <f t="array" ref="AC49">IFERROR(_xlfn.XLOOKUP($F49,'Acerto virtual'!$E:$E,'Acerto virtual'!O:O),"")</f>
        <v>07/10</v>
      </c>
      <c r="AD49" s="51" t="str">
        <f t="array" ref="AD49">IFERROR(_xlfn.XLOOKUP($F49,'Acerto virtual'!$E:$E,'Acerto virtual'!P:P),"")</f>
        <v>08/10</v>
      </c>
      <c r="AE49" s="51" t="str">
        <f t="array" ref="AE49">IFERROR(_xlfn.XLOOKUP($F49,'Acerto virtual'!$E:$E,'Acerto virtual'!Q:Q),"")</f>
        <v>08/10</v>
      </c>
      <c r="AF49" s="51" t="str">
        <f t="array" ref="AF49">IFERROR(_xlfn.XLOOKUP($F49,'Acerto virtual'!$E:$E,'Acerto virtual'!R:R),"")</f>
        <v>08/10</v>
      </c>
      <c r="AG49" s="51" t="str">
        <f t="array" ref="AG49">IFERROR(_xlfn.XLOOKUP($F49,'Acerto virtual'!$E:$E,'Acerto virtual'!S:S),"")</f>
        <v>08/10</v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540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540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540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540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540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540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510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510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506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506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506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506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496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496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496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496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496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478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478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478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469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469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469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469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469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469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469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469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469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469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469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469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460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460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456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454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440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440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440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440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427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418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418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418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418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418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415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415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411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411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>RECEBIMENTO PENDENTE - ENTRADA EM ABERTO - GODOY 05/10/2026</v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>RECEBIMENTO PENDENTE - ENTRADA EM ABERTO - GODOY 05/10/2026</v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399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392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>29/09</v>
      </c>
      <c r="AI174" s="51" t="str">
        <f t="array" ref="AI174">IFERROR(_xlfn.XLOOKUP($F174,'Acerto virtual'!$E:$E,'Acerto virtual'!U:U),"")</f>
        <v>RECEBIDO POR 2S BRUNO</v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392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392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392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372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372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372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370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370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370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370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363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344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344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342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341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341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330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323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323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323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323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323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323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309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309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302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302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302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299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299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>01/09</v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>RECEBIMENTO PENDENTE - ENTRADA EM ABERTO - GODOY 05/10/2026</v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299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281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281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281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281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281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05/10/2026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273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273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261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261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259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>04/09</v>
      </c>
      <c r="AI253" s="51" t="str">
        <f t="array" ref="AI253">IFERROR(_xlfn.XLOOKUP($F253,'Acerto virtual'!$E:$E,'Acerto virtual'!U:U),"")</f>
        <v>RECEBIDO POR 2S CIPRIANO</v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246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246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246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246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>01/09</v>
      </c>
      <c r="AH265" s="51" t="str">
        <f t="array" ref="AH265">IFERROR(_xlfn.XLOOKUP($F265,'Acerto virtual'!$E:$E,'Acerto virtual'!T:T),"")</f>
        <v>09/09</v>
      </c>
      <c r="AI265" s="51" t="str">
        <f t="array" ref="AI265">IFERROR(_xlfn.XLOOKUP($F265,'Acerto virtual'!$E:$E,'Acerto virtual'!U:U),"")</f>
        <v>RECEBIDO POR 3S KESIA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246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246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246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246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246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246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246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246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232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232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224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224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219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202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197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184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184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184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184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184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184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184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184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>09/09</v>
      </c>
      <c r="AI310" s="51" t="str">
        <f t="array" ref="AI310">IFERROR(_xlfn.XLOOKUP($F310,'Acerto virtual'!$E:$E,'Acerto virtual'!U:U),"")</f>
        <v>RECEBIDO POR 3S KESIA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184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184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>RECEBIMENTO PENDENTE - ENTRADA EM ABERTO - GODOY 05/10/2026</v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184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184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184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184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184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184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184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184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184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184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184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184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167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167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167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167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>RECEBIMENTO PENDENTE - ENTRADA EM ABERTO - GODOY 05/10/2026</v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167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167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167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167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167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167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167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167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167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167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167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167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167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167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167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161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161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161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161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>01/09</v>
      </c>
      <c r="AH375" s="51" t="str">
        <f t="array" ref="AH375">IFERROR(_xlfn.XLOOKUP($F375,'Acerto virtual'!$E:$E,'Acerto virtual'!T:T),"")</f>
        <v>09/09</v>
      </c>
      <c r="AI375" s="51" t="str">
        <f t="array" ref="AI375">IFERROR(_xlfn.XLOOKUP($F375,'Acerto virtual'!$E:$E,'Acerto virtual'!U:U),"")</f>
        <v>RECEBIDO POR 3S KESIA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160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160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155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155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>09/09</v>
      </c>
      <c r="AI380" s="51" t="str">
        <f t="array" ref="AI380">IFERROR(_xlfn.XLOOKUP($F380,'Acerto virtual'!$E:$E,'Acerto virtual'!U:U),"")</f>
        <v>RECEBIDO POR 3S KESIA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155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155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155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155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155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155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145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138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138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138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138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>01/09</v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>RECEBIMENTO PENDENTE - ENTRADA EM ABERTO - GODOY 05/10/2026</v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>01/09</v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>RECEBIMENTO PENDENTE - ENTRADA EM ABERTO - GODOY 05/10/2026</v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138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138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138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138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>09/09</v>
      </c>
      <c r="AI408" s="51" t="str">
        <f t="array" ref="AI408">IFERROR(_xlfn.XLOOKUP($F408,'Acerto virtual'!$E:$E,'Acerto virtual'!U:U),"")</f>
        <v>RECEBIDO POR 3S KESIA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126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126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126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126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126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121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121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121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121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121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121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121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121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121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121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121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121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121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121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121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121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121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121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121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121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121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121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113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113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106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104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98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98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83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83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83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79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79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79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79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79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78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76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76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76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76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75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79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79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79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79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79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79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79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79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79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78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78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78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78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78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78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78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78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78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78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78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78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78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78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78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78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78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78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78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78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78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78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78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78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78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78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78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78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78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78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77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77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77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72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72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72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69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69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65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65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57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57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57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55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55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55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55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55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44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44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44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44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40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35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35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35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35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35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35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35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35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35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35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35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35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35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35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35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35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35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28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28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28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28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28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28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28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28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28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28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28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21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21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RBS14/10/26.")</f>
        <v>Acerto virtual de item atendido pela empresa Vee One através do contrato 005/CELOG-PAMALS/2025; RBS14/10/26.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NGS14/10/26.")</f>
        <v>Acerto virtual de item atendido pela empresa Vee One através do contrato 005/CELOG-PAMALS/2025; NGS14/10/26.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IFERROR(__xludf.DUMMYFUNCTION("""COMPUTED_VALUE"""),"BABR")</f>
        <v>BABR</v>
      </c>
      <c r="C121" s="138" t="str">
        <f>IFERROR(__xludf.DUMMYFUNCTION("""COMPUTED_VALUE"""),"066-3046-07")</f>
        <v>066-3046-07</v>
      </c>
      <c r="D121" s="138" t="str">
        <f>IFERROR(__xludf.DUMMYFUNCTION("""COMPUTED_VALUE"""),"CONTROL INDICATOR")</f>
        <v>CONTROL INDICATOR</v>
      </c>
      <c r="E121" s="138" t="str">
        <f>IFERROR(__xludf.DUMMYFUNCTION("""COMPUTED_VALUE"""),"KI525A-B100660")</f>
        <v>KI525A-B100660</v>
      </c>
      <c r="F121" s="138" t="str">
        <f>IFERROR(__xludf.DUMMYFUNCTION("""COMPUTED_VALUE"""),"015/2026")</f>
        <v>015/2026</v>
      </c>
      <c r="G121" s="138" t="str">
        <f>IFERROR(__xludf.DUMMYFUNCTION("""COMPUTED_VALUE"""),"22/04")</f>
        <v>22/04</v>
      </c>
      <c r="H121" s="138" t="str">
        <f>IFERROR(__xludf.DUMMYFUNCTION("""COMPUTED_VALUE"""),"04/05")</f>
        <v>04/05</v>
      </c>
      <c r="I121" s="138" t="str">
        <f>IFERROR(__xludf.DUMMYFUNCTION("""COMPUTED_VALUE"""),"gmm assinada do recolhimento entregue em 21/05")</f>
        <v>gmm assinada do recolhimento entregue em 21/05</v>
      </c>
      <c r="J121" s="138" t="str">
        <f>IFERROR(__xludf.DUMMYFUNCTION("""COMPUTED_VALUE"""),"21/05")</f>
        <v>21/05</v>
      </c>
      <c r="K121" s="138" t="str">
        <f>IFERROR(__xludf.DUMMYFUNCTION("""COMPUTED_VALUE"""),"06/08")</f>
        <v>06/08</v>
      </c>
      <c r="L121" s="138" t="str">
        <f>IFERROR(__xludf.DUMMYFUNCTION("""COMPUTED_VALUE"""),"06/08")</f>
        <v>06/08</v>
      </c>
      <c r="M121" s="138" t="str">
        <f>IFERROR(__xludf.DUMMYFUNCTION("""COMPUTED_VALUE"""),"07/08")</f>
        <v>07/08</v>
      </c>
      <c r="N121" s="138" t="str">
        <f>IFERROR(__xludf.DUMMYFUNCTION("""COMPUTED_VALUE"""),"07/08")</f>
        <v>07/08</v>
      </c>
      <c r="O121" s="138" t="str">
        <f>IFERROR(__xludf.DUMMYFUNCTION("""COMPUTED_VALUE"""),"07/08")</f>
        <v>07/08</v>
      </c>
      <c r="P121" s="138" t="str">
        <f>IFERROR(__xludf.DUMMYFUNCTION("""COMPUTED_VALUE"""),"12/08")</f>
        <v>12/08</v>
      </c>
      <c r="Q121" s="138" t="str">
        <f>IFERROR(__xludf.DUMMYFUNCTION("""COMPUTED_VALUE"""),"12/08")</f>
        <v>12/08</v>
      </c>
      <c r="R121" s="138" t="str">
        <f>IFERROR(__xludf.DUMMYFUNCTION("""COMPUTED_VALUE"""),"12/08, 01/09")</f>
        <v>12/08, 01/09</v>
      </c>
      <c r="S121" s="138" t="str">
        <f>IFERROR(__xludf.DUMMYFUNCTION("""COMPUTED_VALUE"""),"01/09")</f>
        <v>01/09</v>
      </c>
      <c r="T121" s="138" t="str">
        <f>IFERROR(__xludf.DUMMYFUNCTION("""COMPUTED_VALUE"""),"09/09")</f>
        <v>09/09</v>
      </c>
      <c r="U121" s="138" t="str">
        <f>IFERROR(__xludf.DUMMYFUNCTION("""COMPUTED_VALUE"""),"RECEBIDO POR 3S KESIA")</f>
        <v>RECEBIDO POR 3S KESIA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IFERROR(__xludf.DUMMYFUNCTION("""COMPUTED_VALUE"""),"BABR")</f>
        <v>BABR</v>
      </c>
      <c r="C122" s="138" t="str">
        <f>IFERROR(__xludf.DUMMYFUNCTION("""COMPUTED_VALUE"""),"065-0061-36")</f>
        <v>065-0061-36</v>
      </c>
      <c r="D122" s="138" t="str">
        <f>IFERROR(__xludf.DUMMYFUNCTION("""COMPUTED_VALUE"""),"ACTUATOR TRIM")</f>
        <v>ACTUATOR TRIM</v>
      </c>
      <c r="E122" s="138" t="str">
        <f>IFERROR(__xludf.DUMMYFUNCTION("""COMPUTED_VALUE"""),"42966")</f>
        <v>42966</v>
      </c>
      <c r="F122" s="138" t="str">
        <f>IFERROR(__xludf.DUMMYFUNCTION("""COMPUTED_VALUE"""),"015/2026")</f>
        <v>015/2026</v>
      </c>
      <c r="G122" s="138" t="str">
        <f>IFERROR(__xludf.DUMMYFUNCTION("""COMPUTED_VALUE"""),"22/04")</f>
        <v>22/04</v>
      </c>
      <c r="H122" s="138" t="str">
        <f>IFERROR(__xludf.DUMMYFUNCTION("""COMPUTED_VALUE"""),"04/05")</f>
        <v>04/05</v>
      </c>
      <c r="I122" s="138"/>
      <c r="J122" s="138" t="str">
        <f>IFERROR(__xludf.DUMMYFUNCTION("""COMPUTED_VALUE"""),"21/05")</f>
        <v>21/05</v>
      </c>
      <c r="K122" s="138" t="str">
        <f>IFERROR(__xludf.DUMMYFUNCTION("""COMPUTED_VALUE"""),"06/08")</f>
        <v>06/08</v>
      </c>
      <c r="L122" s="138" t="str">
        <f>IFERROR(__xludf.DUMMYFUNCTION("""COMPUTED_VALUE"""),"06/08")</f>
        <v>06/08</v>
      </c>
      <c r="M122" s="138" t="str">
        <f>IFERROR(__xludf.DUMMYFUNCTION("""COMPUTED_VALUE"""),"07/08")</f>
        <v>07/08</v>
      </c>
      <c r="N122" s="138" t="str">
        <f>IFERROR(__xludf.DUMMYFUNCTION("""COMPUTED_VALUE"""),"07/08")</f>
        <v>07/08</v>
      </c>
      <c r="O122" s="138" t="str">
        <f>IFERROR(__xludf.DUMMYFUNCTION("""COMPUTED_VALUE"""),"07/08")</f>
        <v>07/08</v>
      </c>
      <c r="P122" s="138" t="str">
        <f>IFERROR(__xludf.DUMMYFUNCTION("""COMPUTED_VALUE"""),"12/08")</f>
        <v>12/08</v>
      </c>
      <c r="Q122" s="138" t="str">
        <f>IFERROR(__xludf.DUMMYFUNCTION("""COMPUTED_VALUE"""),"12/08")</f>
        <v>12/08</v>
      </c>
      <c r="R122" s="138" t="str">
        <f>IFERROR(__xludf.DUMMYFUNCTION("""COMPUTED_VALUE"""),"12/08, 01/09")</f>
        <v>12/08, 01/09</v>
      </c>
      <c r="S122" s="138" t="str">
        <f>IFERROR(__xludf.DUMMYFUNCTION("""COMPUTED_VALUE"""),"01/09")</f>
        <v>01/09</v>
      </c>
      <c r="T122" s="138" t="str">
        <f>IFERROR(__xludf.DUMMYFUNCTION("""COMPUTED_VALUE"""),"09/09")</f>
        <v>09/09</v>
      </c>
      <c r="U122" s="138" t="str">
        <f>IFERROR(__xludf.DUMMYFUNCTION("""COMPUTED_VALUE"""),"RECEBIDO POR 3S KESIA")</f>
        <v>RECEBIDO POR 3S KESIA</v>
      </c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IFERROR(__xludf.DUMMYFUNCTION("""COMPUTED_VALUE"""),"BABR")</f>
        <v>BABR</v>
      </c>
      <c r="C123" s="138" t="str">
        <f>IFERROR(__xludf.DUMMYFUNCTION("""COMPUTED_VALUE"""),"060-0017-00")</f>
        <v>060-0017-00</v>
      </c>
      <c r="D123" s="138" t="str">
        <f>IFERROR(__xludf.DUMMYFUNCTION("""COMPUTED_VALUE"""),"IND DE COMANDO DE VOO")</f>
        <v>IND DE COMANDO DE VOO</v>
      </c>
      <c r="E123" s="138" t="str">
        <f>IFERROR(__xludf.DUMMYFUNCTION("""COMPUTED_VALUE"""),"18685")</f>
        <v>18685</v>
      </c>
      <c r="F123" s="138" t="str">
        <f>IFERROR(__xludf.DUMMYFUNCTION("""COMPUTED_VALUE"""),"022/2026")</f>
        <v>022/2026</v>
      </c>
      <c r="G123" s="138" t="str">
        <f>IFERROR(__xludf.DUMMYFUNCTION("""COMPUTED_VALUE"""),"22/06")</f>
        <v>22/06</v>
      </c>
      <c r="H123" s="138" t="str">
        <f>IFERROR(__xludf.DUMMYFUNCTION("""COMPUTED_VALUE"""),"23/06")</f>
        <v>23/06</v>
      </c>
      <c r="I123" s="138"/>
      <c r="J123" s="138" t="str">
        <f>IFERROR(__xludf.DUMMYFUNCTION("""COMPUTED_VALUE"""),"23/06")</f>
        <v>23/06</v>
      </c>
      <c r="K123" s="138" t="str">
        <f>IFERROR(__xludf.DUMMYFUNCTION("""COMPUTED_VALUE"""),"24/06")</f>
        <v>24/06</v>
      </c>
      <c r="L123" s="138" t="str">
        <f>IFERROR(__xludf.DUMMYFUNCTION("""COMPUTED_VALUE"""),"24/06")</f>
        <v>24/06</v>
      </c>
      <c r="M123" s="138" t="str">
        <f>IFERROR(__xludf.DUMMYFUNCTION("""COMPUTED_VALUE"""),"24/06")</f>
        <v>24/06</v>
      </c>
      <c r="N123" s="138" t="str">
        <f>IFERROR(__xludf.DUMMYFUNCTION("""COMPUTED_VALUE"""),"24/06")</f>
        <v>24/06</v>
      </c>
      <c r="O123" s="138" t="str">
        <f>IFERROR(__xludf.DUMMYFUNCTION("""COMPUTED_VALUE"""),"24/06")</f>
        <v>24/06</v>
      </c>
      <c r="P123" s="138" t="str">
        <f>IFERROR(__xludf.DUMMYFUNCTION("""COMPUTED_VALUE"""),"02/07")</f>
        <v>02/07</v>
      </c>
      <c r="Q123" s="138" t="str">
        <f>IFERROR(__xludf.DUMMYFUNCTION("""COMPUTED_VALUE"""),"02/07")</f>
        <v>02/07</v>
      </c>
      <c r="R123" s="138" t="str">
        <f>IFERROR(__xludf.DUMMYFUNCTION("""COMPUTED_VALUE"""),"02/07")</f>
        <v>02/07</v>
      </c>
      <c r="S123" s="138" t="str">
        <f>IFERROR(__xludf.DUMMYFUNCTION("""COMPUTED_VALUE"""),"02/07, 01/09")</f>
        <v>02/07, 01/09</v>
      </c>
      <c r="T123" s="138" t="str">
        <f>IFERROR(__xludf.DUMMYFUNCTION("""COMPUTED_VALUE"""),"09/09")</f>
        <v>09/09</v>
      </c>
      <c r="U123" s="138" t="str">
        <f>IFERROR(__xludf.DUMMYFUNCTION("""COMPUTED_VALUE"""),"RECEBIDO POR 3S KESIA")</f>
        <v>RECEBIDO POR 3S KESIA</v>
      </c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IFERROR(__xludf.DUMMYFUNCTION("""COMPUTED_VALUE"""),"BABR")</f>
        <v>BABR</v>
      </c>
      <c r="C124" s="138" t="str">
        <f>IFERROR(__xludf.DUMMYFUNCTION("""COMPUTED_VALUE"""),"9910338-8")</f>
        <v>9910338-8</v>
      </c>
      <c r="D124" s="138" t="str">
        <f>IFERROR(__xludf.DUMMYFUNCTION("""COMPUTED_VALUE"""),"INDICATOR,FUEL FLOW")</f>
        <v>INDICATOR,FUEL FLOW</v>
      </c>
      <c r="E124" s="138" t="str">
        <f>IFERROR(__xludf.DUMMYFUNCTION("""COMPUTED_VALUE"""),"9933-49")</f>
        <v>9933-49</v>
      </c>
      <c r="F124" s="138" t="str">
        <f>IFERROR(__xludf.DUMMYFUNCTION("""COMPUTED_VALUE"""),"022/2026")</f>
        <v>022/2026</v>
      </c>
      <c r="G124" s="138" t="str">
        <f>IFERROR(__xludf.DUMMYFUNCTION("""COMPUTED_VALUE"""),"22/06")</f>
        <v>22/06</v>
      </c>
      <c r="H124" s="138" t="str">
        <f>IFERROR(__xludf.DUMMYFUNCTION("""COMPUTED_VALUE"""),"23/06")</f>
        <v>23/06</v>
      </c>
      <c r="I124" s="138"/>
      <c r="J124" s="138" t="str">
        <f>IFERROR(__xludf.DUMMYFUNCTION("""COMPUTED_VALUE"""),"23/06")</f>
        <v>23/06</v>
      </c>
      <c r="K124" s="138" t="str">
        <f>IFERROR(__xludf.DUMMYFUNCTION("""COMPUTED_VALUE"""),"24/06")</f>
        <v>24/06</v>
      </c>
      <c r="L124" s="138" t="str">
        <f>IFERROR(__xludf.DUMMYFUNCTION("""COMPUTED_VALUE"""),"24/06")</f>
        <v>24/06</v>
      </c>
      <c r="M124" s="138" t="str">
        <f>IFERROR(__xludf.DUMMYFUNCTION("""COMPUTED_VALUE"""),"24/06")</f>
        <v>24/06</v>
      </c>
      <c r="N124" s="138" t="str">
        <f>IFERROR(__xludf.DUMMYFUNCTION("""COMPUTED_VALUE"""),"24/06")</f>
        <v>24/06</v>
      </c>
      <c r="O124" s="138" t="str">
        <f>IFERROR(__xludf.DUMMYFUNCTION("""COMPUTED_VALUE"""),"24/06")</f>
        <v>24/06</v>
      </c>
      <c r="P124" s="138" t="str">
        <f>IFERROR(__xludf.DUMMYFUNCTION("""COMPUTED_VALUE"""),"02/07")</f>
        <v>02/07</v>
      </c>
      <c r="Q124" s="138" t="str">
        <f>IFERROR(__xludf.DUMMYFUNCTION("""COMPUTED_VALUE"""),"02/07")</f>
        <v>02/07</v>
      </c>
      <c r="R124" s="138" t="str">
        <f>IFERROR(__xludf.DUMMYFUNCTION("""COMPUTED_VALUE"""),"02/07")</f>
        <v>02/07</v>
      </c>
      <c r="S124" s="138" t="str">
        <f>IFERROR(__xludf.DUMMYFUNCTION("""COMPUTED_VALUE"""),"02/07, 01/09")</f>
        <v>02/07, 01/09</v>
      </c>
      <c r="T124" s="138" t="str">
        <f>IFERROR(__xludf.DUMMYFUNCTION("""COMPUTED_VALUE"""),"09/09")</f>
        <v>09/09</v>
      </c>
      <c r="U124" s="138" t="str">
        <f>IFERROR(__xludf.DUMMYFUNCTION("""COMPUTED_VALUE"""),"RECEBIDO POR 3S KESIA")</f>
        <v>RECEBIDO POR 3S KESIA</v>
      </c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IFERROR(__xludf.DUMMYFUNCTION("""COMPUTED_VALUE"""),"BABR")</f>
        <v>BABR</v>
      </c>
      <c r="C125" s="138" t="str">
        <f>IFERROR(__xludf.DUMMYFUNCTION("""COMPUTED_VALUE"""),"066-1072-04")</f>
        <v>066-1072-04</v>
      </c>
      <c r="D125" s="138" t="str">
        <f>IFERROR(__xludf.DUMMYFUNCTION("""COMPUTED_VALUE"""),"RECEIVER RADIO")</f>
        <v>RECEIVER RADIO</v>
      </c>
      <c r="E125" s="138" t="str">
        <f>IFERROR(__xludf.DUMMYFUNCTION("""COMPUTED_VALUE"""),"64318")</f>
        <v>64318</v>
      </c>
      <c r="F125" s="138" t="str">
        <f>IFERROR(__xludf.DUMMYFUNCTION("""COMPUTED_VALUE"""),"024/2026")</f>
        <v>024/2026</v>
      </c>
      <c r="G125" s="138" t="str">
        <f>IFERROR(__xludf.DUMMYFUNCTION("""COMPUTED_VALUE"""),"07/07")</f>
        <v>07/07</v>
      </c>
      <c r="H125" s="138" t="str">
        <f>IFERROR(__xludf.DUMMYFUNCTION("""COMPUTED_VALUE"""),"09/07")</f>
        <v>09/07</v>
      </c>
      <c r="I125" s="138"/>
      <c r="J125" s="138" t="str">
        <f>IFERROR(__xludf.DUMMYFUNCTION("""COMPUTED_VALUE"""),"09/07")</f>
        <v>09/07</v>
      </c>
      <c r="K125" s="138" t="str">
        <f>IFERROR(__xludf.DUMMYFUNCTION("""COMPUTED_VALUE"""),"10/07")</f>
        <v>10/07</v>
      </c>
      <c r="L125" s="138" t="str">
        <f>IFERROR(__xludf.DUMMYFUNCTION("""COMPUTED_VALUE"""),"10/07")</f>
        <v>10/07</v>
      </c>
      <c r="M125" s="138" t="str">
        <f>IFERROR(__xludf.DUMMYFUNCTION("""COMPUTED_VALUE"""),"13/07")</f>
        <v>13/07</v>
      </c>
      <c r="N125" s="138" t="str">
        <f>IFERROR(__xludf.DUMMYFUNCTION("""COMPUTED_VALUE"""),"13/07")</f>
        <v>13/07</v>
      </c>
      <c r="O125" s="138" t="str">
        <f>IFERROR(__xludf.DUMMYFUNCTION("""COMPUTED_VALUE"""),"13/07")</f>
        <v>13/07</v>
      </c>
      <c r="P125" s="138" t="str">
        <f>IFERROR(__xludf.DUMMYFUNCTION("""COMPUTED_VALUE"""),"13/07")</f>
        <v>13/07</v>
      </c>
      <c r="Q125" s="138" t="str">
        <f>IFERROR(__xludf.DUMMYFUNCTION("""COMPUTED_VALUE"""),"13/07")</f>
        <v>13/07</v>
      </c>
      <c r="R125" s="138" t="str">
        <f>IFERROR(__xludf.DUMMYFUNCTION("""COMPUTED_VALUE"""),"13/07")</f>
        <v>13/07</v>
      </c>
      <c r="S125" s="138" t="str">
        <f>IFERROR(__xludf.DUMMYFUNCTION("""COMPUTED_VALUE"""),"13/07, 01/09")</f>
        <v>13/07, 01/09</v>
      </c>
      <c r="T125" s="138" t="str">
        <f>IFERROR(__xludf.DUMMYFUNCTION("""COMPUTED_VALUE"""),"09/09")</f>
        <v>09/09</v>
      </c>
      <c r="U125" s="138" t="str">
        <f>IFERROR(__xludf.DUMMYFUNCTION("""COMPUTED_VALUE"""),"RECEBIDO POR 3S KESIA")</f>
        <v>RECEBIDO POR 3S KESIA</v>
      </c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IFERROR(__xludf.DUMMYFUNCTION("""COMPUTED_VALUE"""),"BABR")</f>
        <v>BABR</v>
      </c>
      <c r="C126" s="138" t="str">
        <f>IFERROR(__xludf.DUMMYFUNCTION("""COMPUTED_VALUE"""),"060-0017-00")</f>
        <v>060-0017-00</v>
      </c>
      <c r="D126" s="138" t="str">
        <f>IFERROR(__xludf.DUMMYFUNCTION("""COMPUTED_VALUE"""),"IND DE COMANDO DE VOO")</f>
        <v>IND DE COMANDO DE VOO</v>
      </c>
      <c r="E126" s="138" t="str">
        <f>IFERROR(__xludf.DUMMYFUNCTION("""COMPUTED_VALUE"""),"9599")</f>
        <v>9599</v>
      </c>
      <c r="F126" s="138" t="str">
        <f>IFERROR(__xludf.DUMMYFUNCTION("""COMPUTED_VALUE"""),"025/2026")</f>
        <v>025/2026</v>
      </c>
      <c r="G126" s="138" t="str">
        <f>IFERROR(__xludf.DUMMYFUNCTION("""COMPUTED_VALUE"""),"09/07")</f>
        <v>09/07</v>
      </c>
      <c r="H126" s="138" t="str">
        <f>IFERROR(__xludf.DUMMYFUNCTION("""COMPUTED_VALUE"""),"09/07")</f>
        <v>09/07</v>
      </c>
      <c r="I126" s="138"/>
      <c r="J126" s="138" t="str">
        <f>IFERROR(__xludf.DUMMYFUNCTION("""COMPUTED_VALUE"""),"09/07")</f>
        <v>09/07</v>
      </c>
      <c r="K126" s="138" t="str">
        <f>IFERROR(__xludf.DUMMYFUNCTION("""COMPUTED_VALUE"""),"10/07")</f>
        <v>10/07</v>
      </c>
      <c r="L126" s="138" t="str">
        <f>IFERROR(__xludf.DUMMYFUNCTION("""COMPUTED_VALUE"""),"10/07")</f>
        <v>10/07</v>
      </c>
      <c r="M126" s="138" t="str">
        <f>IFERROR(__xludf.DUMMYFUNCTION("""COMPUTED_VALUE"""),"13/07")</f>
        <v>13/07</v>
      </c>
      <c r="N126" s="138" t="str">
        <f>IFERROR(__xludf.DUMMYFUNCTION("""COMPUTED_VALUE"""),"13/07")</f>
        <v>13/07</v>
      </c>
      <c r="O126" s="138" t="str">
        <f>IFERROR(__xludf.DUMMYFUNCTION("""COMPUTED_VALUE"""),"13/07")</f>
        <v>13/07</v>
      </c>
      <c r="P126" s="138" t="str">
        <f>IFERROR(__xludf.DUMMYFUNCTION("""COMPUTED_VALUE"""),"13/07")</f>
        <v>13/07</v>
      </c>
      <c r="Q126" s="138" t="str">
        <f>IFERROR(__xludf.DUMMYFUNCTION("""COMPUTED_VALUE"""),"13/07")</f>
        <v>13/07</v>
      </c>
      <c r="R126" s="138" t="str">
        <f>IFERROR(__xludf.DUMMYFUNCTION("""COMPUTED_VALUE"""),"13/07")</f>
        <v>13/07</v>
      </c>
      <c r="S126" s="138" t="str">
        <f>IFERROR(__xludf.DUMMYFUNCTION("""COMPUTED_VALUE"""),"13/07, 01/09")</f>
        <v>13/07, 01/09</v>
      </c>
      <c r="T126" s="138" t="str">
        <f>IFERROR(__xludf.DUMMYFUNCTION("""COMPUTED_VALUE"""),"09/09")</f>
        <v>09/09</v>
      </c>
      <c r="U126" s="138" t="str">
        <f>IFERROR(__xludf.DUMMYFUNCTION("""COMPUTED_VALUE"""),"RECEBIDO POR 3S KESIA")</f>
        <v>RECEBIDO POR 3S KESIA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IFERROR(__xludf.DUMMYFUNCTION("""COMPUTED_VALUE"""),"CLA")</f>
        <v>CLA</v>
      </c>
      <c r="C127" s="138" t="str">
        <f>IFERROR(__xludf.DUMMYFUNCTION("""COMPUTED_VALUE"""),"3034792")</f>
        <v>3034792</v>
      </c>
      <c r="D127" s="138" t="str">
        <f>IFERROR(__xludf.DUMMYFUNCTION("""COMPUTED_VALUE"""),"BOMBA DE COMBUSTÍVEL")</f>
        <v>BOMBA DE COMBUSTÍVEL</v>
      </c>
      <c r="E127" s="138" t="str">
        <f>IFERROR(__xludf.DUMMYFUNCTION("""COMPUTED_VALUE"""),"003665")</f>
        <v>003665</v>
      </c>
      <c r="F127" s="138" t="str">
        <f>IFERROR(__xludf.DUMMYFUNCTION("""COMPUTED_VALUE"""),"019/2026")</f>
        <v>019/2026</v>
      </c>
      <c r="G127" s="138" t="str">
        <f>IFERROR(__xludf.DUMMYFUNCTION("""COMPUTED_VALUE"""),"25/06")</f>
        <v>25/06</v>
      </c>
      <c r="H127" s="138" t="str">
        <f>IFERROR(__xludf.DUMMYFUNCTION("""COMPUTED_VALUE"""),"07/08")</f>
        <v>07/08</v>
      </c>
      <c r="I127" s="138"/>
      <c r="J127" s="138" t="str">
        <f>IFERROR(__xludf.DUMMYFUNCTION("""COMPUTED_VALUE"""),"10/08")</f>
        <v>10/08</v>
      </c>
      <c r="K127" s="138" t="str">
        <f>IFERROR(__xludf.DUMMYFUNCTION("""COMPUTED_VALUE"""),"10/08")</f>
        <v>10/08</v>
      </c>
      <c r="L127" s="138" t="str">
        <f>IFERROR(__xludf.DUMMYFUNCTION("""COMPUTED_VALUE"""),"10/08, 01/09")</f>
        <v>10/08, 01/09</v>
      </c>
      <c r="M127" s="138" t="str">
        <f>IFERROR(__xludf.DUMMYFUNCTION("""COMPUTED_VALUE"""),"01/09")</f>
        <v>01/09</v>
      </c>
      <c r="N127" s="138" t="str">
        <f>IFERROR(__xludf.DUMMYFUNCTION("""COMPUTED_VALUE"""),"01/09")</f>
        <v>01/09</v>
      </c>
      <c r="O127" s="138" t="str">
        <f>IFERROR(__xludf.DUMMYFUNCTION("""COMPUTED_VALUE"""),"01/09")</f>
        <v>01/09</v>
      </c>
      <c r="P127" s="138" t="str">
        <f>IFERROR(__xludf.DUMMYFUNCTION("""COMPUTED_VALUE"""),"01/09")</f>
        <v>01/09</v>
      </c>
      <c r="Q127" s="138" t="str">
        <f>IFERROR(__xludf.DUMMYFUNCTION("""COMPUTED_VALUE"""),"01/09")</f>
        <v>01/09</v>
      </c>
      <c r="R127" s="138" t="str">
        <f>IFERROR(__xludf.DUMMYFUNCTION("""COMPUTED_VALUE"""),"01/09")</f>
        <v>01/09</v>
      </c>
      <c r="S127" s="138" t="str">
        <f>IFERROR(__xludf.DUMMYFUNCTION("""COMPUTED_VALUE"""),"01/09")</f>
        <v>01/09</v>
      </c>
      <c r="T127" s="138" t="str">
        <f>IFERROR(__xludf.DUMMYFUNCTION("""COMPUTED_VALUE"""),"04/09")</f>
        <v>04/09</v>
      </c>
      <c r="U127" s="138" t="str">
        <f>IFERROR(__xludf.DUMMYFUNCTION("""COMPUTED_VALUE"""),"RECEBIDO POR 2S CIPRIANO")</f>
        <v>RECEBIDO POR 2S CIPRIANO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IFERROR(__xludf.DUMMYFUNCTION("""COMPUTED_VALUE"""),"BABR")</f>
        <v>BABR</v>
      </c>
      <c r="C128" s="138" t="str">
        <f>IFERROR(__xludf.DUMMYFUNCTION("""COMPUTED_VALUE"""),"066-3046-07")</f>
        <v>066-3046-07</v>
      </c>
      <c r="D128" s="138" t="str">
        <f>IFERROR(__xludf.DUMMYFUNCTION("""COMPUTED_VALUE"""),"CONTROL INDICATOR")</f>
        <v>CONTROL INDICATOR</v>
      </c>
      <c r="E128" s="138" t="str">
        <f>IFERROR(__xludf.DUMMYFUNCTION("""COMPUTED_VALUE"""),"83740")</f>
        <v>83740</v>
      </c>
      <c r="F128" s="138" t="str">
        <f>IFERROR(__xludf.DUMMYFUNCTION("""COMPUTED_VALUE"""),"026/2026")</f>
        <v>026/2026</v>
      </c>
      <c r="G128" s="138" t="str">
        <f>IFERROR(__xludf.DUMMYFUNCTION("""COMPUTED_VALUE"""),"20/07")</f>
        <v>20/07</v>
      </c>
      <c r="H128" s="138" t="str">
        <f>IFERROR(__xludf.DUMMYFUNCTION("""COMPUTED_VALUE"""),"07/08")</f>
        <v>07/08</v>
      </c>
      <c r="I128" s="138"/>
      <c r="J128" s="138" t="str">
        <f>IFERROR(__xludf.DUMMYFUNCTION("""COMPUTED_VALUE"""),"10/08")</f>
        <v>10/08</v>
      </c>
      <c r="K128" s="138" t="str">
        <f>IFERROR(__xludf.DUMMYFUNCTION("""COMPUTED_VALUE"""),"10/08")</f>
        <v>10/08</v>
      </c>
      <c r="L128" s="138" t="str">
        <f>IFERROR(__xludf.DUMMYFUNCTION("""COMPUTED_VALUE"""),"10/08")</f>
        <v>10/08</v>
      </c>
      <c r="M128" s="138" t="str">
        <f>IFERROR(__xludf.DUMMYFUNCTION("""COMPUTED_VALUE"""),"10/08")</f>
        <v>10/08</v>
      </c>
      <c r="N128" s="138" t="str">
        <f>IFERROR(__xludf.DUMMYFUNCTION("""COMPUTED_VALUE"""),"10/08")</f>
        <v>10/08</v>
      </c>
      <c r="O128" s="138" t="str">
        <f>IFERROR(__xludf.DUMMYFUNCTION("""COMPUTED_VALUE"""),"10/08")</f>
        <v>10/08</v>
      </c>
      <c r="P128" s="138" t="str">
        <f>IFERROR(__xludf.DUMMYFUNCTION("""COMPUTED_VALUE"""),"10/08")</f>
        <v>10/08</v>
      </c>
      <c r="Q128" s="138" t="str">
        <f>IFERROR(__xludf.DUMMYFUNCTION("""COMPUTED_VALUE"""),"10/08")</f>
        <v>10/08</v>
      </c>
      <c r="R128" s="138" t="str">
        <f>IFERROR(__xludf.DUMMYFUNCTION("""COMPUTED_VALUE"""),"10/08")</f>
        <v>10/08</v>
      </c>
      <c r="S128" s="138" t="str">
        <f>IFERROR(__xludf.DUMMYFUNCTION("""COMPUTED_VALUE"""),"10/08, 01/09")</f>
        <v>10/08, 01/09</v>
      </c>
      <c r="T128" s="138" t="str">
        <f>IFERROR(__xludf.DUMMYFUNCTION("""COMPUTED_VALUE"""),"09/09")</f>
        <v>09/09</v>
      </c>
      <c r="U128" s="138" t="str">
        <f>IFERROR(__xludf.DUMMYFUNCTION("""COMPUTED_VALUE"""),"RECEBIDO POR 3S KESIA")</f>
        <v>RECEBIDO POR 3S KESIA</v>
      </c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IFERROR(__xludf.DUMMYFUNCTION("""COMPUTED_VALUE"""),"BACG")</f>
        <v>BACG</v>
      </c>
      <c r="C129" s="138" t="str">
        <f>IFERROR(__xludf.DUMMYFUNCTION("""COMPUTED_VALUE"""),"3244897-4")</f>
        <v>3244897-4</v>
      </c>
      <c r="D129" s="138" t="str">
        <f>IFERROR(__xludf.DUMMYFUNCTION("""COMPUTED_VALUE"""),"FUEL CONTROL UNIT")</f>
        <v>FUEL CONTROL UNIT</v>
      </c>
      <c r="E129" s="138" t="str">
        <f>IFERROR(__xludf.DUMMYFUNCTION("""COMPUTED_VALUE"""),"F66912")</f>
        <v>F66912</v>
      </c>
      <c r="F129" s="138" t="str">
        <f>IFERROR(__xludf.DUMMYFUNCTION("""COMPUTED_VALUE"""),"008/2026")</f>
        <v>008/2026</v>
      </c>
      <c r="G129" s="138" t="str">
        <f>IFERROR(__xludf.DUMMYFUNCTION("""COMPUTED_VALUE"""),"17/08")</f>
        <v>17/08</v>
      </c>
      <c r="H129" s="138" t="str">
        <f>IFERROR(__xludf.DUMMYFUNCTION("""COMPUTED_VALUE"""),"20/08")</f>
        <v>20/08</v>
      </c>
      <c r="I129" s="138"/>
      <c r="J129" s="138" t="str">
        <f>IFERROR(__xludf.DUMMYFUNCTION("""COMPUTED_VALUE"""),"21/08")</f>
        <v>21/08</v>
      </c>
      <c r="K129" s="138" t="str">
        <f>IFERROR(__xludf.DUMMYFUNCTION("""COMPUTED_VALUE"""),"24/08")</f>
        <v>24/08</v>
      </c>
      <c r="L129" s="138" t="str">
        <f>IFERROR(__xludf.DUMMYFUNCTION("""COMPUTED_VALUE"""),"24/08")</f>
        <v>24/08</v>
      </c>
      <c r="M129" s="138" t="str">
        <f>IFERROR(__xludf.DUMMYFUNCTION("""COMPUTED_VALUE"""),"24/08")</f>
        <v>24/08</v>
      </c>
      <c r="N129" s="138" t="str">
        <f>IFERROR(__xludf.DUMMYFUNCTION("""COMPUTED_VALUE"""),"26/08")</f>
        <v>26/08</v>
      </c>
      <c r="O129" s="138" t="str">
        <f>IFERROR(__xludf.DUMMYFUNCTION("""COMPUTED_VALUE"""),"26/08")</f>
        <v>26/08</v>
      </c>
      <c r="P129" s="138" t="str">
        <f>IFERROR(__xludf.DUMMYFUNCTION("""COMPUTED_VALUE"""),"27/08")</f>
        <v>27/08</v>
      </c>
      <c r="Q129" s="138" t="str">
        <f>IFERROR(__xludf.DUMMYFUNCTION("""COMPUTED_VALUE"""),"27/08")</f>
        <v>27/08</v>
      </c>
      <c r="R129" s="138" t="str">
        <f>IFERROR(__xludf.DUMMYFUNCTION("""COMPUTED_VALUE"""),"27/08")</f>
        <v>27/08</v>
      </c>
      <c r="S129" s="138" t="str">
        <f>IFERROR(__xludf.DUMMYFUNCTION("""COMPUTED_VALUE"""),"27/08")</f>
        <v>27/08</v>
      </c>
      <c r="T129" s="138" t="str">
        <f>IFERROR(__xludf.DUMMYFUNCTION("""COMPUTED_VALUE"""),"16/09")</f>
        <v>16/09</v>
      </c>
      <c r="U129" s="138" t="str">
        <f>IFERROR(__xludf.DUMMYFUNCTION("""COMPUTED_VALUE"""),"RECEBIDO POR 3S ANNA AMURIM")</f>
        <v>RECEBIDO POR 3S ANNA AMURIM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IFERROR(__xludf.DUMMYFUNCTION("""COMPUTED_VALUE"""),"BABE")</f>
        <v>BABE</v>
      </c>
      <c r="C130" s="138" t="str">
        <f>IFERROR(__xludf.DUMMYFUNCTION("""COMPUTED_VALUE"""),"ASG12000-2")</f>
        <v>ASG12000-2</v>
      </c>
      <c r="D130" s="138" t="str">
        <f>IFERROR(__xludf.DUMMYFUNCTION("""COMPUTED_VALUE"""),"ALTERNADOR")</f>
        <v>ALTERNADOR</v>
      </c>
      <c r="E130" s="138" t="str">
        <f>IFERROR(__xludf.DUMMYFUNCTION("""COMPUTED_VALUE"""),"H-K121983")</f>
        <v>H-K121983</v>
      </c>
      <c r="F130" s="138" t="str">
        <f>IFERROR(__xludf.DUMMYFUNCTION("""COMPUTED_VALUE"""),"029/2026")</f>
        <v>029/2026</v>
      </c>
      <c r="G130" s="138" t="str">
        <f>IFERROR(__xludf.DUMMYFUNCTION("""COMPUTED_VALUE"""),"14/09")</f>
        <v>14/09</v>
      </c>
      <c r="H130" s="138" t="str">
        <f>IFERROR(__xludf.DUMMYFUNCTION("""COMPUTED_VALUE"""),"14/09")</f>
        <v>14/09</v>
      </c>
      <c r="I130" s="138"/>
      <c r="J130" s="138" t="str">
        <f>IFERROR(__xludf.DUMMYFUNCTION("""COMPUTED_VALUE"""),"17/09")</f>
        <v>17/09</v>
      </c>
      <c r="K130" s="138" t="str">
        <f>IFERROR(__xludf.DUMMYFUNCTION("""COMPUTED_VALUE"""),"17/09")</f>
        <v>17/09</v>
      </c>
      <c r="L130" s="138" t="str">
        <f>IFERROR(__xludf.DUMMYFUNCTION("""COMPUTED_VALUE"""),"17/09")</f>
        <v>17/09</v>
      </c>
      <c r="M130" s="138" t="str">
        <f>IFERROR(__xludf.DUMMYFUNCTION("""COMPUTED_VALUE"""),"17/09")</f>
        <v>17/09</v>
      </c>
      <c r="N130" s="138" t="str">
        <f>IFERROR(__xludf.DUMMYFUNCTION("""COMPUTED_VALUE"""),"17/09")</f>
        <v>17/09</v>
      </c>
      <c r="O130" s="138" t="str">
        <f>IFERROR(__xludf.DUMMYFUNCTION("""COMPUTED_VALUE"""),"17/09")</f>
        <v>17/09</v>
      </c>
      <c r="P130" s="138" t="str">
        <f>IFERROR(__xludf.DUMMYFUNCTION("""COMPUTED_VALUE"""),"18/09")</f>
        <v>18/09</v>
      </c>
      <c r="Q130" s="138" t="str">
        <f>IFERROR(__xludf.DUMMYFUNCTION("""COMPUTED_VALUE"""),"18/09")</f>
        <v>18/09</v>
      </c>
      <c r="R130" s="138" t="str">
        <f>IFERROR(__xludf.DUMMYFUNCTION("""COMPUTED_VALUE"""),"23/09")</f>
        <v>23/09</v>
      </c>
      <c r="S130" s="138" t="str">
        <f>IFERROR(__xludf.DUMMYFUNCTION("""COMPUTED_VALUE"""),"23/09")</f>
        <v>23/09</v>
      </c>
      <c r="T130" s="138" t="str">
        <f>IFERROR(__xludf.DUMMYFUNCTION("""COMPUTED_VALUE"""),"23/09")</f>
        <v>23/09</v>
      </c>
      <c r="U130" s="138" t="str">
        <f>IFERROR(__xludf.DUMMYFUNCTION("""COMPUTED_VALUE"""),"RECEBIDO POR 1S JOAO MARCOS")</f>
        <v>RECEBIDO POR 1S JOAO MARCOS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IFERROR(__xludf.DUMMYFUNCTION("""COMPUTED_VALUE"""),"BABE")</f>
        <v>BABE</v>
      </c>
      <c r="C131" s="138" t="str">
        <f>IFERROR(__xludf.DUMMYFUNCTION("""COMPUTED_VALUE"""),"C611505-0201")</f>
        <v>C611505-0201</v>
      </c>
      <c r="D131" s="138" t="str">
        <f>IFERROR(__xludf.DUMMYFUNCTION("""COMPUTED_VALUE"""),"ALTERNATOR ASSY")</f>
        <v>ALTERNATOR ASSY</v>
      </c>
      <c r="E131" s="138" t="str">
        <f>IFERROR(__xludf.DUMMYFUNCTION("""COMPUTED_VALUE"""),"A102704")</f>
        <v>A102704</v>
      </c>
      <c r="F131" s="138" t="str">
        <f>IFERROR(__xludf.DUMMYFUNCTION("""COMPUTED_VALUE"""),"030/2026")</f>
        <v>030/2026</v>
      </c>
      <c r="G131" s="138" t="str">
        <f>IFERROR(__xludf.DUMMYFUNCTION("""COMPUTED_VALUE"""),"15/09")</f>
        <v>15/09</v>
      </c>
      <c r="H131" s="138" t="str">
        <f>IFERROR(__xludf.DUMMYFUNCTION("""COMPUTED_VALUE"""),"17/09")</f>
        <v>17/09</v>
      </c>
      <c r="I131" s="138"/>
      <c r="J131" s="138" t="str">
        <f>IFERROR(__xludf.DUMMYFUNCTION("""COMPUTED_VALUE"""),"21/09")</f>
        <v>21/09</v>
      </c>
      <c r="K131" s="138" t="str">
        <f>IFERROR(__xludf.DUMMYFUNCTION("""COMPUTED_VALUE"""),"21/09")</f>
        <v>21/09</v>
      </c>
      <c r="L131" s="138" t="str">
        <f>IFERROR(__xludf.DUMMYFUNCTION("""COMPUTED_VALUE"""),"21/09")</f>
        <v>21/09</v>
      </c>
      <c r="M131" s="138" t="str">
        <f>IFERROR(__xludf.DUMMYFUNCTION("""COMPUTED_VALUE"""),"22/09")</f>
        <v>22/09</v>
      </c>
      <c r="N131" s="138" t="str">
        <f>IFERROR(__xludf.DUMMYFUNCTION("""COMPUTED_VALUE"""),"22/09")</f>
        <v>22/09</v>
      </c>
      <c r="O131" s="138" t="str">
        <f>IFERROR(__xludf.DUMMYFUNCTION("""COMPUTED_VALUE"""),"22/09")</f>
        <v>22/09</v>
      </c>
      <c r="P131" s="138" t="str">
        <f>IFERROR(__xludf.DUMMYFUNCTION("""COMPUTED_VALUE"""),"22/09")</f>
        <v>22/09</v>
      </c>
      <c r="Q131" s="138" t="str">
        <f>IFERROR(__xludf.DUMMYFUNCTION("""COMPUTED_VALUE"""),"22/09")</f>
        <v>22/09</v>
      </c>
      <c r="R131" s="138" t="str">
        <f>IFERROR(__xludf.DUMMYFUNCTION("""COMPUTED_VALUE"""),"23/09")</f>
        <v>23/09</v>
      </c>
      <c r="S131" s="138" t="str">
        <f>IFERROR(__xludf.DUMMYFUNCTION("""COMPUTED_VALUE"""),"23/09")</f>
        <v>23/09</v>
      </c>
      <c r="T131" s="138" t="str">
        <f>IFERROR(__xludf.DUMMYFUNCTION("""COMPUTED_VALUE"""),"23/09")</f>
        <v>23/09</v>
      </c>
      <c r="U131" s="138" t="str">
        <f>IFERROR(__xludf.DUMMYFUNCTION("""COMPUTED_VALUE"""),"RECEBIDO POR 1S JOAO MARCOS")</f>
        <v>RECEBIDO POR 1S JOAO MARCOS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IFERROR(__xludf.DUMMYFUNCTION("""COMPUTED_VALUE"""),"BABE")</f>
        <v>BABE</v>
      </c>
      <c r="C132" s="138" t="str">
        <f>IFERROR(__xludf.DUMMYFUNCTION("""COMPUTED_VALUE"""),"030-18200")</f>
        <v>030-18200</v>
      </c>
      <c r="D132" s="138" t="str">
        <f>IFERROR(__xludf.DUMMYFUNCTION("""COMPUTED_VALUE"""),"CONJUNTO DE FREIO")</f>
        <v>CONJUNTO DE FREIO</v>
      </c>
      <c r="E132" s="138" t="str">
        <f>IFERROR(__xludf.DUMMYFUNCTION("""COMPUTED_VALUE"""),"571")</f>
        <v>571</v>
      </c>
      <c r="F132" s="138" t="str">
        <f>IFERROR(__xludf.DUMMYFUNCTION("""COMPUTED_VALUE"""),"032/2026")</f>
        <v>032/2026</v>
      </c>
      <c r="G132" s="138" t="str">
        <f>IFERROR(__xludf.DUMMYFUNCTION("""COMPUTED_VALUE"""),"22/09")</f>
        <v>22/09</v>
      </c>
      <c r="H132" s="138" t="str">
        <f>IFERROR(__xludf.DUMMYFUNCTION("""COMPUTED_VALUE"""),"22/09")</f>
        <v>22/09</v>
      </c>
      <c r="I132" s="138"/>
      <c r="J132" s="138" t="str">
        <f>IFERROR(__xludf.DUMMYFUNCTION("""COMPUTED_VALUE"""),"22/09")</f>
        <v>22/09</v>
      </c>
      <c r="K132" s="138" t="str">
        <f>IFERROR(__xludf.DUMMYFUNCTION("""COMPUTED_VALUE"""),"22/09")</f>
        <v>22/09</v>
      </c>
      <c r="L132" s="138" t="str">
        <f>IFERROR(__xludf.DUMMYFUNCTION("""COMPUTED_VALUE"""),"22/09")</f>
        <v>22/09</v>
      </c>
      <c r="M132" s="138" t="str">
        <f>IFERROR(__xludf.DUMMYFUNCTION("""COMPUTED_VALUE"""),"22/09")</f>
        <v>22/09</v>
      </c>
      <c r="N132" s="138" t="str">
        <f>IFERROR(__xludf.DUMMYFUNCTION("""COMPUTED_VALUE"""),"22/09")</f>
        <v>22/09</v>
      </c>
      <c r="O132" s="138" t="str">
        <f>IFERROR(__xludf.DUMMYFUNCTION("""COMPUTED_VALUE"""),"22/09")</f>
        <v>22/09</v>
      </c>
      <c r="P132" s="138" t="str">
        <f>IFERROR(__xludf.DUMMYFUNCTION("""COMPUTED_VALUE"""),"22/09")</f>
        <v>22/09</v>
      </c>
      <c r="Q132" s="138" t="str">
        <f>IFERROR(__xludf.DUMMYFUNCTION("""COMPUTED_VALUE"""),"22/09")</f>
        <v>22/09</v>
      </c>
      <c r="R132" s="138" t="str">
        <f>IFERROR(__xludf.DUMMYFUNCTION("""COMPUTED_VALUE"""),"29/09")</f>
        <v>29/09</v>
      </c>
      <c r="S132" s="138" t="str">
        <f>IFERROR(__xludf.DUMMYFUNCTION("""COMPUTED_VALUE"""),"29/09")</f>
        <v>29/09</v>
      </c>
      <c r="T132" s="138" t="str">
        <f>IFERROR(__xludf.DUMMYFUNCTION("""COMPUTED_VALUE"""),"29/09")</f>
        <v>29/09</v>
      </c>
      <c r="U132" s="138" t="str">
        <f>IFERROR(__xludf.DUMMYFUNCTION("""COMPUTED_VALUE"""),"RECEBIDO POR 2S BRUNO")</f>
        <v>RECEBIDO POR 2S BRUNO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IFERROR(__xludf.DUMMYFUNCTION("""COMPUTED_VALUE"""),"BANT")</f>
        <v>BANT</v>
      </c>
      <c r="C133" s="138" t="str">
        <f>IFERROR(__xludf.DUMMYFUNCTION("""COMPUTED_VALUE"""),"066-03064-0005")</f>
        <v>066-03064-0005</v>
      </c>
      <c r="D133" s="138" t="str">
        <f>IFERROR(__xludf.DUMMYFUNCTION("""COMPUTED_VALUE"""),"ENCODING ALTIMETER")</f>
        <v>ENCODING ALTIMETER</v>
      </c>
      <c r="E133" s="138" t="str">
        <f>IFERROR(__xludf.DUMMYFUNCTION("""COMPUTED_VALUE"""),"35595")</f>
        <v>35595</v>
      </c>
      <c r="F133" s="138" t="str">
        <f>IFERROR(__xludf.DUMMYFUNCTION("""COMPUTED_VALUE"""),"015/2025")</f>
        <v>015/2025</v>
      </c>
      <c r="G133" s="138" t="str">
        <f>IFERROR(__xludf.DUMMYFUNCTION("""COMPUTED_VALUE"""),"28/07")</f>
        <v>28/07</v>
      </c>
      <c r="H133" s="138" t="str">
        <f>IFERROR(__xludf.DUMMYFUNCTION("""COMPUTED_VALUE"""),"30/01")</f>
        <v>30/01</v>
      </c>
      <c r="I133" s="138" t="str">
        <f>IFERROR(__xludf.DUMMYFUNCTION("""COMPUTED_VALUE"""),"CERTIFICADO ok")</f>
        <v>CERTIFICADO ok</v>
      </c>
      <c r="J133" s="138" t="str">
        <f>IFERROR(__xludf.DUMMYFUNCTION("""COMPUTED_VALUE"""),"21/05")</f>
        <v>21/05</v>
      </c>
      <c r="K133" s="138" t="str">
        <f>IFERROR(__xludf.DUMMYFUNCTION("""COMPUTED_VALUE"""),"*")</f>
        <v>*</v>
      </c>
      <c r="L133" s="138"/>
      <c r="M133" s="138"/>
      <c r="N133" s="138"/>
      <c r="O133" s="138"/>
      <c r="P133" s="138"/>
      <c r="Q133" s="138"/>
      <c r="R133" s="138"/>
      <c r="S133" s="138"/>
      <c r="T133" s="138"/>
      <c r="U133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IFERROR(__xludf.DUMMYFUNCTION("""COMPUTED_VALUE"""),"BABE")</f>
        <v>BABE</v>
      </c>
      <c r="C134" s="138" t="str">
        <f>IFERROR(__xludf.DUMMYFUNCTION("""COMPUTED_VALUE"""),"066-01141-5101")</f>
        <v>066-01141-5101</v>
      </c>
      <c r="D134" s="138" t="str">
        <f>IFERROR(__xludf.DUMMYFUNCTION("""COMPUTED_VALUE"""),"RECEIVER-TRANSMITTER,RADIO (KT71)")</f>
        <v>RECEIVER-TRANSMITTER,RADIO (KT71)</v>
      </c>
      <c r="E134" s="138" t="str">
        <f>IFERROR(__xludf.DUMMYFUNCTION("""COMPUTED_VALUE"""),"4623")</f>
        <v>4623</v>
      </c>
      <c r="F134" s="138" t="str">
        <f>IFERROR(__xludf.DUMMYFUNCTION("""COMPUTED_VALUE"""),"001/2025")</f>
        <v>001/2025</v>
      </c>
      <c r="G134" s="138" t="str">
        <f>IFERROR(__xludf.DUMMYFUNCTION("""COMPUTED_VALUE"""),"26/02")</f>
        <v>26/02</v>
      </c>
      <c r="H134" s="138" t="str">
        <f>IFERROR(__xludf.DUMMYFUNCTION("""COMPUTED_VALUE"""),"06/03")</f>
        <v>06/03</v>
      </c>
      <c r="I134" s="138" t="str">
        <f>IFERROR(__xludf.DUMMYFUNCTION("""COMPUTED_VALUE"""),"orçamento 10")</f>
        <v>orçamento 10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IFERROR(__xludf.DUMMYFUNCTION("""COMPUTED_VALUE"""),"BABE")</f>
        <v>BABE</v>
      </c>
      <c r="C135" s="138" t="str">
        <f>IFERROR(__xludf.DUMMYFUNCTION("""COMPUTED_VALUE"""),"066-04035-1101")</f>
        <v>066-04035-1101</v>
      </c>
      <c r="D135" s="138" t="str">
        <f>IFERROR(__xludf.DUMMYFUNCTION("""COMPUTED_VALUE"""),"DISPLAY UNIT,RADAR")</f>
        <v>DISPLAY UNIT,RADAR</v>
      </c>
      <c r="E135" s="138" t="str">
        <f>IFERROR(__xludf.DUMMYFUNCTION("""COMPUTED_VALUE"""),"8706")</f>
        <v>8706</v>
      </c>
      <c r="F135" s="138" t="str">
        <f>IFERROR(__xludf.DUMMYFUNCTION("""COMPUTED_VALUE"""),"001/2025")</f>
        <v>001/2025</v>
      </c>
      <c r="G135" s="138" t="str">
        <f>IFERROR(__xludf.DUMMYFUNCTION("""COMPUTED_VALUE"""),"26/02")</f>
        <v>26/02</v>
      </c>
      <c r="H135" s="138" t="str">
        <f>IFERROR(__xludf.DUMMYFUNCTION("""COMPUTED_VALUE"""),"06/03")</f>
        <v>06/03</v>
      </c>
      <c r="I135" s="138" t="str">
        <f>IFERROR(__xludf.DUMMYFUNCTION("""COMPUTED_VALUE"""),"orçamento 10")</f>
        <v>orçamento 10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IFERROR(__xludf.DUMMYFUNCTION("""COMPUTED_VALUE"""),"1H101-4")</f>
        <v>1H101-4</v>
      </c>
      <c r="D136" s="138" t="str">
        <f>IFERROR(__xludf.DUMMYFUNCTION("""COMPUTED_VALUE"""),"FLOW CONTROL VALVE")</f>
        <v>FLOW CONTROL VALVE</v>
      </c>
      <c r="E136" s="138" t="str">
        <f>IFERROR(__xludf.DUMMYFUNCTION("""COMPUTED_VALUE"""),"9BT12")</f>
        <v>9BT12</v>
      </c>
      <c r="F136" s="138" t="str">
        <f>IFERROR(__xludf.DUMMYFUNCTION("""COMPUTED_VALUE"""),"001/2025")</f>
        <v>001/2025</v>
      </c>
      <c r="G136" s="138" t="str">
        <f>IFERROR(__xludf.DUMMYFUNCTION("""COMPUTED_VALUE"""),"26/02")</f>
        <v>26/02</v>
      </c>
      <c r="H136" s="138" t="str">
        <f>IFERROR(__xludf.DUMMYFUNCTION("""COMPUTED_VALUE"""),"06/03")</f>
        <v>06/03</v>
      </c>
      <c r="I136" s="138" t="str">
        <f>IFERROR(__xludf.DUMMYFUNCTION("""COMPUTED_VALUE"""),"orçamento 10")</f>
        <v>orçamento 10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IFERROR(__xludf.DUMMYFUNCTION("""COMPUTED_VALUE"""),"C661064-0237")</f>
        <v>C661064-0237</v>
      </c>
      <c r="D137" s="138" t="str">
        <f>IFERROR(__xludf.DUMMYFUNCTION("""COMPUTED_VALUE"""),"AIRSPEED INDICATOR")</f>
        <v>AIRSPEED INDICATOR</v>
      </c>
      <c r="E137" s="138" t="str">
        <f>IFERROR(__xludf.DUMMYFUNCTION("""COMPUTED_VALUE"""),"T25090")</f>
        <v>T25090</v>
      </c>
      <c r="F137" s="138" t="str">
        <f>IFERROR(__xludf.DUMMYFUNCTION("""COMPUTED_VALUE"""),"001/2025")</f>
        <v>001/2025</v>
      </c>
      <c r="G137" s="138" t="str">
        <f>IFERROR(__xludf.DUMMYFUNCTION("""COMPUTED_VALUE"""),"26/02")</f>
        <v>26/02</v>
      </c>
      <c r="H137" s="138" t="str">
        <f>IFERROR(__xludf.DUMMYFUNCTION("""COMPUTED_VALUE"""),"06/03")</f>
        <v>06/03</v>
      </c>
      <c r="I137" s="138" t="str">
        <f>IFERROR(__xludf.DUMMYFUNCTION("""COMPUTED_VALUE"""),"orçamento 10")</f>
        <v>orçamento 10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IFERROR(__xludf.DUMMYFUNCTION("""COMPUTED_VALUE"""),"BAPV")</f>
        <v>BAPV</v>
      </c>
      <c r="C138" s="138" t="str">
        <f>IFERROR(__xludf.DUMMYFUNCTION("""COMPUTED_VALUE"""),"161-12800")</f>
        <v>161-12800</v>
      </c>
      <c r="D138" s="138" t="str">
        <f>IFERROR(__xludf.DUMMYFUNCTION("""COMPUTED_VALUE"""),"WHEEL HALF ASSY")</f>
        <v>WHEEL HALF ASSY</v>
      </c>
      <c r="E138" s="138" t="str">
        <f>IFERROR(__xludf.DUMMYFUNCTION("""COMPUTED_VALUE"""),"13")</f>
        <v>13</v>
      </c>
      <c r="F138" s="138" t="str">
        <f>IFERROR(__xludf.DUMMYFUNCTION("""COMPUTED_VALUE"""),"007/2025")</f>
        <v>007/2025</v>
      </c>
      <c r="G138" s="138" t="str">
        <f>IFERROR(__xludf.DUMMYFUNCTION("""COMPUTED_VALUE"""),"08/09")</f>
        <v>08/09</v>
      </c>
      <c r="H138" s="138" t="str">
        <f>IFERROR(__xludf.DUMMYFUNCTION("""COMPUTED_VALUE"""),"09/09")</f>
        <v>09/09</v>
      </c>
      <c r="I138" s="138" t="str">
        <f>IFERROR(__xludf.DUMMYFUNCTION("""COMPUTED_VALUE"""),"15/10")</f>
        <v>15/10</v>
      </c>
      <c r="J138" s="138" t="str">
        <f>IFERROR(__xludf.DUMMYFUNCTION("""COMPUTED_VALUE"""),"12/12")</f>
        <v>12/12</v>
      </c>
      <c r="K138" s="138" t="str">
        <f>IFERROR(__xludf.DUMMYFUNCTION("""COMPUTED_VALUE"""),"16/12")</f>
        <v>16/12</v>
      </c>
      <c r="L138" s="138" t="str">
        <f>IFERROR(__xludf.DUMMYFUNCTION("""COMPUTED_VALUE"""),"16/12")</f>
        <v>16/12</v>
      </c>
      <c r="M138" s="138" t="str">
        <f>IFERROR(__xludf.DUMMYFUNCTION("""COMPUTED_VALUE"""),"16/12")</f>
        <v>16/12</v>
      </c>
      <c r="N138" s="138" t="str">
        <f>IFERROR(__xludf.DUMMYFUNCTION("""COMPUTED_VALUE"""),"16/12")</f>
        <v>16/12</v>
      </c>
      <c r="O138" s="138" t="str">
        <f>IFERROR(__xludf.DUMMYFUNCTION("""COMPUTED_VALUE"""),"16/12")</f>
        <v>16/12</v>
      </c>
      <c r="P138" s="138"/>
      <c r="Q138" s="138"/>
      <c r="R138" s="138"/>
      <c r="S138" s="138"/>
      <c r="T138" s="139"/>
      <c r="U138" s="138" t="str">
        <f>IFERROR(__xludf.DUMMYFUNCTION("""COMPUTED_VALUE"""),"OS estava atrelada")</f>
        <v>OS estava atrelada</v>
      </c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IFERROR(__xludf.DUMMYFUNCTION("""COMPUTED_VALUE"""),"BAPV")</f>
        <v>BAPV</v>
      </c>
      <c r="C139" s="138" t="str">
        <f>IFERROR(__xludf.DUMMYFUNCTION("""COMPUTED_VALUE"""),"162-11800")</f>
        <v>162-11800</v>
      </c>
      <c r="D139" s="138" t="str">
        <f>IFERROR(__xludf.DUMMYFUNCTION("""COMPUTED_VALUE"""),"WHEEL HALF ASSY")</f>
        <v>WHEEL HALF ASSY</v>
      </c>
      <c r="E139" s="138" t="str">
        <f>IFERROR(__xludf.DUMMYFUNCTION("""COMPUTED_VALUE"""),"A4H-024-03")</f>
        <v>A4H-024-03</v>
      </c>
      <c r="F139" s="138" t="str">
        <f>IFERROR(__xludf.DUMMYFUNCTION("""COMPUTED_VALUE"""),"007/2025")</f>
        <v>007/2025</v>
      </c>
      <c r="G139" s="138" t="str">
        <f>IFERROR(__xludf.DUMMYFUNCTION("""COMPUTED_VALUE"""),"08/09")</f>
        <v>08/09</v>
      </c>
      <c r="H139" s="138" t="str">
        <f>IFERROR(__xludf.DUMMYFUNCTION("""COMPUTED_VALUE"""),"09/09")</f>
        <v>09/09</v>
      </c>
      <c r="I139" s="138" t="str">
        <f>IFERROR(__xludf.DUMMYFUNCTION("""COMPUTED_VALUE"""),"15/10")</f>
        <v>15/10</v>
      </c>
      <c r="J139" s="138" t="str">
        <f>IFERROR(__xludf.DUMMYFUNCTION("""COMPUTED_VALUE"""),"12/12")</f>
        <v>12/12</v>
      </c>
      <c r="K139" s="138" t="str">
        <f>IFERROR(__xludf.DUMMYFUNCTION("""COMPUTED_VALUE"""),"16/12")</f>
        <v>16/12</v>
      </c>
      <c r="L139" s="138" t="str">
        <f>IFERROR(__xludf.DUMMYFUNCTION("""COMPUTED_VALUE"""),"16/12")</f>
        <v>16/12</v>
      </c>
      <c r="M139" s="138" t="str">
        <f>IFERROR(__xludf.DUMMYFUNCTION("""COMPUTED_VALUE"""),"16/12")</f>
        <v>16/12</v>
      </c>
      <c r="N139" s="138" t="str">
        <f>IFERROR(__xludf.DUMMYFUNCTION("""COMPUTED_VALUE"""),"16/12")</f>
        <v>16/12</v>
      </c>
      <c r="O139" s="138" t="str">
        <f>IFERROR(__xludf.DUMMYFUNCTION("""COMPUTED_VALUE"""),"16/12")</f>
        <v>16/12</v>
      </c>
      <c r="P139" s="138"/>
      <c r="Q139" s="138"/>
      <c r="R139" s="138"/>
      <c r="S139" s="138"/>
      <c r="T139" s="138"/>
      <c r="U139" s="138" t="str">
        <f>IFERROR(__xludf.DUMMYFUNCTION("""COMPUTED_VALUE"""),"Agd certificado corrigido da Vee One")</f>
        <v>Agd certificado corrigido da Vee One</v>
      </c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IFERROR(__xludf.DUMMYFUNCTION("""COMPUTED_VALUE"""),"BAMN")</f>
        <v>BAMN</v>
      </c>
      <c r="C140" s="138" t="str">
        <f>IFERROR(__xludf.DUMMYFUNCTION("""COMPUTED_VALUE"""),"76-207-12")</f>
        <v>76-207-12</v>
      </c>
      <c r="D140" s="138" t="str">
        <f>IFERROR(__xludf.DUMMYFUNCTION("""COMPUTED_VALUE"""),"SENSOR, FUEL LEVEL SHORT")</f>
        <v>SENSOR, FUEL LEVEL SHORT</v>
      </c>
      <c r="E140" s="138" t="str">
        <f>IFERROR(__xludf.DUMMYFUNCTION("""COMPUTED_VALUE"""),"VCF01030")</f>
        <v>VCF01030</v>
      </c>
      <c r="F140" s="138" t="str">
        <f>IFERROR(__xludf.DUMMYFUNCTION("""COMPUTED_VALUE"""),"026/2025")</f>
        <v>026/2025</v>
      </c>
      <c r="G140" s="138" t="str">
        <f>IFERROR(__xludf.DUMMYFUNCTION("""COMPUTED_VALUE"""),"25/09")</f>
        <v>25/09</v>
      </c>
      <c r="H140" s="138" t="str">
        <f>IFERROR(__xludf.DUMMYFUNCTION("""COMPUTED_VALUE"""),"13/10")</f>
        <v>13/10</v>
      </c>
      <c r="I140" s="138" t="str">
        <f>IFERROR(__xludf.DUMMYFUNCTION("""COMPUTED_VALUE"""),"Requisição")</f>
        <v>Requisição</v>
      </c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IFERROR(__xludf.DUMMYFUNCTION("""COMPUTED_VALUE"""),"011-00878-10")</f>
        <v>011-00878-10</v>
      </c>
      <c r="D141" s="138" t="str">
        <f>IFERROR(__xludf.DUMMYFUNCTION("""COMPUTED_VALUE"""),"TORQUE SERVO GSA-81")</f>
        <v>TORQUE SERVO GSA-81</v>
      </c>
      <c r="E141" s="138" t="str">
        <f>IFERROR(__xludf.DUMMYFUNCTION("""COMPUTED_VALUE"""),"71306971")</f>
        <v>71306971</v>
      </c>
      <c r="F141" s="138" t="str">
        <f>IFERROR(__xludf.DUMMYFUNCTION("""COMPUTED_VALUE"""),"014/2025")</f>
        <v>014/2025</v>
      </c>
      <c r="G141" s="138" t="str">
        <f>IFERROR(__xludf.DUMMYFUNCTION("""COMPUTED_VALUE"""),"19/09")</f>
        <v>19/09</v>
      </c>
      <c r="H141" s="138" t="str">
        <f>IFERROR(__xludf.DUMMYFUNCTION("""COMPUTED_VALUE"""),"09/10")</f>
        <v>09/10</v>
      </c>
      <c r="I141" s="138" t="str">
        <f>IFERROR(__xludf.DUMMYFUNCTION("""COMPUTED_VALUE"""),"15/10, 09/12 e 26/03")</f>
        <v>15/10, 09/12 e 26/03</v>
      </c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IFERROR(__xludf.DUMMYFUNCTION("""COMPUTED_VALUE"""),"Item não cadastrado no SILOMS")</f>
        <v>Item não cadastrado no SILOMS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IFERROR(__xludf.DUMMYFUNCTION("""COMPUTED_VALUE"""),"BAMN")</f>
        <v>BAMN</v>
      </c>
      <c r="C142" s="138" t="str">
        <f>IFERROR(__xludf.DUMMYFUNCTION("""COMPUTED_VALUE"""),"011-00883-20")</f>
        <v>011-00883-20</v>
      </c>
      <c r="D142" s="138" t="str">
        <f>IFERROR(__xludf.DUMMYFUNCTION("""COMPUTED_VALUE"""),"RADAR GWX 68 WEATHER")</f>
        <v>RADAR GWX 68 WEATHER</v>
      </c>
      <c r="E142" s="138" t="str">
        <f>IFERROR(__xludf.DUMMYFUNCTION("""COMPUTED_VALUE"""),"47203648")</f>
        <v>47203648</v>
      </c>
      <c r="F142" s="138" t="str">
        <f>IFERROR(__xludf.DUMMYFUNCTION("""COMPUTED_VALUE"""),"018/2025")</f>
        <v>018/2025</v>
      </c>
      <c r="G142" s="138" t="str">
        <f>IFERROR(__xludf.DUMMYFUNCTION("""COMPUTED_VALUE"""),"01/10")</f>
        <v>01/10</v>
      </c>
      <c r="H142" s="138" t="str">
        <f>IFERROR(__xludf.DUMMYFUNCTION("""COMPUTED_VALUE"""),"09/10")</f>
        <v>09/10</v>
      </c>
      <c r="I142" s="138" t="str">
        <f>IFERROR(__xludf.DUMMYFUNCTION("""COMPUTED_VALUE"""),"15/10, 09/12 e 26/03")</f>
        <v>15/10, 09/12 e 26/03</v>
      </c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 t="str">
        <f>IFERROR(__xludf.DUMMYFUNCTION("""COMPUTED_VALUE"""),"Agd termo corrigido da BAMN")</f>
        <v>Agd termo corrigido da BAMN</v>
      </c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IFERROR(__xludf.DUMMYFUNCTION("""COMPUTED_VALUE"""),"011-00883-20")</f>
        <v>011-00883-20</v>
      </c>
      <c r="D143" s="138" t="str">
        <f>IFERROR(__xludf.DUMMYFUNCTION("""COMPUTED_VALUE"""),"RADAR GWX 68 WEATHER")</f>
        <v>RADAR GWX 68 WEATHER</v>
      </c>
      <c r="E143" s="138" t="str">
        <f>IFERROR(__xludf.DUMMYFUNCTION("""COMPUTED_VALUE"""),"47202466")</f>
        <v>47202466</v>
      </c>
      <c r="F143" s="138" t="str">
        <f>IFERROR(__xludf.DUMMYFUNCTION("""COMPUTED_VALUE"""),"018/2025")</f>
        <v>018/2025</v>
      </c>
      <c r="G143" s="138" t="str">
        <f>IFERROR(__xludf.DUMMYFUNCTION("""COMPUTED_VALUE"""),"01/10")</f>
        <v>01/10</v>
      </c>
      <c r="H143" s="138" t="str">
        <f>IFERROR(__xludf.DUMMYFUNCTION("""COMPUTED_VALUE"""),"09/10")</f>
        <v>09/10</v>
      </c>
      <c r="I143" s="138" t="str">
        <f>IFERROR(__xludf.DUMMYFUNCTION("""COMPUTED_VALUE"""),"15/10, 09/12 e 26/03")</f>
        <v>15/10, 09/12 e 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 t="str">
        <f>IFERROR(__xludf.DUMMYFUNCTION("""COMPUTED_VALUE"""),"Agd termo corrigido da BAMN")</f>
        <v>Agd termo corrigido da BAMN</v>
      </c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IFERROR(__xludf.DUMMYFUNCTION("""COMPUTED_VALUE"""),"011-01105-01")</f>
        <v>011-01105-01</v>
      </c>
      <c r="D144" s="138" t="str">
        <f>IFERROR(__xludf.DUMMYFUNCTION("""COMPUTED_VALUE"""),"INTEGRATED AVIONICS  UNIT")</f>
        <v>INTEGRATED AVIONICS  UNIT</v>
      </c>
      <c r="E144" s="138" t="str">
        <f>IFERROR(__xludf.DUMMYFUNCTION("""COMPUTED_VALUE"""),"15W005529")</f>
        <v>15W005529</v>
      </c>
      <c r="F144" s="138" t="str">
        <f>IFERROR(__xludf.DUMMYFUNCTION("""COMPUTED_VALUE"""),"033/2025")</f>
        <v>033/2025</v>
      </c>
      <c r="G144" s="138" t="str">
        <f>IFERROR(__xludf.DUMMYFUNCTION("""COMPUTED_VALUE"""),"30/10")</f>
        <v>30/10</v>
      </c>
      <c r="H144" s="138" t="str">
        <f>IFERROR(__xludf.DUMMYFUNCTION("""COMPUTED_VALUE"""),"16/11")</f>
        <v>16/11</v>
      </c>
      <c r="I144" s="138" t="str">
        <f>IFERROR(__xludf.DUMMYFUNCTION("""COMPUTED_VALUE"""),"12/12 e 26/03")</f>
        <v>12/12 e 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 t="str">
        <f>IFERROR(__xludf.DUMMYFUNCTION("""COMPUTED_VALUE"""),"Exchange??? Foi proposto requisição pelo SO Rezende.")</f>
        <v>Exchange??? Foi proposto requisição pelo SO Rezende.</v>
      </c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IFERROR(__xludf.DUMMYFUNCTION("""COMPUTED_VALUE"""),"BABR")</f>
        <v>BABR</v>
      </c>
      <c r="C145" s="138" t="str">
        <f>IFERROR(__xludf.DUMMYFUNCTION("""COMPUTED_VALUE"""),"069-01033-0101")</f>
        <v>069-01033-0101</v>
      </c>
      <c r="D145" s="138" t="str">
        <f>IFERROR(__xludf.DUMMYFUNCTION("""COMPUTED_VALUE"""),"TRANSCEIVER")</f>
        <v>TRANSCEIVER</v>
      </c>
      <c r="E145" s="138" t="str">
        <f>IFERROR(__xludf.DUMMYFUNCTION("""COMPUTED_VALUE"""),"4288")</f>
        <v>4288</v>
      </c>
      <c r="F145" s="138" t="str">
        <f>IFERROR(__xludf.DUMMYFUNCTION("""COMPUTED_VALUE"""),"005/2025")</f>
        <v>005/2025</v>
      </c>
      <c r="G145" s="138" t="str">
        <f>IFERROR(__xludf.DUMMYFUNCTION("""COMPUTED_VALUE"""),"24/11")</f>
        <v>24/11</v>
      </c>
      <c r="H145" s="138" t="str">
        <f>IFERROR(__xludf.DUMMYFUNCTION("""COMPUTED_VALUE"""),"15/01")</f>
        <v>15/01</v>
      </c>
      <c r="I145" s="138" t="str">
        <f>IFERROR(__xludf.DUMMYFUNCTION("""COMPUTED_VALUE"""),"20/02 e 26/03")</f>
        <v>20/02 e 26/03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IFERROR(__xludf.DUMMYFUNCTION("""COMPUTED_VALUE"""),"BABR")</f>
        <v>BABR</v>
      </c>
      <c r="C146" s="138" t="str">
        <f>IFERROR(__xludf.DUMMYFUNCTION("""COMPUTED_VALUE"""),"C611008-0101")</f>
        <v>C611008-0101</v>
      </c>
      <c r="D146" s="138" t="str">
        <f>IFERROR(__xludf.DUMMYFUNCTION("""COMPUTED_VALUE"""),"ALTERNADOR CONTROL UNIT")</f>
        <v>ALTERNADOR CONTROL UNIT</v>
      </c>
      <c r="E146" s="138" t="str">
        <f>IFERROR(__xludf.DUMMYFUNCTION("""COMPUTED_VALUE"""),"LS0414")</f>
        <v>LS0414</v>
      </c>
      <c r="F146" s="138" t="str">
        <f>IFERROR(__xludf.DUMMYFUNCTION("""COMPUTED_VALUE"""),"006/2025")</f>
        <v>006/2025</v>
      </c>
      <c r="G146" s="138" t="str">
        <f>IFERROR(__xludf.DUMMYFUNCTION("""COMPUTED_VALUE"""),"28/11")</f>
        <v>28/11</v>
      </c>
      <c r="H146" s="138" t="str">
        <f>IFERROR(__xludf.DUMMYFUNCTION("""COMPUTED_VALUE"""),"15/01")</f>
        <v>15/01</v>
      </c>
      <c r="I146" s="138" t="str">
        <f>IFERROR(__xludf.DUMMYFUNCTION("""COMPUTED_VALUE"""),"20/02 e 26/03")</f>
        <v>20/02 e 26/03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IFERROR(__xludf.DUMMYFUNCTION("""COMPUTED_VALUE"""),"BABR")</f>
        <v>BABR</v>
      </c>
      <c r="C147" s="138" t="str">
        <f>IFERROR(__xludf.DUMMYFUNCTION("""COMPUTED_VALUE"""),"066-01141-5101")</f>
        <v>066-01141-5101</v>
      </c>
      <c r="D147" s="138" t="str">
        <f>IFERROR(__xludf.DUMMYFUNCTION("""COMPUTED_VALUE"""),"RECEIVER-TRANSMITTER,RADIO (KT71)")</f>
        <v>RECEIVER-TRANSMITTER,RADIO (KT71)</v>
      </c>
      <c r="E147" s="138" t="str">
        <f>IFERROR(__xludf.DUMMYFUNCTION("""COMPUTED_VALUE"""),"3861")</f>
        <v>3861</v>
      </c>
      <c r="F147" s="138" t="str">
        <f>IFERROR(__xludf.DUMMYFUNCTION("""COMPUTED_VALUE"""),"007/2025")</f>
        <v>007/2025</v>
      </c>
      <c r="G147" s="138" t="str">
        <f>IFERROR(__xludf.DUMMYFUNCTION("""COMPUTED_VALUE"""),"19/11")</f>
        <v>19/11</v>
      </c>
      <c r="H147" s="138" t="str">
        <f>IFERROR(__xludf.DUMMYFUNCTION("""COMPUTED_VALUE"""),"02/02")</f>
        <v>02/02</v>
      </c>
      <c r="I147" s="138" t="str">
        <f>IFERROR(__xludf.DUMMYFUNCTION("""COMPUTED_VALUE"""),"20/02 e 26/03")</f>
        <v>20/02 e 26/03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IFERROR(__xludf.DUMMYFUNCTION("""COMPUTED_VALUE"""),"BABE")</f>
        <v>BABE</v>
      </c>
      <c r="C148" s="138" t="str">
        <f>IFERROR(__xludf.DUMMYFUNCTION("""COMPUTED_VALUE"""),"453-5060")</f>
        <v>453-5060</v>
      </c>
      <c r="D148" s="138" t="str">
        <f>IFERROR(__xludf.DUMMYFUNCTION("""COMPUTED_VALUE"""),"TRANSMISSOR LOCALIZADOR DE EMERGÊNCIA")</f>
        <v>TRANSMISSOR LOCALIZADOR DE EMERGÊNCIA</v>
      </c>
      <c r="E148" s="138" t="str">
        <f>IFERROR(__xludf.DUMMYFUNCTION("""COMPUTED_VALUE"""),"06457")</f>
        <v>06457</v>
      </c>
      <c r="F148" s="138" t="str">
        <f>IFERROR(__xludf.DUMMYFUNCTION("""COMPUTED_VALUE"""),"006/2026")</f>
        <v>006/2026</v>
      </c>
      <c r="G148" s="138" t="str">
        <f>IFERROR(__xludf.DUMMYFUNCTION("""COMPUTED_VALUE"""),"04/03")</f>
        <v>04/03</v>
      </c>
      <c r="H148" s="138" t="str">
        <f>IFERROR(__xludf.DUMMYFUNCTION("""COMPUTED_VALUE"""),"04/03")</f>
        <v>04/03</v>
      </c>
      <c r="I148" s="138" t="str">
        <f>IFERROR(__xludf.DUMMYFUNCTION("""COMPUTED_VALUE"""),"05/03 e 26/03")</f>
        <v>05/03 e 26/03</v>
      </c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IFERROR(__xludf.DUMMYFUNCTION("""COMPUTED_VALUE"""),"BABE")</f>
        <v>BABE</v>
      </c>
      <c r="C149" s="138" t="str">
        <f>IFERROR(__xludf.DUMMYFUNCTION("""COMPUTED_VALUE"""),"5934PAD-3")</f>
        <v>5934PAD-3</v>
      </c>
      <c r="D149" s="138" t="str">
        <f>IFERROR(__xludf.DUMMYFUNCTION("""COMPUTED_VALUE"""),"ALTIMETER")</f>
        <v>ALTIMETER</v>
      </c>
      <c r="E149" s="138" t="str">
        <f>IFERROR(__xludf.DUMMYFUNCTION("""COMPUTED_VALUE"""),"471591")</f>
        <v>471591</v>
      </c>
      <c r="F149" s="138" t="str">
        <f>IFERROR(__xludf.DUMMYFUNCTION("""COMPUTED_VALUE"""),"006/2026")</f>
        <v>006/2026</v>
      </c>
      <c r="G149" s="138" t="str">
        <f>IFERROR(__xludf.DUMMYFUNCTION("""COMPUTED_VALUE"""),"04/03")</f>
        <v>04/03</v>
      </c>
      <c r="H149" s="138" t="str">
        <f>IFERROR(__xludf.DUMMYFUNCTION("""COMPUTED_VALUE"""),"04/03")</f>
        <v>04/03</v>
      </c>
      <c r="I149" s="138" t="str">
        <f>IFERROR(__xludf.DUMMYFUNCTION("""COMPUTED_VALUE"""),"05/03 e 26/03")</f>
        <v>05/03 e 26/03</v>
      </c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 t="str">
        <f>IFERROR(__xludf.DUMMYFUNCTION("""COMPUTED_VALUE"""),"Segundo a empresa o PN correto é S3828-1.")</f>
        <v>Segundo a empresa o PN correto é S3828-1.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IFERROR(__xludf.DUMMYFUNCTION("""COMPUTED_VALUE"""),"C163030-1001")</f>
        <v>C163030-1001</v>
      </c>
      <c r="D150" s="138" t="str">
        <f>IFERROR(__xludf.DUMMYFUNCTION("""COMPUTED_VALUE"""),"MAIN WHEEL BRAKE")</f>
        <v>MAIN WHEEL BRAKE</v>
      </c>
      <c r="E150" s="138" t="str">
        <f>IFERROR(__xludf.DUMMYFUNCTION("""COMPUTED_VALUE"""),"1882C")</f>
        <v>1882C</v>
      </c>
      <c r="F150" s="138" t="str">
        <f>IFERROR(__xludf.DUMMYFUNCTION("""COMPUTED_VALUE"""),"045/2026")</f>
        <v>045/2026</v>
      </c>
      <c r="G150" s="138" t="str">
        <f>IFERROR(__xludf.DUMMYFUNCTION("""COMPUTED_VALUE"""),"17/03")</f>
        <v>17/03</v>
      </c>
      <c r="H150" s="138" t="str">
        <f>IFERROR(__xludf.DUMMYFUNCTION("""COMPUTED_VALUE"""),"18/03")</f>
        <v>18/03</v>
      </c>
      <c r="I150" s="138" t="str">
        <f>IFERROR(__xludf.DUMMYFUNCTION("""COMPUTED_VALUE"""),"23/03")</f>
        <v>23/03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IFERROR(__xludf.DUMMYFUNCTION("""COMPUTED_VALUE"""),"016B")</f>
        <v>016B</v>
      </c>
      <c r="F151" s="138" t="str">
        <f>IFERROR(__xludf.DUMMYFUNCTION("""COMPUTED_VALUE"""),"045/2026")</f>
        <v>045/2026</v>
      </c>
      <c r="G151" s="138" t="str">
        <f>IFERROR(__xludf.DUMMYFUNCTION("""COMPUTED_VALUE"""),"17/03")</f>
        <v>17/03</v>
      </c>
      <c r="H151" s="138" t="str">
        <f>IFERROR(__xludf.DUMMYFUNCTION("""COMPUTED_VALUE"""),"18/03")</f>
        <v>18/03</v>
      </c>
      <c r="I151" s="138" t="str">
        <f>IFERROR(__xludf.DUMMYFUNCTION("""COMPUTED_VALUE"""),"23/03")</f>
        <v>23/03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IFERROR(__xludf.DUMMYFUNCTION("""COMPUTED_VALUE"""),"BABE")</f>
        <v>BABE</v>
      </c>
      <c r="C152" s="138" t="str">
        <f>IFERROR(__xludf.DUMMYFUNCTION("""COMPUTED_VALUE"""),"324843-W020")</f>
        <v>324843-W020</v>
      </c>
      <c r="D152" s="138" t="str">
        <f>IFERROR(__xludf.DUMMYFUNCTION("""COMPUTED_VALUE"""),"HEADSET-MICROPHONE")</f>
        <v>HEADSET-MICROPHONE</v>
      </c>
      <c r="E152" s="138" t="str">
        <f>IFERROR(__xludf.DUMMYFUNCTION("""COMPUTED_VALUE"""),"073200G90080045AE")</f>
        <v>073200G90080045AE</v>
      </c>
      <c r="F152" s="138" t="str">
        <f>IFERROR(__xludf.DUMMYFUNCTION("""COMPUTED_VALUE"""),"007/2026")</f>
        <v>007/2026</v>
      </c>
      <c r="G152" s="138" t="str">
        <f>IFERROR(__xludf.DUMMYFUNCTION("""COMPUTED_VALUE"""),"19/03")</f>
        <v>19/03</v>
      </c>
      <c r="H152" s="138" t="str">
        <f>IFERROR(__xludf.DUMMYFUNCTION("""COMPUTED_VALUE"""),"23/03")</f>
        <v>23/03</v>
      </c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IFERROR(__xludf.DUMMYFUNCTION("""COMPUTED_VALUE"""),"BABE")</f>
        <v>BABE</v>
      </c>
      <c r="C153" s="138" t="str">
        <f>IFERROR(__xludf.DUMMYFUNCTION("""COMPUTED_VALUE"""),"324843-W020")</f>
        <v>324843-W020</v>
      </c>
      <c r="D153" s="138" t="str">
        <f>IFERROR(__xludf.DUMMYFUNCTION("""COMPUTED_VALUE"""),"HEADSET-MICROPHONE")</f>
        <v>HEADSET-MICROPHONE</v>
      </c>
      <c r="E153" s="138" t="str">
        <f>IFERROR(__xludf.DUMMYFUNCTION("""COMPUTED_VALUE"""),"073200G2170087AE")</f>
        <v>073200G2170087AE</v>
      </c>
      <c r="F153" s="138" t="str">
        <f>IFERROR(__xludf.DUMMYFUNCTION("""COMPUTED_VALUE"""),"007/2026")</f>
        <v>007/2026</v>
      </c>
      <c r="G153" s="138" t="str">
        <f>IFERROR(__xludf.DUMMYFUNCTION("""COMPUTED_VALUE"""),"19/03")</f>
        <v>19/03</v>
      </c>
      <c r="H153" s="138" t="str">
        <f>IFERROR(__xludf.DUMMYFUNCTION("""COMPUTED_VALUE"""),"23/03")</f>
        <v>23/03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 t="str">
        <f>IFERROR(__xludf.DUMMYFUNCTION("""COMPUTED_VALUE"""),"SN correto 073200G02170087AE")</f>
        <v>SN correto 073200G02170087AE</v>
      </c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IFERROR(__xludf.DUMMYFUNCTION("""COMPUTED_VALUE"""),"BABE")</f>
        <v>BABE</v>
      </c>
      <c r="C154" s="138" t="str">
        <f>IFERROR(__xludf.DUMMYFUNCTION("""COMPUTED_VALUE"""),"324843-W020")</f>
        <v>324843-W020</v>
      </c>
      <c r="D154" s="138" t="str">
        <f>IFERROR(__xludf.DUMMYFUNCTION("""COMPUTED_VALUE"""),"HEADSET-MICROPHONE")</f>
        <v>HEADSET-MICROPHONE</v>
      </c>
      <c r="E154" s="138" t="str">
        <f>IFERROR(__xludf.DUMMYFUNCTION("""COMPUTED_VALUE"""),"073200G02170034AE")</f>
        <v>073200G02170034AE</v>
      </c>
      <c r="F154" s="138" t="str">
        <f>IFERROR(__xludf.DUMMYFUNCTION("""COMPUTED_VALUE"""),"007/2026")</f>
        <v>007/2026</v>
      </c>
      <c r="G154" s="138" t="str">
        <f>IFERROR(__xludf.DUMMYFUNCTION("""COMPUTED_VALUE"""),"19/03")</f>
        <v>19/03</v>
      </c>
      <c r="H154" s="138" t="str">
        <f>IFERROR(__xludf.DUMMYFUNCTION("""COMPUTED_VALUE"""),"23/03")</f>
        <v>23/03</v>
      </c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IFERROR(__xludf.DUMMYFUNCTION("""COMPUTED_VALUE"""),"BAMN")</f>
        <v>BAMN</v>
      </c>
      <c r="C155" s="138" t="str">
        <f>IFERROR(__xludf.DUMMYFUNCTION("""COMPUTED_VALUE"""),"011-00916-10")</f>
        <v>011-00916-10</v>
      </c>
      <c r="D155" s="138" t="str">
        <f>IFERROR(__xludf.DUMMYFUNCTION("""COMPUTED_VALUE"""),"UNIDADE DE EXIBIÇÃO DE INFORMAÇÕES DE VOO")</f>
        <v>UNIDADE DE EXIBIÇÃO DE INFORMAÇÕES DE VOO</v>
      </c>
      <c r="E155" s="138" t="str">
        <f>IFERROR(__xludf.DUMMYFUNCTION("""COMPUTED_VALUE"""),"86818658")</f>
        <v>86818658</v>
      </c>
      <c r="F155" s="138" t="str">
        <f>IFERROR(__xludf.DUMMYFUNCTION("""COMPUTED_VALUE"""),"047/2026")</f>
        <v>047/2026</v>
      </c>
      <c r="G155" s="138" t="str">
        <f>IFERROR(__xludf.DUMMYFUNCTION("""COMPUTED_VALUE"""),"26/03")</f>
        <v>26/03</v>
      </c>
      <c r="H155" s="138" t="str">
        <f>IFERROR(__xludf.DUMMYFUNCTION("""COMPUTED_VALUE"""),"26/03")</f>
        <v>26/03</v>
      </c>
      <c r="I155" s="138" t="str">
        <f>IFERROR(__xludf.DUMMYFUNCTION("""COMPUTED_VALUE"""),"26/03")</f>
        <v>26/03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IFERROR(__xludf.DUMMYFUNCTION("""COMPUTED_VALUE"""),"BAMN")</f>
        <v>BAMN</v>
      </c>
      <c r="C156" s="138" t="str">
        <f>IFERROR(__xludf.DUMMYFUNCTION("""COMPUTED_VALUE"""),"011-00916-10")</f>
        <v>011-00916-10</v>
      </c>
      <c r="D156" s="138" t="str">
        <f>IFERROR(__xludf.DUMMYFUNCTION("""COMPUTED_VALUE"""),"UNIDADE DE EXIBIÇÃO DE INFORMAÇÕES DE VOO")</f>
        <v>UNIDADE DE EXIBIÇÃO DE INFORMAÇÕES DE VOO</v>
      </c>
      <c r="E156" s="138" t="str">
        <f>IFERROR(__xludf.DUMMYFUNCTION("""COMPUTED_VALUE"""),"86816488")</f>
        <v>86816488</v>
      </c>
      <c r="F156" s="138" t="str">
        <f>IFERROR(__xludf.DUMMYFUNCTION("""COMPUTED_VALUE"""),"047/2026")</f>
        <v>047/2026</v>
      </c>
      <c r="G156" s="138" t="str">
        <f>IFERROR(__xludf.DUMMYFUNCTION("""COMPUTED_VALUE"""),"26/03")</f>
        <v>26/03</v>
      </c>
      <c r="H156" s="138" t="str">
        <f>IFERROR(__xludf.DUMMYFUNCTION("""COMPUTED_VALUE"""),"26/03")</f>
        <v>26/03</v>
      </c>
      <c r="I156" s="138" t="str">
        <f>IFERROR(__xludf.DUMMYFUNCTION("""COMPUTED_VALUE"""),"26/03")</f>
        <v>26/03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IFERROR(__xludf.DUMMYFUNCTION("""COMPUTED_VALUE"""),"BABE")</f>
        <v>BABE</v>
      </c>
      <c r="C157" s="138" t="str">
        <f>IFERROR(__xludf.DUMMYFUNCTION("""COMPUTED_VALUE"""),"AD-4078-19")</f>
        <v>AD-4078-19</v>
      </c>
      <c r="D157" s="138" t="str">
        <f>IFERROR(__xludf.DUMMYFUNCTION("""COMPUTED_VALUE"""),"NICKEL CADMIUM BATTERY")</f>
        <v>NICKEL CADMIUM BATTERY</v>
      </c>
      <c r="E157" s="138" t="str">
        <f>IFERROR(__xludf.DUMMYFUNCTION("""COMPUTED_VALUE"""),"510087")</f>
        <v>510087</v>
      </c>
      <c r="F157" s="138" t="str">
        <f>IFERROR(__xludf.DUMMYFUNCTION("""COMPUTED_VALUE"""),"009/2026")</f>
        <v>009/2026</v>
      </c>
      <c r="G157" s="138" t="str">
        <f>IFERROR(__xludf.DUMMYFUNCTION("""COMPUTED_VALUE"""),"31/03")</f>
        <v>31/03</v>
      </c>
      <c r="H157" s="138" t="str">
        <f>IFERROR(__xludf.DUMMYFUNCTION("""COMPUTED_VALUE"""),"31/03")</f>
        <v>31/03</v>
      </c>
      <c r="I157" s="138" t="str">
        <f>IFERROR(__xludf.DUMMYFUNCTION("""COMPUTED_VALUE"""),"Requisição??")</f>
        <v>Requisição??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IFERROR(__xludf.DUMMYFUNCTION("""COMPUTED_VALUE"""),"BABE")</f>
        <v>BABE</v>
      </c>
      <c r="C158" s="138" t="str">
        <f>IFERROR(__xludf.DUMMYFUNCTION("""COMPUTED_VALUE"""),"011-01020-10")</f>
        <v>011-01020-10</v>
      </c>
      <c r="D158" s="138" t="str">
        <f>IFERROR(__xludf.DUMMYFUNCTION("""COMPUTED_VALUE"""),"AFCS MODE CONTROLLER GMC 710")</f>
        <v>AFCS MODE CONTROLLER GMC 710</v>
      </c>
      <c r="E158" s="138" t="str">
        <f>IFERROR(__xludf.DUMMYFUNCTION("""COMPUTED_VALUE"""),"22007425")</f>
        <v>22007425</v>
      </c>
      <c r="F158" s="138" t="str">
        <f>IFERROR(__xludf.DUMMYFUNCTION("""COMPUTED_VALUE"""),"010/2026")</f>
        <v>010/2026</v>
      </c>
      <c r="G158" s="138" t="str">
        <f>IFERROR(__xludf.DUMMYFUNCTION("""COMPUTED_VALUE"""),"06/04")</f>
        <v>06/04</v>
      </c>
      <c r="H158" s="138" t="str">
        <f>IFERROR(__xludf.DUMMYFUNCTION("""COMPUTED_VALUE"""),"06/04")</f>
        <v>06/04</v>
      </c>
      <c r="I158" s="138" t="str">
        <f>IFERROR(__xludf.DUMMYFUNCTION("""COMPUTED_VALUE"""),"06/04")</f>
        <v>06/04</v>
      </c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IFERROR(__xludf.DUMMYFUNCTION("""COMPUTED_VALUE"""),"BABE")</f>
        <v>BABE</v>
      </c>
      <c r="C159" s="138" t="str">
        <f>IFERROR(__xludf.DUMMYFUNCTION("""COMPUTED_VALUE"""),"065-0042-03")</f>
        <v>065-0042-03</v>
      </c>
      <c r="D159" s="138" t="str">
        <f>IFERROR(__xludf.DUMMYFUNCTION("""COMPUTED_VALUE"""),"AUTOPILOT COMPUTER/FLIGHT DIRECTOT")</f>
        <v>AUTOPILOT COMPUTER/FLIGHT DIRECTOT</v>
      </c>
      <c r="E159" s="138" t="str">
        <f>IFERROR(__xludf.DUMMYFUNCTION("""COMPUTED_VALUE"""),"53450")</f>
        <v>53450</v>
      </c>
      <c r="F159" s="138" t="str">
        <f>IFERROR(__xludf.DUMMYFUNCTION("""COMPUTED_VALUE"""),"010/2026")</f>
        <v>010/2026</v>
      </c>
      <c r="G159" s="138" t="str">
        <f>IFERROR(__xludf.DUMMYFUNCTION("""COMPUTED_VALUE"""),"06/04")</f>
        <v>06/04</v>
      </c>
      <c r="H159" s="138" t="str">
        <f>IFERROR(__xludf.DUMMYFUNCTION("""COMPUTED_VALUE"""),"06/04")</f>
        <v>06/04</v>
      </c>
      <c r="I159" s="138" t="str">
        <f>IFERROR(__xludf.DUMMYFUNCTION("""COMPUTED_VALUE"""),"06/04")</f>
        <v>06/04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IFERROR(__xludf.DUMMYFUNCTION("""COMPUTED_VALUE"""),"BAMN")</f>
        <v>BAMN</v>
      </c>
      <c r="C160" s="138" t="str">
        <f>IFERROR(__xludf.DUMMYFUNCTION("""COMPUTED_VALUE"""),"161-12800")</f>
        <v>161-12800</v>
      </c>
      <c r="D160" s="138" t="str">
        <f>IFERROR(__xludf.DUMMYFUNCTION("""COMPUTED_VALUE"""),"WHEEL HALF ASSY")</f>
        <v>WHEEL HALF ASSY</v>
      </c>
      <c r="E160" s="138" t="str">
        <f>IFERROR(__xludf.DUMMYFUNCTION("""COMPUTED_VALUE"""),"4793")</f>
        <v>4793</v>
      </c>
      <c r="F160" s="138" t="str">
        <f>IFERROR(__xludf.DUMMYFUNCTION("""COMPUTED_VALUE"""),"061/2026")</f>
        <v>061/2026</v>
      </c>
      <c r="G160" s="138" t="str">
        <f>IFERROR(__xludf.DUMMYFUNCTION("""COMPUTED_VALUE"""),"07/05")</f>
        <v>07/05</v>
      </c>
      <c r="H160" s="138" t="str">
        <f>IFERROR(__xludf.DUMMYFUNCTION("""COMPUTED_VALUE"""),"08/05")</f>
        <v>08/05</v>
      </c>
      <c r="I160" s="138" t="str">
        <f>IFERROR(__xludf.DUMMYFUNCTION("""COMPUTED_VALUE"""),"SN diferente")</f>
        <v>SN diferente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IFERROR(__xludf.DUMMYFUNCTION("""COMPUTED_VALUE"""),"BAMN")</f>
        <v>BAMN</v>
      </c>
      <c r="C161" s="138" t="str">
        <f>IFERROR(__xludf.DUMMYFUNCTION("""COMPUTED_VALUE"""),"030-18200")</f>
        <v>030-18200</v>
      </c>
      <c r="D161" s="138" t="str">
        <f>IFERROR(__xludf.DUMMYFUNCTION("""COMPUTED_VALUE"""),"CONJUNTO DE FREIO")</f>
        <v>CONJUNTO DE FREIO</v>
      </c>
      <c r="E161" s="138" t="str">
        <f>IFERROR(__xludf.DUMMYFUNCTION("""COMPUTED_VALUE"""),"015A")</f>
        <v>015A</v>
      </c>
      <c r="F161" s="138" t="str">
        <f>IFERROR(__xludf.DUMMYFUNCTION("""COMPUTED_VALUE"""),"062/2026")</f>
        <v>062/2026</v>
      </c>
      <c r="G161" s="138" t="str">
        <f>IFERROR(__xludf.DUMMYFUNCTION("""COMPUTED_VALUE"""),"07/05")</f>
        <v>07/05</v>
      </c>
      <c r="H161" s="138" t="str">
        <f>IFERROR(__xludf.DUMMYFUNCTION("""COMPUTED_VALUE"""),"08/05")</f>
        <v>08/05</v>
      </c>
      <c r="I161" s="138" t="str">
        <f>IFERROR(__xludf.DUMMYFUNCTION("""COMPUTED_VALUE"""),"corrigir PN do certificado")</f>
        <v>corrigir PN do certificado</v>
      </c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IFERROR(__xludf.DUMMYFUNCTION("""COMPUTED_VALUE"""),"BAMN")</f>
        <v>BAMN</v>
      </c>
      <c r="C162" s="138" t="str">
        <f>IFERROR(__xludf.DUMMYFUNCTION("""COMPUTED_VALUE"""),"030-18200")</f>
        <v>030-18200</v>
      </c>
      <c r="D162" s="138" t="str">
        <f>IFERROR(__xludf.DUMMYFUNCTION("""COMPUTED_VALUE"""),"CONJUNTO DE FREIO")</f>
        <v>CONJUNTO DE FREIO</v>
      </c>
      <c r="E162" s="138" t="str">
        <f>IFERROR(__xludf.DUMMYFUNCTION("""COMPUTED_VALUE"""),"327")</f>
        <v>327</v>
      </c>
      <c r="F162" s="138" t="str">
        <f>IFERROR(__xludf.DUMMYFUNCTION("""COMPUTED_VALUE"""),"062/2026")</f>
        <v>062/2026</v>
      </c>
      <c r="G162" s="138" t="str">
        <f>IFERROR(__xludf.DUMMYFUNCTION("""COMPUTED_VALUE"""),"07/05")</f>
        <v>07/05</v>
      </c>
      <c r="H162" s="138" t="str">
        <f>IFERROR(__xludf.DUMMYFUNCTION("""COMPUTED_VALUE"""),"08/05")</f>
        <v>08/05</v>
      </c>
      <c r="I162" s="138" t="str">
        <f>IFERROR(__xludf.DUMMYFUNCTION("""COMPUTED_VALUE"""),"corrigir PN do certificado")</f>
        <v>corrigir PN do certificado</v>
      </c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IFERROR(__xludf.DUMMYFUNCTION("""COMPUTED_VALUE"""),"BAMN")</f>
        <v>BAMN</v>
      </c>
      <c r="C163" s="138" t="str">
        <f>IFERROR(__xludf.DUMMYFUNCTION("""COMPUTED_VALUE"""),"2682001-1")</f>
        <v>2682001-1</v>
      </c>
      <c r="D163" s="138" t="str">
        <f>IFERROR(__xludf.DUMMYFUNCTION("""COMPUTED_VALUE"""),"CILINDRO DE FREIO")</f>
        <v>CILINDRO DE FREIO</v>
      </c>
      <c r="E163" s="138" t="str">
        <f>IFERROR(__xludf.DUMMYFUNCTION("""COMPUTED_VALUE"""),"ATE3715")</f>
        <v>ATE3715</v>
      </c>
      <c r="F163" s="138" t="str">
        <f>IFERROR(__xludf.DUMMYFUNCTION("""COMPUTED_VALUE"""),"062/2026")</f>
        <v>062/2026</v>
      </c>
      <c r="G163" s="138" t="str">
        <f>IFERROR(__xludf.DUMMYFUNCTION("""COMPUTED_VALUE"""),"07/05")</f>
        <v>07/05</v>
      </c>
      <c r="H163" s="138" t="str">
        <f>IFERROR(__xludf.DUMMYFUNCTION("""COMPUTED_VALUE"""),"08/05")</f>
        <v>08/05</v>
      </c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IFERROR(__xludf.DUMMYFUNCTION("""COMPUTED_VALUE"""),"BANT")</f>
        <v>BANT</v>
      </c>
      <c r="C164" s="138" t="str">
        <f>IFERROR(__xludf.DUMMYFUNCTION("""COMPUTED_VALUE"""),"066-3084-32")</f>
        <v>066-3084-32</v>
      </c>
      <c r="D164" s="138" t="str">
        <f>IFERROR(__xludf.DUMMYFUNCTION("""COMPUTED_VALUE"""),"IND RDR 200 IN")</f>
        <v>IND RDR 200 IN</v>
      </c>
      <c r="E164" s="138" t="str">
        <f>IFERROR(__xludf.DUMMYFUNCTION("""COMPUTED_VALUE"""),"20126")</f>
        <v>20126</v>
      </c>
      <c r="F164" s="138" t="str">
        <f>IFERROR(__xludf.DUMMYFUNCTION("""COMPUTED_VALUE"""),"020/2025")</f>
        <v>020/2025</v>
      </c>
      <c r="G164" s="138" t="str">
        <f>IFERROR(__xludf.DUMMYFUNCTION("""COMPUTED_VALUE"""),"06/08")</f>
        <v>06/08</v>
      </c>
      <c r="H164" s="138" t="str">
        <f>IFERROR(__xludf.DUMMYFUNCTION("""COMPUTED_VALUE"""),"30/01")</f>
        <v>30/01</v>
      </c>
      <c r="I164" s="138" t="str">
        <f>IFERROR(__xludf.DUMMYFUNCTION("""COMPUTED_VALUE"""),"CERTIFICADO")</f>
        <v>CERTIFICADO</v>
      </c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IFERROR(__xludf.DUMMYFUNCTION("""COMPUTED_VALUE"""),"BANT")</f>
        <v>BANT</v>
      </c>
      <c r="C165" s="138" t="str">
        <f>IFERROR(__xludf.DUMMYFUNCTION("""COMPUTED_VALUE"""),"C661064-0237")</f>
        <v>C661064-0237</v>
      </c>
      <c r="D165" s="138" t="str">
        <f>IFERROR(__xludf.DUMMYFUNCTION("""COMPUTED_VALUE"""),"AIRSPEED INDICATOR")</f>
        <v>AIRSPEED INDICATOR</v>
      </c>
      <c r="E165" s="138" t="str">
        <f>IFERROR(__xludf.DUMMYFUNCTION("""COMPUTED_VALUE"""),"T23157")</f>
        <v>T23157</v>
      </c>
      <c r="F165" s="138" t="str">
        <f>IFERROR(__xludf.DUMMYFUNCTION("""COMPUTED_VALUE"""),"022/2025")</f>
        <v>022/2025</v>
      </c>
      <c r="G165" s="138" t="str">
        <f>IFERROR(__xludf.DUMMYFUNCTION("""COMPUTED_VALUE"""),"13/08")</f>
        <v>13/08</v>
      </c>
      <c r="H165" s="138" t="str">
        <f>IFERROR(__xludf.DUMMYFUNCTION("""COMPUTED_VALUE"""),"30/01")</f>
        <v>30/01</v>
      </c>
      <c r="I165" s="138" t="str">
        <f>IFERROR(__xludf.DUMMYFUNCTION("""COMPUTED_VALUE"""),"CERTIFICADO")</f>
        <v>CERTIFICADO</v>
      </c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IFERROR(__xludf.DUMMYFUNCTION("""COMPUTED_VALUE"""),"BANT")</f>
        <v>BANT</v>
      </c>
      <c r="C166" s="138" t="str">
        <f>IFERROR(__xludf.DUMMYFUNCTION("""COMPUTED_VALUE"""),"2606013-1RX")</f>
        <v>2606013-1RX</v>
      </c>
      <c r="D166" s="138" t="str">
        <f>IFERROR(__xludf.DUMMYFUNCTION("""COMPUTED_VALUE"""),"INDICATOR-PERCENT RPM")</f>
        <v>INDICATOR-PERCENT RPM</v>
      </c>
      <c r="E166" s="138" t="str">
        <f>IFERROR(__xludf.DUMMYFUNCTION("""COMPUTED_VALUE"""),"203103")</f>
        <v>203103</v>
      </c>
      <c r="F166" s="138" t="str">
        <f>IFERROR(__xludf.DUMMYFUNCTION("""COMPUTED_VALUE"""),"026/2025")</f>
        <v>026/2025</v>
      </c>
      <c r="G166" s="138" t="str">
        <f>IFERROR(__xludf.DUMMYFUNCTION("""COMPUTED_VALUE"""),"02/08")</f>
        <v>02/08</v>
      </c>
      <c r="H166" s="138" t="str">
        <f>IFERROR(__xludf.DUMMYFUNCTION("""COMPUTED_VALUE"""),"30/01")</f>
        <v>30/01</v>
      </c>
      <c r="I166" s="138" t="str">
        <f>IFERROR(__xludf.DUMMYFUNCTION("""COMPUTED_VALUE"""),"CERTIFICADO e colocar SN no termo")</f>
        <v>CERTIFICADO e colocar SN no termo</v>
      </c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IFERROR(__xludf.DUMMYFUNCTION("""COMPUTED_VALUE"""),"BANT")</f>
        <v>BANT</v>
      </c>
      <c r="C167" s="138" t="str">
        <f>IFERROR(__xludf.DUMMYFUNCTION("""COMPUTED_VALUE"""),"066-04035-1101")</f>
        <v>066-04035-1101</v>
      </c>
      <c r="D167" s="138" t="str">
        <f>IFERROR(__xludf.DUMMYFUNCTION("""COMPUTED_VALUE"""),"DISPLAY UNIT,RADAR")</f>
        <v>DISPLAY UNIT,RADAR</v>
      </c>
      <c r="E167" s="138" t="str">
        <f>IFERROR(__xludf.DUMMYFUNCTION("""COMPUTED_VALUE"""),"KMD540-10071")</f>
        <v>KMD540-10071</v>
      </c>
      <c r="F167" s="138" t="str">
        <f>IFERROR(__xludf.DUMMYFUNCTION("""COMPUTED_VALUE"""),"026/2025")</f>
        <v>026/2025</v>
      </c>
      <c r="G167" s="138" t="str">
        <f>IFERROR(__xludf.DUMMYFUNCTION("""COMPUTED_VALUE"""),"02/08")</f>
        <v>02/08</v>
      </c>
      <c r="H167" s="138" t="str">
        <f>IFERROR(__xludf.DUMMYFUNCTION("""COMPUTED_VALUE"""),"30/01")</f>
        <v>30/01</v>
      </c>
      <c r="I167" s="138" t="str">
        <f>IFERROR(__xludf.DUMMYFUNCTION("""COMPUTED_VALUE"""),"CERTIFICADO e colocar SN no termo")</f>
        <v>CERTIFICADO e colocar SN no termo</v>
      </c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IFERROR(__xludf.DUMMYFUNCTION("""COMPUTED_VALUE"""),"BANT")</f>
        <v>BANT</v>
      </c>
      <c r="C168" s="138" t="str">
        <f>IFERROR(__xludf.DUMMYFUNCTION("""COMPUTED_VALUE"""),"540-1407-4")</f>
        <v>540-1407-4</v>
      </c>
      <c r="D168" s="138" t="str">
        <f>IFERROR(__xludf.DUMMYFUNCTION("""COMPUTED_VALUE""")," VALVE,BLEED,TURBINEENGINE")</f>
        <v> VALVE,BLEED,TURBINEENGINE</v>
      </c>
      <c r="E168" s="138" t="str">
        <f>IFERROR(__xludf.DUMMYFUNCTION("""COMPUTED_VALUE"""),"5385")</f>
        <v>5385</v>
      </c>
      <c r="F168" s="138" t="str">
        <f>IFERROR(__xludf.DUMMYFUNCTION("""COMPUTED_VALUE"""),"027/2025")</f>
        <v>027/2025</v>
      </c>
      <c r="G168" s="138" t="str">
        <f>IFERROR(__xludf.DUMMYFUNCTION("""COMPUTED_VALUE"""),"10/09")</f>
        <v>10/09</v>
      </c>
      <c r="H168" s="138" t="str">
        <f>IFERROR(__xludf.DUMMYFUNCTION("""COMPUTED_VALUE"""),"30/01")</f>
        <v>30/01</v>
      </c>
      <c r="I168" s="138" t="str">
        <f>IFERROR(__xludf.DUMMYFUNCTION("""COMPUTED_VALUE"""),"CERTIFICADO ok")</f>
        <v>CERTIFICADO ok</v>
      </c>
      <c r="J168" s="138" t="str">
        <f>IFERROR(__xludf.DUMMYFUNCTION("""COMPUTED_VALUE"""),"21/05")</f>
        <v>21/05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IFERROR(__xludf.DUMMYFUNCTION("""COMPUTED_VALUE"""),"BANT")</f>
        <v>BANT</v>
      </c>
      <c r="C169" s="138" t="str">
        <f>IFERROR(__xludf.DUMMYFUNCTION("""COMPUTED_VALUE"""),"EA-5175-52-CES")</f>
        <v>EA-5175-52-CES</v>
      </c>
      <c r="D169" s="138" t="str">
        <f>IFERROR(__xludf.DUMMYFUNCTION("""COMPUTED_VALUE"""),"AIRSPEED INDICATOR")</f>
        <v>AIRSPEED INDICATOR</v>
      </c>
      <c r="E169" s="138" t="str">
        <f>IFERROR(__xludf.DUMMYFUNCTION("""COMPUTED_VALUE"""),"T35197")</f>
        <v>T35197</v>
      </c>
      <c r="F169" s="138" t="str">
        <f>IFERROR(__xludf.DUMMYFUNCTION("""COMPUTED_VALUE"""),"033/2025")</f>
        <v>033/2025</v>
      </c>
      <c r="G169" s="138" t="str">
        <f>IFERROR(__xludf.DUMMYFUNCTION("""COMPUTED_VALUE"""),"14/10")</f>
        <v>14/10</v>
      </c>
      <c r="H169" s="138" t="str">
        <f>IFERROR(__xludf.DUMMYFUNCTION("""COMPUTED_VALUE"""),"30/01")</f>
        <v>30/01</v>
      </c>
      <c r="I169" s="138" t="str">
        <f>IFERROR(__xludf.DUMMYFUNCTION("""COMPUTED_VALUE"""),"CERTIFICADO")</f>
        <v>CERTIFICADO</v>
      </c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IFERROR(__xludf.DUMMYFUNCTION("""COMPUTED_VALUE"""),"BANT")</f>
        <v>BANT</v>
      </c>
      <c r="C170" s="138" t="str">
        <f>IFERROR(__xludf.DUMMYFUNCTION("""COMPUTED_VALUE"""),"069-01034-0102")</f>
        <v>069-01034-0102</v>
      </c>
      <c r="D170" s="138" t="str">
        <f>IFERROR(__xludf.DUMMYFUNCTION("""COMPUTED_VALUE"""),"NAVIGATION SET,SATELLITE SIGNALS KLN-94")</f>
        <v>NAVIGATION SET,SATELLITE SIGNALS KLN-94</v>
      </c>
      <c r="E170" s="138" t="str">
        <f>IFERROR(__xludf.DUMMYFUNCTION("""COMPUTED_VALUE"""),"21107")</f>
        <v>21107</v>
      </c>
      <c r="F170" s="138" t="str">
        <f>IFERROR(__xludf.DUMMYFUNCTION("""COMPUTED_VALUE"""),"037/2025")</f>
        <v>037/2025</v>
      </c>
      <c r="G170" s="138" t="str">
        <f>IFERROR(__xludf.DUMMYFUNCTION("""COMPUTED_VALUE"""),"04/12")</f>
        <v>04/12</v>
      </c>
      <c r="H170" s="138" t="str">
        <f>IFERROR(__xludf.DUMMYFUNCTION("""COMPUTED_VALUE"""),"06/02")</f>
        <v>06/02</v>
      </c>
      <c r="I170" s="138" t="str">
        <f>IFERROR(__xludf.DUMMYFUNCTION("""COMPUTED_VALUE"""),"CERTIFICADO")</f>
        <v>CERTIFICADO</v>
      </c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IFERROR(__xludf.DUMMYFUNCTION("""COMPUTED_VALUE"""),"BACG")</f>
        <v>BACG</v>
      </c>
      <c r="C171" s="138" t="str">
        <f>IFERROR(__xludf.DUMMYFUNCTION("""COMPUTED_VALUE"""),"2682001-1")</f>
        <v>2682001-1</v>
      </c>
      <c r="D171" s="138" t="str">
        <f>IFERROR(__xludf.DUMMYFUNCTION("""COMPUTED_VALUE"""),"CILINDRO DE FREIO")</f>
        <v>CILINDRO DE FREIO</v>
      </c>
      <c r="E171" s="138" t="str">
        <f>IFERROR(__xludf.DUMMYFUNCTION("""COMPUTED_VALUE"""),"*")</f>
        <v>*</v>
      </c>
      <c r="F171" s="138" t="str">
        <f>IFERROR(__xludf.DUMMYFUNCTION("""COMPUTED_VALUE"""),"005/2026")</f>
        <v>005/2026</v>
      </c>
      <c r="G171" s="138" t="str">
        <f>IFERROR(__xludf.DUMMYFUNCTION("""COMPUTED_VALUE"""),"27/05")</f>
        <v>27/05</v>
      </c>
      <c r="H171" s="138" t="str">
        <f>IFERROR(__xludf.DUMMYFUNCTION("""COMPUTED_VALUE"""),"03/06")</f>
        <v>03/06</v>
      </c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 t="str">
        <f>IFERROR(__xludf.DUMMYFUNCTION("""COMPUTED_VALUE"""),"Solicitado SN")</f>
        <v>Solicitado SN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IFERROR(__xludf.DUMMYFUNCTION("""COMPUTED_VALUE"""),"BABR")</f>
        <v>BABR</v>
      </c>
      <c r="C172" s="138" t="str">
        <f>IFERROR(__xludf.DUMMYFUNCTION("""COMPUTED_VALUE"""),"2618510-10")</f>
        <v>2618510-10</v>
      </c>
      <c r="D172" s="138" t="str">
        <f>IFERROR(__xludf.DUMMYFUNCTION("""COMPUTED_VALUE"""),"ALTERNATOR CONTROL UNIT ASSY")</f>
        <v>ALTERNATOR CONTROL UNIT ASSY</v>
      </c>
      <c r="E172" s="138" t="str">
        <f>IFERROR(__xludf.DUMMYFUNCTION("""COMPUTED_VALUE"""),"3174")</f>
        <v>3174</v>
      </c>
      <c r="F172" s="138" t="str">
        <f>IFERROR(__xludf.DUMMYFUNCTION("""COMPUTED_VALUE"""),"021/2026")</f>
        <v>021/2026</v>
      </c>
      <c r="G172" s="138" t="str">
        <f>IFERROR(__xludf.DUMMYFUNCTION("""COMPUTED_VALUE"""),"27/05")</f>
        <v>27/05</v>
      </c>
      <c r="H172" s="138" t="str">
        <f>IFERROR(__xludf.DUMMYFUNCTION("""COMPUTED_VALUE"""),"08/06")</f>
        <v>08/06</v>
      </c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 t="str">
        <f>IFERROR(__xludf.DUMMYFUNCTION("""COMPUTED_VALUE"""),"AGD RESPOSTA DO E-MAIL ENVIADO P/ V1  NO DIA 16/06/2026 PELO TEN WALLACE ")</f>
        <v>AGD RESPOSTA DO E-MAIL ENVIADO P/ V1  NO DIA 16/06/2026 PELO TEN WALLACE </v>
      </c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IFERROR(__xludf.DUMMYFUNCTION("""COMPUTED_VALUE"""),"BAMN")</f>
        <v>BAMN</v>
      </c>
      <c r="C173" s="138" t="str">
        <f>IFERROR(__xludf.DUMMYFUNCTION("""COMPUTED_VALUE"""),"ASG12000-2")</f>
        <v>ASG12000-2</v>
      </c>
      <c r="D173" s="138" t="str">
        <f>IFERROR(__xludf.DUMMYFUNCTION("""COMPUTED_VALUE"""),"ALTERNADOR")</f>
        <v>ALTERNADOR</v>
      </c>
      <c r="E173" s="138" t="str">
        <f>IFERROR(__xludf.DUMMYFUNCTION("""COMPUTED_VALUE"""),"K010158A")</f>
        <v>K010158A</v>
      </c>
      <c r="F173" s="138" t="str">
        <f>IFERROR(__xludf.DUMMYFUNCTION("""COMPUTED_VALUE"""),"084/2026")</f>
        <v>084/2026</v>
      </c>
      <c r="G173" s="138" t="str">
        <f>IFERROR(__xludf.DUMMYFUNCTION("""COMPUTED_VALUE"""),"30/07")</f>
        <v>30/07</v>
      </c>
      <c r="H173" s="138" t="str">
        <f>IFERROR(__xludf.DUMMYFUNCTION("""COMPUTED_VALUE"""),"30/07")</f>
        <v>30/07</v>
      </c>
      <c r="I173" s="138" t="str">
        <f>IFERROR(__xludf.DUMMYFUNCTION("""COMPUTED_VALUE"""),"consultado exchange em 03/08")</f>
        <v>consultado exchange em 03/08</v>
      </c>
      <c r="J173" s="138" t="str">
        <f>IFERROR(__xludf.DUMMYFUNCTION("""COMPUTED_VALUE"""),"03/08")</f>
        <v>03/08</v>
      </c>
      <c r="K173" s="138" t="str">
        <f>IFERROR(__xludf.DUMMYFUNCTION("""COMPUTED_VALUE"""),"02/09")</f>
        <v>02/09</v>
      </c>
      <c r="L173" s="138" t="str">
        <f>IFERROR(__xludf.DUMMYFUNCTION("""COMPUTED_VALUE"""),"02/09")</f>
        <v>02/09</v>
      </c>
      <c r="M173" s="138" t="str">
        <f>IFERROR(__xludf.DUMMYFUNCTION("""COMPUTED_VALUE"""),"05/10")</f>
        <v>05/10</v>
      </c>
      <c r="N173" s="138" t="str">
        <f>IFERROR(__xludf.DUMMYFUNCTION("""COMPUTED_VALUE"""),"05/10")</f>
        <v>05/10</v>
      </c>
      <c r="O173" s="138" t="str">
        <f>IFERROR(__xludf.DUMMYFUNCTION("""COMPUTED_VALUE"""),"05/10")</f>
        <v>05/10</v>
      </c>
      <c r="P173" s="138" t="str">
        <f>IFERROR(__xludf.DUMMYFUNCTION("""COMPUTED_VALUE"""),"05/10")</f>
        <v>05/10</v>
      </c>
      <c r="Q173" s="138" t="str">
        <f>IFERROR(__xludf.DUMMYFUNCTION("""COMPUTED_VALUE"""),"05/10")</f>
        <v>05/10</v>
      </c>
      <c r="R173" s="138" t="str">
        <f>IFERROR(__xludf.DUMMYFUNCTION("""COMPUTED_VALUE"""),"05/10")</f>
        <v>05/10</v>
      </c>
      <c r="S173" s="138" t="str">
        <f>IFERROR(__xludf.DUMMYFUNCTION("""COMPUTED_VALUE"""),"05/10")</f>
        <v>05/10</v>
      </c>
      <c r="T173" s="138"/>
      <c r="U173" s="138"/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IFERROR(__xludf.DUMMYFUNCTION("""COMPUTED_VALUE"""),"011-00883-20")</f>
        <v>011-00883-20</v>
      </c>
      <c r="D174" s="138" t="str">
        <f>IFERROR(__xludf.DUMMYFUNCTION("""COMPUTED_VALUE"""),"RADAR GWX 68 WEATHER")</f>
        <v>RADAR GWX 68 WEATHER</v>
      </c>
      <c r="E174" s="138" t="str">
        <f>IFERROR(__xludf.DUMMYFUNCTION("""COMPUTED_VALUE"""),"47203246")</f>
        <v>47203246</v>
      </c>
      <c r="F174" s="138" t="str">
        <f>IFERROR(__xludf.DUMMYFUNCTION("""COMPUTED_VALUE"""),"082/2026")</f>
        <v>082/2026</v>
      </c>
      <c r="G174" s="138" t="str">
        <f>IFERROR(__xludf.DUMMYFUNCTION("""COMPUTED_VALUE"""),"14/07")</f>
        <v>14/07</v>
      </c>
      <c r="H174" s="138" t="str">
        <f>IFERROR(__xludf.DUMMYFUNCTION("""COMPUTED_VALUE"""),"29/07")</f>
        <v>29/07</v>
      </c>
      <c r="I174" s="138" t="str">
        <f>IFERROR(__xludf.DUMMYFUNCTION("""COMPUTED_VALUE"""),"consultado exchange em 03/08")</f>
        <v>consultado exchange em 03/08</v>
      </c>
      <c r="J174" s="138" t="str">
        <f>IFERROR(__xludf.DUMMYFUNCTION("""COMPUTED_VALUE"""),"03/08, 01/09")</f>
        <v>03/08, 01/09</v>
      </c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 t="str">
        <f>IFERROR(__xludf.DUMMYFUNCTION("""COMPUTED_VALUE"""),"exchange com SN 47202512")</f>
        <v>exchange com SN 47202512</v>
      </c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IFERROR(__xludf.DUMMYFUNCTION("""COMPUTED_VALUE"""),"011-01105-01")</f>
        <v>011-01105-01</v>
      </c>
      <c r="D175" s="138" t="str">
        <f>IFERROR(__xludf.DUMMYFUNCTION("""COMPUTED_VALUE"""),"INTEGRATED AVIONICS  UNIT")</f>
        <v>INTEGRATED AVIONICS  UNIT</v>
      </c>
      <c r="E175" s="138" t="str">
        <f>IFERROR(__xludf.DUMMYFUNCTION("""COMPUTED_VALUE"""),"15W011943")</f>
        <v>15W011943</v>
      </c>
      <c r="F175" s="138" t="str">
        <f>IFERROR(__xludf.DUMMYFUNCTION("""COMPUTED_VALUE"""),"081/2026")</f>
        <v>081/2026</v>
      </c>
      <c r="G175" s="138" t="str">
        <f>IFERROR(__xludf.DUMMYFUNCTION("""COMPUTED_VALUE"""),"14/07")</f>
        <v>14/07</v>
      </c>
      <c r="H175" s="138" t="str">
        <f>IFERROR(__xludf.DUMMYFUNCTION("""COMPUTED_VALUE"""),"29/07")</f>
        <v>29/07</v>
      </c>
      <c r="I175" s="138" t="str">
        <f>IFERROR(__xludf.DUMMYFUNCTION("""COMPUTED_VALUE"""),"consultado exchange em 03/08")</f>
        <v>consultado exchange em 03/08</v>
      </c>
      <c r="J175" s="138" t="str">
        <f>IFERROR(__xludf.DUMMYFUNCTION("""COMPUTED_VALUE"""),"03/08, 01/09")</f>
        <v>03/08, 01/09</v>
      </c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 t="str">
        <f>IFERROR(__xludf.DUMMYFUNCTION("""COMPUTED_VALUE"""),"exchange com SN 15W013724")</f>
        <v>exchange com SN 15W013724</v>
      </c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IFERROR(__xludf.DUMMYFUNCTION("""COMPUTED_VALUE"""),"BABR")</f>
        <v>BABR</v>
      </c>
      <c r="C176" s="138" t="str">
        <f>IFERROR(__xludf.DUMMYFUNCTION("""COMPUTED_VALUE"""),"9910592-2")</f>
        <v>9910592-2</v>
      </c>
      <c r="D176" s="138" t="str">
        <f>IFERROR(__xludf.DUMMYFUNCTION("""COMPUTED_VALUE"""),"ALTERNATOR ASSY")</f>
        <v>ALTERNATOR ASSY</v>
      </c>
      <c r="E176" s="138" t="str">
        <f>IFERROR(__xludf.DUMMYFUNCTION("""COMPUTED_VALUE"""),"A-180560")</f>
        <v>A-180560</v>
      </c>
      <c r="F176" s="138" t="str">
        <f>IFERROR(__xludf.DUMMYFUNCTION("""COMPUTED_VALUE"""),"029/2026")</f>
        <v>029/2026</v>
      </c>
      <c r="G176" s="138" t="str">
        <f>IFERROR(__xludf.DUMMYFUNCTION("""COMPUTED_VALUE"""),"23/06")</f>
        <v>23/06</v>
      </c>
      <c r="H176" s="138" t="str">
        <f>IFERROR(__xludf.DUMMYFUNCTION("""COMPUTED_VALUE"""),"05/08")</f>
        <v>05/08</v>
      </c>
      <c r="I176" s="138"/>
      <c r="J176" s="138" t="str">
        <f>IFERROR(__xludf.DUMMYFUNCTION("""COMPUTED_VALUE"""),"05/08")</f>
        <v>05/08</v>
      </c>
      <c r="K176" s="138" t="str">
        <f>IFERROR(__xludf.DUMMYFUNCTION("""COMPUTED_VALUE"""),"17/08")</f>
        <v>17/08</v>
      </c>
      <c r="L176" s="138" t="str">
        <f>IFERROR(__xludf.DUMMYFUNCTION("""COMPUTED_VALUE"""),"01/09")</f>
        <v>01/09</v>
      </c>
      <c r="M176" s="138" t="str">
        <f>IFERROR(__xludf.DUMMYFUNCTION("""COMPUTED_VALUE"""),"01/09")</f>
        <v>01/09</v>
      </c>
      <c r="N176" s="138" t="str">
        <f>IFERROR(__xludf.DUMMYFUNCTION("""COMPUTED_VALUE"""),"01/09")</f>
        <v>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 t="str">
        <f>IFERROR(__xludf.DUMMYFUNCTION("""COMPUTED_VALUE"""),"01/09")</f>
        <v>01/09</v>
      </c>
      <c r="T176" s="138"/>
      <c r="U176" s="138" t="str">
        <f>IFERROR(__xludf.DUMMYFUNCTION("""COMPUTED_VALUE"""),"RECEBIMENTO PENDENTE - ENTRADA EM ABERTO - GODOY 05/10/2026")</f>
        <v>RECEBIMENTO PENDENTE - ENTRADA EM ABERTO - GODOY 05/10/2026</v>
      </c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IFERROR(__xludf.DUMMYFUNCTION("""COMPUTED_VALUE"""),"BABR")</f>
        <v>BABR</v>
      </c>
      <c r="C177" s="138" t="str">
        <f>IFERROR(__xludf.DUMMYFUNCTION("""COMPUTED_VALUE"""),"9910586-4")</f>
        <v>9910586-4</v>
      </c>
      <c r="D177" s="138" t="str">
        <f>IFERROR(__xludf.DUMMYFUNCTION("""COMPUTED_VALUE"""),"CONJUNTO DE MOTOR E ATUADOR DE FLAP")</f>
        <v>CONJUNTO DE MOTOR E ATUADOR DE FLAP</v>
      </c>
      <c r="E177" s="138" t="str">
        <f>IFERROR(__xludf.DUMMYFUNCTION("""COMPUTED_VALUE"""),"1270")</f>
        <v>1270</v>
      </c>
      <c r="F177" s="138" t="str">
        <f>IFERROR(__xludf.DUMMYFUNCTION("""COMPUTED_VALUE"""),"027/2026")</f>
        <v>027/2026</v>
      </c>
      <c r="G177" s="138" t="str">
        <f>IFERROR(__xludf.DUMMYFUNCTION("""COMPUTED_VALUE"""),"20/06")</f>
        <v>20/06</v>
      </c>
      <c r="H177" s="138" t="str">
        <f>IFERROR(__xludf.DUMMYFUNCTION("""COMPUTED_VALUE"""),"07/08")</f>
        <v>07/08</v>
      </c>
      <c r="I177" s="138"/>
      <c r="J177" s="138" t="str">
        <f>IFERROR(__xludf.DUMMYFUNCTION("""COMPUTED_VALUE"""),"07/08")</f>
        <v>07/08</v>
      </c>
      <c r="K177" s="138" t="str">
        <f>IFERROR(__xludf.DUMMYFUNCTION("""COMPUTED_VALUE"""),"12/08")</f>
        <v>12/08</v>
      </c>
      <c r="L177" s="138" t="str">
        <f>IFERROR(__xludf.DUMMYFUNCTION("""COMPUTED_VALUE"""),"12/08")</f>
        <v>12/08</v>
      </c>
      <c r="M177" s="138" t="str">
        <f>IFERROR(__xludf.DUMMYFUNCTION("""COMPUTED_VALUE"""),"12/08")</f>
        <v>12/08</v>
      </c>
      <c r="N177" s="138" t="str">
        <f>IFERROR(__xludf.DUMMYFUNCTION("""COMPUTED_VALUE"""),"12/08")</f>
        <v>12/08</v>
      </c>
      <c r="O177" s="138" t="str">
        <f>IFERROR(__xludf.DUMMYFUNCTION("""COMPUTED_VALUE"""),"12/08")</f>
        <v>12/08</v>
      </c>
      <c r="P177" s="138" t="str">
        <f>IFERROR(__xludf.DUMMYFUNCTION("""COMPUTED_VALUE"""),"12/08")</f>
        <v>12/08</v>
      </c>
      <c r="Q177" s="138" t="str">
        <f>IFERROR(__xludf.DUMMYFUNCTION("""COMPUTED_VALUE"""),"12/08")</f>
        <v>12/08</v>
      </c>
      <c r="R177" s="138" t="str">
        <f>IFERROR(__xludf.DUMMYFUNCTION("""COMPUTED_VALUE"""),"12/08")</f>
        <v>12/08</v>
      </c>
      <c r="S177" s="138" t="str">
        <f>IFERROR(__xludf.DUMMYFUNCTION("""COMPUTED_VALUE"""),"12/08, 01/09")</f>
        <v>12/08, 01/09</v>
      </c>
      <c r="T177" s="138"/>
      <c r="U177" s="138" t="str">
        <f>IFERROR(__xludf.DUMMYFUNCTION("""COMPUTED_VALUE"""),"RECEBIMENTO PENDENTE - ENTRADA EM ABERTO - GODOY 05/10/2026")</f>
        <v>RECEBIMENTO PENDENTE - ENTRADA EM ABERTO - GODOY 05/10/2026</v>
      </c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IFERROR(__xludf.DUMMYFUNCTION("""COMPUTED_VALUE"""),"BAMN")</f>
        <v>BAMN</v>
      </c>
      <c r="C178" s="138" t="str">
        <f>IFERROR(__xludf.DUMMYFUNCTION("""COMPUTED_VALUE"""),"324843-2020")</f>
        <v>324843-2020</v>
      </c>
      <c r="D178" s="138" t="str">
        <f>IFERROR(__xludf.DUMMYFUNCTION("""COMPUTED_VALUE"""),"HEADSET-MICROPHONE")</f>
        <v>HEADSET-MICROPHONE</v>
      </c>
      <c r="E178" s="138" t="str">
        <f>IFERROR(__xludf.DUMMYFUNCTION("""COMPUTED_VALUE"""),"070407910680166AE")</f>
        <v>070407910680166AE</v>
      </c>
      <c r="F178" s="138" t="str">
        <f>IFERROR(__xludf.DUMMYFUNCTION("""COMPUTED_VALUE"""),"093/2026")</f>
        <v>093/2026</v>
      </c>
      <c r="G178" s="138" t="str">
        <f>IFERROR(__xludf.DUMMYFUNCTION("""COMPUTED_VALUE"""),"18/08")</f>
        <v>18/08</v>
      </c>
      <c r="H178" s="138" t="str">
        <f>IFERROR(__xludf.DUMMYFUNCTION("""COMPUTED_VALUE"""),"19/08")</f>
        <v>19/08</v>
      </c>
      <c r="I178" s="138"/>
      <c r="J178" s="138" t="str">
        <f>IFERROR(__xludf.DUMMYFUNCTION("""COMPUTED_VALUE"""),"19/08")</f>
        <v>19/08</v>
      </c>
      <c r="K178" s="138" t="str">
        <f>IFERROR(__xludf.DUMMYFUNCTION("""COMPUTED_VALUE"""),"19/08")</f>
        <v>19/08</v>
      </c>
      <c r="L178" s="138" t="str">
        <f>IFERROR(__xludf.DUMMYFUNCTION("""COMPUTED_VALUE"""),"20/08")</f>
        <v>20/08</v>
      </c>
      <c r="M178" s="138" t="str">
        <f>IFERROR(__xludf.DUMMYFUNCTION("""COMPUTED_VALUE"""),"20/08")</f>
        <v>20/08</v>
      </c>
      <c r="N178" s="138" t="str">
        <f>IFERROR(__xludf.DUMMYFUNCTION("""COMPUTED_VALUE"""),"20/08, 01/09")</f>
        <v>20/08, 01/09</v>
      </c>
      <c r="O178" s="138" t="str">
        <f>IFERROR(__xludf.DUMMYFUNCTION("""COMPUTED_VALUE"""),"01/09")</f>
        <v>01/09</v>
      </c>
      <c r="P178" s="138" t="str">
        <f>IFERROR(__xludf.DUMMYFUNCTION("""COMPUTED_VALUE"""),"01/09")</f>
        <v>01/09</v>
      </c>
      <c r="Q178" s="138" t="str">
        <f>IFERROR(__xludf.DUMMYFUNCTION("""COMPUTED_VALUE"""),"01/09")</f>
        <v>01/09</v>
      </c>
      <c r="R178" s="138" t="str">
        <f>IFERROR(__xludf.DUMMYFUNCTION("""COMPUTED_VALUE"""),"01/09")</f>
        <v>01/09</v>
      </c>
      <c r="S178" s="138" t="str">
        <f>IFERROR(__xludf.DUMMYFUNCTION("""COMPUTED_VALUE"""),"01/09")</f>
        <v>01/09</v>
      </c>
      <c r="T178" s="138"/>
      <c r="U178" s="138" t="str">
        <f>IFERROR(__xludf.DUMMYFUNCTION("""COMPUTED_VALUE"""),"RECEBIMENTO PENDENTE - ENTRADA EM ABERTO - GODOY 05/10/2026")</f>
        <v>RECEBIMENTO PENDENTE - ENTRADA EM ABERTO - GODOY 05/10/2026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IFERROR(__xludf.DUMMYFUNCTION("""COMPUTED_VALUE"""),"BAMN")</f>
        <v>BAMN</v>
      </c>
      <c r="C179" s="138" t="str">
        <f>IFERROR(__xludf.DUMMYFUNCTION("""COMPUTED_VALUE"""),"324843-2020")</f>
        <v>324843-2020</v>
      </c>
      <c r="D179" s="138" t="str">
        <f>IFERROR(__xludf.DUMMYFUNCTION("""COMPUTED_VALUE"""),"HEADSET-MICROPHONE")</f>
        <v>HEADSET-MICROPHONE</v>
      </c>
      <c r="E179" s="138" t="str">
        <f>IFERROR(__xludf.DUMMYFUNCTION("""COMPUTED_VALUE"""),"070407983320111AE")</f>
        <v>070407983320111AE</v>
      </c>
      <c r="F179" s="138" t="str">
        <f>IFERROR(__xludf.DUMMYFUNCTION("""COMPUTED_VALUE"""),"093/2026")</f>
        <v>093/2026</v>
      </c>
      <c r="G179" s="138" t="str">
        <f>IFERROR(__xludf.DUMMYFUNCTION("""COMPUTED_VALUE"""),"18/08")</f>
        <v>18/08</v>
      </c>
      <c r="H179" s="138" t="str">
        <f>IFERROR(__xludf.DUMMYFUNCTION("""COMPUTED_VALUE"""),"19/08")</f>
        <v>19/08</v>
      </c>
      <c r="I179" s="138"/>
      <c r="J179" s="138" t="str">
        <f>IFERROR(__xludf.DUMMYFUNCTION("""COMPUTED_VALUE"""),"19/08")</f>
        <v>19/08</v>
      </c>
      <c r="K179" s="138" t="str">
        <f>IFERROR(__xludf.DUMMYFUNCTION("""COMPUTED_VALUE"""),"19/08")</f>
        <v>19/08</v>
      </c>
      <c r="L179" s="138" t="str">
        <f>IFERROR(__xludf.DUMMYFUNCTION("""COMPUTED_VALUE"""),"20/08")</f>
        <v>20/08</v>
      </c>
      <c r="M179" s="138" t="str">
        <f>IFERROR(__xludf.DUMMYFUNCTION("""COMPUTED_VALUE"""),"20/08")</f>
        <v>20/08</v>
      </c>
      <c r="N179" s="138" t="str">
        <f>IFERROR(__xludf.DUMMYFUNCTION("""COMPUTED_VALUE"""),"20/08, 01/09")</f>
        <v>20/08, 01/09</v>
      </c>
      <c r="O179" s="138" t="str">
        <f>IFERROR(__xludf.DUMMYFUNCTION("""COMPUTED_VALUE"""),"01/09")</f>
        <v>01/09</v>
      </c>
      <c r="P179" s="138" t="str">
        <f>IFERROR(__xludf.DUMMYFUNCTION("""COMPUTED_VALUE"""),"01/09")</f>
        <v>01/09</v>
      </c>
      <c r="Q179" s="138" t="str">
        <f>IFERROR(__xludf.DUMMYFUNCTION("""COMPUTED_VALUE"""),"01/09")</f>
        <v>01/09</v>
      </c>
      <c r="R179" s="138" t="str">
        <f>IFERROR(__xludf.DUMMYFUNCTION("""COMPUTED_VALUE"""),"01/09")</f>
        <v>01/09</v>
      </c>
      <c r="S179" s="138" t="str">
        <f>IFERROR(__xludf.DUMMYFUNCTION("""COMPUTED_VALUE"""),"01/09")</f>
        <v>01/09</v>
      </c>
      <c r="T179" s="138"/>
      <c r="U179" s="138" t="str">
        <f>IFERROR(__xludf.DUMMYFUNCTION("""COMPUTED_VALUE"""),"RECEBIMENTO PENDENTE - ENTRADA EM ABERTO - GODOY 05/10/2026")</f>
        <v>RECEBIMENTO PENDENTE - ENTRADA EM ABERTO - GODOY 05/10/2026</v>
      </c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IFERROR(__xludf.DUMMYFUNCTION("""COMPUTED_VALUE"""),"BAMN")</f>
        <v>BAMN</v>
      </c>
      <c r="C180" s="138" t="str">
        <f>IFERROR(__xludf.DUMMYFUNCTION("""COMPUTED_VALUE"""),"324843-0020")</f>
        <v>324843-0020</v>
      </c>
      <c r="D180" s="138" t="str">
        <f>IFERROR(__xludf.DUMMYFUNCTION("""COMPUTED_VALUE"""),"HEADSET-MICROPHONE")</f>
        <v>HEADSET-MICROPHONE</v>
      </c>
      <c r="E180" s="138" t="str">
        <f>IFERROR(__xludf.DUMMYFUNCTION("""COMPUTED_VALUE"""),"053851C30040004AE")</f>
        <v>053851C30040004AE</v>
      </c>
      <c r="F180" s="138" t="str">
        <f>IFERROR(__xludf.DUMMYFUNCTION("""COMPUTED_VALUE"""),"093/2026")</f>
        <v>093/2026</v>
      </c>
      <c r="G180" s="138" t="str">
        <f>IFERROR(__xludf.DUMMYFUNCTION("""COMPUTED_VALUE"""),"18/08")</f>
        <v>18/08</v>
      </c>
      <c r="H180" s="138" t="str">
        <f>IFERROR(__xludf.DUMMYFUNCTION("""COMPUTED_VALUE"""),"19/08")</f>
        <v>19/08</v>
      </c>
      <c r="I180" s="138"/>
      <c r="J180" s="138" t="str">
        <f>IFERROR(__xludf.DUMMYFUNCTION("""COMPUTED_VALUE"""),"19/08")</f>
        <v>19/08</v>
      </c>
      <c r="K180" s="138" t="str">
        <f>IFERROR(__xludf.DUMMYFUNCTION("""COMPUTED_VALUE"""),"19/08")</f>
        <v>19/08</v>
      </c>
      <c r="L180" s="138" t="str">
        <f>IFERROR(__xludf.DUMMYFUNCTION("""COMPUTED_VALUE"""),"20/08")</f>
        <v>20/08</v>
      </c>
      <c r="M180" s="138" t="str">
        <f>IFERROR(__xludf.DUMMYFUNCTION("""COMPUTED_VALUE"""),"20/08")</f>
        <v>20/08</v>
      </c>
      <c r="N180" s="138" t="str">
        <f>IFERROR(__xludf.DUMMYFUNCTION("""COMPUTED_VALUE"""),"20/08, 01/09")</f>
        <v>20/08, 01/09</v>
      </c>
      <c r="O180" s="138" t="str">
        <f>IFERROR(__xludf.DUMMYFUNCTION("""COMPUTED_VALUE"""),"01/09")</f>
        <v>01/09</v>
      </c>
      <c r="P180" s="138" t="str">
        <f>IFERROR(__xludf.DUMMYFUNCTION("""COMPUTED_VALUE"""),"01/09")</f>
        <v>01/09</v>
      </c>
      <c r="Q180" s="138" t="str">
        <f>IFERROR(__xludf.DUMMYFUNCTION("""COMPUTED_VALUE"""),"01/09")</f>
        <v>01/09</v>
      </c>
      <c r="R180" s="138" t="str">
        <f>IFERROR(__xludf.DUMMYFUNCTION("""COMPUTED_VALUE"""),"01/09")</f>
        <v>01/09</v>
      </c>
      <c r="S180" s="138" t="str">
        <f>IFERROR(__xludf.DUMMYFUNCTION("""COMPUTED_VALUE"""),"01/09")</f>
        <v>01/09</v>
      </c>
      <c r="T180" s="138"/>
      <c r="U180" s="138" t="str">
        <f>IFERROR(__xludf.DUMMYFUNCTION("""COMPUTED_VALUE"""),"RECEBIMENTO PENDENTE - ENTRADA EM ABERTO - GODOY 05/10/2026")</f>
        <v>RECEBIMENTO PENDENTE - ENTRADA EM ABERTO - GODOY 05/10/2026</v>
      </c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IFERROR(__xludf.DUMMYFUNCTION("""COMPUTED_VALUE"""),"BABR")</f>
        <v>BABR</v>
      </c>
      <c r="C181" s="138" t="str">
        <f>IFERROR(__xludf.DUMMYFUNCTION("""COMPUTED_VALUE"""),"9910592-2")</f>
        <v>9910592-2</v>
      </c>
      <c r="D181" s="138" t="str">
        <f>IFERROR(__xludf.DUMMYFUNCTION("""COMPUTED_VALUE"""),"ALTERNATOR ASSY")</f>
        <v>ALTERNATOR ASSY</v>
      </c>
      <c r="E181" s="138" t="str">
        <f>IFERROR(__xludf.DUMMYFUNCTION("""COMPUTED_VALUE"""),"A-183643")</f>
        <v>A-183643</v>
      </c>
      <c r="F181" s="138" t="str">
        <f>IFERROR(__xludf.DUMMYFUNCTION("""COMPUTED_VALUE"""),"028/2026")</f>
        <v>028/2026</v>
      </c>
      <c r="G181" s="138" t="str">
        <f>IFERROR(__xludf.DUMMYFUNCTION("""COMPUTED_VALUE"""),"14/08")</f>
        <v>14/08</v>
      </c>
      <c r="H181" s="138" t="str">
        <f>IFERROR(__xludf.DUMMYFUNCTION("""COMPUTED_VALUE"""),"31/08")</f>
        <v>31/08</v>
      </c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 t="str">
        <f>IFERROR(__xludf.DUMMYFUNCTION("""COMPUTED_VALUE"""),"AGD RESPOSTA DO OPERADOR - E-MAIL ENVIADO NO DIA 01/09/206")</f>
        <v>AGD RESPOSTA DO OPERADOR - E-MAIL ENVIADO NO DIA 01/09/206</v>
      </c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IFERROR(__xludf.DUMMYFUNCTION("""COMPUTED_VALUE"""),"065-00183-0501")</f>
        <v>065-00183-0501</v>
      </c>
      <c r="D182" s="138" t="str">
        <f>IFERROR(__xludf.DUMMYFUNCTION("""COMPUTED_VALUE"""),"AUTOPILOT COMPUTER KFC225")</f>
        <v>AUTOPILOT COMPUTER KFC225</v>
      </c>
      <c r="E182" s="138" t="str">
        <f>IFERROR(__xludf.DUMMYFUNCTION("""COMPUTED_VALUE"""),"2953")</f>
        <v>2953</v>
      </c>
      <c r="F182" s="138" t="str">
        <f>IFERROR(__xludf.DUMMYFUNCTION("""COMPUTED_VALUE"""),"038/2025")</f>
        <v>038/2025</v>
      </c>
      <c r="G182" s="138" t="str">
        <f>IFERROR(__xludf.DUMMYFUNCTION("""COMPUTED_VALUE"""),"14/10/25")</f>
        <v>14/10/25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 t="str">
        <f>IFERROR(__xludf.DUMMYFUNCTION("""COMPUTED_VALUE"""),"RECEBIMENTO PENDENTE - ENTRADA EM ABERTO - GODOY 05/10/2026")</f>
        <v>RECEBIMENTO PENDENTE - ENTRADA EM ABERTO - GODOY 05/10/2026</v>
      </c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IFERROR(__xludf.DUMMYFUNCTION("""COMPUTED_VALUE"""),"BANT")</f>
        <v>BANT</v>
      </c>
      <c r="C183" s="138" t="str">
        <f>IFERROR(__xludf.DUMMYFUNCTION("""COMPUTED_VALUE"""),"065-00183-0501")</f>
        <v>065-00183-0501</v>
      </c>
      <c r="D183" s="138" t="str">
        <f>IFERROR(__xludf.DUMMYFUNCTION("""COMPUTED_VALUE"""),"AUTOPILOT COMPUTER KFC225")</f>
        <v>AUTOPILOT COMPUTER KFC225</v>
      </c>
      <c r="E183" s="138" t="str">
        <f>IFERROR(__xludf.DUMMYFUNCTION("""COMPUTED_VALUE"""),"2982")</f>
        <v>2982</v>
      </c>
      <c r="F183" s="138" t="str">
        <f>IFERROR(__xludf.DUMMYFUNCTION("""COMPUTED_VALUE"""),"038/2025")</f>
        <v>038/2025</v>
      </c>
      <c r="G183" s="138" t="str">
        <f>IFERROR(__xludf.DUMMYFUNCTION("""COMPUTED_VALUE"""),"14/10/25")</f>
        <v>14/10/25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IFERROR(__xludf.DUMMYFUNCTION("""COMPUTED_VALUE"""),"28/09")</f>
        <v>28/09</v>
      </c>
      <c r="K183" s="138" t="str">
        <f>IFERROR(__xludf.DUMMYFUNCTION("""COMPUTED_VALUE"""),"28/09")</f>
        <v>28/09</v>
      </c>
      <c r="L183" s="138" t="str">
        <f>IFERROR(__xludf.DUMMYFUNCTION("""COMPUTED_VALUE"""),"28/09")</f>
        <v>28/09</v>
      </c>
      <c r="M183" s="138" t="str">
        <f>IFERROR(__xludf.DUMMYFUNCTION("""COMPUTED_VALUE"""),"28/09")</f>
        <v>28/09</v>
      </c>
      <c r="N183" s="138" t="str">
        <f>IFERROR(__xludf.DUMMYFUNCTION("""COMPUTED_VALUE"""),"28/09")</f>
        <v>28/09</v>
      </c>
      <c r="O183" s="138" t="str">
        <f>IFERROR(__xludf.DUMMYFUNCTION("""COMPUTED_VALUE"""),"28/09")</f>
        <v>28/09</v>
      </c>
      <c r="P183" s="138" t="str">
        <f>IFERROR(__xludf.DUMMYFUNCTION("""COMPUTED_VALUE"""),"28/09")</f>
        <v>28/09</v>
      </c>
      <c r="Q183" s="138" t="str">
        <f>IFERROR(__xludf.DUMMYFUNCTION("""COMPUTED_VALUE"""),"28/09")</f>
        <v>28/09</v>
      </c>
      <c r="R183" s="138" t="str">
        <f>IFERROR(__xludf.DUMMYFUNCTION("""COMPUTED_VALUE"""),"28/09")</f>
        <v>28/09</v>
      </c>
      <c r="S183" s="138" t="str">
        <f>IFERROR(__xludf.DUMMYFUNCTION("""COMPUTED_VALUE"""),"28/09")</f>
        <v>28/09</v>
      </c>
      <c r="T183" s="138"/>
      <c r="U183" s="138" t="str">
        <f>IFERROR(__xludf.DUMMYFUNCTION("""COMPUTED_VALUE"""),"RECEBIMENTO PENDENTE - ENTRADA EM ABERTO - GODOY 05/10/2026")</f>
        <v>RECEBIMENTO PENDENTE - ENTRADA EM ABERTO - GODOY 05/10/2026</v>
      </c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IFERROR(__xludf.DUMMYFUNCTION("""COMPUTED_VALUE"""),"BANT")</f>
        <v>BANT</v>
      </c>
      <c r="C184" s="138" t="str">
        <f>IFERROR(__xludf.DUMMYFUNCTION("""COMPUTED_VALUE"""),"060-0017-00")</f>
        <v>060-0017-00</v>
      </c>
      <c r="D184" s="138" t="str">
        <f>IFERROR(__xludf.DUMMYFUNCTION("""COMPUTED_VALUE"""),"IND DE COMANDO DE VOO")</f>
        <v>IND DE COMANDO DE VOO</v>
      </c>
      <c r="E184" s="138" t="str">
        <f>IFERROR(__xludf.DUMMYFUNCTION("""COMPUTED_VALUE"""),"16784")</f>
        <v>16784</v>
      </c>
      <c r="F184" s="138" t="str">
        <f>IFERROR(__xludf.DUMMYFUNCTION("""COMPUTED_VALUE"""),"001/2026")</f>
        <v>001/2026</v>
      </c>
      <c r="G184" s="138" t="str">
        <f>IFERROR(__xludf.DUMMYFUNCTION("""COMPUTED_VALUE"""),"04/08")</f>
        <v>04/08</v>
      </c>
      <c r="H184" s="138" t="str">
        <f>IFERROR(__xludf.DUMMYFUNCTION("""COMPUTED_VALUE"""),"17/09")</f>
        <v>17/09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IFERROR(__xludf.DUMMYFUNCTION("""COMPUTED_VALUE"""),"28/09")</f>
        <v>28/09</v>
      </c>
      <c r="S184" s="138" t="str">
        <f>IFERROR(__xludf.DUMMYFUNCTION("""COMPUTED_VALUE"""),"28/09")</f>
        <v>28/09</v>
      </c>
      <c r="T184" s="138"/>
      <c r="U184" s="138" t="str">
        <f>IFERROR(__xludf.DUMMYFUNCTION("""COMPUTED_VALUE"""),"RECEBIMENTO PENDENTE - ENTRADA EM ABERTO - GODOY 05/10/2026")</f>
        <v>RECEBIMENTO PENDENTE - ENTRADA EM ABERTO - GODOY 05/10/2026</v>
      </c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IFERROR(__xludf.DUMMYFUNCTION("""COMPUTED_VALUE"""),"162-11800")</f>
        <v>162-11800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IFERROR(__xludf.DUMMYFUNCTION("""COMPUTED_VALUE"""),"688")</f>
        <v>688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IFERROR(__xludf.DUMMYFUNCTION("""COMPUTED_VALUE"""),"28/09")</f>
        <v>28/09</v>
      </c>
      <c r="K185" s="138" t="str">
        <f>IFERROR(__xludf.DUMMYFUNCTION("""COMPUTED_VALUE"""),"28/09")</f>
        <v>28/09</v>
      </c>
      <c r="L185" s="138" t="str">
        <f>IFERROR(__xludf.DUMMYFUNCTION("""COMPUTED_VALUE"""),"28/09")</f>
        <v>28/09</v>
      </c>
      <c r="M185" s="138" t="str">
        <f>IFERROR(__xludf.DUMMYFUNCTION("""COMPUTED_VALUE"""),"28/09")</f>
        <v>28/09</v>
      </c>
      <c r="N185" s="138" t="str">
        <f>IFERROR(__xludf.DUMMYFUNCTION("""COMPUTED_VALUE"""),"28/09")</f>
        <v>28/09</v>
      </c>
      <c r="O185" s="138" t="str">
        <f>IFERROR(__xludf.DUMMYFUNCTION("""COMPUTED_VALUE"""),"28/09")</f>
        <v>28/09</v>
      </c>
      <c r="P185" s="138" t="str">
        <f>IFERROR(__xludf.DUMMYFUNCTION("""COMPUTED_VALUE"""),"28/09")</f>
        <v>28/09</v>
      </c>
      <c r="Q185" s="138" t="str">
        <f>IFERROR(__xludf.DUMMYFUNCTION("""COMPUTED_VALUE"""),"28/09")</f>
        <v>28/09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 t="str">
        <f>IFERROR(__xludf.DUMMYFUNCTION("""COMPUTED_VALUE"""),"RECEBIMENTO PENDENTE - ENTRADA EM ABERTO - GODOY 05/10/2026")</f>
        <v>RECEBIMENTO PENDENTE - ENTRADA EM ABERTO - GODOY 05/10/2026</v>
      </c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IFERROR(__xludf.DUMMYFUNCTION("""COMPUTED_VALUE"""),"CLA")</f>
        <v>CLA</v>
      </c>
      <c r="C186" s="138" t="str">
        <f>IFERROR(__xludf.DUMMYFUNCTION("""COMPUTED_VALUE"""),"161-12800")</f>
        <v>161-12800</v>
      </c>
      <c r="D186" s="138" t="str">
        <f>IFERROR(__xludf.DUMMYFUNCTION("""COMPUTED_VALUE"""),"WHEEL HALF ASSY")</f>
        <v>WHEEL HALF ASSY</v>
      </c>
      <c r="E186" s="138" t="str">
        <f>IFERROR(__xludf.DUMMYFUNCTION("""COMPUTED_VALUE"""),"13")</f>
        <v>13</v>
      </c>
      <c r="F186" s="138" t="str">
        <f>IFERROR(__xludf.DUMMYFUNCTION("""COMPUTED_VALUE"""),"023/2026")</f>
        <v>023/2026</v>
      </c>
      <c r="G186" s="138" t="str">
        <f>IFERROR(__xludf.DUMMYFUNCTION("""COMPUTED_VALUE"""),"31/08")</f>
        <v>31/08</v>
      </c>
      <c r="H186" s="138" t="str">
        <f>IFERROR(__xludf.DUMMYFUNCTION("""COMPUTED_VALUE"""),"18/08")</f>
        <v>18/08</v>
      </c>
      <c r="I186" s="138"/>
      <c r="J186" s="138" t="str">
        <f>IFERROR(__xludf.DUMMYFUNCTION("""COMPUTED_VALUE"""),"12/12")</f>
        <v>12/12</v>
      </c>
      <c r="K186" s="138" t="str">
        <f>IFERROR(__xludf.DUMMYFUNCTION("""COMPUTED_VALUE"""),"16/12")</f>
        <v>16/12</v>
      </c>
      <c r="L186" s="138" t="str">
        <f>IFERROR(__xludf.DUMMYFUNCTION("""COMPUTED_VALUE"""),"16/12")</f>
        <v>16/12</v>
      </c>
      <c r="M186" s="138" t="str">
        <f>IFERROR(__xludf.DUMMYFUNCTION("""COMPUTED_VALUE"""),"16/12")</f>
        <v>16/12</v>
      </c>
      <c r="N186" s="138" t="str">
        <f>IFERROR(__xludf.DUMMYFUNCTION("""COMPUTED_VALUE"""),"16/12")</f>
        <v>16/12</v>
      </c>
      <c r="O186" s="138" t="str">
        <f>IFERROR(__xludf.DUMMYFUNCTION("""COMPUTED_VALUE"""),"16/12")</f>
        <v>16/12</v>
      </c>
      <c r="P186" s="138" t="str">
        <f>IFERROR(__xludf.DUMMYFUNCTION("""COMPUTED_VALUE"""),"29/09")</f>
        <v>29/09</v>
      </c>
      <c r="Q186" s="138" t="str">
        <f>IFERROR(__xludf.DUMMYFUNCTION("""COMPUTED_VALUE"""),"29/09")</f>
        <v>29/09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 t="str">
        <f>IFERROR(__xludf.DUMMYFUNCTION("""COMPUTED_VALUE"""),"RECEBIMENTO PENDENTE - ENTRADA EM ABERTO - GODOY 05/10/2026")</f>
        <v>RECEBIMENTO PENDENTE - ENTRADA EM ABERTO - GODOY 05/10/2026</v>
      </c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 t="str">
        <f>IFERROR(__xludf.DUMMYFUNCTION("""COMPUTED_VALUE"""),"RECEBIMENTO PENDENTE - ENTRADA EM ABERTO - GODOY 05/10/2026")</f>
        <v>RECEBIMENTO PENDENTE - ENTRADA EM ABERTO - GODOY 05/10/2026</v>
      </c>
      <c r="V187" s="138"/>
      <c r="W187" s="138"/>
      <c r="X187" s="138"/>
      <c r="Y187" s="138"/>
      <c r="Z187" s="138"/>
    </row>
    <row r="188">
      <c r="A188" s="138" t="str">
        <f>IFERROR(__xludf.DUMMYFUNCTION("""COMPUTED_VALUE"""),"VEE ONE")</f>
        <v>VEE ONE</v>
      </c>
      <c r="B188" s="138" t="str">
        <f>IFERROR(__xludf.DUMMYFUNCTION("""COMPUTED_VALUE"""),"CLA")</f>
        <v>CLA</v>
      </c>
      <c r="C188" s="138" t="str">
        <f>IFERROR(__xludf.DUMMYFUNCTION("""COMPUTED_VALUE"""),"065-0042-03")</f>
        <v>065-0042-03</v>
      </c>
      <c r="D188" s="138" t="str">
        <f>IFERROR(__xludf.DUMMYFUNCTION("""COMPUTED_VALUE"""),"AUTOPILOT COMPUTER/FLIGHT DIRECTOT")</f>
        <v>AUTOPILOT COMPUTER/FLIGHT DIRECTOT</v>
      </c>
      <c r="E188" s="138" t="str">
        <f>IFERROR(__xludf.DUMMYFUNCTION("""COMPUTED_VALUE"""),"R50653")</f>
        <v>R50653</v>
      </c>
      <c r="F188" s="138" t="str">
        <f>IFERROR(__xludf.DUMMYFUNCTION("""COMPUTED_VALUE"""),"026/2026")</f>
        <v>026/2026</v>
      </c>
      <c r="G188" s="138" t="str">
        <f>IFERROR(__xludf.DUMMYFUNCTION("""COMPUTED_VALUE"""),"06/10")</f>
        <v>06/10</v>
      </c>
      <c r="H188" s="138" t="str">
        <f>IFERROR(__xludf.DUMMYFUNCTION("""COMPUTED_VALUE"""),"06/10")</f>
        <v>06/10</v>
      </c>
      <c r="I188" s="138"/>
      <c r="J188" s="138" t="str">
        <f>IFERROR(__xludf.DUMMYFUNCTION("""COMPUTED_VALUE"""),"06/10")</f>
        <v>06/10</v>
      </c>
      <c r="K188" s="138" t="str">
        <f>IFERROR(__xludf.DUMMYFUNCTION("""COMPUTED_VALUE"""),"07/10")</f>
        <v>07/10</v>
      </c>
      <c r="L188" s="138" t="str">
        <f>IFERROR(__xludf.DUMMYFUNCTION("""COMPUTED_VALUE"""),"07/10")</f>
        <v>07/10</v>
      </c>
      <c r="M188" s="138" t="str">
        <f>IFERROR(__xludf.DUMMYFUNCTION("""COMPUTED_VALUE"""),"07/10")</f>
        <v>07/10</v>
      </c>
      <c r="N188" s="138" t="str">
        <f>IFERROR(__xludf.DUMMYFUNCTION("""COMPUTED_VALUE"""),"07/10")</f>
        <v>07/10</v>
      </c>
      <c r="O188" s="138" t="str">
        <f>IFERROR(__xludf.DUMMYFUNCTION("""COMPUTED_VALUE"""),"07/10")</f>
        <v>07/10</v>
      </c>
      <c r="P188" s="138" t="str">
        <f>IFERROR(__xludf.DUMMYFUNCTION("""COMPUTED_VALUE"""),"08/10")</f>
        <v>08/10</v>
      </c>
      <c r="Q188" s="138" t="str">
        <f>IFERROR(__xludf.DUMMYFUNCTION("""COMPUTED_VALUE"""),"08/10")</f>
        <v>08/10</v>
      </c>
      <c r="R188" s="138" t="str">
        <f>IFERROR(__xludf.DUMMYFUNCTION("""COMPUTED_VALUE"""),"08/10")</f>
        <v>08/10</v>
      </c>
      <c r="S188" s="138" t="str">
        <f>IFERROR(__xludf.DUMMYFUNCTION("""COMPUTED_VALUE"""),"08/10")</f>
        <v>08/10</v>
      </c>
      <c r="T188" s="138"/>
      <c r="U188" s="138"/>
      <c r="V188" s="138"/>
      <c r="W188" s="138"/>
      <c r="X188" s="138"/>
      <c r="Y188" s="138"/>
      <c r="Z188" s="138"/>
    </row>
    <row r="189">
      <c r="A189" s="138" t="str">
        <f>IFERROR(__xludf.DUMMYFUNCTION("""COMPUTED_VALUE"""),"VEE ONE")</f>
        <v>VEE ONE</v>
      </c>
      <c r="B189" s="138" t="str">
        <f>IFERROR(__xludf.DUMMYFUNCTION("""COMPUTED_VALUE"""),"BABE")</f>
        <v>BABE</v>
      </c>
      <c r="C189" s="138" t="str">
        <f>IFERROR(__xludf.DUMMYFUNCTION("""COMPUTED_VALUE"""),"2643100-206")</f>
        <v>2643100-206</v>
      </c>
      <c r="D189" s="138" t="str">
        <f>IFERROR(__xludf.DUMMYFUNCTION("""COMPUTED_VALUE"""),"NOSE GEAR STRUT ASSY - TALL FORK")</f>
        <v>NOSE GEAR STRUT ASSY - TALL FORK</v>
      </c>
      <c r="E189" s="138" t="str">
        <f>IFERROR(__xludf.DUMMYFUNCTION("""COMPUTED_VALUE"""),"445")</f>
        <v>445</v>
      </c>
      <c r="F189" s="138" t="str">
        <f>IFERROR(__xludf.DUMMYFUNCTION("""COMPUTED_VALUE"""),"033/2026")</f>
        <v>033/2026</v>
      </c>
      <c r="G189" s="138" t="str">
        <f>IFERROR(__xludf.DUMMYFUNCTION("""COMPUTED_VALUE"""),"07/10")</f>
        <v>07/10</v>
      </c>
      <c r="H189" s="138" t="str">
        <f>IFERROR(__xludf.DUMMYFUNCTION("""COMPUTED_VALUE"""),"07/10")</f>
        <v>07/10</v>
      </c>
      <c r="I189" s="138"/>
      <c r="J189" s="138" t="str">
        <f>IFERROR(__xludf.DUMMYFUNCTION("""COMPUTED_VALUE"""),"08/10")</f>
        <v>08/10</v>
      </c>
      <c r="K189" s="138" t="str">
        <f>IFERROR(__xludf.DUMMYFUNCTION("""COMPUTED_VALUE"""),"08/10")</f>
        <v>08/10</v>
      </c>
      <c r="L189" s="138" t="str">
        <f>IFERROR(__xludf.DUMMYFUNCTION("""COMPUTED_VALUE"""),"08/10")</f>
        <v>08/10</v>
      </c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 t="str">
        <f>IFERROR(__xludf.DUMMYFUNCTION("""COMPUTED_VALUE"""),"VEE ONE")</f>
        <v>VEE ONE</v>
      </c>
      <c r="B190" s="138" t="str">
        <f>IFERROR(__xludf.DUMMYFUNCTION("""COMPUTED_VALUE"""),"BABR")</f>
        <v>BABR</v>
      </c>
      <c r="C190" s="138" t="str">
        <f>IFERROR(__xludf.DUMMYFUNCTION("""COMPUTED_VALUE"""),"3122678-04")</f>
        <v>3122678-04</v>
      </c>
      <c r="D190" s="138" t="str">
        <f>IFERROR(__xludf.DUMMYFUNCTION("""COMPUTED_VALUE"""),"FUEL CONTROL UNIT")</f>
        <v>FUEL CONTROL UNIT</v>
      </c>
      <c r="E190" s="138" t="str">
        <f>IFERROR(__xludf.DUMMYFUNCTION("""COMPUTED_VALUE"""),"C66221")</f>
        <v>C66221</v>
      </c>
      <c r="F190" s="138" t="str">
        <f>IFERROR(__xludf.DUMMYFUNCTION("""COMPUTED_VALUE"""),"034/2026")</f>
        <v>034/2026</v>
      </c>
      <c r="G190" s="138" t="str">
        <f>IFERROR(__xludf.DUMMYFUNCTION("""COMPUTED_VALUE"""),"01/10")</f>
        <v>01/10</v>
      </c>
      <c r="H190" s="138" t="str">
        <f>IFERROR(__xludf.DUMMYFUNCTION("""COMPUTED_VALUE"""),"08/10")</f>
        <v>08/10</v>
      </c>
      <c r="I190" s="138"/>
      <c r="J190" s="138" t="str">
        <f>IFERROR(__xludf.DUMMYFUNCTION("""COMPUTED_VALUE"""),"08/10")</f>
        <v>08/10</v>
      </c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 t="str">
        <f>IFERROR(__xludf.DUMMYFUNCTION("""COMPUTED_VALUE"""),"VEE ONE")</f>
        <v>VEE ONE</v>
      </c>
      <c r="B191" s="138" t="str">
        <f>IFERROR(__xludf.DUMMYFUNCTION("""COMPUTED_VALUE"""),"BAMN")</f>
        <v>BAMN</v>
      </c>
      <c r="C191" s="138" t="str">
        <f>IFERROR(__xludf.DUMMYFUNCTION("""COMPUTED_VALUE"""),"9910592-2")</f>
        <v>9910592-2</v>
      </c>
      <c r="D191" s="138" t="str">
        <f>IFERROR(__xludf.DUMMYFUNCTION("""COMPUTED_VALUE"""),"ALTERNATOR ASSY")</f>
        <v>ALTERNATOR ASSY</v>
      </c>
      <c r="E191" s="138" t="str">
        <f>IFERROR(__xludf.DUMMYFUNCTION("""COMPUTED_VALUE"""),"H-S111135")</f>
        <v>H-S111135</v>
      </c>
      <c r="F191" s="138" t="str">
        <f>IFERROR(__xludf.DUMMYFUNCTION("""COMPUTED_VALUE"""),"098/2026")</f>
        <v>098/2026</v>
      </c>
      <c r="G191" s="138" t="str">
        <f>IFERROR(__xludf.DUMMYFUNCTION("""COMPUTED_VALUE"""),"06/10")</f>
        <v>06/10</v>
      </c>
      <c r="H191" s="138" t="str">
        <f>IFERROR(__xludf.DUMMYFUNCTION("""COMPUTED_VALUE"""),"08/10")</f>
        <v>08/10</v>
      </c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 t="str">
        <f>IFERROR(__xludf.DUMMYFUNCTION("""COMPUTED_VALUE"""),"VEE ONE")</f>
        <v>VEE ONE</v>
      </c>
      <c r="B192" s="138" t="str">
        <f>IFERROR(__xludf.DUMMYFUNCTION("""COMPUTED_VALUE"""),"BAMN")</f>
        <v>BAMN</v>
      </c>
      <c r="C192" s="138" t="str">
        <f>IFERROR(__xludf.DUMMYFUNCTION("""COMPUTED_VALUE"""),"C611008-0101")</f>
        <v>C611008-0101</v>
      </c>
      <c r="D192" s="138" t="str">
        <f>IFERROR(__xludf.DUMMYFUNCTION("""COMPUTED_VALUE"""),"ALTERNADOR CONTROL UNIT")</f>
        <v>ALTERNADOR CONTROL UNIT</v>
      </c>
      <c r="E192" s="138" t="str">
        <f>IFERROR(__xludf.DUMMYFUNCTION("""COMPUTED_VALUE"""),"D051688")</f>
        <v>D051688</v>
      </c>
      <c r="F192" s="138" t="str">
        <f>IFERROR(__xludf.DUMMYFUNCTION("""COMPUTED_VALUE"""),"098/2026")</f>
        <v>098/2026</v>
      </c>
      <c r="G192" s="138" t="str">
        <f>IFERROR(__xludf.DUMMYFUNCTION("""COMPUTED_VALUE"""),"06/10")</f>
        <v>06/10</v>
      </c>
      <c r="H192" s="138" t="str">
        <f>IFERROR(__xludf.DUMMYFUNCTION("""COMPUTED_VALUE"""),"08/10")</f>
        <v>08/10</v>
      </c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 t="str">
        <f>IFERROR(__xludf.DUMMYFUNCTION("""COMPUTED_VALUE"""),"")</f>
        <v/>
      </c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 t="str">
        <f>IFERROR(__xludf.DUMMYFUNCTION("""COMPUTED_VALUE"""),"")</f>
        <v/>
      </c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
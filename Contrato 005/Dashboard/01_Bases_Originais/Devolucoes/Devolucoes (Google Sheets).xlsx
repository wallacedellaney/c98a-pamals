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<sst xmlns="http://schemas.openxmlformats.org/spreadsheetml/2006/main" count="7161" uniqueCount="1379">
  <si>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</si>
  <si>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</si>
  <si>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</si>
  <si>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</si>
  <si>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</si>
  <si>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</si>
  <si>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</si>
  <si>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</si>
  <si>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</si>
  <si>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</si>
  <si>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</si>
  <si>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</si>
  <si>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</si>
  <si>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</si>
  <si>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</si>
  <si>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</si>
  <si>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</si>
  <si>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</si>
  <si>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MÊS DE REFERÊNCIA: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</si>
  <si>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</si>
  <si>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</si>
  <si>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</si>
  <si>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</si>
  <si>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</si>
  <si>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</si>
  <si>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</si>
  <si>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</si>
  <si>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</si>
  <si>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</si>
  <si>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</si>
  <si>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</si>
  <si>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</si>
  <si>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</si>
  <si>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</si>
  <si>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</si>
  <si>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</si>
  <si>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</si>
  <si>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</si>
  <si>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</si>
  <si>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</si>
  <si>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</si>
  <si>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</si>
  <si>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</si>
  <si>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</si>
  <si>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</si>
  <si>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</si>
  <si>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</si>
  <si>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</si>
  <si>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</si>
  <si>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</si>
  <si>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</si>
  <si>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</si>
  <si>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</si>
  <si>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</si>
  <si>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</si>
  <si>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</si>
  <si>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</si>
  <si>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</si>
  <si>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</si>
  <si>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</si>
  <si>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</si>
  <si>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</si>
  <si>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>Reparo bordo de ataque do estabilizador horizontal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</si>
  <si>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</si>
  <si>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</si>
  <si>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REBITE, CEGO</t>
  </si>
  <si>
    <t>OK</t>
  </si>
  <si>
    <t>5</t>
  </si>
  <si>
    <t>CR2248-4-4</t>
  </si>
  <si>
    <t>Desconsiderado</t>
  </si>
  <si>
    <t>RIVET, BLIND</t>
  </si>
  <si>
    <t>Lembro da empresa comentar algo sobre esses itens. Favor escrever o motivo. 04.02 wallace</t>
  </si>
  <si>
    <t>6</t>
  </si>
  <si>
    <t>NAS1097AD6-5</t>
  </si>
  <si>
    <t>500 GM</t>
  </si>
  <si>
    <t>RIVET SOLID</t>
  </si>
  <si>
    <t>7</t>
  </si>
  <si>
    <t>NAS1097AD6-4</t>
  </si>
  <si>
    <t>RIVET, SOLID</t>
  </si>
  <si>
    <t>8</t>
  </si>
  <si>
    <t>NAS1097AD5-4</t>
  </si>
  <si>
    <t>1 LB</t>
  </si>
  <si>
    <t>9</t>
  </si>
  <si>
    <t>NAS1097AD5-7</t>
  </si>
  <si>
    <t xml:space="preserve">COUNTA de </t>
  </si>
  <si>
    <t>10</t>
  </si>
  <si>
    <t>Mes</t>
  </si>
  <si>
    <t>NAS1097AD4-3</t>
  </si>
  <si>
    <t>Totais no mês</t>
  </si>
  <si>
    <t>Março</t>
  </si>
  <si>
    <t>11</t>
  </si>
  <si>
    <t>NAS1097AD3-7</t>
  </si>
  <si>
    <t>Abril</t>
  </si>
  <si>
    <t>50 EA</t>
  </si>
  <si>
    <t>Maio</t>
  </si>
  <si>
    <t>12</t>
  </si>
  <si>
    <t>5934PAD-3</t>
  </si>
  <si>
    <t>Junho</t>
  </si>
  <si>
    <t>ALTIMETER</t>
  </si>
  <si>
    <t>R</t>
  </si>
  <si>
    <t>Inspeção 2739</t>
  </si>
  <si>
    <t>2739</t>
  </si>
  <si>
    <t>Julho</t>
  </si>
  <si>
    <t>068-02800</t>
  </si>
  <si>
    <t>INSULATOR</t>
  </si>
  <si>
    <t>13</t>
  </si>
  <si>
    <t>Agosto</t>
  </si>
  <si>
    <t>Constatado necessidade de troca durante inspeção</t>
  </si>
  <si>
    <t>RA068-02800</t>
  </si>
  <si>
    <t>Setembro</t>
  </si>
  <si>
    <t>2722</t>
  </si>
  <si>
    <t>14</t>
  </si>
  <si>
    <t>Outubro</t>
  </si>
  <si>
    <t>MS21442-121</t>
  </si>
  <si>
    <t>BEARING,ROLLER,NEEDLE</t>
  </si>
  <si>
    <t>15</t>
  </si>
  <si>
    <t>BUSHING,SLEEVE</t>
  </si>
  <si>
    <t>Novembro</t>
  </si>
  <si>
    <t>02 EA</t>
  </si>
  <si>
    <t>Atender demanda para retirada de pane do 2709</t>
  </si>
  <si>
    <t>2709</t>
  </si>
  <si>
    <t>065-0042-03</t>
  </si>
  <si>
    <t>BABR</t>
  </si>
  <si>
    <t>AUTOPILOT COMPUTER/FLIGHT DIRECTOT</t>
  </si>
  <si>
    <t>ENTREGUE NO PAMALS SERIAL 53850</t>
  </si>
  <si>
    <t>16</t>
  </si>
  <si>
    <t>1028/LS-C98/2025</t>
  </si>
  <si>
    <t>523919</t>
  </si>
  <si>
    <t>Dezembro</t>
  </si>
  <si>
    <t>AE3663163K0600</t>
  </si>
  <si>
    <t>HOSE ASSY</t>
  </si>
  <si>
    <t>17</t>
  </si>
  <si>
    <t>MS21044N9</t>
  </si>
  <si>
    <t>NUT,SELF-LOCKING,HEXAGON</t>
  </si>
  <si>
    <t>Emergência não atendida pela Vee One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</si>
  <si>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</si>
  <si>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</si>
  <si>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</si>
  <si>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</si>
  <si>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</si>
  <si>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</si>
  <si>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</si>
  <si>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2728</t>
  </si>
  <si>
    <t>C145-00-46</t>
  </si>
  <si>
    <t>TRANSMISSION ASSY</t>
  </si>
  <si>
    <t>19</t>
  </si>
  <si>
    <t>02/07/2026</t>
  </si>
  <si>
    <t>ENTREGUE NA BANT SERIAL L1062 ANV 2729</t>
  </si>
  <si>
    <t>133/C 98/2025</t>
  </si>
  <si>
    <t>03/07/2026</t>
  </si>
  <si>
    <t>08/07/2026</t>
  </si>
  <si>
    <t>10/07/2026</t>
  </si>
  <si>
    <t>13/07/2026</t>
  </si>
  <si>
    <t>15/07/2026</t>
  </si>
  <si>
    <t>21/07/2026</t>
  </si>
  <si>
    <t>16 EA</t>
  </si>
  <si>
    <t>62800-001</t>
  </si>
  <si>
    <t>23/07/2026</t>
  </si>
  <si>
    <t>MICROPHONE,MAGNETIC</t>
  </si>
  <si>
    <t>Emergência 685250006354 e 685250006598 não atendidas pela Vee One</t>
  </si>
  <si>
    <t>29/07/2026</t>
  </si>
  <si>
    <t>30/06/2026</t>
  </si>
  <si>
    <t>Total geral</t>
  </si>
  <si>
    <t>ENTREGUE NO PAMALS</t>
  </si>
  <si>
    <t>1088/LS-c98/2025</t>
  </si>
  <si>
    <t>20</t>
  </si>
  <si>
    <t>065-0042-15</t>
  </si>
  <si>
    <t>COMPUTADOR DO PILOTO AUTOMÁTICO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</si>
  <si>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</si>
  <si>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</si>
  <si>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</si>
  <si>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</si>
  <si>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S3326-2</t>
  </si>
  <si>
    <t>INDICATOR,HORIZONTAL SITUATION</t>
  </si>
  <si>
    <t>T107383M</t>
  </si>
  <si>
    <t>21</t>
  </si>
  <si>
    <t>*</t>
  </si>
  <si>
    <t>Flape travando</t>
  </si>
  <si>
    <t>MS29513-338</t>
  </si>
  <si>
    <t>ANEL-O</t>
  </si>
  <si>
    <t xml:space="preserve">ENTREGUE NA BANT SERIAL L1062 ANV 2729
</t>
  </si>
  <si>
    <t xml:space="preserve">Não Localizei o recibo no drive. Wallace 04.02 </t>
  </si>
  <si>
    <t>22</t>
  </si>
  <si>
    <t>030-18200</t>
  </si>
  <si>
    <t>CONJUNTO DE FREIO</t>
  </si>
  <si>
    <t>Microfone com mal funcionamento</t>
  </si>
  <si>
    <t>30-182</t>
  </si>
  <si>
    <t>ENTREGUE NO PAMALS SERIAL 322</t>
  </si>
  <si>
    <t>1088/PAMALS/2025</t>
  </si>
  <si>
    <t>143/C98/2025</t>
  </si>
  <si>
    <t>Checado recibo, assinado pelo 1S Salino</t>
  </si>
  <si>
    <t>23</t>
  </si>
  <si>
    <t>9864054-7</t>
  </si>
  <si>
    <t>CABLE ASSY-FLAP INDICATOR</t>
  </si>
  <si>
    <t>1876</t>
  </si>
  <si>
    <t>PA em pane</t>
  </si>
  <si>
    <t>2708</t>
  </si>
  <si>
    <t>BASM</t>
  </si>
  <si>
    <t>2606015-2</t>
  </si>
  <si>
    <t>IND OIL TEMP/P</t>
  </si>
  <si>
    <t>24</t>
  </si>
  <si>
    <t>Repor item cedido por Manaus para o C-98 2739</t>
  </si>
  <si>
    <t>76-207-12</t>
  </si>
  <si>
    <t>SENSOR, FUEL LEVEL SHORT</t>
  </si>
  <si>
    <t>25</t>
  </si>
  <si>
    <t>04 EA</t>
  </si>
  <si>
    <t>IPLR 2719</t>
  </si>
  <si>
    <t>A7</t>
  </si>
  <si>
    <t>PN</t>
  </si>
  <si>
    <t>NOMENCLATURA</t>
  </si>
  <si>
    <t>MS20007-30</t>
  </si>
  <si>
    <t>BOLT,INTERNAL WRENCHING</t>
  </si>
  <si>
    <t>S/N</t>
  </si>
  <si>
    <t>26</t>
  </si>
  <si>
    <t>UE</t>
  </si>
  <si>
    <t>NAS147-43</t>
  </si>
  <si>
    <t>ENTREGUE 2 EA NO PAMALS</t>
  </si>
  <si>
    <t>069/FAB/25</t>
  </si>
  <si>
    <t>Repor item cedido por Manaus para o C-98 2738</t>
  </si>
  <si>
    <t>2732</t>
  </si>
  <si>
    <t>MS20007-16</t>
  </si>
  <si>
    <t xml:space="preserve">143/C98/2025
</t>
  </si>
  <si>
    <t>850C86-2</t>
  </si>
  <si>
    <t>Não Localizei o recibo no drive. Wallace 04.02 ..Confirmado recebimento SN 30-182. Recebido pelo Sgt dos santos</t>
  </si>
  <si>
    <t>TIRE 8.50-10 8PLY TT</t>
  </si>
  <si>
    <t>27</t>
  </si>
  <si>
    <t>EA</t>
  </si>
  <si>
    <t>B-5121</t>
  </si>
  <si>
    <t>FEEDBACK BEARING ASSY</t>
  </si>
  <si>
    <t>Cabo do flape partido, anv autorizada a voar até 17/06, após isso seria AIFP</t>
  </si>
  <si>
    <t>ENTREGUE NA EEAR 1 EA</t>
  </si>
  <si>
    <t>068/FAB/25</t>
  </si>
  <si>
    <t>C668050-1104</t>
  </si>
  <si>
    <t>TRANSMITER FUEL</t>
  </si>
  <si>
    <t>28</t>
  </si>
  <si>
    <t>Atender demanda do C-98 2720.</t>
  </si>
  <si>
    <t>431-0101-01</t>
  </si>
  <si>
    <t>SWITCH,PROXIMITY</t>
  </si>
  <si>
    <t>2720</t>
  </si>
  <si>
    <t>ENTREGUE NA BABR 1 EA</t>
  </si>
  <si>
    <t>065/FAB/25</t>
  </si>
  <si>
    <t>29</t>
  </si>
  <si>
    <t>2650026-3</t>
  </si>
  <si>
    <t>BRACKET</t>
  </si>
  <si>
    <t>Pane de indicação de combustível</t>
  </si>
  <si>
    <t>ENTREGUE NA BABR 2 EA</t>
  </si>
  <si>
    <t>S2300-12</t>
  </si>
  <si>
    <t>30</t>
  </si>
  <si>
    <t>ENTREGUE NA BABR 3 EA</t>
  </si>
  <si>
    <t>S2357-1</t>
  </si>
  <si>
    <t>CLAMP,HOSE</t>
  </si>
  <si>
    <t>Troca de berço trincado do 2733</t>
  </si>
  <si>
    <t>2733</t>
  </si>
  <si>
    <t>ENTREGUE NA BABR 10 EA</t>
  </si>
  <si>
    <t xml:space="preserve">069/FAB/25	</t>
  </si>
  <si>
    <t>Não Localizei o recibo no drive. Wallace 04.02 . Confirmado recebimento em 24.02  pelo Sgt Josué.</t>
  </si>
  <si>
    <t>2N6576</t>
  </si>
  <si>
    <t>31</t>
  </si>
  <si>
    <t>TRANSISTOR</t>
  </si>
  <si>
    <t>INVOICE TEXTRON IJ16845210</t>
  </si>
  <si>
    <t>228K61-1</t>
  </si>
  <si>
    <t>TIRE 22 X 8.0-8 6PLY TT</t>
  </si>
  <si>
    <t>22827-3</t>
  </si>
  <si>
    <t>CLIP,ELECTRICAL</t>
  </si>
  <si>
    <t>ENTREGUE NA BABR</t>
  </si>
  <si>
    <t>32</t>
  </si>
  <si>
    <t>088/FAB/25</t>
  </si>
  <si>
    <t>302-247-400</t>
  </si>
  <si>
    <t>TUBE G19.5 X 6.75-8 (4)</t>
  </si>
  <si>
    <t>N/A</t>
  </si>
  <si>
    <t>Carvão na medida limite</t>
  </si>
  <si>
    <t>2703</t>
  </si>
  <si>
    <t>EEAR</t>
  </si>
  <si>
    <t>3059779-01</t>
  </si>
  <si>
    <t>ELEMENT FILTER FUEL</t>
  </si>
  <si>
    <t>Não Localizei o recibo no drive. Wallace 04.02 . Confirmado recebimento pelo COMREC em 24.02</t>
  </si>
  <si>
    <t>33</t>
  </si>
  <si>
    <t>060-0015-00</t>
  </si>
  <si>
    <t>CONTROL,DIRECTIONAL,AUTOMATIC PILOT</t>
  </si>
  <si>
    <t>302-120-402</t>
  </si>
  <si>
    <t>Necessidade durante inspeção 2709</t>
  </si>
  <si>
    <t>TUBE 7.50/8.50-10</t>
  </si>
  <si>
    <t>066-03300</t>
  </si>
  <si>
    <t>LINING</t>
  </si>
  <si>
    <t>34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</si>
  <si>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</si>
  <si>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</si>
  <si>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</si>
  <si>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</si>
  <si>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</si>
  <si>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</si>
  <si>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</si>
  <si>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Não Localizei o recibo no drive. Wallace 04.02 . Cofnirmado Recebido em 24.02 pelo 2S Marcelli</t>
  </si>
  <si>
    <t>RECIBO 114/FAB/25</t>
  </si>
  <si>
    <t>35</t>
  </si>
  <si>
    <t>CM2990-G1</t>
  </si>
  <si>
    <t>POST LIGHT</t>
  </si>
  <si>
    <t>C262023-0107</t>
  </si>
  <si>
    <t>TUBE 850X10</t>
  </si>
  <si>
    <t>RECIBO 115/FAB/25</t>
  </si>
  <si>
    <t>36</t>
  </si>
  <si>
    <t>156/FAB/25</t>
  </si>
  <si>
    <t>03 EA</t>
  </si>
  <si>
    <t>2126001-1</t>
  </si>
  <si>
    <t>VALVE ASSY FUEL VENT</t>
  </si>
  <si>
    <t>37</t>
  </si>
  <si>
    <t>2612035-1</t>
  </si>
  <si>
    <t>TIE DOWM ASSY</t>
  </si>
  <si>
    <t>10 EA</t>
  </si>
  <si>
    <t>15062867</t>
  </si>
  <si>
    <t>2641012-15</t>
  </si>
  <si>
    <t>TRUNNION ASSY GEAR LH</t>
  </si>
  <si>
    <t>32784468F</t>
  </si>
  <si>
    <t>38</t>
  </si>
  <si>
    <t>15061790</t>
  </si>
  <si>
    <t>DD2W</t>
  </si>
  <si>
    <t>STATIC WICK</t>
  </si>
  <si>
    <t>39</t>
  </si>
  <si>
    <t>S3100-581</t>
  </si>
  <si>
    <t>SENSOR, FUEL LEVEL</t>
  </si>
  <si>
    <t>AAR0242</t>
  </si>
  <si>
    <t>15143980</t>
  </si>
  <si>
    <t>Não Localizei o recibo no drive. Wallace 04.02 Confirmado recebimento em 24.02 pela Sgt Kesia</t>
  </si>
  <si>
    <t>GF5500-81</t>
  </si>
  <si>
    <t>LOW L SWITCH</t>
  </si>
  <si>
    <t>40</t>
  </si>
  <si>
    <t>15143981</t>
  </si>
  <si>
    <t>088-01132-0002</t>
  </si>
  <si>
    <t>CAP</t>
  </si>
  <si>
    <t>41</t>
  </si>
  <si>
    <t>2641012-14</t>
  </si>
  <si>
    <t>TRUNION ASSY-RH-MAIN GEAR</t>
  </si>
  <si>
    <t>15143982</t>
  </si>
  <si>
    <t>2641012-9</t>
  </si>
  <si>
    <t>Não Localizei o recibo no drive. Wallace 04.02 Localizei o recibo assinado pelo 2S Lessa</t>
  </si>
  <si>
    <t>TRUNNION ASSY</t>
  </si>
  <si>
    <t>42</t>
  </si>
  <si>
    <t>17365</t>
  </si>
  <si>
    <t>15143983</t>
  </si>
  <si>
    <t>WASHER,FLAT</t>
  </si>
  <si>
    <t>43</t>
  </si>
  <si>
    <t>AE3663162E0120</t>
  </si>
  <si>
    <t>HOSE ASSEMBLY,NONMETALLIC</t>
  </si>
  <si>
    <t>6966</t>
  </si>
  <si>
    <t>15143998</t>
  </si>
  <si>
    <t>EA-5175-52-CES</t>
  </si>
  <si>
    <t>AIRSPEED INDICATOR</t>
  </si>
  <si>
    <t>Confirmado o recebimento SN 8320 reparado. Recebido pelo 1T Bergson</t>
  </si>
  <si>
    <t>T35197</t>
  </si>
  <si>
    <t>44</t>
  </si>
  <si>
    <t>ENTREGUE NA BABR AWB 127-0209 6522</t>
  </si>
  <si>
    <t>1082/LS-C98/2025</t>
  </si>
  <si>
    <t>22005190</t>
  </si>
  <si>
    <t>Atendimento de ANCE pelo estoque FAB por solicitação da Vee One</t>
  </si>
  <si>
    <t>S3100-630</t>
  </si>
  <si>
    <t>45</t>
  </si>
  <si>
    <t>2660001-107</t>
  </si>
  <si>
    <t>CABLE ASSY-RUDDER LEFT AFT</t>
  </si>
  <si>
    <t>Atendimento da ANCE 329250018594 pelo estoque FAB por solicitação da Vee One</t>
  </si>
  <si>
    <t>2660057-1</t>
  </si>
  <si>
    <t>SPACER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</si>
  <si>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</si>
  <si>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</si>
  <si>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</si>
  <si>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</si>
  <si>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</si>
  <si>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</si>
  <si>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A-A-55487-5</t>
  </si>
  <si>
    <t>PIN,LOCK</t>
  </si>
  <si>
    <t>Atender C-98 2737</t>
  </si>
  <si>
    <t>2737</t>
  </si>
  <si>
    <t>48</t>
  </si>
  <si>
    <t>S2319-64</t>
  </si>
  <si>
    <t>GROMMET</t>
  </si>
  <si>
    <t>Necessidade do 2722 para disponibilizar a anv</t>
  </si>
  <si>
    <t>49</t>
  </si>
  <si>
    <t>060-0017-00</t>
  </si>
  <si>
    <t>IND DE COMANDO DE VOO</t>
  </si>
  <si>
    <t>Item do 2728 condenado</t>
  </si>
  <si>
    <t>MS3456W12S3S</t>
  </si>
  <si>
    <t>50</t>
  </si>
  <si>
    <t>CONNECTOR,PLUG,ELECTRICAL</t>
  </si>
  <si>
    <t>Solicitado pela empresa que fosse atendido pelo estoque FAB.</t>
  </si>
  <si>
    <t>2743</t>
  </si>
  <si>
    <t>BACO</t>
  </si>
  <si>
    <t>2682001-1</t>
  </si>
  <si>
    <t>CILINDRO DE FREIO</t>
  </si>
  <si>
    <t>Atendido alternado C592001-0206</t>
  </si>
  <si>
    <t>51</t>
  </si>
  <si>
    <t>MS3509-28</t>
  </si>
  <si>
    <t>CONNECTOR,RECEPTACLE,ELECTRICAL</t>
  </si>
  <si>
    <t>AIFP</t>
  </si>
  <si>
    <t>52</t>
  </si>
  <si>
    <t>S2899L0.5</t>
  </si>
  <si>
    <t>CIRCUIT BREAKE</t>
  </si>
  <si>
    <t>2736</t>
  </si>
  <si>
    <t>1U149-015-15</t>
  </si>
  <si>
    <t>HORIZ. GYRO-STADBY</t>
  </si>
  <si>
    <t>53</t>
  </si>
  <si>
    <t>AN6289J5</t>
  </si>
  <si>
    <t>LOCKNUT,TUBE FITTING</t>
  </si>
  <si>
    <t xml:space="preserve">Atender IPLR </t>
  </si>
  <si>
    <t>54</t>
  </si>
  <si>
    <t>MS17825-3</t>
  </si>
  <si>
    <t>NUT,SELF-LOCKING,SLOTTED,HEXAGON</t>
  </si>
  <si>
    <t>729</t>
  </si>
  <si>
    <t>Pedido de transferência para atender aeronave durante inspeção</t>
  </si>
  <si>
    <t>251304002356/0001</t>
  </si>
  <si>
    <t>MS17826-3</t>
  </si>
  <si>
    <t>55</t>
  </si>
  <si>
    <t>200-1902-00</t>
  </si>
  <si>
    <t>SWITCH-ELEC TR</t>
  </si>
  <si>
    <t>Pedido no PN alternado 2641012-13</t>
  </si>
  <si>
    <t>56</t>
  </si>
  <si>
    <t>52283</t>
  </si>
  <si>
    <t>161-12800</t>
  </si>
  <si>
    <t>WHEEL HALF ASSY</t>
  </si>
  <si>
    <t>2722 / 2728</t>
  </si>
  <si>
    <t>162-11800</t>
  </si>
  <si>
    <t>57</t>
  </si>
  <si>
    <t>Atender TCP 15745120 do CLA que se encontra em inspeção na BANT.</t>
  </si>
  <si>
    <t>251304002362/0001</t>
  </si>
  <si>
    <t>161-11700</t>
  </si>
  <si>
    <t>58</t>
  </si>
  <si>
    <t>162-10700</t>
  </si>
  <si>
    <t>Envio solicitado pelo SO Cláudio em 07/10, ALT do C661065-0237</t>
  </si>
  <si>
    <t>Cconfirmado recebido em 24.02 . Recebido pelo Josué Rocha</t>
  </si>
  <si>
    <t>59</t>
  </si>
  <si>
    <t>CI105-9</t>
  </si>
  <si>
    <t>ANTENNA KIT-DME/TRANSPONDER FOR USE W</t>
  </si>
  <si>
    <t>Envio solicitado pelo SO Cláudio em 08/10, ALT do 76-207-1</t>
  </si>
  <si>
    <t>S2669-1</t>
  </si>
  <si>
    <t>VALVE OIL DRAI</t>
  </si>
  <si>
    <t>60</t>
  </si>
  <si>
    <t>MS24694-S54</t>
  </si>
  <si>
    <t>SCREW,MACHINE</t>
  </si>
  <si>
    <t>Pedido de transferência para atender necessidade da aeronave durante manutenção</t>
  </si>
  <si>
    <t>61</t>
  </si>
  <si>
    <t>NAS1741-06R8</t>
  </si>
  <si>
    <t>SCREW</t>
  </si>
  <si>
    <t>MS24693-S48</t>
  </si>
  <si>
    <t>SCREW MACHINE</t>
  </si>
  <si>
    <t>62</t>
  </si>
  <si>
    <t>071-1242-06</t>
  </si>
  <si>
    <t>SLAVING ACCESS,SPEC</t>
  </si>
  <si>
    <t>63</t>
  </si>
  <si>
    <t>066-3046-01</t>
  </si>
  <si>
    <t>CONTROL INDICATOR</t>
  </si>
  <si>
    <t>Atendimenento da emergência 685250009992 do PN alt AA55487-5</t>
  </si>
  <si>
    <t>C661064-0237</t>
  </si>
  <si>
    <t>T26117</t>
  </si>
  <si>
    <t>64</t>
  </si>
  <si>
    <t>40 EA</t>
  </si>
  <si>
    <t>VCF00086</t>
  </si>
  <si>
    <t>Atendido nos PN S2319-64, 4002-HS e 4002HS</t>
  </si>
  <si>
    <t>65</t>
  </si>
  <si>
    <t>SERVER</t>
  </si>
  <si>
    <t>Atender demanda do C-98 2708.</t>
  </si>
  <si>
    <t>Esta faltando informação, deixamos rascunho para completar ela. Wallace 04.02</t>
  </si>
  <si>
    <t>66</t>
  </si>
  <si>
    <t>Atender demanda do C-98 2709.</t>
  </si>
  <si>
    <t>Esta faltando informação, deixamos rascunho para completar ela. Wallace 04.03</t>
  </si>
  <si>
    <t>67</t>
  </si>
  <si>
    <t>34173442</t>
  </si>
  <si>
    <t>Atender demanda urgente do C-98 2739 na BANT</t>
  </si>
  <si>
    <t>066-3084-32</t>
  </si>
  <si>
    <t>IND RDR 200 IN</t>
  </si>
  <si>
    <t>BABE/BANT</t>
  </si>
  <si>
    <t>entregue 2 ea seriais 21890, 21990</t>
  </si>
  <si>
    <t>AWB 127-6707 6741</t>
  </si>
  <si>
    <t>SD5H14S6667</t>
  </si>
  <si>
    <t>AIR COMPRESSOR</t>
  </si>
  <si>
    <t>68</t>
  </si>
  <si>
    <t>AN4H3A</t>
  </si>
  <si>
    <t>BOLT, MACHINE</t>
  </si>
  <si>
    <t>Atender demanda urgente do 2727</t>
  </si>
  <si>
    <t>2727</t>
  </si>
  <si>
    <t>BACG</t>
  </si>
  <si>
    <t>69</t>
  </si>
  <si>
    <t>2615140-2</t>
  </si>
  <si>
    <t>SPRING ASSY GAS</t>
  </si>
  <si>
    <t>Atendimento de emergência solicitado pelo SO Cláudio em 03/11/25</t>
  </si>
  <si>
    <t>430-00032-10</t>
  </si>
  <si>
    <t>HDG KNOB</t>
  </si>
  <si>
    <t>70</t>
  </si>
  <si>
    <t>MS24392-10</t>
  </si>
  <si>
    <t>NIPPLE,TUBE</t>
  </si>
  <si>
    <t>71</t>
  </si>
  <si>
    <t>016/FAB/26</t>
  </si>
  <si>
    <t>9910586-4</t>
  </si>
  <si>
    <t>FLAP ACTUATOR AND MO</t>
  </si>
  <si>
    <t>Atender demanda urgente do 2709, solicitado pelo CP Souto / SO Cláudio em 06/11 whats app</t>
  </si>
  <si>
    <t>025323-150</t>
  </si>
  <si>
    <t>BOMBA DE COMBUSTÍVEL</t>
  </si>
  <si>
    <t>72</t>
  </si>
  <si>
    <t>011-00916-00</t>
  </si>
  <si>
    <t>DISPLAY UNIT GDU</t>
  </si>
  <si>
    <t>Atender demanda urgente do 2728</t>
  </si>
  <si>
    <t>F222086</t>
  </si>
  <si>
    <t>HOSE,AIR DUCT</t>
  </si>
  <si>
    <t>73</t>
  </si>
  <si>
    <t>LAMP, INCANDESCENT</t>
  </si>
  <si>
    <t>2601040-3</t>
  </si>
  <si>
    <t>VENT BLOWER ASSY</t>
  </si>
  <si>
    <t>74</t>
  </si>
  <si>
    <t>345-6196-04</t>
  </si>
  <si>
    <t>SWITCH, REMOTE</t>
  </si>
  <si>
    <t>Atendimento de emergência solicitado pelo SO Cláudio em 06/11/25</t>
  </si>
  <si>
    <t>200-01902-0000</t>
  </si>
  <si>
    <t>75</t>
  </si>
  <si>
    <t>16455913/313260017615</t>
  </si>
  <si>
    <t>16043185</t>
  </si>
  <si>
    <t>Atender demanda urgente do 2722 e 2728</t>
  </si>
  <si>
    <t>76</t>
  </si>
  <si>
    <t>MS28773-05</t>
  </si>
  <si>
    <t>RETAINER,PACKING</t>
  </si>
  <si>
    <t>16043186</t>
  </si>
  <si>
    <t>77</t>
  </si>
  <si>
    <t>2606015-3</t>
  </si>
  <si>
    <t>INDICATOR - OIL TEMP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</si>
  <si>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</si>
  <si>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</si>
  <si>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</si>
  <si>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</si>
  <si>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</si>
  <si>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</si>
  <si>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</si>
  <si>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16043188</t>
  </si>
  <si>
    <t>069-01033-0101</t>
  </si>
  <si>
    <t>RECEIVER-TRASNMITTER,RADIO</t>
  </si>
  <si>
    <t>Confirmado via recibo recibo no dia 03/06/2026 pelo 2T Bergson</t>
  </si>
  <si>
    <t>ENTREGUE NO 03-06-2026 VIA RECIBO 438/FAB/2026</t>
  </si>
  <si>
    <t>069-1025-25</t>
  </si>
  <si>
    <t>entregue no pamals serial 60637 em estoque</t>
  </si>
  <si>
    <t>1080/LS-C98/2025</t>
  </si>
  <si>
    <t>79</t>
  </si>
  <si>
    <t>51539-012N</t>
  </si>
  <si>
    <t>CONTROL UNIT ASSY-GENERATOR</t>
  </si>
  <si>
    <t>51539-012M</t>
  </si>
  <si>
    <t>entregue na BACG AWB 127-1321 4736</t>
  </si>
  <si>
    <t>058/FAB/26</t>
  </si>
  <si>
    <t>16043189</t>
  </si>
  <si>
    <t>2671000PB1</t>
  </si>
  <si>
    <t>CABLE ASSY</t>
  </si>
  <si>
    <t>80</t>
  </si>
  <si>
    <t>580-219-154</t>
  </si>
  <si>
    <t>CONTROL ASSY</t>
  </si>
  <si>
    <t>Pesquisa de pane de motor do 2738</t>
  </si>
  <si>
    <t>2738</t>
  </si>
  <si>
    <t>2650085-15</t>
  </si>
  <si>
    <t>TUBE-DRAIN</t>
  </si>
  <si>
    <t>81</t>
  </si>
  <si>
    <t>2652021-80</t>
  </si>
  <si>
    <t>BOLT U</t>
  </si>
  <si>
    <t>mapem</t>
  </si>
  <si>
    <t>034/FAB/26</t>
  </si>
  <si>
    <t>Solicitação do Stony para atender C-98 2742</t>
  </si>
  <si>
    <t>2742</t>
  </si>
  <si>
    <t>DACTA II</t>
  </si>
  <si>
    <t>SL6015-5</t>
  </si>
  <si>
    <t>SPRING</t>
  </si>
  <si>
    <t>82</t>
  </si>
  <si>
    <t>MS25171-1S</t>
  </si>
  <si>
    <t>CABLE NIPPLE,ELECTRICAL</t>
  </si>
  <si>
    <t>Atender demanda urgente do 2722</t>
  </si>
  <si>
    <t>83</t>
  </si>
  <si>
    <t>C-145-450</t>
  </si>
  <si>
    <t>MOTOR,DIRECT CURRENT</t>
  </si>
  <si>
    <t>84</t>
  </si>
  <si>
    <t>9910085-2</t>
  </si>
  <si>
    <t>OIL COOLER-LARGE</t>
  </si>
  <si>
    <t>12/30/47605</t>
  </si>
  <si>
    <t>35125</t>
  </si>
  <si>
    <t>Atender demanda urgente do 2723</t>
  </si>
  <si>
    <t>D210507</t>
  </si>
  <si>
    <t>OVERSPEED GOVERNADOR</t>
  </si>
  <si>
    <t>2249866V</t>
  </si>
  <si>
    <t>85</t>
  </si>
  <si>
    <t>12/31/47605</t>
  </si>
  <si>
    <t>esse item foi reparado pela VeeOne e enviado ao estoque do PAMALS</t>
  </si>
  <si>
    <t>35104</t>
  </si>
  <si>
    <t>1071/LS-C98/2025</t>
  </si>
  <si>
    <t>RV05-268</t>
  </si>
  <si>
    <t>VALVE,SAFETY RELIEF</t>
  </si>
  <si>
    <t>86</t>
  </si>
  <si>
    <t>Atender demanda urgente do 2709, solicitado pelo CP Souto / SO Cláudio em 24/11 whats app</t>
  </si>
  <si>
    <t>87</t>
  </si>
  <si>
    <t>5/28/47607</t>
  </si>
  <si>
    <t>Atender 2733 que cedeu o item para o 2731</t>
  </si>
  <si>
    <t>1U648-001</t>
  </si>
  <si>
    <t>THERMOSTAT</t>
  </si>
  <si>
    <t>88</t>
  </si>
  <si>
    <t>21697</t>
  </si>
  <si>
    <t>WHEEL HALF ASSY-INNER</t>
  </si>
  <si>
    <t>foram entregues no pamals 3 ea desse PN</t>
  </si>
  <si>
    <t>159/C98/2025, 160/c98/2025</t>
  </si>
  <si>
    <t>WHEEL HALF ASSY-OUTER</t>
  </si>
  <si>
    <t>89</t>
  </si>
  <si>
    <t>065-0060-01</t>
  </si>
  <si>
    <t>Atender emg a pedido do SO Cláudio</t>
  </si>
  <si>
    <t>INNER TUBE,PNEUMATIC TIRE,AIRCRAFT</t>
  </si>
  <si>
    <t>91</t>
  </si>
  <si>
    <t>PNEU PRINCIPAL 8.50-10 08PR TT FCIII MLG</t>
  </si>
  <si>
    <t>AN316-4R</t>
  </si>
  <si>
    <t>NUT,PLAIN,HEXAGON</t>
  </si>
  <si>
    <t>92</t>
  </si>
  <si>
    <t>C668540-0102</t>
  </si>
  <si>
    <t>SUCTION GAGE</t>
  </si>
  <si>
    <t>C10103</t>
  </si>
  <si>
    <t>22739</t>
  </si>
  <si>
    <t>6/22/47850</t>
  </si>
  <si>
    <t>Atender demanda urgente do 2709, solicitado pelo CP Souto</t>
  </si>
  <si>
    <t>EPCAR</t>
  </si>
  <si>
    <t>CAN</t>
  </si>
  <si>
    <t>MS20392-1C11</t>
  </si>
  <si>
    <t>PIN,STRAIGHT,HEADED</t>
  </si>
  <si>
    <t>Cofnrimado recebimento em 24.02. Recebido pelo Sgt Salino</t>
  </si>
  <si>
    <t>93</t>
  </si>
  <si>
    <t>INNER WHEEL HALF ASSY</t>
  </si>
  <si>
    <t>0233611880</t>
  </si>
  <si>
    <t>Recuperar sistema de ar condicionado, TCP para evitar abertura de emergência.</t>
  </si>
  <si>
    <t>OUTER WHEEL HALF ASSY</t>
  </si>
  <si>
    <t>94</t>
  </si>
  <si>
    <t>9/27/48016</t>
  </si>
  <si>
    <t>AE3663161E0113</t>
  </si>
  <si>
    <t>Atendimento solicitado pelo SO Cláudio em 12/12. Já havia sido atendido pelo SO Barreto.</t>
  </si>
  <si>
    <t>95</t>
  </si>
  <si>
    <t>ST2231-05</t>
  </si>
  <si>
    <t>CLAMP,LOOP</t>
  </si>
  <si>
    <t>9/14/48017</t>
  </si>
  <si>
    <t>2719 / 2728</t>
  </si>
  <si>
    <t>Atendimento solicitado pelo SO Cláudio em 12/12.</t>
  </si>
  <si>
    <t>NAS561P5-12</t>
  </si>
  <si>
    <t>PIN,SPRING</t>
  </si>
  <si>
    <t>96</t>
  </si>
  <si>
    <t>Atender demanda urgente do 2720 solicitado pelo CP Souto</t>
  </si>
  <si>
    <t>97</t>
  </si>
  <si>
    <t>139</t>
  </si>
  <si>
    <t>2617024-6</t>
  </si>
  <si>
    <t>VENT WINDOK ASSY</t>
  </si>
  <si>
    <t>01 ea</t>
  </si>
  <si>
    <t>Necessidade durante inspeção</t>
  </si>
  <si>
    <t>Atender demanda do 2741, solicitação do SO Cláudio.</t>
  </si>
  <si>
    <t>140</t>
  </si>
  <si>
    <t>P860037</t>
  </si>
  <si>
    <t>SEAL</t>
  </si>
  <si>
    <t>Confirmado recebimento em 24.02.Recebido pelo Sgt  Sara.</t>
  </si>
  <si>
    <t>98</t>
  </si>
  <si>
    <t>141</t>
  </si>
  <si>
    <t>S2655-1</t>
  </si>
  <si>
    <t>DUCT-FLEX</t>
  </si>
  <si>
    <t>313250017551</t>
  </si>
  <si>
    <t>Atender demanda do 2740 solicitação do SO Resende</t>
  </si>
  <si>
    <t>160</t>
  </si>
  <si>
    <t>2651022-20-1</t>
  </si>
  <si>
    <t>99</t>
  </si>
  <si>
    <t>JHZ-24-072</t>
  </si>
  <si>
    <t>Atender demanda do C-98 2739, encontrado trinca</t>
  </si>
  <si>
    <t>Atender demanda do 2720 solicitação do SO Resende</t>
  </si>
  <si>
    <t>142</t>
  </si>
  <si>
    <t>329260018881</t>
  </si>
  <si>
    <t>100</t>
  </si>
  <si>
    <t>Atender demanda do FAB 2709, transferido da BABE para a BABR</t>
  </si>
  <si>
    <t>1 EA</t>
  </si>
  <si>
    <t>143</t>
  </si>
  <si>
    <t>Atender demanda do 2739 solicitação do SO Resende</t>
  </si>
  <si>
    <t>Inner wheel half</t>
  </si>
  <si>
    <t>386260013039</t>
  </si>
  <si>
    <t>Solicitação do Claudio para atender 2743</t>
  </si>
  <si>
    <t>101</t>
  </si>
  <si>
    <t>144</t>
  </si>
  <si>
    <t>Outer wheel half</t>
  </si>
  <si>
    <t>386260013040</t>
  </si>
  <si>
    <t>Atender demanda do 2720 solicitação do SO Claudio</t>
  </si>
  <si>
    <t>102</t>
  </si>
  <si>
    <t>145</t>
  </si>
  <si>
    <t>4626</t>
  </si>
  <si>
    <t>2641011-5</t>
  </si>
  <si>
    <t>Axle main gear</t>
  </si>
  <si>
    <t>386260013038</t>
  </si>
  <si>
    <t>Atender demanda do 2727 solicitação do SO Claudio</t>
  </si>
  <si>
    <t>146</t>
  </si>
  <si>
    <t>INDICATOR FUEL</t>
  </si>
  <si>
    <t>103</t>
  </si>
  <si>
    <t>Atender demanda do 2720 que cedeu o item para o 2709, solicitado pelo 2T Marinho</t>
  </si>
  <si>
    <t>147</t>
  </si>
  <si>
    <t>RECEIVER-TRANSMITTER,RADIO</t>
  </si>
  <si>
    <t>104</t>
  </si>
  <si>
    <t>Atender demanda do 2720 solicitado pelo CP Costa Neto</t>
  </si>
  <si>
    <t>Atender demanda do 2733 solicitação do SO Claudio</t>
  </si>
  <si>
    <t>148</t>
  </si>
  <si>
    <t>S1587-7</t>
  </si>
  <si>
    <t>KNOB</t>
  </si>
  <si>
    <t>Atender dmanda do 2739 durante inspeção</t>
  </si>
  <si>
    <t>105</t>
  </si>
  <si>
    <t>149</t>
  </si>
  <si>
    <t>16998263</t>
  </si>
  <si>
    <t>Atender vencimento a pedido do SO Cláudio</t>
  </si>
  <si>
    <t>Atender demanda do 2738 solicitação do SO Claudio</t>
  </si>
  <si>
    <t>150</t>
  </si>
  <si>
    <t>106</t>
  </si>
  <si>
    <t>16998264</t>
  </si>
  <si>
    <t>151</t>
  </si>
  <si>
    <t>C352TS</t>
  </si>
  <si>
    <t>EXTINGUISHER,FIRE</t>
  </si>
  <si>
    <t>16998294</t>
  </si>
  <si>
    <t>107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</si>
  <si>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</si>
  <si>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</si>
  <si>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</si>
  <si>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</si>
  <si>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</si>
  <si>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</si>
  <si>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</si>
  <si>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</si>
  <si>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</si>
  <si>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108</t>
  </si>
  <si>
    <t>154</t>
  </si>
  <si>
    <t>065-0041-00</t>
  </si>
  <si>
    <t>PLATE,MOUNTING</t>
  </si>
  <si>
    <t>Atender demanda do FAB 2733 solicitado pela BABE</t>
  </si>
  <si>
    <t>17016931</t>
  </si>
  <si>
    <t>155</t>
  </si>
  <si>
    <t>109</t>
  </si>
  <si>
    <t>17080968 (396260016040)</t>
  </si>
  <si>
    <t>ATENDER DEMANDA PARCIAL DA EMG 396260016040 DO C-98 2731.</t>
  </si>
  <si>
    <t>Atender demanda do FAB 2720 solicitado pela BABR através da TSP 16493618</t>
  </si>
  <si>
    <t>156</t>
  </si>
  <si>
    <t>AN315C4R</t>
  </si>
  <si>
    <t>16983071</t>
  </si>
  <si>
    <t>Atender demanda informada pela Coordenação do C-98 da BANT</t>
  </si>
  <si>
    <t>110</t>
  </si>
  <si>
    <t>157</t>
  </si>
  <si>
    <t>2651024-5</t>
  </si>
  <si>
    <t>TUBE ASSY LH</t>
  </si>
  <si>
    <t>17082786</t>
  </si>
  <si>
    <t>Atender demanda do FAB 2720 solicitado pela BABR através da TSP 16493314</t>
  </si>
  <si>
    <t>158</t>
  </si>
  <si>
    <t>MS20392-2C29</t>
  </si>
  <si>
    <t>O item foi reparado pela empresa. Não localizei o recibo no drive. Wallace 24.02. Não localizei o recibo no drive. Wallace 08.04</t>
  </si>
  <si>
    <t>17082787</t>
  </si>
  <si>
    <t>111</t>
  </si>
  <si>
    <t>159</t>
  </si>
  <si>
    <t>071-1052-00</t>
  </si>
  <si>
    <t>FLUX DETECTOR TYPE KMT 112</t>
  </si>
  <si>
    <t>Pedido de transferencia  solicitada ao 2S Robert para atender aeronva em SBNT</t>
  </si>
  <si>
    <t>17082719</t>
  </si>
  <si>
    <t>Atender demanda informada pelo CP Fellipe da BANT</t>
  </si>
  <si>
    <t>Confirmado recebimento em 24.02.Recebido pelo Sgt Josué.</t>
  </si>
  <si>
    <t>112</t>
  </si>
  <si>
    <t>RING AY-ENGINE MOUNT</t>
  </si>
  <si>
    <t>Atender demanda do C-98 2733, encontrado trinca</t>
  </si>
  <si>
    <t>16502000</t>
  </si>
  <si>
    <t>161</t>
  </si>
  <si>
    <t>BOLT</t>
  </si>
  <si>
    <t>Material para troca de quadrante e berço no Parque em aproveitamento com a troca do motor.</t>
  </si>
  <si>
    <t>Não localizei o recibo no drive. Wallace 24.02. Não localizei o recibo no drive. Wallace 08.04</t>
  </si>
  <si>
    <t>162</t>
  </si>
  <si>
    <t>113</t>
  </si>
  <si>
    <t>MS21044N7</t>
  </si>
  <si>
    <t>NUT, SELF-LOCKING, HEXAGON</t>
  </si>
  <si>
    <t>163</t>
  </si>
  <si>
    <t>NAS1149F0732P</t>
  </si>
  <si>
    <t>WASHER, FLAT</t>
  </si>
  <si>
    <t>114</t>
  </si>
  <si>
    <t>164</t>
  </si>
  <si>
    <t>MS20002C7</t>
  </si>
  <si>
    <t>WASHER, RECESSED</t>
  </si>
  <si>
    <t>Atender demanda urgente do 2743</t>
  </si>
  <si>
    <t>165</t>
  </si>
  <si>
    <t>AN5C12A</t>
  </si>
  <si>
    <t>115</t>
  </si>
  <si>
    <t>16559873</t>
  </si>
  <si>
    <t>Atender demanda de inspeção do 2743 prevista para 02/02.</t>
  </si>
  <si>
    <t>166</t>
  </si>
  <si>
    <t>NAS1149C0563R</t>
  </si>
  <si>
    <t>116</t>
  </si>
  <si>
    <t>167</t>
  </si>
  <si>
    <t>S1450-5H16-032</t>
  </si>
  <si>
    <t>WASHER</t>
  </si>
  <si>
    <t>16559874</t>
  </si>
  <si>
    <t>Não localizei o recibo no drive. Wallace 24.02 Não localizei o recibo no drive. Wallace 08.04</t>
  </si>
  <si>
    <t>168</t>
  </si>
  <si>
    <t>MS21042L5</t>
  </si>
  <si>
    <t>NUT, SELF-LOCKING</t>
  </si>
  <si>
    <t>117</t>
  </si>
  <si>
    <t>16559875</t>
  </si>
  <si>
    <t>169</t>
  </si>
  <si>
    <t>118</t>
  </si>
  <si>
    <t>170</t>
  </si>
  <si>
    <t>Atendimento solicitado pelo SO Cláudio em 10/02.</t>
  </si>
  <si>
    <t>171</t>
  </si>
  <si>
    <t>119</t>
  </si>
  <si>
    <t>Atender solicitação do SO Cláudio, demanda informada pelo SO Gesteira</t>
  </si>
  <si>
    <t>Atender emergência do C-98 2732 que cedeu item para o C-98 2740</t>
  </si>
  <si>
    <t>172</t>
  </si>
  <si>
    <t>065-0030-00</t>
  </si>
  <si>
    <t>PLATE</t>
  </si>
  <si>
    <t>120</t>
  </si>
  <si>
    <t>173</t>
  </si>
  <si>
    <t>066-3060-00</t>
  </si>
  <si>
    <t>INDICADOR RMI</t>
  </si>
  <si>
    <t>2056</t>
  </si>
  <si>
    <t>2708 / 2721</t>
  </si>
  <si>
    <t>Atender demanda do FAB 2728 solicitado pela BANT</t>
  </si>
  <si>
    <t>174</t>
  </si>
  <si>
    <t>C598505-0303</t>
  </si>
  <si>
    <t>ANTENA</t>
  </si>
  <si>
    <t>121</t>
  </si>
  <si>
    <t>175</t>
  </si>
  <si>
    <t>2606016-17</t>
  </si>
  <si>
    <t>LINE ASSY-INSTRUMENT TO TEE</t>
  </si>
  <si>
    <t>Atender demanda da anv durante inspeção</t>
  </si>
  <si>
    <t>176</t>
  </si>
  <si>
    <t>122</t>
  </si>
  <si>
    <t>177</t>
  </si>
  <si>
    <t>DCN4-5407</t>
  </si>
  <si>
    <t>PORCA FLUTUANTE</t>
  </si>
  <si>
    <t>Atender demanda do 2719 solicitação do SO Claudio</t>
  </si>
  <si>
    <t>178</t>
  </si>
  <si>
    <t>NAS147-97</t>
  </si>
  <si>
    <t>179</t>
  </si>
  <si>
    <t>NAS147-84</t>
  </si>
  <si>
    <t>123</t>
  </si>
  <si>
    <t>180</t>
  </si>
  <si>
    <t>AN363-720</t>
  </si>
  <si>
    <t>Atender demanda do 2728 solicitação do SO Claudio</t>
  </si>
  <si>
    <t>181</t>
  </si>
  <si>
    <t>MS20007-68</t>
  </si>
  <si>
    <t>182</t>
  </si>
  <si>
    <t>9910333-1</t>
  </si>
  <si>
    <t>ENGINE MOUNT</t>
  </si>
  <si>
    <t>124</t>
  </si>
  <si>
    <t>06 EA</t>
  </si>
  <si>
    <t>5040033933</t>
  </si>
  <si>
    <t>5040033933.25210</t>
  </si>
  <si>
    <t>183</t>
  </si>
  <si>
    <t>S3461-64</t>
  </si>
  <si>
    <t>Atender demanda do 2709 que cedeu o item para o 2720, solicitado pelo CP Souto</t>
  </si>
  <si>
    <t>184</t>
  </si>
  <si>
    <t>AN310C8</t>
  </si>
  <si>
    <t>NUT,PLAIN,CASTELLATED,HEXAGON</t>
  </si>
  <si>
    <t>125</t>
  </si>
  <si>
    <t>Atender demanda de pedido APLI do 2742.</t>
  </si>
  <si>
    <t>185</t>
  </si>
  <si>
    <t>126</t>
  </si>
  <si>
    <t>186</t>
  </si>
  <si>
    <t>S3465-2-0160</t>
  </si>
  <si>
    <t>HOSE ASSY TEE</t>
  </si>
  <si>
    <t>Atender demanda por solicitação do SO Claudio</t>
  </si>
  <si>
    <t>16737719</t>
  </si>
  <si>
    <t xml:space="preserve">Montagem de cubo de roda </t>
  </si>
  <si>
    <t>187</t>
  </si>
  <si>
    <t xml:space="preserve">foram entregues no pamals 3 ea desse PN </t>
  </si>
  <si>
    <t>RECEIVER TRANSMITTER</t>
  </si>
  <si>
    <t>Não localizei esses recibos no drive.Wallace 08.04</t>
  </si>
  <si>
    <t>Atender demanda urgente.</t>
  </si>
  <si>
    <t>127</t>
  </si>
  <si>
    <t>188</t>
  </si>
  <si>
    <t>TRANSCEIVER</t>
  </si>
  <si>
    <t>Atender solicitação do SO Cláudio.</t>
  </si>
  <si>
    <t>16737720</t>
  </si>
  <si>
    <t>189</t>
  </si>
  <si>
    <t>901207K1</t>
  </si>
  <si>
    <t>PIN,COTTER</t>
  </si>
  <si>
    <t>05 EA</t>
  </si>
  <si>
    <t>Contra pino para instalação da haste da FCU.</t>
  </si>
  <si>
    <t>128</t>
  </si>
  <si>
    <t>190</t>
  </si>
  <si>
    <t>Item para instalação da haste da FCU.</t>
  </si>
  <si>
    <t>16737722</t>
  </si>
  <si>
    <t>191</t>
  </si>
  <si>
    <t>129</t>
  </si>
  <si>
    <t>16737723</t>
  </si>
  <si>
    <t>192</t>
  </si>
  <si>
    <t>AN924-3D</t>
  </si>
  <si>
    <t>Atender demanda da anv por pane de freio</t>
  </si>
  <si>
    <t>130</t>
  </si>
  <si>
    <t>193</t>
  </si>
  <si>
    <t>16737724</t>
  </si>
  <si>
    <t>MS28778-3</t>
  </si>
  <si>
    <t>131</t>
  </si>
  <si>
    <t>194</t>
  </si>
  <si>
    <t>C661065-0237</t>
  </si>
  <si>
    <t>INDICATOR TRUE</t>
  </si>
  <si>
    <t>Atender demanda do C-98 2702</t>
  </si>
  <si>
    <t>2702</t>
  </si>
  <si>
    <t>195</t>
  </si>
  <si>
    <t>9910338-4</t>
  </si>
  <si>
    <t>FUEL TOTALIZER</t>
  </si>
  <si>
    <t>132</t>
  </si>
  <si>
    <t>196</t>
  </si>
  <si>
    <t>2643100-206</t>
  </si>
  <si>
    <t>NOSE GEAR STRUT ASSY - TALL FORK</t>
  </si>
  <si>
    <t>Cedeu item para o C-98 2733</t>
  </si>
  <si>
    <t>2730</t>
  </si>
  <si>
    <t>Cedeu trem de pouso para o 2722 após identificado corrosão.</t>
  </si>
  <si>
    <t>133</t>
  </si>
  <si>
    <t>197</t>
  </si>
  <si>
    <t>2618510-10</t>
  </si>
  <si>
    <t>16843794</t>
  </si>
  <si>
    <t>ALTERNATOR CONTROL UNIT ASSY</t>
  </si>
  <si>
    <t>1EA</t>
  </si>
  <si>
    <t>Emg no PN C611008-0101. Atender solicitação do SO Cláudio.</t>
  </si>
  <si>
    <t>198</t>
  </si>
  <si>
    <t>134</t>
  </si>
  <si>
    <t>Atender demanda durante inpeção</t>
  </si>
  <si>
    <t>199</t>
  </si>
  <si>
    <t>PACKING,PREFORMED</t>
  </si>
  <si>
    <t>135</t>
  </si>
  <si>
    <t>200</t>
  </si>
  <si>
    <t>S1450-4S10-032</t>
  </si>
  <si>
    <t>16843796</t>
  </si>
  <si>
    <t>2EA</t>
  </si>
  <si>
    <t>201</t>
  </si>
  <si>
    <t>136</t>
  </si>
  <si>
    <t>MS27975-2</t>
  </si>
  <si>
    <t>CLEVIS,ROD END</t>
  </si>
  <si>
    <t>ATender demanda da BANT e aproveitar transporte do Rumba</t>
  </si>
  <si>
    <t>202</t>
  </si>
  <si>
    <t>S1021Z8-8</t>
  </si>
  <si>
    <t>SCREW,TAPPING</t>
  </si>
  <si>
    <t>6EA</t>
  </si>
  <si>
    <t>137</t>
  </si>
  <si>
    <t>16766558</t>
  </si>
  <si>
    <t>203</t>
  </si>
  <si>
    <t>R581559</t>
  </si>
  <si>
    <t>SEAL,DOOR EMERGENCY EXIT</t>
  </si>
  <si>
    <t>Pedido no PN 2601206-4</t>
  </si>
  <si>
    <t>138</t>
  </si>
  <si>
    <t>204</t>
  </si>
  <si>
    <t>Pedido no PN 2601206-2</t>
  </si>
  <si>
    <t>GMM BAMN &gt; BABE 202667292000285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</si>
  <si>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</si>
  <si>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</si>
  <si>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</si>
  <si>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</si>
  <si>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</si>
  <si>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</si>
  <si>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</si>
  <si>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</si>
  <si>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</si>
  <si>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</si>
  <si>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</si>
  <si>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</si>
  <si>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</si>
  <si>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</si>
  <si>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</si>
  <si>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</si>
  <si>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</si>
  <si>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</si>
  <si>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</si>
  <si>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</si>
  <si>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</si>
  <si>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</si>
  <si>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</si>
  <si>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</si>
  <si>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</si>
  <si>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</si>
  <si>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K00-00351-00</t>
  </si>
  <si>
    <t>214</t>
  </si>
  <si>
    <t>AS3209-016</t>
  </si>
  <si>
    <t>Atender demanda do 2740 por solicitação do SO Cláudio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</si>
  <si>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</si>
  <si>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</si>
  <si>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</si>
  <si>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</si>
  <si>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</si>
  <si>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</si>
  <si>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</si>
  <si>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</si>
  <si>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</si>
  <si>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1071/LS-C-98/2025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</si>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</sst>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0" fillId="0" fontId="1" numFmtId="0" xfId="0" applyFont="1"/>
    <xf borderId="11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9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2" numFmtId="166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9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4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0" fillId="0" fontId="13" numFmtId="0" xfId="0" applyAlignment="1" applyFont="1">
      <alignment horizontal="center" readingOrder="0" shrinkToFit="0" vertical="center" wrapText="0"/>
    </xf>
    <xf borderId="12" fillId="4" fontId="10" numFmtId="0" xfId="0" applyAlignment="1" applyBorder="1" applyFont="1">
      <alignment shrinkToFit="0" wrapText="1"/>
    </xf>
    <xf borderId="0" fillId="0" fontId="14" numFmtId="0" xfId="0" applyAlignment="1" applyFont="1">
      <alignment shrinkToFit="0" vertical="center" wrapText="0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14" fillId="0" fontId="17" numFmtId="14" xfId="0" applyBorder="1" applyFont="1" applyNumberFormat="1"/>
    <xf borderId="4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801580916"/>
        <c:axId val="560538931"/>
      </c:barChart>
      <c:catAx>
        <c:axId val="18015809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0538931"/>
      </c:catAx>
      <c:valAx>
        <c:axId val="560538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5809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IFERROR(__xludf.DUMMYFUNCTION("INDEX(FILTER(K:K,K:K&lt;&gt;""""),COUNTA(K:K))"),"29/07/2026")</f>
        <v>29/07/2026</v>
      </c>
      <c r="E1" s="3"/>
      <c r="F1" s="3"/>
      <c r="G1" s="12"/>
      <c r="H1" s="3"/>
      <c r="I1" s="13"/>
      <c r="J1" s="3"/>
      <c r="K1" s="3" t="s">
        <v>4</v>
      </c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2" t="s">
        <v>13</v>
      </c>
      <c r="H2" s="27" t="s">
        <v>12</v>
      </c>
      <c r="I2" s="29" t="s">
        <v>14</v>
      </c>
      <c r="J2" s="23" t="s">
        <v>15</v>
      </c>
      <c r="K2" s="23" t="s">
        <v>16</v>
      </c>
      <c r="L2" s="19" t="s">
        <v>17</v>
      </c>
      <c r="M2" s="23" t="s">
        <v>19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4" t="s">
        <v>27</v>
      </c>
      <c r="V2" s="12" t="s">
        <v>28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4" t="s">
        <v>34</v>
      </c>
      <c r="F3" s="44" t="s">
        <v>35</v>
      </c>
      <c r="G3" s="50">
        <f t="shared" ref="G3:G7" si="1">VALUE(SUBSTITUTE(F3," EA",""))</f>
        <v>1</v>
      </c>
      <c r="H3" s="44">
        <v>1.3947615E7</v>
      </c>
      <c r="I3" s="54" t="s">
        <v>36</v>
      </c>
      <c r="J3" s="44" t="s">
        <v>37</v>
      </c>
      <c r="K3" s="56">
        <v>45730.0</v>
      </c>
      <c r="L3" s="40" t="s">
        <v>38</v>
      </c>
      <c r="M3" s="44" t="s">
        <v>39</v>
      </c>
      <c r="N3" s="58"/>
      <c r="O3" s="58"/>
      <c r="P3" s="49"/>
      <c r="Q3" s="51"/>
      <c r="R3" s="53"/>
      <c r="S3" s="53"/>
      <c r="T3" s="53"/>
      <c r="U3" s="59"/>
      <c r="V3" s="60"/>
      <c r="W3" s="60"/>
      <c r="X3" s="5"/>
      <c r="Y3" s="5"/>
      <c r="Z3" s="5"/>
      <c r="AA3" s="5"/>
      <c r="AB3" s="5"/>
      <c r="AC3" s="5"/>
      <c r="AD3" s="5"/>
    </row>
    <row r="4">
      <c r="A4" s="39" t="s">
        <v>42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4" t="s">
        <v>34</v>
      </c>
      <c r="F4" s="44" t="s">
        <v>35</v>
      </c>
      <c r="G4" s="50">
        <f t="shared" si="1"/>
        <v>1</v>
      </c>
      <c r="H4" s="44">
        <v>1.4000316E7</v>
      </c>
      <c r="I4" s="54" t="s">
        <v>36</v>
      </c>
      <c r="J4" s="44" t="s">
        <v>37</v>
      </c>
      <c r="K4" s="56">
        <v>45735.0</v>
      </c>
      <c r="L4" s="40" t="s">
        <v>46</v>
      </c>
      <c r="M4" s="44" t="s">
        <v>47</v>
      </c>
      <c r="N4" s="58"/>
      <c r="O4" s="58"/>
      <c r="P4" s="61"/>
      <c r="Q4" s="51"/>
      <c r="R4" s="63"/>
      <c r="S4" s="65"/>
      <c r="T4" s="65"/>
      <c r="U4" s="59"/>
      <c r="V4" s="60"/>
      <c r="W4" s="60"/>
      <c r="X4" s="5"/>
      <c r="Y4" s="5"/>
      <c r="Z4" s="5"/>
      <c r="AA4" s="5"/>
      <c r="AB4" s="5"/>
      <c r="AC4" s="5"/>
      <c r="AD4" s="5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4" t="s">
        <v>51</v>
      </c>
      <c r="F5" s="44" t="s">
        <v>35</v>
      </c>
      <c r="G5" s="50">
        <f t="shared" si="1"/>
        <v>1</v>
      </c>
      <c r="H5" s="44">
        <v>1.3719978E7</v>
      </c>
      <c r="I5" s="54" t="s">
        <v>52</v>
      </c>
      <c r="J5" s="44" t="s">
        <v>37</v>
      </c>
      <c r="K5" s="56">
        <v>45737.0</v>
      </c>
      <c r="L5" s="40" t="s">
        <v>53</v>
      </c>
      <c r="M5" s="44" t="s">
        <v>54</v>
      </c>
      <c r="N5" s="58"/>
      <c r="O5" s="58"/>
      <c r="P5" s="63"/>
      <c r="Q5" s="70"/>
      <c r="R5" s="63"/>
      <c r="S5" s="65"/>
      <c r="T5" s="65"/>
      <c r="U5" s="59"/>
      <c r="V5" s="60"/>
      <c r="W5" s="60"/>
      <c r="X5" s="5"/>
      <c r="Y5" s="5"/>
      <c r="Z5" s="5"/>
      <c r="AA5" s="5"/>
      <c r="AB5" s="5"/>
      <c r="AC5" s="5"/>
      <c r="AD5" s="5"/>
    </row>
    <row r="6">
      <c r="A6" s="36" t="s">
        <v>55</v>
      </c>
      <c r="B6" s="71" t="s">
        <v>56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2" t="s">
        <v>58</v>
      </c>
      <c r="G6" s="50">
        <f t="shared" si="1"/>
        <v>100</v>
      </c>
      <c r="H6" s="72">
        <v>1.4119927E7</v>
      </c>
      <c r="I6" s="43" t="s">
        <v>62</v>
      </c>
      <c r="J6" s="42" t="s">
        <v>59</v>
      </c>
      <c r="K6" s="45">
        <v>45747.0</v>
      </c>
      <c r="L6" s="38" t="s">
        <v>60</v>
      </c>
      <c r="M6" s="42" t="s">
        <v>61</v>
      </c>
      <c r="N6" s="47"/>
      <c r="O6" s="47"/>
      <c r="P6" s="63"/>
      <c r="Q6" s="70"/>
      <c r="R6" s="63"/>
      <c r="S6" s="65"/>
      <c r="T6" s="65"/>
      <c r="U6" s="73" t="s">
        <v>63</v>
      </c>
      <c r="V6" s="74" t="s">
        <v>64</v>
      </c>
      <c r="W6" s="76" t="s">
        <v>69</v>
      </c>
    </row>
    <row r="7">
      <c r="A7" s="36" t="s">
        <v>67</v>
      </c>
      <c r="B7" s="71" t="s">
        <v>68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2" t="s">
        <v>58</v>
      </c>
      <c r="G7" s="50">
        <f t="shared" si="1"/>
        <v>100</v>
      </c>
      <c r="H7" s="72">
        <v>1.4119761E7</v>
      </c>
      <c r="I7" s="43" t="s">
        <v>62</v>
      </c>
      <c r="J7" s="42" t="s">
        <v>37</v>
      </c>
      <c r="K7" s="45">
        <v>45747.0</v>
      </c>
      <c r="L7" s="38" t="s">
        <v>60</v>
      </c>
      <c r="M7" s="42" t="s">
        <v>61</v>
      </c>
      <c r="N7" s="47"/>
      <c r="O7" s="47"/>
      <c r="P7" s="63"/>
      <c r="Q7" s="70"/>
      <c r="R7" s="63"/>
      <c r="S7" s="65"/>
      <c r="T7" s="65"/>
      <c r="U7" s="73" t="s">
        <v>71</v>
      </c>
      <c r="V7" s="78"/>
      <c r="W7" s="76" t="s">
        <v>69</v>
      </c>
    </row>
    <row r="8">
      <c r="A8" s="36" t="s">
        <v>72</v>
      </c>
      <c r="B8" s="71" t="s">
        <v>73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2" t="s">
        <v>74</v>
      </c>
      <c r="G8" s="79">
        <v>500.0</v>
      </c>
      <c r="H8" s="72">
        <v>1.4119172E7</v>
      </c>
      <c r="I8" s="43" t="s">
        <v>62</v>
      </c>
      <c r="J8" s="42" t="s">
        <v>37</v>
      </c>
      <c r="K8" s="45">
        <v>45747.0</v>
      </c>
      <c r="L8" s="38" t="s">
        <v>60</v>
      </c>
      <c r="M8" s="42" t="s">
        <v>61</v>
      </c>
      <c r="N8" s="47"/>
      <c r="O8" s="47"/>
      <c r="P8" s="63"/>
      <c r="Q8" s="70"/>
      <c r="R8" s="63"/>
      <c r="S8" s="65"/>
      <c r="T8" s="65"/>
      <c r="U8" s="73" t="s">
        <v>71</v>
      </c>
      <c r="V8" s="78"/>
      <c r="W8" s="76" t="s">
        <v>69</v>
      </c>
    </row>
    <row r="9">
      <c r="A9" s="36" t="s">
        <v>76</v>
      </c>
      <c r="B9" s="71" t="s">
        <v>77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2" t="s">
        <v>58</v>
      </c>
      <c r="G9" s="50">
        <f>VALUE(SUBSTITUTE(F9," EA",""))</f>
        <v>100</v>
      </c>
      <c r="H9" s="72">
        <v>1.4118815E7</v>
      </c>
      <c r="I9" s="43" t="s">
        <v>62</v>
      </c>
      <c r="J9" s="42" t="s">
        <v>37</v>
      </c>
      <c r="K9" s="45">
        <v>45747.0</v>
      </c>
      <c r="L9" s="38" t="s">
        <v>60</v>
      </c>
      <c r="M9" s="42" t="s">
        <v>61</v>
      </c>
      <c r="N9" s="47"/>
      <c r="O9" s="47"/>
      <c r="P9" s="63"/>
      <c r="Q9" s="70"/>
      <c r="R9" s="63"/>
      <c r="S9" s="65"/>
      <c r="T9" s="65"/>
      <c r="U9" s="73" t="s">
        <v>71</v>
      </c>
      <c r="V9" s="78"/>
      <c r="W9" s="76" t="s">
        <v>69</v>
      </c>
    </row>
    <row r="10">
      <c r="A10" s="36" t="s">
        <v>79</v>
      </c>
      <c r="B10" s="71" t="s">
        <v>80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2" t="s">
        <v>81</v>
      </c>
      <c r="G10" s="79">
        <v>1.0</v>
      </c>
      <c r="H10" s="72">
        <v>1.4118717E7</v>
      </c>
      <c r="I10" s="43" t="s">
        <v>62</v>
      </c>
      <c r="J10" s="42" t="s">
        <v>37</v>
      </c>
      <c r="K10" s="45">
        <v>45747.0</v>
      </c>
      <c r="L10" s="38" t="s">
        <v>60</v>
      </c>
      <c r="M10" s="42" t="s">
        <v>61</v>
      </c>
      <c r="N10" s="47"/>
      <c r="O10" s="47"/>
      <c r="P10" s="63"/>
      <c r="Q10" s="70"/>
      <c r="R10" s="63"/>
      <c r="S10" s="65"/>
      <c r="T10" s="65"/>
      <c r="U10" s="73" t="s">
        <v>71</v>
      </c>
      <c r="V10" s="78"/>
      <c r="W10" s="76" t="s">
        <v>69</v>
      </c>
    </row>
    <row r="11">
      <c r="A11" s="36" t="s">
        <v>82</v>
      </c>
      <c r="B11" s="71" t="s">
        <v>83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2" t="s">
        <v>81</v>
      </c>
      <c r="G11" s="79">
        <v>1.0</v>
      </c>
      <c r="H11" s="72">
        <v>1.4118631E7</v>
      </c>
      <c r="I11" s="43" t="s">
        <v>62</v>
      </c>
      <c r="J11" s="42" t="s">
        <v>37</v>
      </c>
      <c r="K11" s="45">
        <v>45747.0</v>
      </c>
      <c r="L11" s="38" t="s">
        <v>60</v>
      </c>
      <c r="M11" s="42" t="s">
        <v>61</v>
      </c>
      <c r="N11" s="47"/>
      <c r="O11" s="47"/>
      <c r="P11" s="63"/>
      <c r="Q11" s="70"/>
      <c r="R11" s="63"/>
      <c r="S11" s="65"/>
      <c r="T11" s="65"/>
      <c r="U11" s="73" t="s">
        <v>71</v>
      </c>
      <c r="V11" s="78"/>
      <c r="W11" s="76" t="s">
        <v>69</v>
      </c>
    </row>
    <row r="12">
      <c r="A12" s="36" t="s">
        <v>85</v>
      </c>
      <c r="B12" s="71" t="s">
        <v>87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2" t="s">
        <v>81</v>
      </c>
      <c r="G12" s="79">
        <v>1.0</v>
      </c>
      <c r="H12" s="72">
        <v>1.4118223E7</v>
      </c>
      <c r="I12" s="43" t="s">
        <v>62</v>
      </c>
      <c r="J12" s="42" t="s">
        <v>37</v>
      </c>
      <c r="K12" s="45">
        <v>45747.0</v>
      </c>
      <c r="L12" s="38" t="s">
        <v>60</v>
      </c>
      <c r="M12" s="42" t="s">
        <v>61</v>
      </c>
      <c r="N12" s="47"/>
      <c r="O12" s="47"/>
      <c r="P12" s="63"/>
      <c r="Q12" s="70"/>
      <c r="R12" s="63"/>
      <c r="S12" s="65"/>
      <c r="T12" s="65"/>
      <c r="U12" s="73" t="s">
        <v>71</v>
      </c>
      <c r="V12" s="78"/>
      <c r="W12" s="76" t="s">
        <v>69</v>
      </c>
    </row>
    <row r="13">
      <c r="A13" s="39" t="s">
        <v>90</v>
      </c>
      <c r="B13" s="87" t="s">
        <v>91</v>
      </c>
      <c r="C13" s="40" t="str">
        <f>IF(B13="","",(VLOOKUP(B13,'Dados de PN'!$A:$B,2,0)))</f>
        <v>RIVET SOLID</v>
      </c>
      <c r="D13" s="40" t="s">
        <v>33</v>
      </c>
      <c r="E13" s="44" t="s">
        <v>34</v>
      </c>
      <c r="F13" s="88" t="s">
        <v>93</v>
      </c>
      <c r="G13" s="50">
        <f t="shared" ref="G13:G97" si="2">VALUE(SUBSTITUTE(F13," EA",""))</f>
        <v>50</v>
      </c>
      <c r="H13" s="88">
        <v>1.4117687E7</v>
      </c>
      <c r="I13" s="54" t="s">
        <v>62</v>
      </c>
      <c r="J13" s="44" t="s">
        <v>37</v>
      </c>
      <c r="K13" s="56">
        <v>45747.0</v>
      </c>
      <c r="L13" s="40" t="s">
        <v>60</v>
      </c>
      <c r="M13" s="44" t="s">
        <v>61</v>
      </c>
      <c r="N13" s="58"/>
      <c r="O13" s="58"/>
      <c r="P13" s="63"/>
      <c r="Q13" s="70"/>
      <c r="R13" s="63"/>
      <c r="S13" s="65"/>
      <c r="T13" s="65"/>
      <c r="U13" s="59"/>
      <c r="V13" s="85"/>
      <c r="W13" s="76" t="s">
        <v>69</v>
      </c>
      <c r="X13" s="5"/>
      <c r="Y13" s="5"/>
      <c r="Z13" s="5"/>
      <c r="AA13" s="5"/>
      <c r="AB13" s="5"/>
      <c r="AC13" s="5"/>
      <c r="AD13" s="5"/>
    </row>
    <row r="14">
      <c r="A14" s="39" t="s">
        <v>95</v>
      </c>
      <c r="B14" s="40" t="s">
        <v>96</v>
      </c>
      <c r="C14" s="40" t="str">
        <f>IF(B14="","",(VLOOKUP(B14,'Dados de PN'!$A:$B,2,0)))</f>
        <v>ALTIMETER</v>
      </c>
      <c r="D14" s="40" t="s">
        <v>33</v>
      </c>
      <c r="E14" s="44" t="s">
        <v>99</v>
      </c>
      <c r="F14" s="44" t="s">
        <v>35</v>
      </c>
      <c r="G14" s="50">
        <f t="shared" si="2"/>
        <v>1</v>
      </c>
      <c r="H14" s="44">
        <v>1.4305088E7</v>
      </c>
      <c r="I14" s="54" t="s">
        <v>100</v>
      </c>
      <c r="J14" s="44" t="s">
        <v>37</v>
      </c>
      <c r="K14" s="56">
        <v>45762.0</v>
      </c>
      <c r="L14" s="40" t="s">
        <v>101</v>
      </c>
      <c r="M14" s="44" t="s">
        <v>61</v>
      </c>
      <c r="N14" s="58"/>
      <c r="O14" s="58"/>
      <c r="P14" s="53"/>
      <c r="Q14" s="86"/>
      <c r="R14" s="53"/>
      <c r="S14" s="65"/>
      <c r="T14" s="65"/>
      <c r="U14" s="59"/>
      <c r="V14" s="60"/>
      <c r="W14" s="60"/>
      <c r="X14" s="5"/>
      <c r="Y14" s="5"/>
      <c r="Z14" s="5"/>
      <c r="AA14" s="5"/>
      <c r="AB14" s="5"/>
      <c r="AC14" s="5"/>
      <c r="AD14" s="5"/>
    </row>
    <row r="15">
      <c r="A15" s="39" t="s">
        <v>105</v>
      </c>
      <c r="B15" s="40" t="s">
        <v>103</v>
      </c>
      <c r="C15" s="40" t="str">
        <f>IF(B15="","",(VLOOKUP(B15,'Dados de PN'!$A:$B,2,0)))</f>
        <v>INSULATOR</v>
      </c>
      <c r="D15" s="40" t="s">
        <v>33</v>
      </c>
      <c r="E15" s="44" t="s">
        <v>34</v>
      </c>
      <c r="F15" s="44" t="s">
        <v>35</v>
      </c>
      <c r="G15" s="50">
        <f t="shared" si="2"/>
        <v>1</v>
      </c>
      <c r="H15" s="44">
        <v>1.4309534E7</v>
      </c>
      <c r="I15" s="54" t="s">
        <v>107</v>
      </c>
      <c r="J15" s="44" t="s">
        <v>37</v>
      </c>
      <c r="K15" s="56">
        <v>45763.0</v>
      </c>
      <c r="L15" s="40" t="s">
        <v>110</v>
      </c>
      <c r="M15" s="44" t="s">
        <v>54</v>
      </c>
      <c r="N15" s="58"/>
      <c r="O15" s="58"/>
      <c r="P15" s="63"/>
      <c r="Q15" s="70"/>
      <c r="R15" s="63"/>
      <c r="S15" s="65"/>
      <c r="T15" s="65"/>
      <c r="U15" s="59"/>
      <c r="V15" s="60"/>
      <c r="W15" s="60"/>
      <c r="X15" s="5"/>
      <c r="Y15" s="5"/>
      <c r="Z15" s="5"/>
      <c r="AA15" s="5"/>
      <c r="AB15" s="5"/>
      <c r="AC15" s="5"/>
      <c r="AD15" s="5"/>
    </row>
    <row r="16">
      <c r="A16" s="39" t="s">
        <v>111</v>
      </c>
      <c r="B16" s="40" t="s">
        <v>108</v>
      </c>
      <c r="C16" s="40" t="str">
        <f>IF(B16="","",(VLOOKUP(B16,'Dados de PN'!$A:$B,2,0)))</f>
        <v>INSULATOR</v>
      </c>
      <c r="D16" s="40" t="s">
        <v>33</v>
      </c>
      <c r="E16" s="44" t="s">
        <v>34</v>
      </c>
      <c r="F16" s="44" t="s">
        <v>35</v>
      </c>
      <c r="G16" s="50">
        <f t="shared" si="2"/>
        <v>1</v>
      </c>
      <c r="H16" s="44">
        <v>1.4316808E7</v>
      </c>
      <c r="I16" s="54" t="s">
        <v>107</v>
      </c>
      <c r="J16" s="44" t="s">
        <v>37</v>
      </c>
      <c r="K16" s="56">
        <v>45763.0</v>
      </c>
      <c r="L16" s="40" t="s">
        <v>110</v>
      </c>
      <c r="M16" s="44" t="s">
        <v>54</v>
      </c>
      <c r="N16" s="58"/>
      <c r="O16" s="58"/>
      <c r="P16" s="63"/>
      <c r="Q16" s="70"/>
      <c r="R16" s="63"/>
      <c r="S16" s="65"/>
      <c r="T16" s="65"/>
      <c r="U16" s="59"/>
      <c r="V16" s="60"/>
      <c r="W16" s="60"/>
      <c r="X16" s="5"/>
      <c r="Y16" s="5"/>
      <c r="Z16" s="5"/>
      <c r="AA16" s="5"/>
      <c r="AB16" s="5"/>
      <c r="AC16" s="5"/>
      <c r="AD16" s="5"/>
    </row>
    <row r="17">
      <c r="A17" s="39" t="s">
        <v>115</v>
      </c>
      <c r="B17" s="40" t="s">
        <v>113</v>
      </c>
      <c r="C17" s="40" t="str">
        <f>IF(B17="","",(VLOOKUP(B17,'Dados de PN'!$A:$B,2,0)))</f>
        <v>BEARING,ROLLER,NEEDLE</v>
      </c>
      <c r="D17" s="40" t="s">
        <v>33</v>
      </c>
      <c r="E17" s="44" t="s">
        <v>34</v>
      </c>
      <c r="F17" s="44" t="s">
        <v>118</v>
      </c>
      <c r="G17" s="50">
        <f t="shared" si="2"/>
        <v>2</v>
      </c>
      <c r="H17" s="44">
        <v>1.4478457E7</v>
      </c>
      <c r="I17" s="54" t="s">
        <v>119</v>
      </c>
      <c r="J17" s="44" t="s">
        <v>37</v>
      </c>
      <c r="K17" s="56">
        <v>45783.0</v>
      </c>
      <c r="L17" s="40" t="s">
        <v>120</v>
      </c>
      <c r="M17" s="44" t="s">
        <v>122</v>
      </c>
      <c r="N17" s="58"/>
      <c r="O17" s="58"/>
      <c r="P17" s="63"/>
      <c r="Q17" s="70"/>
      <c r="R17" s="63"/>
      <c r="S17" s="65"/>
      <c r="T17" s="65"/>
      <c r="U17" s="59"/>
      <c r="V17" s="60"/>
      <c r="W17" s="60"/>
      <c r="X17" s="5"/>
      <c r="Y17" s="5"/>
      <c r="Z17" s="5"/>
      <c r="AA17" s="5"/>
      <c r="AB17" s="5"/>
      <c r="AC17" s="5"/>
      <c r="AD17" s="5"/>
    </row>
    <row r="18">
      <c r="A18" s="39" t="s">
        <v>125</v>
      </c>
      <c r="B18" s="40" t="s">
        <v>127</v>
      </c>
      <c r="C18" s="40" t="str">
        <f>IF(B18="","",(VLOOKUP(B18,'Dados de PN'!$A:$B,2,0)))</f>
        <v>BUSHING,SLEEVE</v>
      </c>
      <c r="D18" s="40" t="s">
        <v>33</v>
      </c>
      <c r="E18" s="44" t="s">
        <v>34</v>
      </c>
      <c r="F18" s="44" t="s">
        <v>118</v>
      </c>
      <c r="G18" s="50">
        <f t="shared" si="2"/>
        <v>2</v>
      </c>
      <c r="H18" s="44">
        <v>1.4478396E7</v>
      </c>
      <c r="I18" s="54" t="s">
        <v>119</v>
      </c>
      <c r="J18" s="44" t="s">
        <v>37</v>
      </c>
      <c r="K18" s="56">
        <v>45783.0</v>
      </c>
      <c r="L18" s="40" t="s">
        <v>120</v>
      </c>
      <c r="M18" s="44" t="s">
        <v>122</v>
      </c>
      <c r="N18" s="58"/>
      <c r="O18" s="58"/>
      <c r="P18" s="63"/>
      <c r="Q18" s="70"/>
      <c r="R18" s="63"/>
      <c r="S18" s="65"/>
      <c r="T18" s="65"/>
      <c r="U18" s="59"/>
      <c r="V18" s="60"/>
      <c r="W18" s="60"/>
      <c r="X18" s="5"/>
      <c r="Y18" s="5"/>
      <c r="Z18" s="5"/>
      <c r="AA18" s="5"/>
      <c r="AB18" s="5"/>
      <c r="AC18" s="5"/>
      <c r="AD18" s="5"/>
    </row>
    <row r="19">
      <c r="A19" s="36" t="s">
        <v>131</v>
      </c>
      <c r="B19" s="38" t="s">
        <v>121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99</v>
      </c>
      <c r="F19" s="42" t="s">
        <v>35</v>
      </c>
      <c r="G19" s="50">
        <f t="shared" si="2"/>
        <v>1</v>
      </c>
      <c r="H19" s="42">
        <v>6.85240004653E11</v>
      </c>
      <c r="I19" s="43" t="s">
        <v>134</v>
      </c>
      <c r="J19" s="42" t="s">
        <v>37</v>
      </c>
      <c r="K19" s="45">
        <v>45784.0</v>
      </c>
      <c r="L19" s="38" t="s">
        <v>110</v>
      </c>
      <c r="M19" s="42" t="s">
        <v>54</v>
      </c>
      <c r="N19" s="47"/>
      <c r="O19" s="47"/>
      <c r="P19" s="92" t="s">
        <v>121</v>
      </c>
      <c r="Q19" s="93" t="s">
        <v>124</v>
      </c>
      <c r="R19" s="93" t="s">
        <v>136</v>
      </c>
      <c r="S19" s="65"/>
      <c r="T19" s="94">
        <v>45845.0</v>
      </c>
      <c r="U19" s="95" t="s">
        <v>137</v>
      </c>
      <c r="V19" s="75"/>
      <c r="W19" s="76" t="s">
        <v>66</v>
      </c>
    </row>
    <row r="20">
      <c r="A20" s="39" t="s">
        <v>138</v>
      </c>
      <c r="B20" s="40" t="s">
        <v>129</v>
      </c>
      <c r="C20" s="40" t="str">
        <f>IF(B20="","",(VLOOKUP(B20,'Dados de PN'!$A:$B,2,0)))</f>
        <v>HOSE ASSY</v>
      </c>
      <c r="D20" s="40" t="s">
        <v>33</v>
      </c>
      <c r="E20" s="44" t="s">
        <v>34</v>
      </c>
      <c r="F20" s="44" t="s">
        <v>35</v>
      </c>
      <c r="G20" s="50">
        <f t="shared" si="2"/>
        <v>1</v>
      </c>
      <c r="H20" s="44">
        <v>6.85250006026E11</v>
      </c>
      <c r="I20" s="54" t="s">
        <v>134</v>
      </c>
      <c r="J20" s="44" t="s">
        <v>37</v>
      </c>
      <c r="K20" s="56">
        <v>45784.0</v>
      </c>
      <c r="L20" s="40" t="s">
        <v>142</v>
      </c>
      <c r="M20" s="44" t="s">
        <v>54</v>
      </c>
      <c r="N20" s="58"/>
      <c r="O20" s="58"/>
      <c r="P20" s="63"/>
      <c r="Q20" s="70"/>
      <c r="R20" s="63"/>
      <c r="S20" s="65"/>
      <c r="T20" s="65"/>
      <c r="U20" s="59"/>
      <c r="V20" s="60"/>
      <c r="W20" s="60"/>
      <c r="X20" s="5"/>
      <c r="Y20" s="5"/>
      <c r="Z20" s="5"/>
      <c r="AA20" s="5"/>
      <c r="AB20" s="5"/>
      <c r="AC20" s="5"/>
      <c r="AD20" s="5"/>
    </row>
    <row r="21">
      <c r="A21" s="39" t="s">
        <v>145</v>
      </c>
      <c r="B21" s="40" t="s">
        <v>132</v>
      </c>
      <c r="C21" s="40" t="str">
        <f>IF(B21="","",(VLOOKUP(B21,'Dados de PN'!$A:$B,2,0)))</f>
        <v>NUT,SELF-LOCKING,HEXAGON</v>
      </c>
      <c r="D21" s="40" t="s">
        <v>33</v>
      </c>
      <c r="E21" s="44" t="s">
        <v>34</v>
      </c>
      <c r="F21" s="44" t="s">
        <v>155</v>
      </c>
      <c r="G21" s="50">
        <f t="shared" si="2"/>
        <v>16</v>
      </c>
      <c r="H21" s="44">
        <v>1.4481761E7</v>
      </c>
      <c r="I21" s="54" t="s">
        <v>159</v>
      </c>
      <c r="J21" s="44" t="s">
        <v>37</v>
      </c>
      <c r="K21" s="56">
        <v>45784.0</v>
      </c>
      <c r="L21" s="40" t="s">
        <v>135</v>
      </c>
      <c r="M21" s="44" t="s">
        <v>54</v>
      </c>
      <c r="N21" s="58"/>
      <c r="O21" s="58"/>
      <c r="P21" s="63"/>
      <c r="Q21" s="70"/>
      <c r="R21" s="63"/>
      <c r="S21" s="65"/>
      <c r="T21" s="65"/>
      <c r="U21" s="59"/>
      <c r="V21" s="60"/>
      <c r="W21" s="60"/>
      <c r="X21" s="5"/>
      <c r="Y21" s="5"/>
      <c r="Z21" s="5"/>
      <c r="AA21" s="5"/>
      <c r="AB21" s="5"/>
      <c r="AC21" s="5"/>
      <c r="AD21" s="5"/>
    </row>
    <row r="22">
      <c r="A22" s="36" t="s">
        <v>165</v>
      </c>
      <c r="B22" s="38" t="s">
        <v>132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168</v>
      </c>
      <c r="G22" s="50">
        <f t="shared" si="2"/>
        <v>8</v>
      </c>
      <c r="H22" s="42">
        <v>1.4482166E7</v>
      </c>
      <c r="I22" s="43" t="s">
        <v>169</v>
      </c>
      <c r="J22" s="42" t="s">
        <v>37</v>
      </c>
      <c r="K22" s="45">
        <v>45784.0</v>
      </c>
      <c r="L22" s="38" t="s">
        <v>170</v>
      </c>
      <c r="M22" s="42" t="s">
        <v>54</v>
      </c>
      <c r="N22" s="47"/>
      <c r="O22" s="47"/>
      <c r="P22" s="92" t="s">
        <v>139</v>
      </c>
      <c r="Q22" s="93" t="s">
        <v>140</v>
      </c>
      <c r="R22" s="93" t="s">
        <v>141</v>
      </c>
      <c r="S22" s="65"/>
      <c r="T22" s="94">
        <v>45938.0</v>
      </c>
      <c r="U22" s="95" t="s">
        <v>171</v>
      </c>
      <c r="V22" s="57"/>
      <c r="W22" s="76" t="s">
        <v>66</v>
      </c>
    </row>
    <row r="23">
      <c r="A23" s="36" t="s">
        <v>175</v>
      </c>
      <c r="B23" s="38" t="s">
        <v>143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50">
        <f t="shared" si="2"/>
        <v>1</v>
      </c>
      <c r="H23" s="42">
        <v>1.4530282E7</v>
      </c>
      <c r="I23" s="43" t="s">
        <v>177</v>
      </c>
      <c r="J23" s="42" t="s">
        <v>37</v>
      </c>
      <c r="K23" s="45">
        <v>45789.0</v>
      </c>
      <c r="L23" s="38" t="s">
        <v>120</v>
      </c>
      <c r="M23" s="42" t="s">
        <v>122</v>
      </c>
      <c r="N23" s="47"/>
      <c r="O23" s="47"/>
      <c r="P23" s="97" t="s">
        <v>143</v>
      </c>
      <c r="Q23" s="93" t="s">
        <v>180</v>
      </c>
      <c r="R23" s="97" t="s">
        <v>148</v>
      </c>
      <c r="S23" s="65"/>
      <c r="T23" s="98">
        <v>45868.0</v>
      </c>
      <c r="U23" s="95" t="s">
        <v>181</v>
      </c>
      <c r="V23" s="57"/>
      <c r="W23" s="76" t="s">
        <v>66</v>
      </c>
    </row>
    <row r="24">
      <c r="A24" s="36" t="s">
        <v>182</v>
      </c>
      <c r="B24" s="38" t="s">
        <v>156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50">
        <f t="shared" si="2"/>
        <v>1</v>
      </c>
      <c r="H24" s="42">
        <v>1.4530445E7</v>
      </c>
      <c r="I24" s="43" t="s">
        <v>185</v>
      </c>
      <c r="J24" s="42" t="s">
        <v>37</v>
      </c>
      <c r="K24" s="45">
        <v>45789.0</v>
      </c>
      <c r="L24" s="38" t="s">
        <v>120</v>
      </c>
      <c r="M24" s="42" t="s">
        <v>122</v>
      </c>
      <c r="N24" s="47"/>
      <c r="O24" s="47"/>
      <c r="P24" s="97" t="s">
        <v>156</v>
      </c>
      <c r="Q24" s="93" t="s">
        <v>163</v>
      </c>
      <c r="R24" s="97" t="s">
        <v>188</v>
      </c>
      <c r="S24" s="65"/>
      <c r="T24" s="98">
        <v>45982.0</v>
      </c>
      <c r="U24" s="99" t="s">
        <v>190</v>
      </c>
      <c r="V24" s="57"/>
      <c r="W24" s="76" t="s">
        <v>66</v>
      </c>
    </row>
    <row r="25">
      <c r="A25" s="39" t="s">
        <v>191</v>
      </c>
      <c r="B25" s="40" t="s">
        <v>166</v>
      </c>
      <c r="C25" s="40" t="str">
        <f>IF(B25="","",(VLOOKUP(B25,'Dados de PN'!$A:$B,2,0)))</f>
        <v>COMPUTADOR DO PILOTO AUTOMÁTICO</v>
      </c>
      <c r="D25" s="40" t="s">
        <v>194</v>
      </c>
      <c r="E25" s="44" t="s">
        <v>99</v>
      </c>
      <c r="F25" s="44" t="s">
        <v>35</v>
      </c>
      <c r="G25" s="50">
        <f t="shared" si="2"/>
        <v>1</v>
      </c>
      <c r="H25" s="44">
        <v>6.9425000186E11</v>
      </c>
      <c r="I25" s="54" t="s">
        <v>195</v>
      </c>
      <c r="J25" s="44" t="s">
        <v>37</v>
      </c>
      <c r="K25" s="56">
        <v>45791.0</v>
      </c>
      <c r="L25" s="40" t="s">
        <v>196</v>
      </c>
      <c r="M25" s="44" t="s">
        <v>197</v>
      </c>
      <c r="N25" s="58"/>
      <c r="O25" s="58"/>
      <c r="P25" s="53"/>
      <c r="Q25" s="86"/>
      <c r="R25" s="53"/>
      <c r="S25" s="65"/>
      <c r="T25" s="65"/>
      <c r="U25" s="59"/>
      <c r="V25" s="60"/>
      <c r="W25" s="60"/>
      <c r="X25" s="5"/>
      <c r="Y25" s="5"/>
      <c r="Z25" s="5"/>
      <c r="AA25" s="5"/>
      <c r="AB25" s="5"/>
      <c r="AC25" s="5"/>
      <c r="AD25" s="5"/>
    </row>
    <row r="26">
      <c r="A26" s="39" t="s">
        <v>200</v>
      </c>
      <c r="B26" s="40" t="s">
        <v>172</v>
      </c>
      <c r="C26" s="40" t="str">
        <f>IF(B26="","",(VLOOKUP(B26,'Dados de PN'!$A:$B,2,0)))</f>
        <v>INDICATOR,HORIZONTAL SITUATION</v>
      </c>
      <c r="D26" s="40" t="s">
        <v>174</v>
      </c>
      <c r="E26" s="44" t="s">
        <v>99</v>
      </c>
      <c r="F26" s="44" t="s">
        <v>35</v>
      </c>
      <c r="G26" s="50">
        <f t="shared" si="2"/>
        <v>1</v>
      </c>
      <c r="H26" s="44">
        <v>1.4741958E7</v>
      </c>
      <c r="I26" s="54" t="s">
        <v>201</v>
      </c>
      <c r="J26" s="44" t="s">
        <v>37</v>
      </c>
      <c r="K26" s="56">
        <v>45814.0</v>
      </c>
      <c r="L26" s="40" t="s">
        <v>176</v>
      </c>
      <c r="M26" s="44" t="s">
        <v>47</v>
      </c>
      <c r="N26" s="58"/>
      <c r="O26" s="58"/>
      <c r="P26" s="63"/>
      <c r="Q26" s="70"/>
      <c r="R26" s="63"/>
      <c r="S26" s="65"/>
      <c r="T26" s="65"/>
      <c r="U26" s="59"/>
      <c r="V26" s="60"/>
      <c r="W26" s="60"/>
      <c r="X26" s="5"/>
      <c r="Y26" s="5"/>
      <c r="Z26" s="5"/>
      <c r="AA26" s="5"/>
      <c r="AB26" s="5"/>
      <c r="AC26" s="5"/>
      <c r="AD26" s="5"/>
    </row>
    <row r="27">
      <c r="A27" s="39" t="s">
        <v>204</v>
      </c>
      <c r="B27" s="40" t="s">
        <v>178</v>
      </c>
      <c r="C27" s="40" t="str">
        <f>IF(B27="","",(VLOOKUP(B27,'Dados de PN'!$A:$B,2,0)))</f>
        <v>ANEL-O</v>
      </c>
      <c r="D27" s="87"/>
      <c r="E27" s="44" t="s">
        <v>34</v>
      </c>
      <c r="F27" s="44" t="s">
        <v>205</v>
      </c>
      <c r="G27" s="50">
        <f t="shared" si="2"/>
        <v>4</v>
      </c>
      <c r="H27" s="44">
        <v>6.8525000789E11</v>
      </c>
      <c r="I27" s="54" t="s">
        <v>206</v>
      </c>
      <c r="J27" s="44" t="s">
        <v>207</v>
      </c>
      <c r="K27" s="56">
        <v>45819.0</v>
      </c>
      <c r="L27" s="40" t="s">
        <v>53</v>
      </c>
      <c r="M27" s="44" t="s">
        <v>54</v>
      </c>
      <c r="N27" s="58"/>
      <c r="O27" s="58"/>
      <c r="P27" s="63"/>
      <c r="Q27" s="70"/>
      <c r="R27" s="63"/>
      <c r="S27" s="65"/>
      <c r="T27" s="65"/>
      <c r="U27" s="59"/>
      <c r="V27" s="60"/>
      <c r="W27" s="60"/>
      <c r="X27" s="5"/>
      <c r="Y27" s="5"/>
      <c r="Z27" s="5"/>
      <c r="AA27" s="5"/>
      <c r="AB27" s="5"/>
      <c r="AC27" s="5"/>
      <c r="AD27" s="5"/>
    </row>
    <row r="28">
      <c r="A28" s="36" t="s">
        <v>213</v>
      </c>
      <c r="B28" s="38" t="s">
        <v>183</v>
      </c>
      <c r="C28" s="38" t="str">
        <f>IF(B28="","",(VLOOKUP(B28,'Dados de PN'!$A:$B,2,0)))</f>
        <v>CONJUNTO DE FREIO</v>
      </c>
      <c r="D28" s="71"/>
      <c r="E28" s="42" t="s">
        <v>99</v>
      </c>
      <c r="F28" s="42" t="s">
        <v>35</v>
      </c>
      <c r="G28" s="50">
        <f t="shared" si="2"/>
        <v>1</v>
      </c>
      <c r="H28" s="42">
        <v>6.93250000848E11</v>
      </c>
      <c r="I28" s="43" t="s">
        <v>218</v>
      </c>
      <c r="J28" s="42" t="s">
        <v>37</v>
      </c>
      <c r="K28" s="45">
        <v>45821.0</v>
      </c>
      <c r="L28" s="38" t="s">
        <v>219</v>
      </c>
      <c r="M28" s="42" t="s">
        <v>47</v>
      </c>
      <c r="N28" s="47"/>
      <c r="O28" s="47"/>
      <c r="P28" s="121" t="s">
        <v>186</v>
      </c>
      <c r="Q28" s="93" t="s">
        <v>187</v>
      </c>
      <c r="R28" s="97" t="s">
        <v>221</v>
      </c>
      <c r="S28" s="65"/>
      <c r="T28" s="94">
        <v>45876.0</v>
      </c>
      <c r="U28" s="95" t="s">
        <v>223</v>
      </c>
      <c r="V28" s="57"/>
      <c r="W28" s="76" t="s">
        <v>66</v>
      </c>
    </row>
    <row r="29">
      <c r="A29" s="39" t="s">
        <v>225</v>
      </c>
      <c r="B29" s="40" t="s">
        <v>192</v>
      </c>
      <c r="C29" s="40" t="str">
        <f>IF(B29="","",(VLOOKUP(B29,'Dados de PN'!$A:$B,2,0)))</f>
        <v>CABLE ASSY-FLAP INDICATOR</v>
      </c>
      <c r="D29" s="40" t="s">
        <v>33</v>
      </c>
      <c r="E29" s="44" t="s">
        <v>34</v>
      </c>
      <c r="F29" s="44" t="s">
        <v>35</v>
      </c>
      <c r="G29" s="50">
        <f t="shared" si="2"/>
        <v>1</v>
      </c>
      <c r="H29" s="44">
        <v>3.13250016636E11</v>
      </c>
      <c r="I29" s="54" t="s">
        <v>229</v>
      </c>
      <c r="J29" s="44" t="s">
        <v>37</v>
      </c>
      <c r="K29" s="56">
        <v>45824.0</v>
      </c>
      <c r="L29" s="40" t="s">
        <v>46</v>
      </c>
      <c r="M29" s="44" t="s">
        <v>47</v>
      </c>
      <c r="N29" s="58"/>
      <c r="O29" s="58"/>
      <c r="P29" s="63"/>
      <c r="Q29" s="70"/>
      <c r="R29" s="63"/>
      <c r="S29" s="65"/>
      <c r="T29" s="65"/>
      <c r="U29" s="59"/>
      <c r="V29" s="60"/>
      <c r="W29" s="60"/>
      <c r="X29" s="5"/>
      <c r="Y29" s="5"/>
      <c r="Z29" s="5"/>
      <c r="AA29" s="5"/>
      <c r="AB29" s="5"/>
      <c r="AC29" s="5"/>
      <c r="AD29" s="5"/>
    </row>
    <row r="30">
      <c r="A30" s="39" t="s">
        <v>234</v>
      </c>
      <c r="B30" s="122" t="s">
        <v>198</v>
      </c>
      <c r="C30" s="40" t="str">
        <f>IF(B30="","",(VLOOKUP(B30,'Dados de PN'!$A:$B,2,0)))</f>
        <v>IND OIL TEMP/P</v>
      </c>
      <c r="D30" s="124">
        <v>890716.0</v>
      </c>
      <c r="E30" s="44" t="s">
        <v>99</v>
      </c>
      <c r="F30" s="44" t="s">
        <v>35</v>
      </c>
      <c r="G30" s="50">
        <f t="shared" si="2"/>
        <v>1</v>
      </c>
      <c r="H30" s="44">
        <v>1.4791313E7</v>
      </c>
      <c r="I30" s="54" t="s">
        <v>235</v>
      </c>
      <c r="J30" s="44" t="s">
        <v>37</v>
      </c>
      <c r="K30" s="56">
        <v>45825.0</v>
      </c>
      <c r="L30" s="40" t="s">
        <v>238</v>
      </c>
      <c r="M30" s="44" t="s">
        <v>122</v>
      </c>
      <c r="N30" s="58"/>
      <c r="O30" s="58"/>
      <c r="P30" s="63"/>
      <c r="Q30" s="70"/>
      <c r="R30" s="63"/>
      <c r="S30" s="65"/>
      <c r="T30" s="65"/>
      <c r="U30" s="59"/>
      <c r="V30" s="60"/>
      <c r="W30" s="60"/>
      <c r="X30" s="5"/>
      <c r="Y30" s="5"/>
      <c r="Z30" s="5"/>
      <c r="AA30" s="5"/>
      <c r="AB30" s="5"/>
      <c r="AC30" s="5"/>
      <c r="AD30" s="5"/>
    </row>
    <row r="31">
      <c r="A31" s="39" t="s">
        <v>241</v>
      </c>
      <c r="B31" s="40" t="s">
        <v>202</v>
      </c>
      <c r="C31" s="40" t="str">
        <f>IF(B31="","",(VLOOKUP(B31,'Dados de PN'!$A:$B,2,0)))</f>
        <v>SENSOR, FUEL LEVEL SHORT</v>
      </c>
      <c r="D31" s="40" t="s">
        <v>33</v>
      </c>
      <c r="E31" s="44" t="s">
        <v>34</v>
      </c>
      <c r="F31" s="44" t="s">
        <v>35</v>
      </c>
      <c r="G31" s="50">
        <f t="shared" si="2"/>
        <v>1</v>
      </c>
      <c r="H31" s="44">
        <v>1.4915782E7</v>
      </c>
      <c r="I31" s="54" t="s">
        <v>244</v>
      </c>
      <c r="J31" s="44" t="s">
        <v>37</v>
      </c>
      <c r="K31" s="56">
        <v>45836.0</v>
      </c>
      <c r="L31" s="40" t="s">
        <v>46</v>
      </c>
      <c r="M31" s="44" t="s">
        <v>47</v>
      </c>
      <c r="N31" s="58"/>
      <c r="O31" s="58"/>
      <c r="P31" s="63"/>
      <c r="Q31" s="70"/>
      <c r="R31" s="63"/>
      <c r="S31" s="65"/>
      <c r="T31" s="65"/>
      <c r="U31" s="59"/>
      <c r="V31" s="60"/>
      <c r="W31" s="60"/>
      <c r="X31" s="5"/>
      <c r="Y31" s="5"/>
      <c r="Z31" s="5"/>
      <c r="AA31" s="5"/>
      <c r="AB31" s="5"/>
      <c r="AC31" s="5"/>
      <c r="AD31" s="5"/>
    </row>
    <row r="32">
      <c r="A32" s="36" t="s">
        <v>247</v>
      </c>
      <c r="B32" s="38" t="s">
        <v>210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118</v>
      </c>
      <c r="G32" s="50">
        <f t="shared" si="2"/>
        <v>2</v>
      </c>
      <c r="H32" s="42">
        <v>3.96250014839E11</v>
      </c>
      <c r="I32" s="43" t="s">
        <v>251</v>
      </c>
      <c r="J32" s="42" t="s">
        <v>37</v>
      </c>
      <c r="K32" s="45">
        <v>45839.0</v>
      </c>
      <c r="L32" s="38" t="s">
        <v>252</v>
      </c>
      <c r="M32" s="42" t="s">
        <v>61</v>
      </c>
      <c r="N32" s="47"/>
      <c r="O32" s="47"/>
      <c r="P32" s="92" t="s">
        <v>215</v>
      </c>
      <c r="Q32" s="93" t="s">
        <v>216</v>
      </c>
      <c r="R32" s="93" t="s">
        <v>254</v>
      </c>
      <c r="S32" s="65"/>
      <c r="T32" s="94">
        <v>45912.0</v>
      </c>
      <c r="U32" s="95" t="s">
        <v>255</v>
      </c>
      <c r="V32" s="57"/>
      <c r="W32" s="76" t="s">
        <v>66</v>
      </c>
    </row>
    <row r="33">
      <c r="A33" s="39" t="s">
        <v>257</v>
      </c>
      <c r="B33" s="40" t="s">
        <v>220</v>
      </c>
      <c r="C33" s="40" t="str">
        <f>IF(B33="","",(VLOOKUP(B33,'Dados de PN'!$A:$B,2,0)))</f>
        <v>BOLT,INTERNAL WRENCHING</v>
      </c>
      <c r="D33" s="40" t="s">
        <v>33</v>
      </c>
      <c r="E33" s="44" t="s">
        <v>34</v>
      </c>
      <c r="F33" s="44" t="s">
        <v>118</v>
      </c>
      <c r="G33" s="50">
        <f t="shared" si="2"/>
        <v>2</v>
      </c>
      <c r="H33" s="44">
        <v>3.9625001484E11</v>
      </c>
      <c r="I33" s="54" t="s">
        <v>251</v>
      </c>
      <c r="J33" s="44" t="s">
        <v>37</v>
      </c>
      <c r="K33" s="56">
        <v>45839.0</v>
      </c>
      <c r="L33" s="40" t="s">
        <v>252</v>
      </c>
      <c r="M33" s="44" t="s">
        <v>61</v>
      </c>
      <c r="N33" s="58"/>
      <c r="O33" s="58"/>
      <c r="P33" s="63"/>
      <c r="Q33" s="70"/>
      <c r="R33" s="63"/>
      <c r="S33" s="65"/>
      <c r="T33" s="65"/>
      <c r="U33" s="59"/>
      <c r="V33" s="60"/>
      <c r="W33" s="60"/>
      <c r="X33" s="5"/>
      <c r="Y33" s="5"/>
      <c r="Z33" s="5"/>
      <c r="AA33" s="5"/>
      <c r="AB33" s="5"/>
      <c r="AC33" s="5"/>
      <c r="AD33" s="5"/>
    </row>
    <row r="34">
      <c r="A34" s="36" t="s">
        <v>265</v>
      </c>
      <c r="B34" s="38" t="s">
        <v>227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50">
        <f t="shared" si="2"/>
        <v>1</v>
      </c>
      <c r="H34" s="42">
        <v>1.4966758E7</v>
      </c>
      <c r="I34" s="43" t="s">
        <v>270</v>
      </c>
      <c r="J34" s="42" t="s">
        <v>37</v>
      </c>
      <c r="K34" s="45">
        <v>45845.0</v>
      </c>
      <c r="L34" s="38" t="s">
        <v>271</v>
      </c>
      <c r="M34" s="42" t="s">
        <v>272</v>
      </c>
      <c r="N34" s="47"/>
      <c r="O34" s="47"/>
      <c r="P34" s="92" t="s">
        <v>227</v>
      </c>
      <c r="Q34" s="93" t="s">
        <v>230</v>
      </c>
      <c r="R34" s="93" t="s">
        <v>231</v>
      </c>
      <c r="S34" s="65"/>
      <c r="T34" s="94">
        <v>45912.0</v>
      </c>
      <c r="U34" s="95" t="s">
        <v>275</v>
      </c>
      <c r="V34" s="57"/>
      <c r="W34" s="76" t="s">
        <v>66</v>
      </c>
    </row>
    <row r="35">
      <c r="A35" s="39" t="s">
        <v>276</v>
      </c>
      <c r="B35" s="40" t="s">
        <v>232</v>
      </c>
      <c r="C35" s="40" t="str">
        <f>IF(B35="","",(VLOOKUP(B35,'Dados de PN'!$A:$B,2,0)))</f>
        <v>TRANSMITER FUEL</v>
      </c>
      <c r="D35" s="40" t="s">
        <v>33</v>
      </c>
      <c r="E35" s="44" t="s">
        <v>34</v>
      </c>
      <c r="F35" s="44" t="s">
        <v>35</v>
      </c>
      <c r="G35" s="50">
        <f t="shared" si="2"/>
        <v>1</v>
      </c>
      <c r="H35" s="44">
        <v>1.5057806E7</v>
      </c>
      <c r="I35" s="54" t="s">
        <v>280</v>
      </c>
      <c r="J35" s="44" t="s">
        <v>37</v>
      </c>
      <c r="K35" s="56">
        <v>45856.0</v>
      </c>
      <c r="L35" s="40" t="s">
        <v>120</v>
      </c>
      <c r="M35" s="44" t="s">
        <v>122</v>
      </c>
      <c r="N35" s="58"/>
      <c r="O35" s="58"/>
      <c r="P35" s="63"/>
      <c r="Q35" s="70"/>
      <c r="R35" s="63"/>
      <c r="S35" s="65"/>
      <c r="T35" s="65"/>
      <c r="U35" s="59"/>
      <c r="V35" s="60"/>
      <c r="W35" s="60"/>
      <c r="X35" s="5"/>
      <c r="Y35" s="5"/>
      <c r="Z35" s="5"/>
      <c r="AA35" s="5"/>
      <c r="AB35" s="5"/>
      <c r="AC35" s="5"/>
      <c r="AD35" s="5"/>
    </row>
    <row r="36">
      <c r="A36" s="36" t="s">
        <v>284</v>
      </c>
      <c r="B36" s="38" t="s">
        <v>236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50">
        <f t="shared" si="2"/>
        <v>1</v>
      </c>
      <c r="H36" s="42">
        <v>1.5057808E7</v>
      </c>
      <c r="I36" s="43" t="s">
        <v>280</v>
      </c>
      <c r="J36" s="42" t="s">
        <v>37</v>
      </c>
      <c r="K36" s="45">
        <v>45856.0</v>
      </c>
      <c r="L36" s="38" t="s">
        <v>120</v>
      </c>
      <c r="M36" s="42" t="s">
        <v>122</v>
      </c>
      <c r="N36" s="47"/>
      <c r="O36" s="47"/>
      <c r="P36" s="92" t="s">
        <v>236</v>
      </c>
      <c r="Q36" s="93" t="s">
        <v>239</v>
      </c>
      <c r="R36" s="93" t="s">
        <v>240</v>
      </c>
      <c r="S36" s="65"/>
      <c r="T36" s="94">
        <v>45912.0</v>
      </c>
      <c r="U36" s="95" t="s">
        <v>292</v>
      </c>
      <c r="V36" s="57"/>
      <c r="W36" s="76" t="s">
        <v>66</v>
      </c>
    </row>
    <row r="37">
      <c r="A37" s="36" t="s">
        <v>294</v>
      </c>
      <c r="B37" s="38" t="s">
        <v>242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118</v>
      </c>
      <c r="G37" s="50">
        <f t="shared" si="2"/>
        <v>2</v>
      </c>
      <c r="H37" s="42">
        <v>1.5062865E7</v>
      </c>
      <c r="I37" s="43" t="s">
        <v>280</v>
      </c>
      <c r="J37" s="42" t="s">
        <v>37</v>
      </c>
      <c r="K37" s="45">
        <v>45856.0</v>
      </c>
      <c r="L37" s="38" t="s">
        <v>120</v>
      </c>
      <c r="M37" s="42" t="s">
        <v>122</v>
      </c>
      <c r="N37" s="47"/>
      <c r="O37" s="47"/>
      <c r="P37" s="92" t="s">
        <v>242</v>
      </c>
      <c r="Q37" s="93" t="s">
        <v>245</v>
      </c>
      <c r="R37" s="93" t="s">
        <v>240</v>
      </c>
      <c r="S37" s="65"/>
      <c r="T37" s="94">
        <v>45912.0</v>
      </c>
      <c r="U37" s="95" t="s">
        <v>292</v>
      </c>
      <c r="V37" s="57"/>
      <c r="W37" s="76" t="s">
        <v>66</v>
      </c>
    </row>
    <row r="38">
      <c r="A38" s="36" t="s">
        <v>300</v>
      </c>
      <c r="B38" s="38" t="s">
        <v>246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302</v>
      </c>
      <c r="G38" s="50">
        <f t="shared" si="2"/>
        <v>3</v>
      </c>
      <c r="H38" s="42">
        <v>1.5062866E7</v>
      </c>
      <c r="I38" s="43" t="s">
        <v>280</v>
      </c>
      <c r="J38" s="42" t="s">
        <v>37</v>
      </c>
      <c r="K38" s="45">
        <v>45856.0</v>
      </c>
      <c r="L38" s="38" t="s">
        <v>120</v>
      </c>
      <c r="M38" s="42" t="s">
        <v>122</v>
      </c>
      <c r="N38" s="47"/>
      <c r="O38" s="47"/>
      <c r="P38" s="92" t="s">
        <v>246</v>
      </c>
      <c r="Q38" s="93" t="s">
        <v>248</v>
      </c>
      <c r="R38" s="93" t="s">
        <v>240</v>
      </c>
      <c r="S38" s="65"/>
      <c r="T38" s="94">
        <v>45912.0</v>
      </c>
      <c r="U38" s="95" t="s">
        <v>292</v>
      </c>
      <c r="V38" s="57"/>
      <c r="W38" s="76" t="s">
        <v>66</v>
      </c>
    </row>
    <row r="39">
      <c r="A39" s="36" t="s">
        <v>305</v>
      </c>
      <c r="B39" s="38" t="s">
        <v>249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308</v>
      </c>
      <c r="G39" s="50">
        <f t="shared" si="2"/>
        <v>10</v>
      </c>
      <c r="H39" s="42" t="s">
        <v>309</v>
      </c>
      <c r="I39" s="43" t="s">
        <v>280</v>
      </c>
      <c r="J39" s="42" t="s">
        <v>37</v>
      </c>
      <c r="K39" s="45">
        <v>45856.0</v>
      </c>
      <c r="L39" s="38" t="s">
        <v>120</v>
      </c>
      <c r="M39" s="42" t="s">
        <v>122</v>
      </c>
      <c r="N39" s="47"/>
      <c r="O39" s="47"/>
      <c r="P39" s="92" t="s">
        <v>249</v>
      </c>
      <c r="Q39" s="93" t="s">
        <v>253</v>
      </c>
      <c r="R39" s="93" t="s">
        <v>240</v>
      </c>
      <c r="S39" s="65"/>
      <c r="T39" s="94">
        <v>45912.0</v>
      </c>
      <c r="U39" s="95" t="s">
        <v>292</v>
      </c>
      <c r="V39" s="57"/>
      <c r="W39" s="76" t="s">
        <v>66</v>
      </c>
    </row>
    <row r="40">
      <c r="A40" s="36" t="s">
        <v>313</v>
      </c>
      <c r="B40" s="38" t="s">
        <v>256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302</v>
      </c>
      <c r="G40" s="50">
        <f t="shared" si="2"/>
        <v>3</v>
      </c>
      <c r="H40" s="42" t="s">
        <v>314</v>
      </c>
      <c r="I40" s="43" t="s">
        <v>280</v>
      </c>
      <c r="J40" s="42" t="s">
        <v>37</v>
      </c>
      <c r="K40" s="45">
        <v>45856.0</v>
      </c>
      <c r="L40" s="38" t="s">
        <v>120</v>
      </c>
      <c r="M40" s="42" t="s">
        <v>122</v>
      </c>
      <c r="N40" s="47"/>
      <c r="O40" s="47"/>
      <c r="P40" s="92" t="s">
        <v>256</v>
      </c>
      <c r="Q40" s="93" t="s">
        <v>239</v>
      </c>
      <c r="R40" s="93" t="s">
        <v>240</v>
      </c>
      <c r="S40" s="65"/>
      <c r="T40" s="94">
        <v>45912.0</v>
      </c>
      <c r="U40" s="95" t="s">
        <v>292</v>
      </c>
      <c r="V40" s="57"/>
      <c r="W40" s="76" t="s">
        <v>66</v>
      </c>
    </row>
    <row r="41">
      <c r="A41" s="36" t="s">
        <v>317</v>
      </c>
      <c r="B41" s="38" t="s">
        <v>262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308</v>
      </c>
      <c r="G41" s="50">
        <f t="shared" si="2"/>
        <v>10</v>
      </c>
      <c r="H41" s="42" t="s">
        <v>321</v>
      </c>
      <c r="I41" s="43" t="s">
        <v>280</v>
      </c>
      <c r="J41" s="42" t="s">
        <v>37</v>
      </c>
      <c r="K41" s="45">
        <v>45866.0</v>
      </c>
      <c r="L41" s="38" t="s">
        <v>120</v>
      </c>
      <c r="M41" s="42" t="s">
        <v>122</v>
      </c>
      <c r="N41" s="47"/>
      <c r="O41" s="47"/>
      <c r="P41" s="92" t="s">
        <v>262</v>
      </c>
      <c r="Q41" s="93" t="s">
        <v>264</v>
      </c>
      <c r="R41" s="93" t="s">
        <v>266</v>
      </c>
      <c r="S41" s="65"/>
      <c r="T41" s="94">
        <v>45916.0</v>
      </c>
      <c r="U41" s="95" t="s">
        <v>322</v>
      </c>
      <c r="V41" s="57"/>
      <c r="W41" s="76" t="s">
        <v>66</v>
      </c>
    </row>
    <row r="42">
      <c r="A42" s="39" t="s">
        <v>325</v>
      </c>
      <c r="B42" s="40" t="s">
        <v>103</v>
      </c>
      <c r="C42" s="40" t="str">
        <f>IF(B42="","",(VLOOKUP(B42,'Dados de PN'!$A:$B,2,0)))</f>
        <v>INSULATOR</v>
      </c>
      <c r="D42" s="40" t="s">
        <v>33</v>
      </c>
      <c r="E42" s="44" t="s">
        <v>34</v>
      </c>
      <c r="F42" s="44" t="s">
        <v>118</v>
      </c>
      <c r="G42" s="50">
        <f t="shared" si="2"/>
        <v>2</v>
      </c>
      <c r="H42" s="44" t="s">
        <v>326</v>
      </c>
      <c r="I42" s="54" t="s">
        <v>280</v>
      </c>
      <c r="J42" s="44" t="s">
        <v>37</v>
      </c>
      <c r="K42" s="56">
        <v>45866.0</v>
      </c>
      <c r="L42" s="40" t="s">
        <v>120</v>
      </c>
      <c r="M42" s="44" t="s">
        <v>122</v>
      </c>
      <c r="N42" s="58"/>
      <c r="O42" s="58"/>
      <c r="P42" s="63"/>
      <c r="Q42" s="70"/>
      <c r="R42" s="63"/>
      <c r="S42" s="65"/>
      <c r="T42" s="65"/>
      <c r="U42" s="59"/>
      <c r="V42" s="60"/>
      <c r="W42" s="60"/>
      <c r="X42" s="5"/>
      <c r="Y42" s="5"/>
      <c r="Z42" s="5"/>
      <c r="AA42" s="5"/>
      <c r="AB42" s="5"/>
      <c r="AC42" s="5"/>
      <c r="AD42" s="5"/>
    </row>
    <row r="43">
      <c r="A43" s="36" t="s">
        <v>329</v>
      </c>
      <c r="B43" s="38" t="s">
        <v>256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118</v>
      </c>
      <c r="G43" s="50">
        <f t="shared" si="2"/>
        <v>2</v>
      </c>
      <c r="H43" s="42" t="s">
        <v>332</v>
      </c>
      <c r="I43" s="43" t="s">
        <v>280</v>
      </c>
      <c r="J43" s="42" t="s">
        <v>37</v>
      </c>
      <c r="K43" s="45">
        <v>45866.0</v>
      </c>
      <c r="L43" s="38" t="s">
        <v>120</v>
      </c>
      <c r="M43" s="42" t="s">
        <v>122</v>
      </c>
      <c r="N43" s="47"/>
      <c r="O43" s="47"/>
      <c r="P43" s="92" t="s">
        <v>256</v>
      </c>
      <c r="Q43" s="93" t="s">
        <v>239</v>
      </c>
      <c r="R43" s="93" t="s">
        <v>240</v>
      </c>
      <c r="S43" s="65"/>
      <c r="T43" s="94">
        <v>45912.0</v>
      </c>
      <c r="U43" s="95" t="s">
        <v>334</v>
      </c>
      <c r="V43" s="57"/>
      <c r="W43" s="76" t="s">
        <v>66</v>
      </c>
    </row>
    <row r="44">
      <c r="A44" s="39" t="s">
        <v>336</v>
      </c>
      <c r="B44" s="40" t="s">
        <v>277</v>
      </c>
      <c r="C44" s="40" t="str">
        <f>IF(B44="","",(VLOOKUP(B44,'Dados de PN'!$A:$B,2,0)))</f>
        <v>CONTROL,DIRECTIONAL,AUTOMATIC PILOT</v>
      </c>
      <c r="D44" s="40" t="s">
        <v>337</v>
      </c>
      <c r="E44" s="44" t="s">
        <v>99</v>
      </c>
      <c r="F44" s="44" t="s">
        <v>35</v>
      </c>
      <c r="G44" s="50">
        <f t="shared" si="2"/>
        <v>1</v>
      </c>
      <c r="H44" s="44" t="s">
        <v>338</v>
      </c>
      <c r="I44" s="54" t="s">
        <v>280</v>
      </c>
      <c r="J44" s="44" t="s">
        <v>37</v>
      </c>
      <c r="K44" s="56">
        <v>45866.0</v>
      </c>
      <c r="L44" s="40" t="s">
        <v>120</v>
      </c>
      <c r="M44" s="44" t="s">
        <v>122</v>
      </c>
      <c r="N44" s="58"/>
      <c r="O44" s="58"/>
      <c r="P44" s="63"/>
      <c r="Q44" s="70"/>
      <c r="R44" s="63"/>
      <c r="S44" s="65"/>
      <c r="T44" s="65"/>
      <c r="U44" s="59"/>
      <c r="V44" s="60"/>
      <c r="W44" s="60"/>
      <c r="X44" s="5"/>
      <c r="Y44" s="5"/>
      <c r="Z44" s="5"/>
      <c r="AA44" s="5"/>
      <c r="AB44" s="5"/>
      <c r="AC44" s="5"/>
      <c r="AD44" s="5"/>
    </row>
    <row r="45">
      <c r="A45" s="36" t="s">
        <v>340</v>
      </c>
      <c r="B45" s="38" t="s">
        <v>285</v>
      </c>
      <c r="C45" s="38" t="str">
        <f>IF(B45="","",(VLOOKUP(B45,'Dados de PN'!$A:$B,2,0)))</f>
        <v>RECEPTOR</v>
      </c>
      <c r="D45" s="38" t="s">
        <v>343</v>
      </c>
      <c r="E45" s="42" t="s">
        <v>99</v>
      </c>
      <c r="F45" s="42" t="s">
        <v>35</v>
      </c>
      <c r="G45" s="50">
        <f t="shared" si="2"/>
        <v>1</v>
      </c>
      <c r="H45" s="42" t="s">
        <v>344</v>
      </c>
      <c r="I45" s="43" t="s">
        <v>280</v>
      </c>
      <c r="J45" s="42" t="s">
        <v>37</v>
      </c>
      <c r="K45" s="45">
        <v>45866.0</v>
      </c>
      <c r="L45" s="38" t="s">
        <v>120</v>
      </c>
      <c r="M45" s="42" t="s">
        <v>122</v>
      </c>
      <c r="N45" s="47"/>
      <c r="O45" s="47"/>
      <c r="P45" s="92" t="s">
        <v>287</v>
      </c>
      <c r="Q45" s="93" t="s">
        <v>288</v>
      </c>
      <c r="R45" s="93" t="s">
        <v>289</v>
      </c>
      <c r="S45" s="65"/>
      <c r="T45" s="94">
        <v>46002.0</v>
      </c>
      <c r="U45" s="99" t="s">
        <v>347</v>
      </c>
      <c r="V45" s="57"/>
      <c r="W45" s="76" t="s">
        <v>66</v>
      </c>
    </row>
    <row r="46">
      <c r="A46" s="39" t="s">
        <v>349</v>
      </c>
      <c r="B46" s="40" t="s">
        <v>290</v>
      </c>
      <c r="C46" s="40" t="str">
        <f>IF(B46="","",(VLOOKUP(B46,'Dados de PN'!$A:$B,2,0)))</f>
        <v>AFCS MODE CONTROLLER GMC 710</v>
      </c>
      <c r="D46" s="40" t="s">
        <v>352</v>
      </c>
      <c r="E46" s="44" t="s">
        <v>99</v>
      </c>
      <c r="F46" s="44" t="s">
        <v>35</v>
      </c>
      <c r="G46" s="50">
        <f t="shared" si="2"/>
        <v>1</v>
      </c>
      <c r="H46" s="44">
        <v>3.13250016954E11</v>
      </c>
      <c r="I46" s="54" t="s">
        <v>353</v>
      </c>
      <c r="J46" s="44" t="s">
        <v>37</v>
      </c>
      <c r="K46" s="56">
        <v>45882.0</v>
      </c>
      <c r="L46" s="40" t="s">
        <v>46</v>
      </c>
      <c r="M46" s="44" t="s">
        <v>47</v>
      </c>
      <c r="N46" s="58"/>
      <c r="O46" s="58"/>
      <c r="P46" s="63"/>
      <c r="Q46" s="70"/>
      <c r="R46" s="63"/>
      <c r="S46" s="65"/>
      <c r="T46" s="65"/>
      <c r="U46" s="59"/>
      <c r="V46" s="60"/>
      <c r="W46" s="60"/>
      <c r="X46" s="5"/>
      <c r="Y46" s="5"/>
      <c r="Z46" s="5"/>
      <c r="AA46" s="5"/>
      <c r="AB46" s="5"/>
      <c r="AC46" s="5"/>
      <c r="AD46" s="5"/>
    </row>
    <row r="47">
      <c r="A47" s="39" t="s">
        <v>355</v>
      </c>
      <c r="B47" s="40" t="s">
        <v>295</v>
      </c>
      <c r="C47" s="40" t="str">
        <f>IF(B47="","",(VLOOKUP(B47,'Dados de PN'!$A:$B,2,0)))</f>
        <v>POST LIGHT</v>
      </c>
      <c r="D47" s="40" t="s">
        <v>33</v>
      </c>
      <c r="E47" s="124" t="s">
        <v>34</v>
      </c>
      <c r="F47" s="44" t="s">
        <v>205</v>
      </c>
      <c r="G47" s="50">
        <f t="shared" si="2"/>
        <v>4</v>
      </c>
      <c r="H47" s="44">
        <v>1.5274927E7</v>
      </c>
      <c r="I47" s="54" t="s">
        <v>358</v>
      </c>
      <c r="J47" s="44" t="s">
        <v>37</v>
      </c>
      <c r="K47" s="56">
        <v>45882.0</v>
      </c>
      <c r="L47" s="40" t="s">
        <v>120</v>
      </c>
      <c r="M47" s="44" t="s">
        <v>122</v>
      </c>
      <c r="N47" s="58"/>
      <c r="O47" s="58"/>
      <c r="P47" s="63"/>
      <c r="Q47" s="70"/>
      <c r="R47" s="63"/>
      <c r="S47" s="65"/>
      <c r="T47" s="65"/>
      <c r="U47" s="59"/>
      <c r="V47" s="60"/>
      <c r="W47" s="60"/>
      <c r="X47" s="5"/>
      <c r="Y47" s="5"/>
      <c r="Z47" s="5"/>
      <c r="AA47" s="5"/>
      <c r="AB47" s="5"/>
      <c r="AC47" s="5"/>
      <c r="AD47" s="5"/>
    </row>
    <row r="48">
      <c r="A48" s="36" t="s">
        <v>361</v>
      </c>
      <c r="B48" s="38" t="s">
        <v>297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118</v>
      </c>
      <c r="G48" s="50">
        <f t="shared" si="2"/>
        <v>2</v>
      </c>
      <c r="H48" s="42">
        <v>1.5329914E7</v>
      </c>
      <c r="I48" s="43" t="s">
        <v>362</v>
      </c>
      <c r="J48" s="42" t="s">
        <v>37</v>
      </c>
      <c r="K48" s="45">
        <v>45890.0</v>
      </c>
      <c r="L48" s="38" t="s">
        <v>363</v>
      </c>
      <c r="M48" s="42" t="s">
        <v>364</v>
      </c>
      <c r="N48" s="47"/>
      <c r="O48" s="47"/>
      <c r="P48" s="92" t="s">
        <v>279</v>
      </c>
      <c r="Q48" s="93" t="s">
        <v>163</v>
      </c>
      <c r="R48" s="93" t="s">
        <v>301</v>
      </c>
      <c r="S48" s="65"/>
      <c r="T48" s="94">
        <v>45944.0</v>
      </c>
      <c r="U48" s="95" t="s">
        <v>365</v>
      </c>
      <c r="V48" s="57"/>
      <c r="W48" s="76" t="s">
        <v>66</v>
      </c>
    </row>
    <row r="49">
      <c r="A49" s="39" t="s">
        <v>366</v>
      </c>
      <c r="B49" s="40" t="s">
        <v>303</v>
      </c>
      <c r="C49" s="40" t="str">
        <f>IF(B49="","",(VLOOKUP(B49,'Dados de PN'!$A:$B,2,0)))</f>
        <v>VALVE ASSY FUEL VENT</v>
      </c>
      <c r="D49" s="40" t="s">
        <v>33</v>
      </c>
      <c r="E49" s="44" t="s">
        <v>34</v>
      </c>
      <c r="F49" s="44" t="s">
        <v>35</v>
      </c>
      <c r="G49" s="50">
        <f t="shared" si="2"/>
        <v>1</v>
      </c>
      <c r="H49" s="44">
        <v>3.13250016991E11</v>
      </c>
      <c r="I49" s="54" t="s">
        <v>369</v>
      </c>
      <c r="J49" s="44" t="s">
        <v>37</v>
      </c>
      <c r="K49" s="56">
        <v>45903.0</v>
      </c>
      <c r="L49" s="40" t="s">
        <v>370</v>
      </c>
      <c r="M49" s="44" t="s">
        <v>47</v>
      </c>
      <c r="N49" s="58"/>
      <c r="O49" s="58"/>
      <c r="P49" s="63"/>
      <c r="Q49" s="70"/>
      <c r="R49" s="63"/>
      <c r="S49" s="65"/>
      <c r="T49" s="65"/>
      <c r="U49" s="59"/>
      <c r="V49" s="60"/>
      <c r="W49" s="60"/>
      <c r="X49" s="5"/>
      <c r="Y49" s="5"/>
      <c r="Z49" s="5"/>
      <c r="AA49" s="5"/>
      <c r="AB49" s="5"/>
      <c r="AC49" s="5"/>
      <c r="AD49" s="5"/>
    </row>
    <row r="50">
      <c r="A50" s="39" t="s">
        <v>371</v>
      </c>
      <c r="B50" s="40" t="s">
        <v>306</v>
      </c>
      <c r="C50" s="40" t="str">
        <f>IF(B50="","",(VLOOKUP(B50,'Dados de PN'!$A:$B,2,0)))</f>
        <v>TIE DOWM ASSY</v>
      </c>
      <c r="D50" s="40" t="s">
        <v>33</v>
      </c>
      <c r="E50" s="44" t="s">
        <v>34</v>
      </c>
      <c r="F50" s="44" t="s">
        <v>35</v>
      </c>
      <c r="G50" s="50">
        <f t="shared" si="2"/>
        <v>1</v>
      </c>
      <c r="H50" s="44">
        <v>1.5453227E7</v>
      </c>
      <c r="I50" s="54" t="s">
        <v>374</v>
      </c>
      <c r="J50" s="44" t="s">
        <v>37</v>
      </c>
      <c r="K50" s="56">
        <v>45904.0</v>
      </c>
      <c r="L50" s="40" t="s">
        <v>110</v>
      </c>
      <c r="M50" s="44" t="s">
        <v>54</v>
      </c>
      <c r="N50" s="58"/>
      <c r="O50" s="58"/>
      <c r="P50" s="63"/>
      <c r="Q50" s="70"/>
      <c r="R50" s="63"/>
      <c r="S50" s="65"/>
      <c r="T50" s="65"/>
      <c r="U50" s="59"/>
      <c r="V50" s="60"/>
      <c r="W50" s="60"/>
      <c r="X50" s="5"/>
      <c r="Y50" s="5"/>
      <c r="Z50" s="5"/>
      <c r="AA50" s="5"/>
      <c r="AB50" s="5"/>
      <c r="AC50" s="5"/>
      <c r="AD50" s="5"/>
    </row>
    <row r="51">
      <c r="A51" s="39" t="s">
        <v>375</v>
      </c>
      <c r="B51" s="40" t="s">
        <v>310</v>
      </c>
      <c r="C51" s="40" t="str">
        <f>IF(B51="","",(VLOOKUP(B51,'Dados de PN'!$A:$B,2,0)))</f>
        <v>TRUNNION ASSY GEAR LH</v>
      </c>
      <c r="D51" s="40" t="s">
        <v>312</v>
      </c>
      <c r="E51" s="44" t="s">
        <v>99</v>
      </c>
      <c r="F51" s="44" t="s">
        <v>35</v>
      </c>
      <c r="G51" s="50">
        <f t="shared" si="2"/>
        <v>1</v>
      </c>
      <c r="H51" s="44">
        <v>1.5576074E7</v>
      </c>
      <c r="I51" s="54" t="s">
        <v>378</v>
      </c>
      <c r="J51" s="44" t="s">
        <v>37</v>
      </c>
      <c r="K51" s="56">
        <v>45912.0</v>
      </c>
      <c r="L51" s="40" t="s">
        <v>142</v>
      </c>
      <c r="M51" s="44" t="s">
        <v>54</v>
      </c>
      <c r="N51" s="58"/>
      <c r="O51" s="58"/>
      <c r="P51" s="63"/>
      <c r="Q51" s="70"/>
      <c r="R51" s="63"/>
      <c r="S51" s="65"/>
      <c r="T51" s="65"/>
      <c r="U51" s="59"/>
      <c r="V51" s="60"/>
      <c r="W51" s="60"/>
      <c r="X51" s="5"/>
      <c r="Y51" s="5"/>
      <c r="Z51" s="5"/>
      <c r="AA51" s="5"/>
      <c r="AB51" s="5"/>
      <c r="AC51" s="5"/>
      <c r="AD51" s="5"/>
    </row>
    <row r="52">
      <c r="A52" s="39" t="s">
        <v>380</v>
      </c>
      <c r="B52" s="40" t="s">
        <v>315</v>
      </c>
      <c r="C52" s="40" t="str">
        <f>IF(B52="","",(VLOOKUP(B52,'Dados de PN'!$A:$B,2,0)))</f>
        <v>STATIC WICK</v>
      </c>
      <c r="D52" s="40" t="s">
        <v>33</v>
      </c>
      <c r="E52" s="44" t="s">
        <v>34</v>
      </c>
      <c r="F52" s="44" t="s">
        <v>308</v>
      </c>
      <c r="G52" s="50">
        <f t="shared" si="2"/>
        <v>10</v>
      </c>
      <c r="H52" s="44">
        <v>3.86250012764E11</v>
      </c>
      <c r="I52" s="54" t="s">
        <v>382</v>
      </c>
      <c r="J52" s="44" t="s">
        <v>37</v>
      </c>
      <c r="K52" s="56">
        <v>45925.0</v>
      </c>
      <c r="L52" s="40" t="s">
        <v>383</v>
      </c>
      <c r="M52" s="44" t="s">
        <v>384</v>
      </c>
      <c r="N52" s="58"/>
      <c r="O52" s="58"/>
      <c r="P52" s="63"/>
      <c r="Q52" s="70"/>
      <c r="R52" s="63"/>
      <c r="S52" s="65"/>
      <c r="T52" s="65"/>
      <c r="U52" s="95" t="s">
        <v>387</v>
      </c>
      <c r="V52" s="130"/>
      <c r="W52" s="60"/>
      <c r="X52" s="5"/>
      <c r="Y52" s="5"/>
      <c r="Z52" s="5"/>
      <c r="AA52" s="5"/>
      <c r="AB52" s="5"/>
      <c r="AC52" s="5"/>
      <c r="AD52" s="5"/>
    </row>
    <row r="53">
      <c r="A53" s="39" t="s">
        <v>388</v>
      </c>
      <c r="B53" s="40" t="s">
        <v>318</v>
      </c>
      <c r="C53" s="40" t="str">
        <f>IF(B53="","",(VLOOKUP(B53,'Dados de PN'!$A:$B,2,0)))</f>
        <v>SENSOR, FUEL LEVEL</v>
      </c>
      <c r="D53" s="40" t="s">
        <v>320</v>
      </c>
      <c r="E53" s="44" t="s">
        <v>34</v>
      </c>
      <c r="F53" s="44" t="s">
        <v>35</v>
      </c>
      <c r="G53" s="50">
        <f t="shared" si="2"/>
        <v>1</v>
      </c>
      <c r="H53" s="44">
        <v>3.1325001706E11</v>
      </c>
      <c r="I53" s="54" t="s">
        <v>391</v>
      </c>
      <c r="J53" s="44" t="s">
        <v>37</v>
      </c>
      <c r="K53" s="56">
        <v>45924.0</v>
      </c>
      <c r="L53" s="40" t="s">
        <v>370</v>
      </c>
      <c r="M53" s="44" t="s">
        <v>47</v>
      </c>
      <c r="N53" s="58"/>
      <c r="O53" s="58"/>
      <c r="P53" s="63"/>
      <c r="Q53" s="70"/>
      <c r="R53" s="63"/>
      <c r="S53" s="65"/>
      <c r="T53" s="65"/>
      <c r="U53" s="59"/>
      <c r="V53" s="60"/>
      <c r="W53" s="60"/>
      <c r="X53" s="5"/>
      <c r="Y53" s="5"/>
      <c r="Z53" s="5"/>
      <c r="AA53" s="5"/>
      <c r="AB53" s="5"/>
      <c r="AC53" s="5"/>
      <c r="AD53" s="5"/>
    </row>
    <row r="54">
      <c r="A54" s="39" t="s">
        <v>392</v>
      </c>
      <c r="B54" s="40" t="s">
        <v>323</v>
      </c>
      <c r="C54" s="40" t="str">
        <f>IF(B54="","",(VLOOKUP(B54,'Dados de PN'!$A:$B,2,0)))</f>
        <v>LOW L SWITCH</v>
      </c>
      <c r="D54" s="40" t="s">
        <v>33</v>
      </c>
      <c r="E54" s="44" t="s">
        <v>34</v>
      </c>
      <c r="F54" s="44" t="s">
        <v>35</v>
      </c>
      <c r="G54" s="50">
        <f t="shared" si="2"/>
        <v>1</v>
      </c>
      <c r="H54" s="44">
        <v>3.13250017063E11</v>
      </c>
      <c r="I54" s="54" t="s">
        <v>382</v>
      </c>
      <c r="J54" s="44" t="s">
        <v>37</v>
      </c>
      <c r="K54" s="56">
        <v>45930.0</v>
      </c>
      <c r="L54" s="40" t="s">
        <v>395</v>
      </c>
      <c r="M54" s="44" t="s">
        <v>47</v>
      </c>
      <c r="N54" s="58"/>
      <c r="O54" s="58"/>
      <c r="P54" s="63"/>
      <c r="Q54" s="70"/>
      <c r="R54" s="63"/>
      <c r="S54" s="65"/>
      <c r="T54" s="65"/>
      <c r="U54" s="59"/>
      <c r="V54" s="60"/>
      <c r="W54" s="60"/>
      <c r="X54" s="5"/>
      <c r="Y54" s="5"/>
      <c r="Z54" s="5"/>
      <c r="AA54" s="5"/>
      <c r="AB54" s="5"/>
      <c r="AC54" s="5"/>
      <c r="AD54" s="5"/>
    </row>
    <row r="55">
      <c r="A55" s="39" t="s">
        <v>398</v>
      </c>
      <c r="B55" s="40" t="s">
        <v>327</v>
      </c>
      <c r="C55" s="40" t="str">
        <f>IF(B55="","",(VLOOKUP(B55,'Dados de PN'!$A:$B,2,0)))</f>
        <v>CAP</v>
      </c>
      <c r="D55" s="40" t="s">
        <v>33</v>
      </c>
      <c r="E55" s="44" t="s">
        <v>34</v>
      </c>
      <c r="F55" s="44" t="s">
        <v>35</v>
      </c>
      <c r="G55" s="50">
        <f t="shared" si="2"/>
        <v>1</v>
      </c>
      <c r="H55" s="44">
        <v>6.85250009964E11</v>
      </c>
      <c r="I55" s="54" t="s">
        <v>401</v>
      </c>
      <c r="J55" s="44" t="s">
        <v>37</v>
      </c>
      <c r="K55" s="56">
        <v>45930.0</v>
      </c>
      <c r="L55" s="40" t="s">
        <v>142</v>
      </c>
      <c r="M55" s="44" t="s">
        <v>54</v>
      </c>
      <c r="N55" s="58"/>
      <c r="O55" s="58"/>
      <c r="P55" s="63"/>
      <c r="Q55" s="70"/>
      <c r="R55" s="63"/>
      <c r="S55" s="65"/>
      <c r="T55" s="65"/>
      <c r="U55" s="59"/>
      <c r="V55" s="60"/>
      <c r="W55" s="60"/>
      <c r="X55" s="5"/>
      <c r="Y55" s="5"/>
      <c r="Z55" s="5"/>
      <c r="AA55" s="5"/>
      <c r="AB55" s="5"/>
      <c r="AC55" s="5"/>
      <c r="AD55" s="5"/>
    </row>
    <row r="56">
      <c r="A56" s="39" t="s">
        <v>402</v>
      </c>
      <c r="B56" s="40" t="s">
        <v>330</v>
      </c>
      <c r="C56" s="40" t="str">
        <f>IF(B56="","",(VLOOKUP(B56,'Dados de PN'!$A:$B,2,0)))</f>
        <v>TRUNION ASSY-RH-MAIN GEAR</v>
      </c>
      <c r="D56" s="40" t="s">
        <v>405</v>
      </c>
      <c r="E56" s="44" t="s">
        <v>99</v>
      </c>
      <c r="F56" s="44" t="s">
        <v>35</v>
      </c>
      <c r="G56" s="50">
        <f t="shared" si="2"/>
        <v>1</v>
      </c>
      <c r="H56" s="44">
        <v>1.5737266E7</v>
      </c>
      <c r="I56" s="54" t="s">
        <v>406</v>
      </c>
      <c r="J56" s="44" t="s">
        <v>37</v>
      </c>
      <c r="K56" s="56">
        <v>45931.0</v>
      </c>
      <c r="L56" s="40" t="s">
        <v>53</v>
      </c>
      <c r="M56" s="44" t="s">
        <v>54</v>
      </c>
      <c r="N56" s="132">
        <v>2.02567113026298E14</v>
      </c>
      <c r="O56" s="132" t="s">
        <v>407</v>
      </c>
      <c r="P56" s="129"/>
      <c r="Q56" s="70"/>
      <c r="R56" s="63"/>
      <c r="S56" s="65"/>
      <c r="T56" s="65"/>
      <c r="U56" s="59"/>
      <c r="V56" s="60"/>
      <c r="W56" s="60"/>
      <c r="X56" s="5"/>
      <c r="Y56" s="5"/>
      <c r="Z56" s="5"/>
      <c r="AA56" s="5"/>
      <c r="AB56" s="5"/>
      <c r="AC56" s="5"/>
      <c r="AD56" s="5"/>
    </row>
    <row r="57">
      <c r="A57" s="39" t="s">
        <v>409</v>
      </c>
      <c r="B57" s="40" t="s">
        <v>333</v>
      </c>
      <c r="C57" s="40" t="str">
        <f>IF(B57="","",(VLOOKUP(B57,'Dados de PN'!$A:$B,2,0)))</f>
        <v>TRUNNION ASSY</v>
      </c>
      <c r="D57" s="40" t="s">
        <v>85</v>
      </c>
      <c r="E57" s="44" t="s">
        <v>99</v>
      </c>
      <c r="F57" s="44" t="s">
        <v>35</v>
      </c>
      <c r="G57" s="50">
        <f t="shared" si="2"/>
        <v>1</v>
      </c>
      <c r="H57" s="44">
        <v>1.5737271E7</v>
      </c>
      <c r="I57" s="54" t="s">
        <v>406</v>
      </c>
      <c r="J57" s="44" t="s">
        <v>37</v>
      </c>
      <c r="K57" s="56">
        <v>45931.0</v>
      </c>
      <c r="L57" s="40" t="s">
        <v>53</v>
      </c>
      <c r="M57" s="44" t="s">
        <v>54</v>
      </c>
      <c r="N57" s="132">
        <v>2.02567113026298E14</v>
      </c>
      <c r="O57" s="132" t="s">
        <v>407</v>
      </c>
      <c r="P57" s="63"/>
      <c r="Q57" s="70"/>
      <c r="R57" s="63"/>
      <c r="S57" s="65"/>
      <c r="T57" s="65"/>
      <c r="U57" s="95" t="s">
        <v>412</v>
      </c>
      <c r="V57" s="130"/>
      <c r="W57" s="60"/>
      <c r="X57" s="5"/>
      <c r="Y57" s="5"/>
      <c r="Z57" s="5"/>
      <c r="AA57" s="5"/>
      <c r="AB57" s="5"/>
      <c r="AC57" s="5"/>
      <c r="AD57" s="5"/>
    </row>
    <row r="58">
      <c r="A58" s="39" t="s">
        <v>413</v>
      </c>
      <c r="B58" s="40" t="s">
        <v>414</v>
      </c>
      <c r="C58" s="40" t="str">
        <f>IF(B58="","",(VLOOKUP(B58,'Dados de PN'!$A:$B,2,0)))</f>
        <v>WASHER,FLAT</v>
      </c>
      <c r="D58" s="40" t="s">
        <v>33</v>
      </c>
      <c r="E58" s="44" t="s">
        <v>34</v>
      </c>
      <c r="F58" s="44" t="s">
        <v>118</v>
      </c>
      <c r="G58" s="50">
        <f t="shared" si="2"/>
        <v>2</v>
      </c>
      <c r="H58" s="44">
        <v>1.5735958E7</v>
      </c>
      <c r="I58" s="54" t="s">
        <v>406</v>
      </c>
      <c r="J58" s="44" t="s">
        <v>37</v>
      </c>
      <c r="K58" s="56">
        <v>45931.0</v>
      </c>
      <c r="L58" s="40" t="s">
        <v>53</v>
      </c>
      <c r="M58" s="44" t="s">
        <v>54</v>
      </c>
      <c r="N58" s="132">
        <v>2.02567113026298E14</v>
      </c>
      <c r="O58" s="132" t="s">
        <v>407</v>
      </c>
      <c r="P58" s="63"/>
      <c r="Q58" s="70"/>
      <c r="R58" s="63"/>
      <c r="S58" s="65"/>
      <c r="T58" s="65"/>
      <c r="U58" s="59"/>
      <c r="V58" s="60"/>
      <c r="W58" s="60"/>
      <c r="X58" s="5"/>
      <c r="Y58" s="5"/>
      <c r="Z58" s="5"/>
      <c r="AA58" s="5"/>
      <c r="AB58" s="5"/>
      <c r="AC58" s="5"/>
      <c r="AD58" s="5"/>
    </row>
    <row r="59">
      <c r="A59" s="39" t="s">
        <v>419</v>
      </c>
      <c r="B59" s="40" t="s">
        <v>341</v>
      </c>
      <c r="C59" s="40" t="str">
        <f>IF(B59="","",(VLOOKUP(B59,'Dados de PN'!$A:$B,2,0)))</f>
        <v>HOSE ASSEMBLY,NONMETALLIC</v>
      </c>
      <c r="D59" s="40" t="s">
        <v>33</v>
      </c>
      <c r="E59" s="44" t="s">
        <v>34</v>
      </c>
      <c r="F59" s="44" t="s">
        <v>35</v>
      </c>
      <c r="G59" s="50">
        <f t="shared" si="2"/>
        <v>1</v>
      </c>
      <c r="H59" s="44">
        <v>1.5746456E7</v>
      </c>
      <c r="I59" s="54" t="s">
        <v>420</v>
      </c>
      <c r="J59" s="44" t="s">
        <v>37</v>
      </c>
      <c r="K59" s="56">
        <v>45931.0</v>
      </c>
      <c r="L59" s="40" t="s">
        <v>363</v>
      </c>
      <c r="M59" s="44" t="s">
        <v>54</v>
      </c>
      <c r="N59" s="132">
        <v>2.02567113026365E14</v>
      </c>
      <c r="O59" s="132" t="s">
        <v>421</v>
      </c>
      <c r="P59" s="63"/>
      <c r="Q59" s="70"/>
      <c r="R59" s="63"/>
      <c r="S59" s="65"/>
      <c r="T59" s="65"/>
      <c r="U59" s="59"/>
      <c r="V59" s="60"/>
      <c r="W59" s="60"/>
      <c r="X59" s="5"/>
      <c r="Y59" s="5"/>
      <c r="Z59" s="5"/>
      <c r="AA59" s="5"/>
      <c r="AB59" s="5"/>
      <c r="AC59" s="5"/>
      <c r="AD59" s="5"/>
    </row>
    <row r="60">
      <c r="A60" s="36" t="s">
        <v>423</v>
      </c>
      <c r="B60" s="38" t="s">
        <v>345</v>
      </c>
      <c r="C60" s="38" t="str">
        <f>IF(B60="","",(VLOOKUP(B60,'Dados de PN'!$A:$B,2,0)))</f>
        <v>AIRSPEED INDICATOR</v>
      </c>
      <c r="D60" s="38" t="s">
        <v>348</v>
      </c>
      <c r="E60" s="42" t="s">
        <v>99</v>
      </c>
      <c r="F60" s="42" t="s">
        <v>35</v>
      </c>
      <c r="G60" s="50">
        <f t="shared" si="2"/>
        <v>1</v>
      </c>
      <c r="H60" s="42">
        <v>1.5787463E7</v>
      </c>
      <c r="I60" s="43" t="s">
        <v>425</v>
      </c>
      <c r="J60" s="42" t="s">
        <v>37</v>
      </c>
      <c r="K60" s="45">
        <v>45937.0</v>
      </c>
      <c r="L60" s="38" t="s">
        <v>142</v>
      </c>
      <c r="M60" s="42" t="s">
        <v>54</v>
      </c>
      <c r="N60" s="47"/>
      <c r="O60" s="47"/>
      <c r="P60" s="92" t="s">
        <v>345</v>
      </c>
      <c r="Q60" s="93" t="s">
        <v>350</v>
      </c>
      <c r="R60" s="93" t="s">
        <v>351</v>
      </c>
      <c r="S60" s="65"/>
      <c r="T60" s="94">
        <v>45965.0</v>
      </c>
      <c r="U60" s="99" t="s">
        <v>426</v>
      </c>
      <c r="V60" s="57"/>
      <c r="W60" s="76" t="s">
        <v>66</v>
      </c>
    </row>
    <row r="61">
      <c r="A61" s="39" t="s">
        <v>427</v>
      </c>
      <c r="B61" s="40" t="s">
        <v>354</v>
      </c>
      <c r="C61" s="40" t="str">
        <f>IF(B61="","",(VLOOKUP(B61,'Dados de PN'!$A:$B,2,0)))</f>
        <v>SENSOR, FUEL LEVEL</v>
      </c>
      <c r="D61" s="40" t="s">
        <v>33</v>
      </c>
      <c r="E61" s="44" t="s">
        <v>34</v>
      </c>
      <c r="F61" s="44" t="s">
        <v>35</v>
      </c>
      <c r="G61" s="50">
        <f t="shared" si="2"/>
        <v>1</v>
      </c>
      <c r="H61" s="44">
        <v>3.13250017009E11</v>
      </c>
      <c r="I61" s="54" t="s">
        <v>430</v>
      </c>
      <c r="J61" s="44" t="s">
        <v>37</v>
      </c>
      <c r="K61" s="56">
        <v>45938.0</v>
      </c>
      <c r="L61" s="40" t="s">
        <v>370</v>
      </c>
      <c r="M61" s="44" t="s">
        <v>47</v>
      </c>
      <c r="N61" s="58"/>
      <c r="O61" s="58"/>
      <c r="P61" s="60"/>
      <c r="Q61" s="58"/>
      <c r="R61" s="60"/>
      <c r="S61" s="60"/>
      <c r="T61" s="60"/>
      <c r="U61" s="59"/>
      <c r="V61" s="60"/>
      <c r="W61" s="60"/>
      <c r="X61" s="5"/>
      <c r="Y61" s="5"/>
      <c r="Z61" s="5"/>
      <c r="AA61" s="5"/>
      <c r="AB61" s="5"/>
      <c r="AC61" s="5"/>
      <c r="AD61" s="5"/>
    </row>
    <row r="62">
      <c r="A62" s="39" t="s">
        <v>433</v>
      </c>
      <c r="B62" s="40" t="s">
        <v>356</v>
      </c>
      <c r="C62" s="40" t="str">
        <f>IF(B62="","",(VLOOKUP(B62,'Dados de PN'!$A:$B,2,0)))</f>
        <v>CABLE ASSY-RUDDER LEFT AFT</v>
      </c>
      <c r="D62" s="40" t="s">
        <v>33</v>
      </c>
      <c r="E62" s="44" t="s">
        <v>34</v>
      </c>
      <c r="F62" s="44" t="s">
        <v>35</v>
      </c>
      <c r="G62" s="50">
        <f t="shared" si="2"/>
        <v>1</v>
      </c>
      <c r="H62" s="44">
        <v>1.578152E7</v>
      </c>
      <c r="I62" s="54" t="s">
        <v>436</v>
      </c>
      <c r="J62" s="44" t="s">
        <v>37</v>
      </c>
      <c r="K62" s="56">
        <v>45939.0</v>
      </c>
      <c r="L62" s="40" t="s">
        <v>53</v>
      </c>
      <c r="M62" s="44" t="s">
        <v>54</v>
      </c>
      <c r="N62" s="58"/>
      <c r="O62" s="58"/>
      <c r="P62" s="60"/>
      <c r="Q62" s="58"/>
      <c r="R62" s="60"/>
      <c r="S62" s="60"/>
      <c r="T62" s="60"/>
      <c r="U62" s="59"/>
      <c r="V62" s="60"/>
      <c r="W62" s="60"/>
      <c r="X62" s="5"/>
      <c r="Y62" s="5"/>
      <c r="Z62" s="5"/>
      <c r="AA62" s="5"/>
      <c r="AB62" s="5"/>
      <c r="AC62" s="5"/>
      <c r="AD62" s="5"/>
    </row>
    <row r="63">
      <c r="A63" s="39" t="s">
        <v>437</v>
      </c>
      <c r="B63" s="40" t="s">
        <v>359</v>
      </c>
      <c r="C63" s="40" t="str">
        <f>IF(B63="","",(VLOOKUP(B63,'Dados de PN'!$A:$B,2,0)))</f>
        <v>SPACER</v>
      </c>
      <c r="D63" s="40" t="s">
        <v>33</v>
      </c>
      <c r="E63" s="44" t="s">
        <v>34</v>
      </c>
      <c r="F63" s="44" t="s">
        <v>118</v>
      </c>
      <c r="G63" s="50">
        <f t="shared" si="2"/>
        <v>2</v>
      </c>
      <c r="H63" s="44">
        <v>1.5781491E7</v>
      </c>
      <c r="I63" s="54" t="s">
        <v>436</v>
      </c>
      <c r="J63" s="44" t="s">
        <v>37</v>
      </c>
      <c r="K63" s="56">
        <v>45939.0</v>
      </c>
      <c r="L63" s="40" t="s">
        <v>53</v>
      </c>
      <c r="M63" s="44" t="s">
        <v>54</v>
      </c>
      <c r="N63" s="58"/>
      <c r="O63" s="58"/>
      <c r="P63" s="60"/>
      <c r="Q63" s="58"/>
      <c r="R63" s="60"/>
      <c r="S63" s="60"/>
      <c r="T63" s="60"/>
      <c r="U63" s="59"/>
      <c r="V63" s="60"/>
      <c r="W63" s="60"/>
      <c r="X63" s="5"/>
      <c r="Y63" s="5"/>
      <c r="Z63" s="5"/>
      <c r="AA63" s="5"/>
      <c r="AB63" s="5"/>
      <c r="AC63" s="5"/>
      <c r="AD63" s="5"/>
    </row>
    <row r="64">
      <c r="A64" s="39" t="s">
        <v>442</v>
      </c>
      <c r="B64" s="40" t="s">
        <v>359</v>
      </c>
      <c r="C64" s="40" t="str">
        <f>IF(B64="","",(VLOOKUP(B64,'Dados de PN'!$A:$B,2,0)))</f>
        <v>SPACER</v>
      </c>
      <c r="D64" s="40" t="s">
        <v>33</v>
      </c>
      <c r="E64" s="44" t="s">
        <v>34</v>
      </c>
      <c r="F64" s="44" t="s">
        <v>118</v>
      </c>
      <c r="G64" s="50">
        <f t="shared" si="2"/>
        <v>2</v>
      </c>
      <c r="H64" s="44">
        <v>1.5781465E7</v>
      </c>
      <c r="I64" s="54" t="s">
        <v>436</v>
      </c>
      <c r="J64" s="44" t="s">
        <v>37</v>
      </c>
      <c r="K64" s="56">
        <v>45939.0</v>
      </c>
      <c r="L64" s="40" t="s">
        <v>142</v>
      </c>
      <c r="M64" s="44" t="s">
        <v>54</v>
      </c>
      <c r="N64" s="58"/>
      <c r="O64" s="58"/>
      <c r="P64" s="60"/>
      <c r="Q64" s="58"/>
      <c r="R64" s="60"/>
      <c r="S64" s="60"/>
      <c r="T64" s="60"/>
      <c r="U64" s="59"/>
      <c r="V64" s="60"/>
      <c r="W64" s="60"/>
      <c r="X64" s="5"/>
      <c r="Y64" s="5"/>
      <c r="Z64" s="5"/>
      <c r="AA64" s="5"/>
      <c r="AB64" s="5"/>
      <c r="AC64" s="5"/>
      <c r="AD64" s="5"/>
    </row>
    <row r="65">
      <c r="A65" s="39" t="s">
        <v>445</v>
      </c>
      <c r="B65" s="40" t="s">
        <v>367</v>
      </c>
      <c r="C65" s="40" t="str">
        <f>IF(B65="","",(VLOOKUP(B65,'Dados de PN'!$A:$B,2,0)))</f>
        <v>PIN,LOCK</v>
      </c>
      <c r="D65" s="40" t="s">
        <v>33</v>
      </c>
      <c r="E65" s="44" t="s">
        <v>34</v>
      </c>
      <c r="F65" s="44" t="s">
        <v>168</v>
      </c>
      <c r="G65" s="50">
        <f t="shared" si="2"/>
        <v>8</v>
      </c>
      <c r="H65" s="44">
        <v>1.5815693E7</v>
      </c>
      <c r="I65" s="54" t="s">
        <v>448</v>
      </c>
      <c r="J65" s="44" t="s">
        <v>37</v>
      </c>
      <c r="K65" s="137">
        <v>45940.0</v>
      </c>
      <c r="L65" s="40" t="s">
        <v>53</v>
      </c>
      <c r="M65" s="44" t="s">
        <v>54</v>
      </c>
      <c r="N65" s="58"/>
      <c r="O65" s="58"/>
      <c r="P65" s="60"/>
      <c r="Q65" s="58"/>
      <c r="R65" s="60"/>
      <c r="S65" s="60"/>
      <c r="T65" s="60"/>
      <c r="U65" s="59"/>
      <c r="V65" s="60"/>
      <c r="W65" s="60"/>
      <c r="X65" s="5"/>
      <c r="Y65" s="5"/>
      <c r="Z65" s="5"/>
      <c r="AA65" s="5"/>
      <c r="AB65" s="5"/>
      <c r="AC65" s="5"/>
      <c r="AD65" s="5"/>
    </row>
    <row r="66">
      <c r="A66" s="39" t="s">
        <v>451</v>
      </c>
      <c r="B66" s="40" t="s">
        <v>372</v>
      </c>
      <c r="C66" s="40" t="str">
        <f>IF(B66="","",(VLOOKUP(B66,'Dados de PN'!$A:$B,2,0)))</f>
        <v>GROMMET</v>
      </c>
      <c r="D66" s="40" t="s">
        <v>33</v>
      </c>
      <c r="E66" s="44" t="s">
        <v>34</v>
      </c>
      <c r="F66" s="44" t="s">
        <v>452</v>
      </c>
      <c r="G66" s="50">
        <f t="shared" si="2"/>
        <v>40</v>
      </c>
      <c r="H66" s="124">
        <v>3.86250012806E11</v>
      </c>
      <c r="I66" s="54" t="s">
        <v>382</v>
      </c>
      <c r="J66" s="44" t="s">
        <v>37</v>
      </c>
      <c r="K66" s="137">
        <v>45943.0</v>
      </c>
      <c r="L66" s="40" t="s">
        <v>383</v>
      </c>
      <c r="M66" s="44" t="s">
        <v>384</v>
      </c>
      <c r="N66" s="58"/>
      <c r="O66" s="58"/>
      <c r="P66" s="60"/>
      <c r="Q66" s="58"/>
      <c r="R66" s="60"/>
      <c r="S66" s="60"/>
      <c r="T66" s="60"/>
      <c r="U66" s="95" t="s">
        <v>454</v>
      </c>
      <c r="V66" s="130"/>
      <c r="W66" s="60"/>
      <c r="X66" s="5"/>
      <c r="Y66" s="5"/>
      <c r="Z66" s="5"/>
      <c r="AA66" s="5"/>
      <c r="AB66" s="5"/>
      <c r="AC66" s="5"/>
      <c r="AD66" s="5"/>
    </row>
    <row r="67">
      <c r="A67" s="39" t="s">
        <v>455</v>
      </c>
      <c r="B67" s="40" t="s">
        <v>376</v>
      </c>
      <c r="C67" s="40" t="str">
        <f>IF(B67="","",(VLOOKUP(B67,'Dados de PN'!$A:$B,2,0)))</f>
        <v>IND DE COMANDO DE VOO</v>
      </c>
      <c r="D67" s="40" t="s">
        <v>33</v>
      </c>
      <c r="E67" s="44" t="s">
        <v>99</v>
      </c>
      <c r="F67" s="44" t="s">
        <v>35</v>
      </c>
      <c r="G67" s="50">
        <f t="shared" si="2"/>
        <v>1</v>
      </c>
      <c r="H67" s="44">
        <v>1.5832582E7</v>
      </c>
      <c r="I67" s="54" t="s">
        <v>457</v>
      </c>
      <c r="J67" s="44" t="s">
        <v>37</v>
      </c>
      <c r="K67" s="137">
        <v>45943.0</v>
      </c>
      <c r="L67" s="40" t="s">
        <v>196</v>
      </c>
      <c r="M67" s="44" t="s">
        <v>54</v>
      </c>
      <c r="N67" s="58"/>
      <c r="O67" s="58"/>
      <c r="P67" s="60"/>
      <c r="Q67" s="58"/>
      <c r="R67" s="60"/>
      <c r="S67" s="60"/>
      <c r="T67" s="60"/>
      <c r="U67" s="59"/>
      <c r="V67" s="60"/>
      <c r="W67" s="60"/>
      <c r="X67" s="5"/>
      <c r="Y67" s="5"/>
      <c r="Z67" s="5"/>
      <c r="AA67" s="5"/>
      <c r="AB67" s="5"/>
      <c r="AC67" s="5"/>
      <c r="AD67" s="5"/>
    </row>
    <row r="68">
      <c r="A68" s="39" t="s">
        <v>459</v>
      </c>
      <c r="B68" s="40" t="s">
        <v>379</v>
      </c>
      <c r="C68" s="40" t="str">
        <f>IF(B68="","",(VLOOKUP(B68,'Dados de PN'!$A:$B,2,0)))</f>
        <v>CONNECTOR,PLUG,ELECTRICAL</v>
      </c>
      <c r="D68" s="40" t="s">
        <v>33</v>
      </c>
      <c r="E68" s="44" t="s">
        <v>34</v>
      </c>
      <c r="F68" s="44" t="s">
        <v>118</v>
      </c>
      <c r="G68" s="50">
        <f t="shared" si="2"/>
        <v>2</v>
      </c>
      <c r="H68" s="44">
        <v>1.5820993E7</v>
      </c>
      <c r="I68" s="54" t="s">
        <v>460</v>
      </c>
      <c r="J68" s="44" t="s">
        <v>37</v>
      </c>
      <c r="K68" s="137">
        <v>45943.0</v>
      </c>
      <c r="L68" s="40" t="s">
        <v>120</v>
      </c>
      <c r="M68" s="44" t="s">
        <v>122</v>
      </c>
      <c r="N68" s="58"/>
      <c r="O68" s="58"/>
      <c r="P68" s="60"/>
      <c r="Q68" s="58"/>
      <c r="R68" s="60"/>
      <c r="S68" s="60"/>
      <c r="T68" s="60"/>
      <c r="U68" s="59"/>
      <c r="V68" s="60"/>
      <c r="W68" s="60"/>
      <c r="X68" s="5"/>
      <c r="Y68" s="5"/>
      <c r="Z68" s="5"/>
      <c r="AA68" s="5"/>
      <c r="AB68" s="5"/>
      <c r="AC68" s="5"/>
      <c r="AD68" s="5"/>
    </row>
    <row r="69">
      <c r="A69" s="39" t="s">
        <v>462</v>
      </c>
      <c r="B69" s="40" t="s">
        <v>385</v>
      </c>
      <c r="C69" s="40" t="str">
        <f>IF(B69="","",(VLOOKUP(B69,'Dados de PN'!$A:$B,2,0)))</f>
        <v>CILINDRO DE FREIO</v>
      </c>
      <c r="D69" s="40" t="s">
        <v>463</v>
      </c>
      <c r="E69" s="44" t="s">
        <v>51</v>
      </c>
      <c r="F69" s="44" t="s">
        <v>35</v>
      </c>
      <c r="G69" s="50">
        <f t="shared" si="2"/>
        <v>1</v>
      </c>
      <c r="H69" s="44">
        <v>1.5983589E7</v>
      </c>
      <c r="I69" s="54" t="s">
        <v>464</v>
      </c>
      <c r="J69" s="44" t="s">
        <v>37</v>
      </c>
      <c r="K69" s="137">
        <v>45961.0</v>
      </c>
      <c r="L69" s="40" t="s">
        <v>101</v>
      </c>
      <c r="M69" s="44" t="s">
        <v>467</v>
      </c>
      <c r="N69" s="132">
        <v>2.02567113029541E14</v>
      </c>
      <c r="O69" s="132" t="s">
        <v>469</v>
      </c>
      <c r="P69" s="60"/>
      <c r="Q69" s="58"/>
      <c r="R69" s="60"/>
      <c r="S69" s="60"/>
      <c r="T69" s="138">
        <v>46176.0</v>
      </c>
      <c r="U69" s="95" t="s">
        <v>530</v>
      </c>
      <c r="V69" s="130" t="s">
        <v>531</v>
      </c>
      <c r="W69" s="76" t="s">
        <v>66</v>
      </c>
      <c r="X69" s="5"/>
      <c r="Y69" s="5"/>
      <c r="Z69" s="5"/>
      <c r="AA69" s="5"/>
      <c r="AB69" s="5"/>
      <c r="AC69" s="5"/>
      <c r="AD69" s="5"/>
    </row>
    <row r="70">
      <c r="A70" s="39" t="s">
        <v>472</v>
      </c>
      <c r="B70" s="40" t="s">
        <v>389</v>
      </c>
      <c r="C70" s="40" t="str">
        <f>IF(B70="","",(VLOOKUP(B70,'Dados de PN'!$A:$B,2,0)))</f>
        <v>CONNECTOR,RECEPTACLE,ELECTRICAL</v>
      </c>
      <c r="D70" s="40" t="s">
        <v>33</v>
      </c>
      <c r="E70" s="44" t="s">
        <v>34</v>
      </c>
      <c r="F70" s="44" t="s">
        <v>118</v>
      </c>
      <c r="G70" s="50">
        <f t="shared" si="2"/>
        <v>2</v>
      </c>
      <c r="H70" s="44">
        <v>1.5996602E7</v>
      </c>
      <c r="I70" s="54" t="s">
        <v>475</v>
      </c>
      <c r="J70" s="44" t="s">
        <v>207</v>
      </c>
      <c r="K70" s="56">
        <v>45965.0</v>
      </c>
      <c r="L70" s="40" t="s">
        <v>476</v>
      </c>
      <c r="M70" s="44" t="s">
        <v>477</v>
      </c>
      <c r="N70" s="58"/>
      <c r="O70" s="58"/>
      <c r="P70" s="60"/>
      <c r="Q70" s="58"/>
      <c r="R70" s="60"/>
      <c r="S70" s="60"/>
      <c r="T70" s="60"/>
      <c r="U70" s="59"/>
      <c r="V70" s="60"/>
      <c r="W70" s="60"/>
      <c r="X70" s="5"/>
      <c r="Y70" s="5"/>
      <c r="Z70" s="5"/>
      <c r="AA70" s="5"/>
      <c r="AB70" s="5"/>
      <c r="AC70" s="5"/>
      <c r="AD70" s="5"/>
    </row>
    <row r="71">
      <c r="A71" s="39" t="s">
        <v>478</v>
      </c>
      <c r="B71" s="40" t="s">
        <v>393</v>
      </c>
      <c r="C71" s="40" t="str">
        <f>IF(B71="","",(VLOOKUP(B71,'Dados de PN'!$A:$B,2,0)))</f>
        <v>CIRCUIT BREAKE</v>
      </c>
      <c r="D71" s="40" t="s">
        <v>33</v>
      </c>
      <c r="E71" s="44" t="s">
        <v>34</v>
      </c>
      <c r="F71" s="44" t="s">
        <v>35</v>
      </c>
      <c r="G71" s="50">
        <f t="shared" si="2"/>
        <v>1</v>
      </c>
      <c r="H71" s="44">
        <v>6.90250002091E11</v>
      </c>
      <c r="I71" s="54" t="s">
        <v>481</v>
      </c>
      <c r="J71" s="44" t="s">
        <v>37</v>
      </c>
      <c r="K71" s="56">
        <v>45965.0</v>
      </c>
      <c r="L71" s="40" t="s">
        <v>476</v>
      </c>
      <c r="M71" s="44" t="s">
        <v>477</v>
      </c>
      <c r="N71" s="58"/>
      <c r="O71" s="58"/>
      <c r="P71" s="60"/>
      <c r="Q71" s="58"/>
      <c r="R71" s="60"/>
      <c r="S71" s="60"/>
      <c r="T71" s="60"/>
      <c r="U71" s="59"/>
      <c r="V71" s="60"/>
      <c r="W71" s="60"/>
      <c r="X71" s="5"/>
      <c r="Y71" s="5"/>
      <c r="Z71" s="5"/>
      <c r="AA71" s="5"/>
      <c r="AB71" s="5"/>
      <c r="AC71" s="5"/>
      <c r="AD71" s="5"/>
    </row>
    <row r="72">
      <c r="A72" s="39" t="s">
        <v>484</v>
      </c>
      <c r="B72" s="40" t="s">
        <v>396</v>
      </c>
      <c r="C72" s="40" t="str">
        <f>IF(B72="","",(VLOOKUP(B72,'Dados de PN'!$A:$B,2,0)))</f>
        <v>HORIZ. GYRO-STADBY</v>
      </c>
      <c r="D72" s="40" t="s">
        <v>33</v>
      </c>
      <c r="E72" s="44" t="s">
        <v>99</v>
      </c>
      <c r="F72" s="44" t="s">
        <v>35</v>
      </c>
      <c r="G72" s="50">
        <f t="shared" si="2"/>
        <v>1</v>
      </c>
      <c r="H72" s="44">
        <v>3.86250012861E11</v>
      </c>
      <c r="I72" s="54" t="s">
        <v>481</v>
      </c>
      <c r="J72" s="44" t="s">
        <v>37</v>
      </c>
      <c r="K72" s="56">
        <v>45965.0</v>
      </c>
      <c r="L72" s="40" t="s">
        <v>383</v>
      </c>
      <c r="M72" s="44" t="s">
        <v>384</v>
      </c>
      <c r="N72" s="58"/>
      <c r="O72" s="58"/>
      <c r="P72" s="60"/>
      <c r="Q72" s="58"/>
      <c r="R72" s="60"/>
      <c r="S72" s="60"/>
      <c r="T72" s="60"/>
      <c r="U72" s="59"/>
      <c r="V72" s="60"/>
      <c r="W72" s="60"/>
      <c r="X72" s="5"/>
      <c r="Y72" s="5"/>
      <c r="Z72" s="5"/>
      <c r="AA72" s="5"/>
      <c r="AB72" s="5"/>
      <c r="AC72" s="5"/>
      <c r="AD72" s="5"/>
    </row>
    <row r="73">
      <c r="A73" s="39" t="s">
        <v>487</v>
      </c>
      <c r="B73" s="40" t="s">
        <v>399</v>
      </c>
      <c r="C73" s="40" t="str">
        <f>IF(B73="","",(VLOOKUP(B73,'Dados de PN'!$A:$B,2,0)))</f>
        <v>LOCKNUT,TUBE FITTING</v>
      </c>
      <c r="D73" s="40" t="s">
        <v>33</v>
      </c>
      <c r="E73" s="44" t="s">
        <v>34</v>
      </c>
      <c r="F73" s="44" t="s">
        <v>118</v>
      </c>
      <c r="G73" s="50">
        <f t="shared" si="2"/>
        <v>2</v>
      </c>
      <c r="H73" s="44">
        <v>1.6026728E7</v>
      </c>
      <c r="I73" s="54" t="s">
        <v>491</v>
      </c>
      <c r="J73" s="44" t="s">
        <v>37</v>
      </c>
      <c r="K73" s="56">
        <v>45967.0</v>
      </c>
      <c r="L73" s="40" t="s">
        <v>120</v>
      </c>
      <c r="M73" s="44" t="s">
        <v>122</v>
      </c>
      <c r="N73" s="58"/>
      <c r="O73" s="58"/>
      <c r="P73" s="60"/>
      <c r="Q73" s="58"/>
      <c r="R73" s="60"/>
      <c r="S73" s="60"/>
      <c r="T73" s="60"/>
      <c r="U73" s="59"/>
      <c r="V73" s="60"/>
      <c r="W73" s="60"/>
      <c r="X73" s="5"/>
      <c r="Y73" s="5"/>
      <c r="Z73" s="5"/>
      <c r="AA73" s="5"/>
      <c r="AB73" s="5"/>
      <c r="AC73" s="5"/>
      <c r="AD73" s="5"/>
    </row>
    <row r="74">
      <c r="A74" s="39" t="s">
        <v>494</v>
      </c>
      <c r="B74" s="40" t="s">
        <v>403</v>
      </c>
      <c r="C74" s="40" t="str">
        <f>IF(B74="","",(VLOOKUP(B74,'Dados de PN'!$A:$B,2,0)))</f>
        <v>NUT,SELF-LOCKING,SLOTTED,HEXAGON</v>
      </c>
      <c r="D74" s="40" t="s">
        <v>33</v>
      </c>
      <c r="E74" s="44" t="s">
        <v>34</v>
      </c>
      <c r="F74" s="44" t="s">
        <v>118</v>
      </c>
      <c r="G74" s="50">
        <f t="shared" si="2"/>
        <v>2</v>
      </c>
      <c r="H74" s="44">
        <v>6.85250010171E11</v>
      </c>
      <c r="I74" s="54" t="s">
        <v>497</v>
      </c>
      <c r="J74" s="44" t="s">
        <v>37</v>
      </c>
      <c r="K74" s="56">
        <v>45967.0</v>
      </c>
      <c r="L74" s="40" t="s">
        <v>142</v>
      </c>
      <c r="M74" s="44" t="s">
        <v>54</v>
      </c>
      <c r="N74" s="58"/>
      <c r="O74" s="58"/>
      <c r="P74" s="60"/>
      <c r="Q74" s="58"/>
      <c r="R74" s="60"/>
      <c r="S74" s="60"/>
      <c r="T74" s="60"/>
      <c r="U74" s="59"/>
      <c r="V74" s="60"/>
      <c r="W74" s="60"/>
      <c r="X74" s="5"/>
      <c r="Y74" s="5"/>
      <c r="Z74" s="5"/>
      <c r="AA74" s="5"/>
      <c r="AB74" s="5"/>
      <c r="AC74" s="5"/>
      <c r="AD74" s="5"/>
    </row>
    <row r="75">
      <c r="A75" s="39" t="s">
        <v>500</v>
      </c>
      <c r="B75" s="40" t="s">
        <v>408</v>
      </c>
      <c r="C75" s="40" t="str">
        <f>IF(B75="","",(VLOOKUP(B75,'Dados de PN'!$A:$B,2,0)))</f>
        <v>NUT,SELF-LOCKING,SLOTTED,HEXAGON</v>
      </c>
      <c r="D75" s="40" t="s">
        <v>33</v>
      </c>
      <c r="E75" s="44" t="s">
        <v>34</v>
      </c>
      <c r="F75" s="44" t="s">
        <v>118</v>
      </c>
      <c r="G75" s="50">
        <f t="shared" si="2"/>
        <v>2</v>
      </c>
      <c r="H75" s="44">
        <v>1.6016631E7</v>
      </c>
      <c r="I75" s="54" t="s">
        <v>497</v>
      </c>
      <c r="J75" s="44" t="s">
        <v>37</v>
      </c>
      <c r="K75" s="56">
        <v>45967.0</v>
      </c>
      <c r="L75" s="40" t="s">
        <v>142</v>
      </c>
      <c r="M75" s="44" t="s">
        <v>54</v>
      </c>
      <c r="N75" s="58"/>
      <c r="O75" s="58"/>
      <c r="P75" s="60"/>
      <c r="Q75" s="58"/>
      <c r="R75" s="60"/>
      <c r="S75" s="60"/>
      <c r="T75" s="60"/>
      <c r="U75" s="59"/>
      <c r="V75" s="60"/>
      <c r="W75" s="60"/>
      <c r="X75" s="5"/>
      <c r="Y75" s="5"/>
      <c r="Z75" s="5"/>
      <c r="AA75" s="5"/>
      <c r="AB75" s="5"/>
      <c r="AC75" s="5"/>
      <c r="AD75" s="5"/>
    </row>
    <row r="76">
      <c r="A76" s="39" t="s">
        <v>504</v>
      </c>
      <c r="B76" s="40" t="s">
        <v>410</v>
      </c>
      <c r="C76" s="40" t="str">
        <f>IF(B76="","",(VLOOKUP(B76,'Dados de PN'!$A:$B,2,0)))</f>
        <v>SWITCH-ELEC TR</v>
      </c>
      <c r="D76" s="40" t="s">
        <v>33</v>
      </c>
      <c r="E76" s="44" t="s">
        <v>34</v>
      </c>
      <c r="F76" s="44" t="s">
        <v>118</v>
      </c>
      <c r="G76" s="50">
        <f t="shared" si="2"/>
        <v>2</v>
      </c>
      <c r="H76" s="44">
        <v>3.13250017133E11</v>
      </c>
      <c r="I76" s="54" t="s">
        <v>507</v>
      </c>
      <c r="J76" s="44" t="s">
        <v>37</v>
      </c>
      <c r="K76" s="56">
        <v>45967.0</v>
      </c>
      <c r="L76" s="40" t="s">
        <v>395</v>
      </c>
      <c r="M76" s="44" t="s">
        <v>47</v>
      </c>
      <c r="N76" s="58"/>
      <c r="O76" s="58"/>
      <c r="P76" s="60"/>
      <c r="Q76" s="58"/>
      <c r="R76" s="60"/>
      <c r="S76" s="60"/>
      <c r="T76" s="60"/>
      <c r="U76" s="59"/>
      <c r="V76" s="60"/>
      <c r="W76" s="60"/>
      <c r="X76" s="5"/>
      <c r="Y76" s="5"/>
      <c r="Z76" s="5"/>
      <c r="AA76" s="5"/>
      <c r="AB76" s="5"/>
      <c r="AC76" s="5"/>
      <c r="AD76" s="5"/>
    </row>
    <row r="77">
      <c r="A77" s="39" t="s">
        <v>509</v>
      </c>
      <c r="B77" s="40" t="s">
        <v>415</v>
      </c>
      <c r="C77" s="40" t="str">
        <f>IF(B77="","",(VLOOKUP(B77,'Dados de PN'!$A:$B,2,0)))</f>
        <v>WHEEL HALF ASSY</v>
      </c>
      <c r="D77" s="40" t="s">
        <v>33</v>
      </c>
      <c r="E77" s="44" t="s">
        <v>99</v>
      </c>
      <c r="F77" s="44" t="s">
        <v>35</v>
      </c>
      <c r="G77" s="50">
        <f t="shared" si="2"/>
        <v>1</v>
      </c>
      <c r="H77" s="40" t="s">
        <v>511</v>
      </c>
      <c r="I77" s="54" t="s">
        <v>512</v>
      </c>
      <c r="J77" s="44" t="s">
        <v>37</v>
      </c>
      <c r="K77" s="56">
        <v>45968.0</v>
      </c>
      <c r="L77" s="40" t="s">
        <v>417</v>
      </c>
      <c r="M77" s="44" t="s">
        <v>54</v>
      </c>
      <c r="N77" s="58"/>
      <c r="O77" s="58"/>
      <c r="P77" s="60"/>
      <c r="Q77" s="58"/>
      <c r="R77" s="60"/>
      <c r="S77" s="60"/>
      <c r="T77" s="60"/>
      <c r="U77" s="59"/>
      <c r="V77" s="60"/>
      <c r="W77" s="60"/>
      <c r="X77" s="5"/>
      <c r="Y77" s="5"/>
      <c r="Z77" s="5"/>
      <c r="AA77" s="5"/>
      <c r="AB77" s="5"/>
      <c r="AC77" s="5"/>
      <c r="AD77" s="5"/>
    </row>
    <row r="78">
      <c r="A78" s="39" t="s">
        <v>513</v>
      </c>
      <c r="B78" s="40" t="s">
        <v>418</v>
      </c>
      <c r="C78" s="40" t="str">
        <f>IF(B78="","",(VLOOKUP(B78,'Dados de PN'!$A:$B,2,0)))</f>
        <v>WHEEL HALF ASSY</v>
      </c>
      <c r="D78" s="40" t="s">
        <v>33</v>
      </c>
      <c r="E78" s="44" t="s">
        <v>99</v>
      </c>
      <c r="F78" s="44" t="s">
        <v>302</v>
      </c>
      <c r="G78" s="50">
        <f t="shared" si="2"/>
        <v>3</v>
      </c>
      <c r="H78" s="40" t="s">
        <v>516</v>
      </c>
      <c r="I78" s="54" t="s">
        <v>512</v>
      </c>
      <c r="J78" s="44" t="s">
        <v>37</v>
      </c>
      <c r="K78" s="56">
        <v>45968.0</v>
      </c>
      <c r="L78" s="40" t="s">
        <v>417</v>
      </c>
      <c r="M78" s="44" t="s">
        <v>54</v>
      </c>
      <c r="N78" s="58"/>
      <c r="O78" s="58"/>
      <c r="P78" s="60"/>
      <c r="Q78" s="58"/>
      <c r="R78" s="60"/>
      <c r="S78" s="60"/>
      <c r="T78" s="60"/>
      <c r="U78" s="59"/>
      <c r="V78" s="60"/>
      <c r="W78" s="60"/>
      <c r="X78" s="5"/>
      <c r="Y78" s="5"/>
      <c r="Z78" s="5"/>
      <c r="AA78" s="5"/>
      <c r="AB78" s="5"/>
      <c r="AC78" s="5"/>
      <c r="AD78" s="5"/>
    </row>
    <row r="79">
      <c r="A79" s="39" t="s">
        <v>517</v>
      </c>
      <c r="B79" s="40" t="s">
        <v>422</v>
      </c>
      <c r="C79" s="40" t="str">
        <f>IF(B79="","",(VLOOKUP(B79,'Dados de PN'!$A:$B,2,0)))</f>
        <v>WHEEL HALF ASSY</v>
      </c>
      <c r="D79" s="40" t="s">
        <v>33</v>
      </c>
      <c r="E79" s="44" t="s">
        <v>99</v>
      </c>
      <c r="F79" s="44" t="s">
        <v>35</v>
      </c>
      <c r="G79" s="50">
        <f t="shared" si="2"/>
        <v>1</v>
      </c>
      <c r="H79" s="40" t="s">
        <v>520</v>
      </c>
      <c r="I79" s="54" t="s">
        <v>512</v>
      </c>
      <c r="J79" s="44" t="s">
        <v>37</v>
      </c>
      <c r="K79" s="56">
        <v>45968.0</v>
      </c>
      <c r="L79" s="40" t="s">
        <v>417</v>
      </c>
      <c r="M79" s="44" t="s">
        <v>54</v>
      </c>
      <c r="N79" s="58"/>
      <c r="O79" s="58"/>
      <c r="P79" s="60"/>
      <c r="Q79" s="58"/>
      <c r="R79" s="60"/>
      <c r="S79" s="60"/>
      <c r="T79" s="60"/>
      <c r="U79" s="59"/>
      <c r="V79" s="60"/>
      <c r="W79" s="60"/>
      <c r="X79" s="5"/>
      <c r="Y79" s="5"/>
      <c r="Z79" s="5"/>
      <c r="AA79" s="5"/>
      <c r="AB79" s="5"/>
      <c r="AC79" s="5"/>
      <c r="AD79" s="5"/>
    </row>
    <row r="80">
      <c r="A80" s="39" t="s">
        <v>523</v>
      </c>
      <c r="B80" s="40" t="s">
        <v>424</v>
      </c>
      <c r="C80" s="40" t="str">
        <f>IF(B80="","",(VLOOKUP(B80,'Dados de PN'!$A:$B,2,0)))</f>
        <v>WHEEL HALF ASSY</v>
      </c>
      <c r="D80" s="40" t="s">
        <v>33</v>
      </c>
      <c r="E80" s="44" t="s">
        <v>99</v>
      </c>
      <c r="F80" s="44" t="s">
        <v>35</v>
      </c>
      <c r="G80" s="50">
        <f t="shared" si="2"/>
        <v>1</v>
      </c>
      <c r="H80" s="40" t="s">
        <v>527</v>
      </c>
      <c r="I80" s="54" t="s">
        <v>512</v>
      </c>
      <c r="J80" s="44" t="s">
        <v>37</v>
      </c>
      <c r="K80" s="56">
        <v>45968.0</v>
      </c>
      <c r="L80" s="40" t="s">
        <v>417</v>
      </c>
      <c r="M80" s="44" t="s">
        <v>54</v>
      </c>
      <c r="N80" s="58"/>
      <c r="O80" s="58"/>
      <c r="P80" s="60"/>
      <c r="Q80" s="58"/>
      <c r="R80" s="60"/>
      <c r="S80" s="60"/>
      <c r="T80" s="60"/>
      <c r="U80" s="59"/>
      <c r="V80" s="60"/>
      <c r="W80" s="60"/>
      <c r="X80" s="5"/>
      <c r="Y80" s="5"/>
      <c r="Z80" s="5"/>
      <c r="AA80" s="5"/>
      <c r="AB80" s="5"/>
      <c r="AC80" s="5"/>
      <c r="AD80" s="5"/>
    </row>
    <row r="81">
      <c r="A81" s="39" t="s">
        <v>535</v>
      </c>
      <c r="B81" s="40" t="s">
        <v>428</v>
      </c>
      <c r="C81" s="40" t="str">
        <f>IF(B81="","",(VLOOKUP(B81,'Dados de PN'!$A:$B,2,0)))</f>
        <v>ANTENNA KIT-DME/TRANSPONDER FOR USE WITH A CARGO POD.</v>
      </c>
      <c r="D81" s="40" t="s">
        <v>33</v>
      </c>
      <c r="E81" s="44" t="s">
        <v>34</v>
      </c>
      <c r="F81" s="44" t="s">
        <v>35</v>
      </c>
      <c r="G81" s="50">
        <f t="shared" si="2"/>
        <v>1</v>
      </c>
      <c r="H81" s="40" t="s">
        <v>541</v>
      </c>
      <c r="I81" s="54" t="s">
        <v>512</v>
      </c>
      <c r="J81" s="44" t="s">
        <v>37</v>
      </c>
      <c r="K81" s="56">
        <v>45968.0</v>
      </c>
      <c r="L81" s="40" t="s">
        <v>417</v>
      </c>
      <c r="M81" s="44" t="s">
        <v>54</v>
      </c>
      <c r="N81" s="58"/>
      <c r="O81" s="58"/>
      <c r="P81" s="60"/>
      <c r="Q81" s="58"/>
      <c r="R81" s="60"/>
      <c r="S81" s="60"/>
      <c r="T81" s="60"/>
      <c r="U81" s="59"/>
      <c r="V81" s="60"/>
      <c r="W81" s="60"/>
      <c r="X81" s="5"/>
      <c r="Y81" s="5"/>
      <c r="Z81" s="5"/>
      <c r="AA81" s="5"/>
      <c r="AB81" s="5"/>
      <c r="AC81" s="5"/>
      <c r="AD81" s="5"/>
    </row>
    <row r="82">
      <c r="A82" s="39" t="s">
        <v>544</v>
      </c>
      <c r="B82" s="40" t="s">
        <v>431</v>
      </c>
      <c r="C82" s="40" t="str">
        <f>IF(B82="","",(VLOOKUP(B82,'Dados de PN'!$A:$B,2,0)))</f>
        <v>VALVE OIL DRAI</v>
      </c>
      <c r="D82" s="40" t="s">
        <v>33</v>
      </c>
      <c r="E82" s="44" t="s">
        <v>34</v>
      </c>
      <c r="F82" s="44" t="s">
        <v>35</v>
      </c>
      <c r="G82" s="50">
        <f t="shared" si="2"/>
        <v>1</v>
      </c>
      <c r="H82" s="44">
        <v>1.605536E7</v>
      </c>
      <c r="I82" s="54" t="s">
        <v>547</v>
      </c>
      <c r="J82" s="44" t="s">
        <v>37</v>
      </c>
      <c r="K82" s="137">
        <v>45973.0</v>
      </c>
      <c r="L82" s="40" t="s">
        <v>548</v>
      </c>
      <c r="M82" s="44" t="s">
        <v>47</v>
      </c>
      <c r="N82" s="58"/>
      <c r="O82" s="58"/>
      <c r="P82" s="60"/>
      <c r="Q82" s="58"/>
      <c r="R82" s="60"/>
      <c r="S82" s="60"/>
      <c r="T82" s="60"/>
      <c r="U82" s="59"/>
      <c r="V82" s="60"/>
      <c r="W82" s="60"/>
      <c r="X82" s="5"/>
      <c r="Y82" s="5"/>
      <c r="Z82" s="5"/>
      <c r="AA82" s="5"/>
      <c r="AB82" s="5"/>
      <c r="AC82" s="5"/>
      <c r="AD82" s="5"/>
    </row>
    <row r="83">
      <c r="A83" s="39" t="s">
        <v>551</v>
      </c>
      <c r="B83" s="40" t="s">
        <v>434</v>
      </c>
      <c r="C83" s="40" t="str">
        <f>IF(B83="","",(VLOOKUP(B83,'Dados de PN'!$A:$B,2,0)))</f>
        <v>SCREW,MACHINE</v>
      </c>
      <c r="D83" s="40" t="s">
        <v>33</v>
      </c>
      <c r="E83" s="44" t="s">
        <v>34</v>
      </c>
      <c r="F83" s="44" t="s">
        <v>35</v>
      </c>
      <c r="G83" s="50">
        <f t="shared" si="2"/>
        <v>1</v>
      </c>
      <c r="H83" s="44">
        <v>1.6075059E7</v>
      </c>
      <c r="I83" s="54" t="s">
        <v>556</v>
      </c>
      <c r="J83" s="44" t="s">
        <v>37</v>
      </c>
      <c r="K83" s="137">
        <v>45974.0</v>
      </c>
      <c r="L83" s="40" t="s">
        <v>557</v>
      </c>
      <c r="M83" s="44" t="s">
        <v>558</v>
      </c>
      <c r="N83" s="58"/>
      <c r="O83" s="58"/>
      <c r="P83" s="60"/>
      <c r="Q83" s="58"/>
      <c r="R83" s="60"/>
      <c r="S83" s="60"/>
      <c r="T83" s="60"/>
      <c r="U83" s="59"/>
      <c r="V83" s="60"/>
      <c r="W83" s="60"/>
      <c r="X83" s="5"/>
      <c r="Y83" s="5"/>
      <c r="Z83" s="5"/>
      <c r="AA83" s="5"/>
      <c r="AB83" s="5"/>
      <c r="AC83" s="5"/>
      <c r="AD83" s="5"/>
    </row>
    <row r="84">
      <c r="A84" s="39" t="s">
        <v>561</v>
      </c>
      <c r="B84" s="40" t="s">
        <v>438</v>
      </c>
      <c r="C84" s="40" t="str">
        <f>IF(B84="","",(VLOOKUP(B84,'Dados de PN'!$A:$B,2,0)))</f>
        <v>SCREW</v>
      </c>
      <c r="D84" s="40" t="s">
        <v>33</v>
      </c>
      <c r="E84" s="44" t="s">
        <v>34</v>
      </c>
      <c r="F84" s="44" t="s">
        <v>308</v>
      </c>
      <c r="G84" s="50">
        <f t="shared" si="2"/>
        <v>10</v>
      </c>
      <c r="H84" s="44">
        <v>1.6026082E7</v>
      </c>
      <c r="I84" s="54" t="s">
        <v>564</v>
      </c>
      <c r="J84" s="44" t="s">
        <v>37</v>
      </c>
      <c r="K84" s="137">
        <v>45975.0</v>
      </c>
      <c r="L84" s="40" t="s">
        <v>110</v>
      </c>
      <c r="M84" s="44" t="s">
        <v>54</v>
      </c>
      <c r="N84" s="58"/>
      <c r="O84" s="58"/>
      <c r="P84" s="60"/>
      <c r="Q84" s="58"/>
      <c r="R84" s="60"/>
      <c r="S84" s="60"/>
      <c r="T84" s="60"/>
      <c r="U84" s="59"/>
      <c r="V84" s="60"/>
      <c r="W84" s="60"/>
      <c r="X84" s="5"/>
      <c r="Y84" s="5"/>
      <c r="Z84" s="5"/>
      <c r="AA84" s="5"/>
      <c r="AB84" s="5"/>
      <c r="AC84" s="5"/>
      <c r="AD84" s="5"/>
    </row>
    <row r="85">
      <c r="A85" s="39" t="s">
        <v>565</v>
      </c>
      <c r="B85" s="40" t="s">
        <v>440</v>
      </c>
      <c r="C85" s="40" t="str">
        <f>IF(B85="","",(VLOOKUP(B85,'Dados de PN'!$A:$B,2,0)))</f>
        <v>SCREW MACHINE</v>
      </c>
      <c r="D85" s="40" t="s">
        <v>33</v>
      </c>
      <c r="E85" s="44" t="s">
        <v>34</v>
      </c>
      <c r="F85" s="44" t="s">
        <v>93</v>
      </c>
      <c r="G85" s="50">
        <f t="shared" si="2"/>
        <v>50</v>
      </c>
      <c r="H85" s="44">
        <v>1.6089349E7</v>
      </c>
      <c r="I85" s="54" t="s">
        <v>564</v>
      </c>
      <c r="J85" s="44" t="s">
        <v>37</v>
      </c>
      <c r="K85" s="137">
        <v>45975.0</v>
      </c>
      <c r="L85" s="40" t="s">
        <v>110</v>
      </c>
      <c r="M85" s="44" t="s">
        <v>54</v>
      </c>
      <c r="N85" s="58"/>
      <c r="O85" s="58"/>
      <c r="P85" s="60"/>
      <c r="Q85" s="58"/>
      <c r="R85" s="60"/>
      <c r="S85" s="60"/>
      <c r="T85" s="60"/>
      <c r="U85" s="59"/>
      <c r="V85" s="60"/>
      <c r="W85" s="60"/>
      <c r="X85" s="5"/>
      <c r="Y85" s="5"/>
      <c r="Z85" s="5"/>
      <c r="AA85" s="5"/>
      <c r="AB85" s="5"/>
      <c r="AC85" s="5"/>
      <c r="AD85" s="5"/>
    </row>
    <row r="86">
      <c r="A86" s="39" t="s">
        <v>568</v>
      </c>
      <c r="B86" s="40" t="s">
        <v>443</v>
      </c>
      <c r="C86" s="40" t="str">
        <f>IF(B86="","",(VLOOKUP(B86,'Dados de PN'!$A:$B,2,0)))</f>
        <v>SLAVING ACCESS,SPEC</v>
      </c>
      <c r="D86" s="40" t="s">
        <v>572</v>
      </c>
      <c r="E86" s="44" t="s">
        <v>99</v>
      </c>
      <c r="F86" s="44" t="s">
        <v>35</v>
      </c>
      <c r="G86" s="50">
        <f t="shared" si="2"/>
        <v>1</v>
      </c>
      <c r="H86" s="44">
        <v>1.6134646E7</v>
      </c>
      <c r="I86" s="54" t="s">
        <v>573</v>
      </c>
      <c r="J86" s="44" t="s">
        <v>37</v>
      </c>
      <c r="K86" s="137">
        <v>45982.0</v>
      </c>
      <c r="L86" s="40" t="s">
        <v>363</v>
      </c>
      <c r="M86" s="44" t="s">
        <v>364</v>
      </c>
      <c r="N86" s="58"/>
      <c r="O86" s="58"/>
      <c r="P86" s="60"/>
      <c r="Q86" s="58"/>
      <c r="R86" s="60"/>
      <c r="S86" s="60"/>
      <c r="T86" s="60"/>
      <c r="U86" s="59"/>
      <c r="V86" s="60"/>
      <c r="W86" s="60"/>
      <c r="X86" s="5"/>
      <c r="Y86" s="5"/>
      <c r="Z86" s="5"/>
      <c r="AA86" s="5"/>
      <c r="AB86" s="5"/>
      <c r="AC86" s="5"/>
      <c r="AD86" s="5"/>
    </row>
    <row r="87">
      <c r="A87" s="39" t="s">
        <v>577</v>
      </c>
      <c r="B87" s="40" t="s">
        <v>446</v>
      </c>
      <c r="C87" s="40" t="str">
        <f>IF(B87="","",(VLOOKUP(B87,'Dados de PN'!$A:$B,2,0)))</f>
        <v>CONTROL INDICATOR</v>
      </c>
      <c r="D87" s="40" t="s">
        <v>580</v>
      </c>
      <c r="E87" s="44" t="s">
        <v>99</v>
      </c>
      <c r="F87" s="44" t="s">
        <v>35</v>
      </c>
      <c r="G87" s="50">
        <f t="shared" si="2"/>
        <v>1</v>
      </c>
      <c r="H87" s="44">
        <v>1.6134346E7</v>
      </c>
      <c r="I87" s="54" t="s">
        <v>573</v>
      </c>
      <c r="J87" s="44" t="s">
        <v>37</v>
      </c>
      <c r="K87" s="137">
        <v>45982.0</v>
      </c>
      <c r="L87" s="40" t="s">
        <v>363</v>
      </c>
      <c r="M87" s="44" t="s">
        <v>364</v>
      </c>
      <c r="N87" s="58"/>
      <c r="O87" s="58"/>
      <c r="P87" s="60"/>
      <c r="Q87" s="58"/>
      <c r="R87" s="60"/>
      <c r="S87" s="60"/>
      <c r="T87" s="60"/>
      <c r="U87" s="59"/>
      <c r="V87" s="60"/>
      <c r="W87" s="60"/>
      <c r="X87" s="5"/>
      <c r="Y87" s="5"/>
      <c r="Z87" s="5"/>
      <c r="AA87" s="5"/>
      <c r="AB87" s="5"/>
      <c r="AC87" s="5"/>
      <c r="AD87" s="5"/>
    </row>
    <row r="88">
      <c r="A88" s="39" t="s">
        <v>584</v>
      </c>
      <c r="B88" s="40" t="s">
        <v>449</v>
      </c>
      <c r="C88" s="40" t="str">
        <f>IF(B88="","",(VLOOKUP(B88,'Dados de PN'!$A:$B,2,0)))</f>
        <v>AIRSPEED INDICATOR</v>
      </c>
      <c r="D88" s="40" t="s">
        <v>450</v>
      </c>
      <c r="E88" s="44" t="s">
        <v>99</v>
      </c>
      <c r="F88" s="44" t="s">
        <v>35</v>
      </c>
      <c r="G88" s="50">
        <f t="shared" si="2"/>
        <v>1</v>
      </c>
      <c r="H88" s="44">
        <v>1.6146341E7</v>
      </c>
      <c r="I88" s="54" t="s">
        <v>585</v>
      </c>
      <c r="J88" s="44" t="s">
        <v>37</v>
      </c>
      <c r="K88" s="137">
        <v>45985.0</v>
      </c>
      <c r="L88" s="40" t="s">
        <v>120</v>
      </c>
      <c r="M88" s="44" t="s">
        <v>122</v>
      </c>
      <c r="N88" s="58"/>
      <c r="O88" s="58"/>
      <c r="P88" s="60"/>
      <c r="Q88" s="58"/>
      <c r="R88" s="60"/>
      <c r="S88" s="60"/>
      <c r="T88" s="60"/>
      <c r="U88" s="59"/>
      <c r="V88" s="60"/>
      <c r="W88" s="60"/>
      <c r="X88" s="5"/>
      <c r="Y88" s="5"/>
      <c r="Z88" s="5"/>
      <c r="AA88" s="5"/>
      <c r="AB88" s="5"/>
      <c r="AC88" s="5"/>
      <c r="AD88" s="5"/>
    </row>
    <row r="89">
      <c r="A89" s="39" t="s">
        <v>586</v>
      </c>
      <c r="B89" s="40" t="s">
        <v>202</v>
      </c>
      <c r="C89" s="40" t="str">
        <f>IF(B89="","",(VLOOKUP(B89,'Dados de PN'!$A:$B,2,0)))</f>
        <v>SENSOR, FUEL LEVEL SHORT</v>
      </c>
      <c r="D89" s="40" t="s">
        <v>453</v>
      </c>
      <c r="E89" s="44" t="s">
        <v>34</v>
      </c>
      <c r="F89" s="44" t="s">
        <v>35</v>
      </c>
      <c r="G89" s="50">
        <f t="shared" si="2"/>
        <v>1</v>
      </c>
      <c r="H89" s="44">
        <v>3.96250015798E11</v>
      </c>
      <c r="I89" s="54" t="s">
        <v>588</v>
      </c>
      <c r="J89" s="44" t="s">
        <v>37</v>
      </c>
      <c r="K89" s="137">
        <v>45985.0</v>
      </c>
      <c r="L89" s="40" t="s">
        <v>252</v>
      </c>
      <c r="M89" s="44" t="s">
        <v>61</v>
      </c>
      <c r="N89" s="58"/>
      <c r="O89" s="58"/>
      <c r="P89" s="60"/>
      <c r="Q89" s="58"/>
      <c r="R89" s="60"/>
      <c r="S89" s="60"/>
      <c r="T89" s="60"/>
      <c r="U89" s="59"/>
      <c r="V89" s="60"/>
      <c r="W89" s="60"/>
      <c r="X89" s="5"/>
      <c r="Y89" s="5"/>
      <c r="Z89" s="5"/>
      <c r="AA89" s="5"/>
      <c r="AB89" s="5"/>
      <c r="AC89" s="5"/>
      <c r="AD89" s="5"/>
    </row>
    <row r="90">
      <c r="A90" s="39" t="s">
        <v>591</v>
      </c>
      <c r="B90" s="40" t="s">
        <v>443</v>
      </c>
      <c r="C90" s="40" t="str">
        <f>IF(B90="","",(VLOOKUP(B90,'Dados de PN'!$A:$B,2,0)))</f>
        <v>SLAVING ACCESS,SPEC</v>
      </c>
      <c r="D90" s="40" t="s">
        <v>592</v>
      </c>
      <c r="E90" s="44" t="s">
        <v>99</v>
      </c>
      <c r="F90" s="44" t="s">
        <v>35</v>
      </c>
      <c r="G90" s="50">
        <f t="shared" si="2"/>
        <v>1</v>
      </c>
      <c r="H90" s="44">
        <v>1.615863E7</v>
      </c>
      <c r="I90" s="54" t="s">
        <v>585</v>
      </c>
      <c r="J90" s="44" t="s">
        <v>37</v>
      </c>
      <c r="K90" s="137">
        <v>45986.0</v>
      </c>
      <c r="L90" s="40" t="s">
        <v>120</v>
      </c>
      <c r="M90" s="44" t="s">
        <v>122</v>
      </c>
      <c r="N90" s="58"/>
      <c r="O90" s="58"/>
      <c r="P90" s="60"/>
      <c r="Q90" s="58"/>
      <c r="R90" s="60"/>
      <c r="S90" s="60"/>
      <c r="T90" s="60"/>
      <c r="U90" s="59"/>
      <c r="V90" s="60"/>
      <c r="W90" s="60"/>
      <c r="X90" s="5"/>
      <c r="Y90" s="5"/>
      <c r="Z90" s="5"/>
      <c r="AA90" s="5"/>
      <c r="AB90" s="5"/>
      <c r="AC90" s="5"/>
      <c r="AD90" s="5"/>
    </row>
    <row r="91">
      <c r="A91" s="39" t="s">
        <v>597</v>
      </c>
      <c r="B91" s="150" t="s">
        <v>598</v>
      </c>
      <c r="C91" s="40" t="str">
        <f>IF(B91="","",(VLOOKUP(B91,'Dados de PN'!$A:$B,2,0)))</f>
        <v>CONTROL SERVO</v>
      </c>
      <c r="D91" s="151"/>
      <c r="E91" s="130" t="s">
        <v>99</v>
      </c>
      <c r="F91" s="44" t="s">
        <v>35</v>
      </c>
      <c r="G91" s="50">
        <f t="shared" si="2"/>
        <v>1</v>
      </c>
      <c r="H91" s="44">
        <v>6.85250010243E11</v>
      </c>
      <c r="I91" s="132" t="s">
        <v>599</v>
      </c>
      <c r="J91" s="130" t="s">
        <v>37</v>
      </c>
      <c r="K91" s="137">
        <v>45992.0</v>
      </c>
      <c r="L91" s="150" t="s">
        <v>110</v>
      </c>
      <c r="M91" s="130" t="s">
        <v>54</v>
      </c>
      <c r="N91" s="58"/>
      <c r="O91" s="58"/>
      <c r="P91" s="60"/>
      <c r="Q91" s="58"/>
      <c r="R91" s="60"/>
      <c r="S91" s="60"/>
      <c r="T91" s="60"/>
      <c r="U91" s="95"/>
      <c r="V91" s="60"/>
      <c r="W91" s="60"/>
      <c r="X91" s="5"/>
      <c r="Y91" s="5"/>
      <c r="Z91" s="5"/>
      <c r="AA91" s="5"/>
      <c r="AB91" s="5"/>
      <c r="AC91" s="5"/>
      <c r="AD91" s="5"/>
    </row>
    <row r="92">
      <c r="A92" s="39" t="s">
        <v>601</v>
      </c>
      <c r="B92" s="150" t="s">
        <v>532</v>
      </c>
      <c r="C92" s="40" t="str">
        <f>IF(B92="","",(VLOOKUP(B92,'Dados de PN'!$A:$B,2,0)))</f>
        <v>RECEIVER TRANSMITTER</v>
      </c>
      <c r="D92" s="151"/>
      <c r="E92" s="130" t="s">
        <v>99</v>
      </c>
      <c r="F92" s="44" t="s">
        <v>35</v>
      </c>
      <c r="G92" s="50">
        <f t="shared" si="2"/>
        <v>1</v>
      </c>
      <c r="H92" s="44">
        <v>6.90250002095E11</v>
      </c>
      <c r="I92" s="132" t="s">
        <v>599</v>
      </c>
      <c r="J92" s="130" t="s">
        <v>37</v>
      </c>
      <c r="K92" s="137">
        <v>45992.0</v>
      </c>
      <c r="L92" s="150" t="s">
        <v>476</v>
      </c>
      <c r="M92" s="130" t="s">
        <v>477</v>
      </c>
      <c r="N92" s="58"/>
      <c r="O92" s="58"/>
      <c r="P92" s="60"/>
      <c r="Q92" s="58"/>
      <c r="R92" s="60"/>
      <c r="S92" s="60"/>
      <c r="T92" s="60"/>
      <c r="U92" s="95"/>
      <c r="V92" s="60"/>
      <c r="W92" s="60"/>
      <c r="X92" s="5"/>
      <c r="Y92" s="5"/>
      <c r="Z92" s="5"/>
      <c r="AA92" s="5"/>
      <c r="AB92" s="5"/>
      <c r="AC92" s="5"/>
      <c r="AD92" s="5"/>
    </row>
    <row r="93">
      <c r="A93" s="36" t="s">
        <v>605</v>
      </c>
      <c r="B93" s="140" t="s">
        <v>465</v>
      </c>
      <c r="C93" s="38" t="str">
        <f>IF(B93="","",(VLOOKUP(B93,'Dados de PN'!$A:$B,2,0)))</f>
        <v>IND RDR 200 IN</v>
      </c>
      <c r="D93" s="140" t="s">
        <v>609</v>
      </c>
      <c r="E93" s="75" t="s">
        <v>99</v>
      </c>
      <c r="F93" s="42" t="s">
        <v>35</v>
      </c>
      <c r="G93" s="50">
        <f t="shared" si="2"/>
        <v>1</v>
      </c>
      <c r="H93" s="42">
        <v>1.6243997E7</v>
      </c>
      <c r="I93" s="43" t="s">
        <v>611</v>
      </c>
      <c r="J93" s="42" t="s">
        <v>37</v>
      </c>
      <c r="K93" s="131">
        <v>45996.0</v>
      </c>
      <c r="L93" s="140" t="s">
        <v>120</v>
      </c>
      <c r="M93" s="75" t="s">
        <v>122</v>
      </c>
      <c r="N93" s="47"/>
      <c r="O93" s="128" t="s">
        <v>613</v>
      </c>
      <c r="P93" s="152" t="s">
        <v>465</v>
      </c>
      <c r="Q93" s="143" t="s">
        <v>468</v>
      </c>
      <c r="R93" s="143" t="s">
        <v>188</v>
      </c>
      <c r="S93" s="144"/>
      <c r="T93" s="145">
        <v>45979.0</v>
      </c>
      <c r="U93" s="99" t="s">
        <v>616</v>
      </c>
      <c r="V93" s="57"/>
      <c r="W93" s="76" t="s">
        <v>66</v>
      </c>
    </row>
    <row r="94">
      <c r="A94" s="39" t="s">
        <v>617</v>
      </c>
      <c r="B94" s="150" t="s">
        <v>470</v>
      </c>
      <c r="C94" s="40" t="str">
        <f>IF(B94="","",(VLOOKUP(B94,'Dados de PN'!$A:$B,2,0)))</f>
        <v>AIR COMPRESSOR</v>
      </c>
      <c r="D94" s="150" t="s">
        <v>619</v>
      </c>
      <c r="E94" s="130" t="s">
        <v>99</v>
      </c>
      <c r="F94" s="44" t="s">
        <v>35</v>
      </c>
      <c r="G94" s="50">
        <f t="shared" si="2"/>
        <v>1</v>
      </c>
      <c r="H94" s="44">
        <v>1.6275401E7</v>
      </c>
      <c r="I94" s="132" t="s">
        <v>620</v>
      </c>
      <c r="J94" s="44" t="s">
        <v>37</v>
      </c>
      <c r="K94" s="137">
        <v>46002.0</v>
      </c>
      <c r="L94" s="150" t="s">
        <v>557</v>
      </c>
      <c r="M94" s="130" t="s">
        <v>558</v>
      </c>
      <c r="N94" s="58"/>
      <c r="O94" s="58"/>
      <c r="P94" s="153"/>
      <c r="Q94" s="154"/>
      <c r="R94" s="153"/>
      <c r="S94" s="155"/>
      <c r="T94" s="155"/>
      <c r="U94" s="59"/>
      <c r="V94" s="60"/>
      <c r="W94" s="60"/>
      <c r="X94" s="5"/>
      <c r="Y94" s="5"/>
      <c r="Z94" s="5"/>
      <c r="AA94" s="5"/>
      <c r="AB94" s="5"/>
      <c r="AC94" s="5"/>
      <c r="AD94" s="5"/>
    </row>
    <row r="95">
      <c r="A95" s="39" t="s">
        <v>622</v>
      </c>
      <c r="B95" s="150" t="s">
        <v>473</v>
      </c>
      <c r="C95" s="40" t="str">
        <f>IF(B95="","",(VLOOKUP(B95,'Dados de PN'!$A:$B,2,0)))</f>
        <v>BOLT, MACHINE</v>
      </c>
      <c r="D95" s="5"/>
      <c r="E95" s="130" t="s">
        <v>34</v>
      </c>
      <c r="F95" s="130" t="s">
        <v>35</v>
      </c>
      <c r="G95" s="50">
        <f t="shared" si="2"/>
        <v>1</v>
      </c>
      <c r="H95" s="44">
        <v>3.86250012959E11</v>
      </c>
      <c r="I95" s="132" t="s">
        <v>625</v>
      </c>
      <c r="J95" s="44" t="s">
        <v>37</v>
      </c>
      <c r="K95" s="137">
        <v>46007.0</v>
      </c>
      <c r="L95" s="150" t="s">
        <v>383</v>
      </c>
      <c r="M95" s="130" t="s">
        <v>384</v>
      </c>
      <c r="N95" s="58"/>
      <c r="O95" s="58"/>
      <c r="P95" s="153"/>
      <c r="Q95" s="154"/>
      <c r="R95" s="153"/>
      <c r="S95" s="155"/>
      <c r="T95" s="155"/>
      <c r="U95" s="59"/>
      <c r="V95" s="60"/>
      <c r="W95" s="60"/>
      <c r="X95" s="5"/>
      <c r="Y95" s="5"/>
      <c r="Z95" s="5"/>
      <c r="AA95" s="5"/>
      <c r="AB95" s="5"/>
      <c r="AC95" s="5"/>
      <c r="AD95" s="5"/>
    </row>
    <row r="96">
      <c r="A96" s="39" t="s">
        <v>626</v>
      </c>
      <c r="B96" s="150" t="s">
        <v>479</v>
      </c>
      <c r="C96" s="40" t="str">
        <f>IF(B96="","",(VLOOKUP(B96,'Dados de PN'!$A:$B,2,0)))</f>
        <v>SPRING ASSY GAS</v>
      </c>
      <c r="D96" s="150" t="s">
        <v>33</v>
      </c>
      <c r="E96" s="130" t="s">
        <v>34</v>
      </c>
      <c r="F96" s="44" t="s">
        <v>35</v>
      </c>
      <c r="G96" s="50">
        <f t="shared" si="2"/>
        <v>1</v>
      </c>
      <c r="H96" s="44">
        <v>3.86250012963E11</v>
      </c>
      <c r="I96" s="132" t="s">
        <v>631</v>
      </c>
      <c r="J96" s="44" t="s">
        <v>37</v>
      </c>
      <c r="K96" s="137">
        <v>46007.0</v>
      </c>
      <c r="L96" s="150" t="s">
        <v>383</v>
      </c>
      <c r="M96" s="130" t="s">
        <v>384</v>
      </c>
      <c r="N96" s="58"/>
      <c r="O96" s="58"/>
      <c r="P96" s="153"/>
      <c r="Q96" s="154"/>
      <c r="R96" s="153"/>
      <c r="S96" s="155"/>
      <c r="T96" s="155"/>
      <c r="U96" s="59"/>
      <c r="V96" s="60"/>
      <c r="W96" s="60"/>
      <c r="X96" s="5"/>
      <c r="Y96" s="5"/>
      <c r="Z96" s="5"/>
      <c r="AA96" s="5"/>
      <c r="AB96" s="5"/>
      <c r="AC96" s="5"/>
      <c r="AD96" s="5"/>
    </row>
    <row r="97">
      <c r="A97" s="39" t="s">
        <v>634</v>
      </c>
      <c r="B97" s="150" t="s">
        <v>482</v>
      </c>
      <c r="C97" s="40" t="str">
        <f>IF(B97="","",(VLOOKUP(B97,'Dados de PN'!$A:$B,2,0)))</f>
        <v>HDG KNOB</v>
      </c>
      <c r="D97" s="150" t="s">
        <v>33</v>
      </c>
      <c r="E97" s="130" t="s">
        <v>34</v>
      </c>
      <c r="F97" s="44" t="s">
        <v>35</v>
      </c>
      <c r="G97" s="50">
        <f t="shared" si="2"/>
        <v>1</v>
      </c>
      <c r="H97" s="44">
        <v>1.6326465E7</v>
      </c>
      <c r="I97" s="132" t="s">
        <v>635</v>
      </c>
      <c r="J97" s="44" t="s">
        <v>37</v>
      </c>
      <c r="K97" s="137">
        <v>46008.0</v>
      </c>
      <c r="L97" s="150" t="s">
        <v>238</v>
      </c>
      <c r="M97" s="130" t="s">
        <v>122</v>
      </c>
      <c r="N97" s="58"/>
      <c r="O97" s="132" t="s">
        <v>613</v>
      </c>
      <c r="P97" s="153"/>
      <c r="Q97" s="154"/>
      <c r="R97" s="153"/>
      <c r="S97" s="155"/>
      <c r="T97" s="155"/>
      <c r="U97" s="59"/>
      <c r="V97" s="60"/>
      <c r="W97" s="60"/>
      <c r="X97" s="5"/>
      <c r="Y97" s="5"/>
      <c r="Z97" s="5"/>
      <c r="AA97" s="5"/>
      <c r="AB97" s="5"/>
      <c r="AC97" s="5"/>
      <c r="AD97" s="5"/>
    </row>
    <row r="98">
      <c r="A98" s="36" t="s">
        <v>636</v>
      </c>
      <c r="B98" s="140" t="s">
        <v>485</v>
      </c>
      <c r="C98" s="38" t="str">
        <f>IF(B98="","",(VLOOKUP(B98,'Dados de PN'!$A:$B,2,0)))</f>
        <v>NIPPLE,TUBE</v>
      </c>
      <c r="D98" s="140" t="s">
        <v>33</v>
      </c>
      <c r="E98" s="75" t="s">
        <v>34</v>
      </c>
      <c r="F98" s="42" t="s">
        <v>640</v>
      </c>
      <c r="G98" s="79">
        <v>1.0</v>
      </c>
      <c r="H98" s="42">
        <v>3.13250017311E11</v>
      </c>
      <c r="I98" s="128" t="s">
        <v>642</v>
      </c>
      <c r="J98" s="42" t="s">
        <v>37</v>
      </c>
      <c r="K98" s="131">
        <v>46029.0</v>
      </c>
      <c r="L98" s="140" t="s">
        <v>38</v>
      </c>
      <c r="M98" s="75" t="s">
        <v>47</v>
      </c>
      <c r="N98" s="47"/>
      <c r="O98" s="47"/>
      <c r="P98" s="147" t="s">
        <v>485</v>
      </c>
      <c r="Q98" s="146"/>
      <c r="R98" s="143" t="s">
        <v>488</v>
      </c>
      <c r="S98" s="144"/>
      <c r="T98" s="145">
        <v>46030.0</v>
      </c>
      <c r="U98" s="99" t="s">
        <v>646</v>
      </c>
      <c r="V98" s="57"/>
      <c r="W98" s="76" t="s">
        <v>66</v>
      </c>
    </row>
    <row r="99">
      <c r="A99" s="39" t="s">
        <v>647</v>
      </c>
      <c r="B99" s="150" t="s">
        <v>489</v>
      </c>
      <c r="C99" s="40" t="str">
        <f>IF(B99="","",(VLOOKUP(B99,'Dados de PN'!$A:$B,2,0)))</f>
        <v>CONJUNTO DE MOTOR E ATUADOR DE FLAP</v>
      </c>
      <c r="D99" s="150" t="s">
        <v>33</v>
      </c>
      <c r="E99" s="130" t="s">
        <v>99</v>
      </c>
      <c r="F99" s="44" t="s">
        <v>35</v>
      </c>
      <c r="G99" s="50">
        <f t="shared" ref="G99:G206" si="3">VALUE(SUBSTITUTE(F99," EA",""))</f>
        <v>1</v>
      </c>
      <c r="H99" s="44" t="s">
        <v>651</v>
      </c>
      <c r="I99" s="132" t="s">
        <v>652</v>
      </c>
      <c r="J99" s="44" t="s">
        <v>37</v>
      </c>
      <c r="K99" s="137">
        <v>46029.0</v>
      </c>
      <c r="L99" s="150" t="s">
        <v>46</v>
      </c>
      <c r="M99" s="130" t="s">
        <v>47</v>
      </c>
      <c r="N99" s="58"/>
      <c r="O99" s="58"/>
      <c r="P99" s="153"/>
      <c r="Q99" s="154"/>
      <c r="R99" s="153"/>
      <c r="S99" s="155"/>
      <c r="T99" s="155"/>
      <c r="U99" s="59"/>
      <c r="V99" s="60"/>
      <c r="W99" s="60"/>
      <c r="X99" s="5"/>
      <c r="Y99" s="5"/>
      <c r="Z99" s="5"/>
      <c r="AA99" s="5"/>
      <c r="AB99" s="5"/>
      <c r="AC99" s="5"/>
      <c r="AD99" s="5"/>
    </row>
    <row r="100">
      <c r="A100" s="39" t="s">
        <v>655</v>
      </c>
      <c r="B100" s="150" t="s">
        <v>492</v>
      </c>
      <c r="C100" s="40" t="str">
        <f>IF(B100="","",(VLOOKUP(B100,'Dados de PN'!$A:$B,2,0)))</f>
        <v>BOMBA DE COMBUSTÍVEL</v>
      </c>
      <c r="D100" s="150" t="s">
        <v>33</v>
      </c>
      <c r="E100" s="130" t="s">
        <v>99</v>
      </c>
      <c r="F100" s="44" t="s">
        <v>35</v>
      </c>
      <c r="G100" s="50">
        <f t="shared" si="3"/>
        <v>1</v>
      </c>
      <c r="H100" s="44">
        <v>1.642849E7</v>
      </c>
      <c r="I100" s="132" t="s">
        <v>658</v>
      </c>
      <c r="J100" s="44" t="s">
        <v>37</v>
      </c>
      <c r="K100" s="137">
        <v>46034.0</v>
      </c>
      <c r="L100" s="150" t="s">
        <v>238</v>
      </c>
      <c r="M100" s="130" t="s">
        <v>122</v>
      </c>
      <c r="N100" s="58"/>
      <c r="O100" s="58"/>
      <c r="P100" s="153"/>
      <c r="Q100" s="154"/>
      <c r="R100" s="153"/>
      <c r="S100" s="155"/>
      <c r="T100" s="155"/>
      <c r="U100" s="59"/>
      <c r="V100" s="60"/>
      <c r="W100" s="60"/>
      <c r="X100" s="5"/>
      <c r="Y100" s="5"/>
      <c r="Z100" s="5"/>
      <c r="AA100" s="5"/>
      <c r="AB100" s="5"/>
      <c r="AC100" s="5"/>
      <c r="AD100" s="5"/>
    </row>
    <row r="101">
      <c r="A101" s="39" t="s">
        <v>661</v>
      </c>
      <c r="B101" s="150" t="s">
        <v>495</v>
      </c>
      <c r="C101" s="40" t="str">
        <f>IF(B101="","",(VLOOKUP(B101,'Dados de PN'!$A:$B,2,0)))</f>
        <v>DISPLAY UNIT GDU</v>
      </c>
      <c r="D101" s="150" t="s">
        <v>33</v>
      </c>
      <c r="E101" s="130" t="s">
        <v>99</v>
      </c>
      <c r="F101" s="44" t="s">
        <v>663</v>
      </c>
      <c r="G101" s="50">
        <f t="shared" si="3"/>
        <v>1</v>
      </c>
      <c r="H101" s="44">
        <v>1.6428515E7</v>
      </c>
      <c r="I101" s="132" t="s">
        <v>665</v>
      </c>
      <c r="J101" s="44" t="s">
        <v>37</v>
      </c>
      <c r="K101" s="137">
        <v>46034.0</v>
      </c>
      <c r="L101" s="150" t="s">
        <v>101</v>
      </c>
      <c r="M101" s="130" t="s">
        <v>61</v>
      </c>
      <c r="N101" s="58"/>
      <c r="O101" s="58"/>
      <c r="P101" s="14"/>
      <c r="Q101" s="157"/>
      <c r="R101" s="153"/>
      <c r="S101" s="155"/>
      <c r="T101" s="155"/>
      <c r="U101" s="59"/>
      <c r="V101" s="60"/>
      <c r="W101" s="60"/>
      <c r="X101" s="5"/>
      <c r="Y101" s="5"/>
      <c r="Z101" s="5"/>
      <c r="AA101" s="5"/>
      <c r="AB101" s="5"/>
      <c r="AC101" s="5"/>
      <c r="AD101" s="5"/>
    </row>
    <row r="102">
      <c r="A102" s="39" t="s">
        <v>669</v>
      </c>
      <c r="B102" s="150" t="s">
        <v>498</v>
      </c>
      <c r="C102" s="40" t="str">
        <f>IF(B102="","",(VLOOKUP(B102,'Dados de PN'!$A:$B,2,0)))</f>
        <v>HOSE,AIR DUCT</v>
      </c>
      <c r="D102" s="150"/>
      <c r="E102" s="130" t="s">
        <v>34</v>
      </c>
      <c r="F102" s="44" t="s">
        <v>35</v>
      </c>
      <c r="G102" s="50">
        <f t="shared" si="3"/>
        <v>1</v>
      </c>
      <c r="H102" s="44">
        <v>1.6436319E7</v>
      </c>
      <c r="I102" s="132" t="s">
        <v>673</v>
      </c>
      <c r="J102" s="44" t="s">
        <v>37</v>
      </c>
      <c r="K102" s="137">
        <v>46035.0</v>
      </c>
      <c r="L102" s="150" t="s">
        <v>238</v>
      </c>
      <c r="M102" s="130" t="s">
        <v>122</v>
      </c>
      <c r="N102" s="58"/>
      <c r="O102" s="58"/>
      <c r="P102" s="153"/>
      <c r="Q102" s="154"/>
      <c r="R102" s="153"/>
      <c r="S102" s="155"/>
      <c r="T102" s="155"/>
      <c r="U102" s="59"/>
      <c r="V102" s="60"/>
      <c r="W102" s="60"/>
      <c r="X102" s="5"/>
      <c r="Y102" s="5"/>
      <c r="Z102" s="5"/>
      <c r="AA102" s="5"/>
      <c r="AB102" s="5"/>
      <c r="AC102" s="5"/>
      <c r="AD102" s="5"/>
    </row>
    <row r="103">
      <c r="A103" s="39" t="s">
        <v>674</v>
      </c>
      <c r="B103" s="150" t="s">
        <v>676</v>
      </c>
      <c r="C103" s="40" t="str">
        <f>IF(B103="","",(VLOOKUP(B103,'Dados de PN'!$A:$B,2,0)))</f>
        <v>LAMP, INCANDESCENT</v>
      </c>
      <c r="D103" s="150"/>
      <c r="E103" s="130" t="s">
        <v>34</v>
      </c>
      <c r="F103" s="44" t="s">
        <v>35</v>
      </c>
      <c r="G103" s="50">
        <f t="shared" si="3"/>
        <v>1</v>
      </c>
      <c r="H103" s="44">
        <v>6.9026E11</v>
      </c>
      <c r="I103" s="132" t="s">
        <v>680</v>
      </c>
      <c r="J103" s="44" t="s">
        <v>37</v>
      </c>
      <c r="K103" s="137">
        <v>46036.0</v>
      </c>
      <c r="L103" s="150">
        <v>2727.0</v>
      </c>
      <c r="M103" s="130" t="s">
        <v>477</v>
      </c>
      <c r="N103" s="58"/>
      <c r="O103" s="58"/>
      <c r="P103" s="153"/>
      <c r="Q103" s="154"/>
      <c r="R103" s="153"/>
      <c r="S103" s="155"/>
      <c r="T103" s="155"/>
      <c r="U103" s="59"/>
      <c r="V103" s="60"/>
      <c r="W103" s="60"/>
      <c r="X103" s="5"/>
      <c r="Y103" s="5"/>
      <c r="Z103" s="5"/>
      <c r="AA103" s="5"/>
      <c r="AB103" s="5"/>
      <c r="AC103" s="5"/>
      <c r="AD103" s="5"/>
    </row>
    <row r="104">
      <c r="A104" s="39" t="s">
        <v>683</v>
      </c>
      <c r="B104" s="150" t="s">
        <v>502</v>
      </c>
      <c r="C104" s="40" t="str">
        <f>IF(B104="","",(VLOOKUP(B104,'Dados de PN'!$A:$B,2,0)))</f>
        <v>VENT BLOWER ASSY</v>
      </c>
      <c r="D104" s="150"/>
      <c r="E104" s="130" t="s">
        <v>34</v>
      </c>
      <c r="F104" s="44" t="s">
        <v>35</v>
      </c>
      <c r="G104" s="50">
        <f t="shared" si="3"/>
        <v>1</v>
      </c>
      <c r="H104" s="44">
        <v>6.9026E11</v>
      </c>
      <c r="I104" s="132" t="s">
        <v>680</v>
      </c>
      <c r="J104" s="44" t="s">
        <v>37</v>
      </c>
      <c r="K104" s="137">
        <v>46036.0</v>
      </c>
      <c r="L104" s="150">
        <v>2727.0</v>
      </c>
      <c r="M104" s="130" t="s">
        <v>477</v>
      </c>
      <c r="N104" s="58"/>
      <c r="O104" s="58"/>
      <c r="P104" s="153"/>
      <c r="Q104" s="154"/>
      <c r="R104" s="153"/>
      <c r="S104" s="155"/>
      <c r="T104" s="155"/>
      <c r="U104" s="59"/>
      <c r="V104" s="60"/>
      <c r="W104" s="60"/>
      <c r="X104" s="5"/>
      <c r="Y104" s="5"/>
      <c r="Z104" s="5"/>
      <c r="AA104" s="5"/>
      <c r="AB104" s="5"/>
      <c r="AC104" s="5"/>
      <c r="AD104" s="5"/>
    </row>
    <row r="105">
      <c r="A105" s="39" t="s">
        <v>687</v>
      </c>
      <c r="B105" s="150" t="s">
        <v>505</v>
      </c>
      <c r="C105" s="40" t="str">
        <f>IF(B105="","",(VLOOKUP(B105,'Dados de PN'!$A:$B,2,0)))</f>
        <v>SWITCH, REMOTE</v>
      </c>
      <c r="D105" s="150"/>
      <c r="E105" s="130" t="s">
        <v>34</v>
      </c>
      <c r="F105" s="44" t="s">
        <v>35</v>
      </c>
      <c r="G105" s="50">
        <f t="shared" si="3"/>
        <v>1</v>
      </c>
      <c r="H105" s="44">
        <v>3.9626E11</v>
      </c>
      <c r="I105" s="132" t="s">
        <v>689</v>
      </c>
      <c r="J105" s="44" t="s">
        <v>37</v>
      </c>
      <c r="K105" s="137">
        <v>46036.0</v>
      </c>
      <c r="L105" s="150">
        <v>2733.0</v>
      </c>
      <c r="M105" s="130" t="s">
        <v>61</v>
      </c>
      <c r="N105" s="58"/>
      <c r="O105" s="58"/>
      <c r="P105" s="153"/>
      <c r="Q105" s="154"/>
      <c r="R105" s="153"/>
      <c r="S105" s="155"/>
      <c r="T105" s="155"/>
      <c r="U105" s="59"/>
      <c r="V105" s="60"/>
      <c r="W105" s="60"/>
      <c r="X105" s="5"/>
      <c r="Y105" s="5"/>
      <c r="Z105" s="5"/>
      <c r="AA105" s="5"/>
      <c r="AB105" s="5"/>
      <c r="AC105" s="5"/>
      <c r="AD105" s="5"/>
    </row>
    <row r="106">
      <c r="A106" s="39" t="s">
        <v>694</v>
      </c>
      <c r="B106" s="150" t="s">
        <v>508</v>
      </c>
      <c r="C106" s="40" t="str">
        <f>IF(B106="","",(VLOOKUP(B106,'Dados de PN'!$A:$B,2,0)))</f>
        <v>SWITCH-ELEC TR</v>
      </c>
      <c r="D106" s="150"/>
      <c r="E106" s="130" t="s">
        <v>34</v>
      </c>
      <c r="F106" s="44" t="s">
        <v>35</v>
      </c>
      <c r="G106" s="50">
        <f t="shared" si="3"/>
        <v>1</v>
      </c>
      <c r="H106" s="44" t="s">
        <v>510</v>
      </c>
      <c r="I106" s="132" t="s">
        <v>698</v>
      </c>
      <c r="J106" s="44" t="s">
        <v>37</v>
      </c>
      <c r="K106" s="137">
        <v>46036.0</v>
      </c>
      <c r="L106" s="150" t="s">
        <v>548</v>
      </c>
      <c r="M106" s="130" t="s">
        <v>47</v>
      </c>
      <c r="N106" s="58"/>
      <c r="O106" s="58"/>
      <c r="P106" s="153"/>
      <c r="Q106" s="154"/>
      <c r="R106" s="153"/>
      <c r="S106" s="155"/>
      <c r="T106" s="155"/>
      <c r="U106" s="59"/>
      <c r="V106" s="60"/>
      <c r="W106" s="60"/>
      <c r="X106" s="5"/>
      <c r="Y106" s="5"/>
      <c r="Z106" s="5"/>
      <c r="AA106" s="5"/>
      <c r="AB106" s="5"/>
      <c r="AC106" s="5"/>
      <c r="AD106" s="5"/>
    </row>
    <row r="107">
      <c r="A107" s="39" t="s">
        <v>700</v>
      </c>
      <c r="B107" s="150" t="s">
        <v>192</v>
      </c>
      <c r="C107" s="40" t="str">
        <f>IF(B107="","",(VLOOKUP(B107,'Dados de PN'!$A:$B,2,0)))</f>
        <v>CABLE ASSY-FLAP INDICATOR</v>
      </c>
      <c r="D107" s="150"/>
      <c r="E107" s="130" t="s">
        <v>34</v>
      </c>
      <c r="F107" s="44" t="s">
        <v>35</v>
      </c>
      <c r="G107" s="50">
        <f t="shared" si="3"/>
        <v>1</v>
      </c>
      <c r="H107" s="44">
        <v>1.6455693E7</v>
      </c>
      <c r="I107" s="132" t="s">
        <v>698</v>
      </c>
      <c r="J107" s="44" t="s">
        <v>37</v>
      </c>
      <c r="K107" s="137">
        <v>46036.0</v>
      </c>
      <c r="L107" s="150" t="s">
        <v>548</v>
      </c>
      <c r="M107" s="130" t="s">
        <v>47</v>
      </c>
      <c r="N107" s="58"/>
      <c r="O107" s="58"/>
      <c r="P107" s="153"/>
      <c r="Q107" s="154"/>
      <c r="R107" s="153"/>
      <c r="S107" s="155"/>
      <c r="T107" s="155"/>
      <c r="U107" s="59"/>
      <c r="V107" s="60"/>
      <c r="W107" s="60"/>
      <c r="X107" s="5"/>
      <c r="Y107" s="5"/>
      <c r="Z107" s="5"/>
      <c r="AA107" s="5"/>
      <c r="AB107" s="5"/>
      <c r="AC107" s="5"/>
      <c r="AD107" s="5"/>
    </row>
    <row r="108">
      <c r="A108" s="39" t="s">
        <v>706</v>
      </c>
      <c r="B108" s="150" t="s">
        <v>514</v>
      </c>
      <c r="C108" s="40" t="str">
        <f>IF(B108="","",(VLOOKUP(B108,'Dados de PN'!$A:$B,2,0)))</f>
        <v>RETAINER,PACKING</v>
      </c>
      <c r="D108" s="150"/>
      <c r="E108" s="130" t="s">
        <v>34</v>
      </c>
      <c r="F108" s="44" t="s">
        <v>35</v>
      </c>
      <c r="G108" s="50">
        <f t="shared" si="3"/>
        <v>1</v>
      </c>
      <c r="H108" s="44">
        <v>1.6463749E7</v>
      </c>
      <c r="I108" s="132" t="s">
        <v>635</v>
      </c>
      <c r="J108" s="44" t="s">
        <v>37</v>
      </c>
      <c r="K108" s="137">
        <v>46036.0</v>
      </c>
      <c r="L108" s="150" t="s">
        <v>238</v>
      </c>
      <c r="M108" s="130" t="s">
        <v>122</v>
      </c>
      <c r="N108" s="58"/>
      <c r="O108" s="58"/>
      <c r="P108" s="153"/>
      <c r="Q108" s="154"/>
      <c r="R108" s="153"/>
      <c r="S108" s="155"/>
      <c r="T108" s="155"/>
      <c r="U108" s="59"/>
      <c r="V108" s="60"/>
      <c r="W108" s="60"/>
      <c r="X108" s="5"/>
      <c r="Y108" s="5"/>
      <c r="Z108" s="5"/>
      <c r="AA108" s="5"/>
      <c r="AB108" s="5"/>
      <c r="AC108" s="5"/>
      <c r="AD108" s="5"/>
    </row>
    <row r="109">
      <c r="A109" s="39" t="s">
        <v>716</v>
      </c>
      <c r="B109" s="150" t="s">
        <v>514</v>
      </c>
      <c r="C109" s="40" t="str">
        <f>IF(B109="","",(VLOOKUP(B109,'Dados de PN'!$A:$B,2,0)))</f>
        <v>RETAINER,PACKING</v>
      </c>
      <c r="D109" s="150"/>
      <c r="E109" s="130" t="s">
        <v>34</v>
      </c>
      <c r="F109" s="44" t="s">
        <v>35</v>
      </c>
      <c r="G109" s="50">
        <f t="shared" si="3"/>
        <v>1</v>
      </c>
      <c r="H109" s="44">
        <v>1.6479594E7</v>
      </c>
      <c r="I109" s="132" t="s">
        <v>720</v>
      </c>
      <c r="J109" s="44" t="s">
        <v>37</v>
      </c>
      <c r="K109" s="137">
        <v>46043.0</v>
      </c>
      <c r="L109" s="150" t="s">
        <v>252</v>
      </c>
      <c r="M109" s="130" t="s">
        <v>61</v>
      </c>
      <c r="N109" s="58"/>
      <c r="O109" s="58"/>
      <c r="P109" s="153"/>
      <c r="Q109" s="154"/>
      <c r="R109" s="153"/>
      <c r="S109" s="155"/>
      <c r="T109" s="155"/>
      <c r="U109" s="59"/>
      <c r="V109" s="60"/>
      <c r="W109" s="60"/>
      <c r="X109" s="5"/>
      <c r="Y109" s="5"/>
      <c r="Z109" s="5"/>
      <c r="AA109" s="5"/>
      <c r="AB109" s="5"/>
      <c r="AC109" s="5"/>
      <c r="AD109" s="5"/>
    </row>
    <row r="110">
      <c r="A110" s="39" t="s">
        <v>723</v>
      </c>
      <c r="B110" s="150" t="s">
        <v>518</v>
      </c>
      <c r="C110" s="40" t="str">
        <f>IF(B110="","",(VLOOKUP(B110,'Dados de PN'!$A:$B,2,0)))</f>
        <v>INDICATOR - OIL TEMP</v>
      </c>
      <c r="D110" s="150"/>
      <c r="E110" s="130" t="s">
        <v>99</v>
      </c>
      <c r="F110" s="44" t="s">
        <v>663</v>
      </c>
      <c r="G110" s="50">
        <f t="shared" si="3"/>
        <v>1</v>
      </c>
      <c r="H110" s="44">
        <v>3.29260018825E11</v>
      </c>
      <c r="I110" s="132" t="s">
        <v>726</v>
      </c>
      <c r="J110" s="44" t="s">
        <v>37</v>
      </c>
      <c r="K110" s="137">
        <v>46043.0</v>
      </c>
      <c r="L110" s="150" t="s">
        <v>238</v>
      </c>
      <c r="M110" s="130" t="s">
        <v>122</v>
      </c>
      <c r="N110" s="58"/>
      <c r="O110" s="58"/>
      <c r="P110" s="153"/>
      <c r="Q110" s="154"/>
      <c r="R110" s="153"/>
      <c r="S110" s="155"/>
      <c r="T110" s="155"/>
      <c r="U110" s="59"/>
      <c r="V110" s="60"/>
      <c r="W110" s="60"/>
      <c r="X110" s="5"/>
      <c r="Y110" s="5"/>
      <c r="Z110" s="5"/>
      <c r="AA110" s="5"/>
      <c r="AB110" s="5"/>
      <c r="AC110" s="5"/>
      <c r="AD110" s="5"/>
    </row>
    <row r="111">
      <c r="A111" s="39" t="s">
        <v>731</v>
      </c>
      <c r="B111" s="150" t="s">
        <v>521</v>
      </c>
      <c r="C111" s="40" t="str">
        <f>IF(B111="","",(VLOOKUP(B111,'Dados de PN'!$A:$B,2,0)))</f>
        <v>INDICATOR FUEL</v>
      </c>
      <c r="D111" s="150"/>
      <c r="E111" s="130" t="s">
        <v>99</v>
      </c>
      <c r="F111" s="44" t="s">
        <v>663</v>
      </c>
      <c r="G111" s="50">
        <f t="shared" si="3"/>
        <v>1</v>
      </c>
      <c r="H111" s="44">
        <v>3.29260018826E11</v>
      </c>
      <c r="I111" s="132" t="s">
        <v>736</v>
      </c>
      <c r="J111" s="44" t="s">
        <v>37</v>
      </c>
      <c r="K111" s="137">
        <v>46043.0</v>
      </c>
      <c r="L111" s="150" t="s">
        <v>238</v>
      </c>
      <c r="M111" s="130" t="s">
        <v>122</v>
      </c>
      <c r="N111" s="58"/>
      <c r="O111" s="58"/>
      <c r="P111" s="164" t="s">
        <v>521</v>
      </c>
      <c r="Q111" s="165" t="s">
        <v>524</v>
      </c>
      <c r="R111" s="165" t="s">
        <v>525</v>
      </c>
      <c r="S111" s="155"/>
      <c r="T111" s="166">
        <v>45805.0</v>
      </c>
      <c r="U111" s="95" t="s">
        <v>739</v>
      </c>
      <c r="V111" s="130"/>
      <c r="W111" s="60"/>
      <c r="X111" s="5"/>
      <c r="Y111" s="5"/>
      <c r="Z111" s="5"/>
      <c r="AA111" s="5"/>
      <c r="AB111" s="5"/>
      <c r="AC111" s="5"/>
      <c r="AD111" s="5"/>
    </row>
    <row r="112">
      <c r="A112" s="36" t="s">
        <v>741</v>
      </c>
      <c r="B112" s="140" t="s">
        <v>528</v>
      </c>
      <c r="C112" s="38" t="str">
        <f>IF(B112="","",(VLOOKUP(B112,'Dados de PN'!$A:$B,2,0)))</f>
        <v>TRANSCEIVER</v>
      </c>
      <c r="D112" s="140"/>
      <c r="E112" s="75" t="s">
        <v>99</v>
      </c>
      <c r="F112" s="42" t="s">
        <v>663</v>
      </c>
      <c r="G112" s="50">
        <f t="shared" si="3"/>
        <v>1</v>
      </c>
      <c r="H112" s="42">
        <v>1.6494618E7</v>
      </c>
      <c r="I112" s="128" t="s">
        <v>745</v>
      </c>
      <c r="J112" s="42" t="s">
        <v>37</v>
      </c>
      <c r="K112" s="131">
        <v>46043.0</v>
      </c>
      <c r="L112" s="140" t="s">
        <v>110</v>
      </c>
      <c r="M112" s="75" t="s">
        <v>54</v>
      </c>
      <c r="N112" s="47"/>
      <c r="O112" s="47"/>
      <c r="P112" s="147" t="s">
        <v>532</v>
      </c>
      <c r="Q112" s="143" t="s">
        <v>533</v>
      </c>
      <c r="R112" s="147" t="s">
        <v>534</v>
      </c>
      <c r="S112" s="144"/>
      <c r="T112" s="145">
        <v>45959.0</v>
      </c>
      <c r="U112" s="99" t="s">
        <v>748</v>
      </c>
      <c r="V112" s="75"/>
      <c r="W112" s="76" t="s">
        <v>66</v>
      </c>
    </row>
    <row r="113">
      <c r="A113" s="39" t="s">
        <v>749</v>
      </c>
      <c r="B113" s="150" t="s">
        <v>536</v>
      </c>
      <c r="C113" s="40" t="str">
        <f>IF(B113="","",(VLOOKUP(B113,'Dados de PN'!$A:$B,2,0)))</f>
        <v>CONTROL UNIT ASSY-GENERATOR</v>
      </c>
      <c r="D113" s="150"/>
      <c r="E113" s="130" t="s">
        <v>99</v>
      </c>
      <c r="F113" s="44" t="s">
        <v>35</v>
      </c>
      <c r="G113" s="50">
        <f t="shared" si="3"/>
        <v>1</v>
      </c>
      <c r="H113" s="44" t="s">
        <v>752</v>
      </c>
      <c r="I113" s="132" t="s">
        <v>745</v>
      </c>
      <c r="J113" s="44" t="s">
        <v>37</v>
      </c>
      <c r="K113" s="137">
        <v>46044.0</v>
      </c>
      <c r="L113" s="150">
        <v>2719.0</v>
      </c>
      <c r="M113" s="130" t="s">
        <v>54</v>
      </c>
      <c r="N113" s="58"/>
      <c r="O113" s="58"/>
      <c r="P113" s="164" t="s">
        <v>538</v>
      </c>
      <c r="Q113" s="165" t="s">
        <v>539</v>
      </c>
      <c r="R113" s="165" t="s">
        <v>540</v>
      </c>
      <c r="S113" s="155"/>
      <c r="T113" s="167">
        <v>46052.0</v>
      </c>
      <c r="U113" s="95" t="s">
        <v>756</v>
      </c>
      <c r="V113" s="130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758</v>
      </c>
      <c r="B114" s="150" t="s">
        <v>542</v>
      </c>
      <c r="C114" s="40" t="str">
        <f>IF(B114="","",(VLOOKUP(B114,'Dados de PN'!$A:$B,2,0)))</f>
        <v>CABLE ASSY</v>
      </c>
      <c r="D114" s="150" t="s">
        <v>33</v>
      </c>
      <c r="E114" s="130" t="s">
        <v>34</v>
      </c>
      <c r="F114" s="44" t="s">
        <v>35</v>
      </c>
      <c r="G114" s="50">
        <f t="shared" si="3"/>
        <v>1</v>
      </c>
      <c r="H114" s="44">
        <v>1.6525969E7</v>
      </c>
      <c r="I114" s="132" t="s">
        <v>475</v>
      </c>
      <c r="J114" s="44" t="s">
        <v>37</v>
      </c>
      <c r="K114" s="137">
        <v>46049.0</v>
      </c>
      <c r="L114" s="150" t="s">
        <v>476</v>
      </c>
      <c r="M114" s="130" t="s">
        <v>477</v>
      </c>
      <c r="N114" s="58"/>
      <c r="O114" s="58"/>
      <c r="P114" s="153"/>
      <c r="Q114" s="154"/>
      <c r="R114" s="153"/>
      <c r="S114" s="155"/>
      <c r="T114" s="155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764</v>
      </c>
      <c r="B115" s="150" t="s">
        <v>545</v>
      </c>
      <c r="C115" s="40" t="str">
        <f>IF(B115="","",(VLOOKUP(B115,'Dados de PN'!$A:$B,2,0)))</f>
        <v>CONTROL ASSY</v>
      </c>
      <c r="D115" s="150" t="s">
        <v>33</v>
      </c>
      <c r="E115" s="130" t="s">
        <v>34</v>
      </c>
      <c r="F115" s="44" t="s">
        <v>35</v>
      </c>
      <c r="G115" s="50">
        <f t="shared" si="3"/>
        <v>1</v>
      </c>
      <c r="H115" s="44">
        <v>1.6525969E7</v>
      </c>
      <c r="I115" s="132" t="s">
        <v>768</v>
      </c>
      <c r="J115" s="44" t="s">
        <v>37</v>
      </c>
      <c r="K115" s="137">
        <v>46049.0</v>
      </c>
      <c r="L115" s="40" t="s">
        <v>383</v>
      </c>
      <c r="M115" s="44" t="s">
        <v>384</v>
      </c>
      <c r="N115" s="58"/>
      <c r="O115" s="58"/>
      <c r="P115" s="14"/>
      <c r="Q115" s="157"/>
      <c r="R115" s="14"/>
      <c r="S115" s="155"/>
      <c r="T115" s="155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771</v>
      </c>
      <c r="B116" s="150" t="s">
        <v>549</v>
      </c>
      <c r="C116" s="40" t="str">
        <f>IF(B116="","",(VLOOKUP(B116,'Dados de PN'!$A:$B,2,0)))</f>
        <v>TUBE-DRAIN</v>
      </c>
      <c r="D116" s="150" t="s">
        <v>33</v>
      </c>
      <c r="E116" s="130" t="s">
        <v>34</v>
      </c>
      <c r="F116" s="44" t="s">
        <v>35</v>
      </c>
      <c r="G116" s="50">
        <f t="shared" si="3"/>
        <v>1</v>
      </c>
      <c r="H116" s="150" t="s">
        <v>772</v>
      </c>
      <c r="I116" s="132" t="s">
        <v>773</v>
      </c>
      <c r="J116" s="44" t="s">
        <v>37</v>
      </c>
      <c r="K116" s="137">
        <v>46050.0</v>
      </c>
      <c r="L116" s="40" t="s">
        <v>383</v>
      </c>
      <c r="M116" s="44" t="s">
        <v>384</v>
      </c>
      <c r="N116" s="58"/>
      <c r="O116" s="58"/>
      <c r="P116" s="14"/>
      <c r="Q116" s="157"/>
      <c r="R116" s="14"/>
      <c r="S116" s="155"/>
      <c r="T116" s="155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776</v>
      </c>
      <c r="B117" s="150" t="s">
        <v>552</v>
      </c>
      <c r="C117" s="40" t="str">
        <f>IF(B117="","",(VLOOKUP(B117,'Dados de PN'!$A:$B,2,0)))</f>
        <v>BOLT U</v>
      </c>
      <c r="D117" s="150" t="s">
        <v>33</v>
      </c>
      <c r="E117" s="130" t="s">
        <v>34</v>
      </c>
      <c r="F117" s="44" t="s">
        <v>118</v>
      </c>
      <c r="G117" s="50">
        <f t="shared" si="3"/>
        <v>2</v>
      </c>
      <c r="H117" s="150" t="s">
        <v>780</v>
      </c>
      <c r="I117" s="132" t="s">
        <v>773</v>
      </c>
      <c r="J117" s="44" t="s">
        <v>37</v>
      </c>
      <c r="K117" s="137">
        <v>46050.0</v>
      </c>
      <c r="L117" s="40" t="s">
        <v>383</v>
      </c>
      <c r="M117" s="44" t="s">
        <v>384</v>
      </c>
      <c r="N117" s="58"/>
      <c r="O117" s="58"/>
      <c r="P117" s="164" t="s">
        <v>552</v>
      </c>
      <c r="Q117" s="165" t="s">
        <v>554</v>
      </c>
      <c r="R117" s="165" t="s">
        <v>555</v>
      </c>
      <c r="S117" s="155"/>
      <c r="T117" s="167">
        <v>46048.0</v>
      </c>
      <c r="U117" s="95" t="s">
        <v>781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785</v>
      </c>
      <c r="B118" s="150" t="s">
        <v>559</v>
      </c>
      <c r="C118" s="40" t="str">
        <f>IF(B118="","",(VLOOKUP(B118,'Dados de PN'!$A:$B,2,0)))</f>
        <v>SPRING</v>
      </c>
      <c r="D118" s="150" t="s">
        <v>33</v>
      </c>
      <c r="E118" s="130" t="s">
        <v>34</v>
      </c>
      <c r="F118" s="44" t="s">
        <v>118</v>
      </c>
      <c r="G118" s="50">
        <f t="shared" si="3"/>
        <v>2</v>
      </c>
      <c r="H118" s="150" t="s">
        <v>786</v>
      </c>
      <c r="I118" s="132" t="s">
        <v>773</v>
      </c>
      <c r="J118" s="44" t="s">
        <v>37</v>
      </c>
      <c r="K118" s="137">
        <v>46050.0</v>
      </c>
      <c r="L118" s="40" t="s">
        <v>383</v>
      </c>
      <c r="M118" s="44" t="s">
        <v>384</v>
      </c>
      <c r="N118" s="58"/>
      <c r="O118" s="58"/>
      <c r="P118" s="60"/>
      <c r="Q118" s="58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788</v>
      </c>
      <c r="B119" s="150" t="s">
        <v>562</v>
      </c>
      <c r="C119" s="40" t="str">
        <f>IF(B119="","",(VLOOKUP(B119,'Dados de PN'!$A:$B,2,0)))</f>
        <v>CABLE NIPPLE,ELECTRICAL</v>
      </c>
      <c r="D119" s="150" t="s">
        <v>33</v>
      </c>
      <c r="E119" s="130" t="s">
        <v>34</v>
      </c>
      <c r="F119" s="130" t="s">
        <v>308</v>
      </c>
      <c r="G119" s="50">
        <f t="shared" si="3"/>
        <v>10</v>
      </c>
      <c r="H119" s="44">
        <v>3.86260013052E11</v>
      </c>
      <c r="I119" s="132" t="s">
        <v>790</v>
      </c>
      <c r="J119" s="130" t="s">
        <v>37</v>
      </c>
      <c r="K119" s="137">
        <v>46063.0</v>
      </c>
      <c r="L119" s="40" t="s">
        <v>383</v>
      </c>
      <c r="M119" s="44" t="s">
        <v>384</v>
      </c>
      <c r="N119" s="132">
        <v>2.02667113005149E14</v>
      </c>
      <c r="O119" s="58"/>
      <c r="P119" s="60"/>
      <c r="Q119" s="58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792</v>
      </c>
      <c r="B120" s="150" t="s">
        <v>566</v>
      </c>
      <c r="C120" s="40" t="str">
        <f>IF(B120="","",(VLOOKUP(B120,'Dados de PN'!$A:$B,2,0)))</f>
        <v>MOTOR,DIRECT CURRENT</v>
      </c>
      <c r="D120" s="150" t="s">
        <v>33</v>
      </c>
      <c r="E120" s="130" t="s">
        <v>34</v>
      </c>
      <c r="F120" s="130" t="s">
        <v>35</v>
      </c>
      <c r="G120" s="50">
        <f t="shared" si="3"/>
        <v>1</v>
      </c>
      <c r="H120" s="44">
        <v>3.1325001755E11</v>
      </c>
      <c r="I120" s="132" t="s">
        <v>794</v>
      </c>
      <c r="J120" s="130" t="s">
        <v>37</v>
      </c>
      <c r="K120" s="137">
        <v>46028.0</v>
      </c>
      <c r="L120" s="150" t="s">
        <v>219</v>
      </c>
      <c r="M120" s="130" t="s">
        <v>47</v>
      </c>
      <c r="N120" s="58"/>
      <c r="O120" s="58"/>
      <c r="P120" s="60"/>
      <c r="Q120" s="58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798</v>
      </c>
      <c r="B121" s="150" t="s">
        <v>959</v>
      </c>
      <c r="C121" s="40" t="str">
        <f>IF(B121="","",(VLOOKUP(B121,'Dados de PN'!$A:$B,2,0)))</f>
        <v>GDU 1040A REPLACEMENT KNOB KIT</v>
      </c>
      <c r="D121" s="150"/>
      <c r="E121" s="130" t="s">
        <v>34</v>
      </c>
      <c r="F121" s="130" t="s">
        <v>302</v>
      </c>
      <c r="G121" s="50">
        <f t="shared" si="3"/>
        <v>3</v>
      </c>
      <c r="H121" s="44">
        <v>3.13260017677E11</v>
      </c>
      <c r="I121" s="132" t="s">
        <v>962</v>
      </c>
      <c r="J121" s="130" t="s">
        <v>37</v>
      </c>
      <c r="K121" s="56">
        <v>46062.0</v>
      </c>
      <c r="L121" s="150" t="s">
        <v>46</v>
      </c>
      <c r="M121" s="130" t="s">
        <v>47</v>
      </c>
      <c r="N121" s="58"/>
      <c r="O121" s="58"/>
      <c r="P121" s="60"/>
      <c r="Q121" s="58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808</v>
      </c>
      <c r="B122" s="150" t="s">
        <v>569</v>
      </c>
      <c r="C122" s="40" t="str">
        <f>IF(B122="","",(VLOOKUP(B122,'Dados de PN'!$A:$B,2,0)))</f>
        <v>OIL COOLER-LARGE</v>
      </c>
      <c r="D122" s="150" t="s">
        <v>802</v>
      </c>
      <c r="E122" s="130" t="s">
        <v>99</v>
      </c>
      <c r="F122" s="130" t="s">
        <v>35</v>
      </c>
      <c r="G122" s="50">
        <f t="shared" si="3"/>
        <v>1</v>
      </c>
      <c r="H122" s="44">
        <v>1.6693774E7</v>
      </c>
      <c r="I122" s="132" t="s">
        <v>804</v>
      </c>
      <c r="J122" s="130" t="s">
        <v>37</v>
      </c>
      <c r="K122" s="137">
        <v>46065.0</v>
      </c>
      <c r="L122" s="150" t="s">
        <v>142</v>
      </c>
      <c r="M122" s="130" t="s">
        <v>54</v>
      </c>
      <c r="N122" s="58"/>
      <c r="O122" s="58"/>
      <c r="P122" s="60"/>
      <c r="Q122" s="58"/>
      <c r="R122" s="60"/>
      <c r="S122" s="60"/>
      <c r="T122" s="60"/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9" t="s">
        <v>814</v>
      </c>
      <c r="B123" s="170" t="s">
        <v>574</v>
      </c>
      <c r="C123" s="40" t="str">
        <f>IF(B123="","",(VLOOKUP(B123,'Dados de PN'!$A:$B,2,0)))</f>
        <v>GOVERNOR,OVERSPEED</v>
      </c>
      <c r="D123" s="150" t="s">
        <v>576</v>
      </c>
      <c r="E123" s="130" t="s">
        <v>99</v>
      </c>
      <c r="F123" s="130" t="s">
        <v>35</v>
      </c>
      <c r="G123" s="50">
        <f t="shared" si="3"/>
        <v>1</v>
      </c>
      <c r="H123" s="44">
        <v>1.6693775E7</v>
      </c>
      <c r="I123" s="132" t="s">
        <v>804</v>
      </c>
      <c r="J123" s="130" t="s">
        <v>37</v>
      </c>
      <c r="K123" s="137">
        <v>46065.0</v>
      </c>
      <c r="L123" s="150" t="s">
        <v>142</v>
      </c>
      <c r="M123" s="130" t="s">
        <v>54</v>
      </c>
      <c r="N123" s="58"/>
      <c r="O123" s="58"/>
      <c r="P123" s="60"/>
      <c r="Q123" s="58"/>
      <c r="R123" s="130" t="s">
        <v>972</v>
      </c>
      <c r="S123" s="60"/>
      <c r="T123" s="60"/>
      <c r="U123" s="59"/>
      <c r="V123" s="160" t="s">
        <v>579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823</v>
      </c>
      <c r="B124" s="150" t="s">
        <v>582</v>
      </c>
      <c r="C124" s="40" t="str">
        <f>IF(B124="","",(VLOOKUP(B124,'Dados de PN'!$A:$B,2,0)))</f>
        <v>VALVE,SAFETY RELIEF</v>
      </c>
      <c r="D124" s="150" t="s">
        <v>33</v>
      </c>
      <c r="E124" s="130" t="s">
        <v>34</v>
      </c>
      <c r="F124" s="130" t="s">
        <v>35</v>
      </c>
      <c r="G124" s="50">
        <f t="shared" si="3"/>
        <v>1</v>
      </c>
      <c r="H124" s="44">
        <v>6.8526001085E11</v>
      </c>
      <c r="I124" s="132" t="s">
        <v>818</v>
      </c>
      <c r="J124" s="130" t="s">
        <v>37</v>
      </c>
      <c r="K124" s="137">
        <v>46065.0</v>
      </c>
      <c r="L124" s="150" t="s">
        <v>53</v>
      </c>
      <c r="M124" s="130" t="s">
        <v>54</v>
      </c>
      <c r="N124" s="58"/>
      <c r="O124" s="58"/>
      <c r="P124" s="60"/>
      <c r="Q124" s="58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832</v>
      </c>
      <c r="B125" s="150" t="s">
        <v>582</v>
      </c>
      <c r="C125" s="40" t="str">
        <f>IF(B125="","",(VLOOKUP(B125,'Dados de PN'!$A:$B,2,0)))</f>
        <v>VALVE,SAFETY RELIEF</v>
      </c>
      <c r="D125" s="150" t="s">
        <v>33</v>
      </c>
      <c r="E125" s="130" t="s">
        <v>34</v>
      </c>
      <c r="F125" s="130" t="s">
        <v>35</v>
      </c>
      <c r="G125" s="50">
        <f t="shared" si="3"/>
        <v>1</v>
      </c>
      <c r="H125" s="44">
        <v>6.85260010851E11</v>
      </c>
      <c r="I125" s="132" t="s">
        <v>826</v>
      </c>
      <c r="J125" s="130" t="s">
        <v>37</v>
      </c>
      <c r="K125" s="137">
        <v>46065.0</v>
      </c>
      <c r="L125" s="150" t="s">
        <v>142</v>
      </c>
      <c r="M125" s="130" t="s">
        <v>54</v>
      </c>
      <c r="N125" s="58"/>
      <c r="O125" s="58"/>
      <c r="P125" s="60"/>
      <c r="Q125" s="58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842</v>
      </c>
      <c r="B126" s="150" t="s">
        <v>834</v>
      </c>
      <c r="C126" s="40" t="str">
        <f>IF(B126="","",(VLOOKUP(B126,'Dados de PN'!$A:$B,2,0)))</f>
        <v>GYRO HORIZON</v>
      </c>
      <c r="D126" s="150" t="s">
        <v>835</v>
      </c>
      <c r="E126" s="130" t="s">
        <v>99</v>
      </c>
      <c r="F126" s="130" t="s">
        <v>35</v>
      </c>
      <c r="G126" s="50">
        <f t="shared" si="3"/>
        <v>1</v>
      </c>
      <c r="H126" s="44">
        <v>1.6694288E7</v>
      </c>
      <c r="I126" s="54" t="s">
        <v>838</v>
      </c>
      <c r="J126" s="130" t="s">
        <v>37</v>
      </c>
      <c r="K126" s="56">
        <v>46066.0</v>
      </c>
      <c r="L126" s="150" t="s">
        <v>120</v>
      </c>
      <c r="M126" s="130" t="s">
        <v>122</v>
      </c>
      <c r="N126" s="58"/>
      <c r="O126" s="58"/>
      <c r="P126" s="60"/>
      <c r="Q126" s="58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845</v>
      </c>
      <c r="B127" s="150" t="s">
        <v>589</v>
      </c>
      <c r="C127" s="40" t="str">
        <f>IF(B127="","",(VLOOKUP(B127,'Dados de PN'!$A:$B,2,0)))</f>
        <v>THERMOSTAT</v>
      </c>
      <c r="D127" s="150"/>
      <c r="E127" s="130" t="s">
        <v>34</v>
      </c>
      <c r="F127" s="130" t="s">
        <v>35</v>
      </c>
      <c r="G127" s="50">
        <f t="shared" si="3"/>
        <v>1</v>
      </c>
      <c r="H127" s="44">
        <v>3.84260009358E11</v>
      </c>
      <c r="I127" s="132" t="s">
        <v>843</v>
      </c>
      <c r="J127" s="130" t="s">
        <v>37</v>
      </c>
      <c r="K127" s="56">
        <v>46073.0</v>
      </c>
      <c r="L127" s="150" t="s">
        <v>557</v>
      </c>
      <c r="M127" s="130" t="s">
        <v>558</v>
      </c>
      <c r="N127" s="58"/>
      <c r="O127" s="58"/>
      <c r="P127" s="60"/>
      <c r="Q127" s="58"/>
      <c r="R127" s="60"/>
      <c r="S127" s="60"/>
      <c r="T127" s="60"/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857</v>
      </c>
      <c r="B128" s="40" t="s">
        <v>415</v>
      </c>
      <c r="C128" s="40" t="str">
        <f>IF(B128="","",(VLOOKUP(B128,'Dados de PN'!$A:$B,2,0)))</f>
        <v>WHEEL HALF ASSY</v>
      </c>
      <c r="D128" s="150"/>
      <c r="E128" s="130" t="s">
        <v>99</v>
      </c>
      <c r="F128" s="130" t="s">
        <v>35</v>
      </c>
      <c r="G128" s="50">
        <f t="shared" si="3"/>
        <v>1</v>
      </c>
      <c r="H128" s="40" t="s">
        <v>850</v>
      </c>
      <c r="I128" s="132" t="s">
        <v>851</v>
      </c>
      <c r="J128" s="130" t="s">
        <v>37</v>
      </c>
      <c r="K128" s="56">
        <v>46073.0</v>
      </c>
      <c r="L128" s="150" t="s">
        <v>120</v>
      </c>
      <c r="M128" s="130" t="s">
        <v>122</v>
      </c>
      <c r="N128" s="58"/>
      <c r="O128" s="58"/>
      <c r="P128" s="176" t="s">
        <v>415</v>
      </c>
      <c r="Q128" s="132" t="s">
        <v>853</v>
      </c>
      <c r="R128" s="130" t="s">
        <v>595</v>
      </c>
      <c r="S128" s="60"/>
      <c r="T128" s="138">
        <v>45889.0</v>
      </c>
      <c r="U128" s="95" t="s">
        <v>855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867</v>
      </c>
      <c r="B129" s="40" t="s">
        <v>418</v>
      </c>
      <c r="C129" s="40" t="str">
        <f>IF(B129="","",(VLOOKUP(B129,'Dados de PN'!$A:$B,2,0)))</f>
        <v>WHEEL HALF ASSY</v>
      </c>
      <c r="D129" s="150"/>
      <c r="E129" s="130" t="s">
        <v>99</v>
      </c>
      <c r="F129" s="130" t="s">
        <v>35</v>
      </c>
      <c r="G129" s="50">
        <f t="shared" si="3"/>
        <v>1</v>
      </c>
      <c r="H129" s="40" t="s">
        <v>861</v>
      </c>
      <c r="I129" s="132" t="s">
        <v>851</v>
      </c>
      <c r="J129" s="130" t="s">
        <v>37</v>
      </c>
      <c r="K129" s="56">
        <v>46073.0</v>
      </c>
      <c r="L129" s="150" t="s">
        <v>120</v>
      </c>
      <c r="M129" s="130" t="s">
        <v>122</v>
      </c>
      <c r="N129" s="58"/>
      <c r="O129" s="58"/>
      <c r="P129" s="60"/>
      <c r="Q129" s="58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872</v>
      </c>
      <c r="B130" s="40" t="s">
        <v>279</v>
      </c>
      <c r="C130" s="40" t="str">
        <f>IF(B130="","",(VLOOKUP(B130,'Dados de PN'!$A:$B,2,0)))</f>
        <v>INNER TUBE,PNEUMATIC TIRE,AIRCRAFT</v>
      </c>
      <c r="D130" s="150"/>
      <c r="E130" s="130" t="s">
        <v>34</v>
      </c>
      <c r="F130" s="130" t="s">
        <v>35</v>
      </c>
      <c r="G130" s="50">
        <f t="shared" si="3"/>
        <v>1</v>
      </c>
      <c r="H130" s="40" t="s">
        <v>870</v>
      </c>
      <c r="I130" s="132" t="s">
        <v>851</v>
      </c>
      <c r="J130" s="130" t="s">
        <v>37</v>
      </c>
      <c r="K130" s="56">
        <v>46073.0</v>
      </c>
      <c r="L130" s="150" t="s">
        <v>120</v>
      </c>
      <c r="M130" s="130" t="s">
        <v>122</v>
      </c>
      <c r="N130" s="58"/>
      <c r="O130" s="58"/>
      <c r="P130" s="60"/>
      <c r="Q130" s="58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877</v>
      </c>
      <c r="B131" s="40" t="s">
        <v>222</v>
      </c>
      <c r="C131" s="40" t="str">
        <f>IF(B131="","",(VLOOKUP(B131,'Dados de PN'!$A:$B,2,0)))</f>
        <v>PNEU PRINCIPAL 8.50-10 08PR TT FCIII MLG</v>
      </c>
      <c r="D131" s="150"/>
      <c r="E131" s="130" t="s">
        <v>34</v>
      </c>
      <c r="F131" s="130" t="s">
        <v>35</v>
      </c>
      <c r="G131" s="50">
        <f t="shared" si="3"/>
        <v>1</v>
      </c>
      <c r="H131" s="40" t="s">
        <v>873</v>
      </c>
      <c r="I131" s="132" t="s">
        <v>851</v>
      </c>
      <c r="J131" s="130" t="s">
        <v>37</v>
      </c>
      <c r="K131" s="56">
        <v>46073.0</v>
      </c>
      <c r="L131" s="150" t="s">
        <v>120</v>
      </c>
      <c r="M131" s="130" t="s">
        <v>122</v>
      </c>
      <c r="N131" s="58"/>
      <c r="O131" s="58"/>
      <c r="P131" s="60"/>
      <c r="Q131" s="58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881</v>
      </c>
      <c r="B132" s="40" t="s">
        <v>603</v>
      </c>
      <c r="C132" s="40" t="str">
        <f>IF(B132="","",(VLOOKUP(B132,'Dados de PN'!$A:$B,2,0)))</f>
        <v>NUT,PLAIN,HEXAGON</v>
      </c>
      <c r="D132" s="150"/>
      <c r="E132" s="130" t="s">
        <v>34</v>
      </c>
      <c r="F132" s="130" t="s">
        <v>833</v>
      </c>
      <c r="G132" s="50">
        <f t="shared" si="3"/>
        <v>6</v>
      </c>
      <c r="H132" s="40" t="s">
        <v>879</v>
      </c>
      <c r="I132" s="132" t="s">
        <v>851</v>
      </c>
      <c r="J132" s="130" t="s">
        <v>37</v>
      </c>
      <c r="K132" s="56">
        <v>46073.0</v>
      </c>
      <c r="L132" s="150" t="s">
        <v>120</v>
      </c>
      <c r="M132" s="130" t="s">
        <v>122</v>
      </c>
      <c r="N132" s="58"/>
      <c r="O132" s="58"/>
      <c r="P132" s="60"/>
      <c r="Q132" s="58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890</v>
      </c>
      <c r="B133" s="150" t="s">
        <v>606</v>
      </c>
      <c r="C133" s="40" t="str">
        <f>IF(B133="","",(VLOOKUP(B133,'Dados de PN'!$A:$B,2,0)))</f>
        <v>SUCTION GAGE</v>
      </c>
      <c r="D133" s="150" t="s">
        <v>608</v>
      </c>
      <c r="E133" s="130" t="s">
        <v>34</v>
      </c>
      <c r="F133" s="130" t="s">
        <v>35</v>
      </c>
      <c r="G133" s="50">
        <f t="shared" si="3"/>
        <v>1</v>
      </c>
      <c r="H133" s="44">
        <v>1.6783067E7</v>
      </c>
      <c r="I133" s="132" t="s">
        <v>885</v>
      </c>
      <c r="J133" s="130" t="s">
        <v>37</v>
      </c>
      <c r="K133" s="56">
        <v>46077.0</v>
      </c>
      <c r="L133" s="150" t="s">
        <v>886</v>
      </c>
      <c r="M133" s="130" t="s">
        <v>612</v>
      </c>
      <c r="N133" s="58"/>
      <c r="O133" s="58"/>
      <c r="P133" s="60"/>
      <c r="Q133" s="58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897</v>
      </c>
      <c r="B134" s="150" t="s">
        <v>614</v>
      </c>
      <c r="C134" s="40" t="str">
        <f>IF(B134="","",(VLOOKUP(B134,'Dados de PN'!$A:$B,2,0)))</f>
        <v>PIN,STRAIGHT,HEADED</v>
      </c>
      <c r="D134" s="150"/>
      <c r="E134" s="130" t="s">
        <v>34</v>
      </c>
      <c r="F134" s="130" t="s">
        <v>35</v>
      </c>
      <c r="G134" s="50">
        <f t="shared" si="3"/>
        <v>1</v>
      </c>
      <c r="H134" s="44">
        <v>3.13260017745E11</v>
      </c>
      <c r="I134" s="132" t="s">
        <v>894</v>
      </c>
      <c r="J134" s="130" t="s">
        <v>37</v>
      </c>
      <c r="K134" s="56">
        <v>46079.0</v>
      </c>
      <c r="L134" s="150" t="s">
        <v>895</v>
      </c>
      <c r="M134" s="130" t="s">
        <v>47</v>
      </c>
      <c r="N134" s="58"/>
      <c r="O134" s="58"/>
      <c r="P134" s="60"/>
      <c r="Q134" s="58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905</v>
      </c>
      <c r="B135" s="150" t="s">
        <v>422</v>
      </c>
      <c r="C135" s="40" t="str">
        <f>IF(B135="","",(VLOOKUP(B135,'Dados de PN'!$A:$B,2,0)))</f>
        <v>WHEEL HALF ASSY</v>
      </c>
      <c r="D135" s="150"/>
      <c r="E135" s="130" t="s">
        <v>99</v>
      </c>
      <c r="F135" s="130" t="s">
        <v>35</v>
      </c>
      <c r="G135" s="50">
        <f t="shared" si="3"/>
        <v>1</v>
      </c>
      <c r="H135" s="40" t="s">
        <v>900</v>
      </c>
      <c r="I135" s="132" t="s">
        <v>697</v>
      </c>
      <c r="J135" s="130" t="s">
        <v>37</v>
      </c>
      <c r="K135" s="56">
        <v>46080.0</v>
      </c>
      <c r="L135" s="150" t="s">
        <v>557</v>
      </c>
      <c r="M135" s="130" t="s">
        <v>558</v>
      </c>
      <c r="N135" s="58"/>
      <c r="O135" s="58"/>
      <c r="P135" s="60"/>
      <c r="Q135" s="58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909</v>
      </c>
      <c r="B136" s="150" t="s">
        <v>424</v>
      </c>
      <c r="C136" s="40" t="str">
        <f>IF(B136="","",(VLOOKUP(B136,'Dados de PN'!$A:$B,2,0)))</f>
        <v>WHEEL HALF ASSY</v>
      </c>
      <c r="D136" s="150"/>
      <c r="E136" s="130" t="s">
        <v>99</v>
      </c>
      <c r="F136" s="130" t="s">
        <v>35</v>
      </c>
      <c r="G136" s="50">
        <f t="shared" si="3"/>
        <v>1</v>
      </c>
      <c r="H136" s="44">
        <v>1.6843795E7</v>
      </c>
      <c r="I136" s="179" t="s">
        <v>697</v>
      </c>
      <c r="J136" s="180" t="s">
        <v>37</v>
      </c>
      <c r="K136" s="181">
        <v>46080.0</v>
      </c>
      <c r="L136" s="151" t="s">
        <v>557</v>
      </c>
      <c r="M136" s="60" t="s">
        <v>558</v>
      </c>
      <c r="N136" s="58"/>
      <c r="O136" s="58"/>
      <c r="P136" s="60"/>
      <c r="Q136" s="58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915</v>
      </c>
      <c r="B137" s="150" t="s">
        <v>624</v>
      </c>
      <c r="C137" s="40" t="str">
        <f>IF(B137="","",(VLOOKUP(B137,'Dados de PN'!$A:$B,2,0)))</f>
        <v>HOSE ASSY</v>
      </c>
      <c r="D137" s="150"/>
      <c r="E137" s="130" t="s">
        <v>34</v>
      </c>
      <c r="F137" s="130" t="s">
        <v>35</v>
      </c>
      <c r="G137" s="50">
        <f t="shared" si="3"/>
        <v>1</v>
      </c>
      <c r="H137" s="40" t="s">
        <v>912</v>
      </c>
      <c r="I137" s="179" t="s">
        <v>697</v>
      </c>
      <c r="J137" s="180" t="s">
        <v>37</v>
      </c>
      <c r="K137" s="181">
        <v>46080.0</v>
      </c>
      <c r="L137" s="151" t="s">
        <v>557</v>
      </c>
      <c r="M137" s="60" t="s">
        <v>558</v>
      </c>
      <c r="N137" s="58"/>
      <c r="O137" s="58"/>
      <c r="P137" s="60"/>
      <c r="Q137" s="58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923</v>
      </c>
      <c r="B138" s="150" t="s">
        <v>627</v>
      </c>
      <c r="C138" s="40" t="str">
        <f>IF(B138="","",(VLOOKUP(B138,'Dados de PN'!$A:$B,2,0)))</f>
        <v>CLAMP,LOOP</v>
      </c>
      <c r="D138" s="150"/>
      <c r="E138" s="130" t="s">
        <v>34</v>
      </c>
      <c r="F138" s="130" t="s">
        <v>308</v>
      </c>
      <c r="G138" s="50">
        <f t="shared" si="3"/>
        <v>10</v>
      </c>
      <c r="H138" s="44">
        <v>1.6844147E7</v>
      </c>
      <c r="I138" s="132" t="s">
        <v>918</v>
      </c>
      <c r="J138" s="180" t="s">
        <v>37</v>
      </c>
      <c r="K138" s="181">
        <v>46080.0</v>
      </c>
      <c r="L138" s="150" t="s">
        <v>630</v>
      </c>
      <c r="M138" s="130" t="s">
        <v>54</v>
      </c>
      <c r="N138" s="58"/>
      <c r="O138" s="58"/>
      <c r="P138" s="60"/>
      <c r="Q138" s="58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929</v>
      </c>
      <c r="B139" s="150" t="s">
        <v>632</v>
      </c>
      <c r="C139" s="40" t="str">
        <f>IF(B139="","",(VLOOKUP(B139,'Dados de PN'!$A:$B,2,0)))</f>
        <v>PIN,SPRING</v>
      </c>
      <c r="D139" s="150"/>
      <c r="E139" s="130" t="s">
        <v>34</v>
      </c>
      <c r="F139" s="44" t="s">
        <v>118</v>
      </c>
      <c r="G139" s="50">
        <f t="shared" si="3"/>
        <v>2</v>
      </c>
      <c r="H139" s="40" t="s">
        <v>924</v>
      </c>
      <c r="I139" s="132" t="s">
        <v>918</v>
      </c>
      <c r="J139" s="180" t="s">
        <v>37</v>
      </c>
      <c r="K139" s="181">
        <v>46080.0</v>
      </c>
      <c r="L139" s="150" t="s">
        <v>630</v>
      </c>
      <c r="M139" s="130" t="s">
        <v>54</v>
      </c>
      <c r="N139" s="58"/>
      <c r="O139" s="58"/>
      <c r="P139" s="60"/>
      <c r="Q139" s="58"/>
      <c r="R139" s="60"/>
      <c r="S139" s="60"/>
      <c r="T139" s="60"/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637</v>
      </c>
      <c r="B140" s="150" t="s">
        <v>614</v>
      </c>
      <c r="C140" s="40" t="str">
        <f>IF(B140="","",(VLOOKUP(B140,'Dados de PN'!$A:$B,2,0)))</f>
        <v>PIN,STRAIGHT,HEADED</v>
      </c>
      <c r="D140" s="150"/>
      <c r="E140" s="130" t="s">
        <v>34</v>
      </c>
      <c r="F140" s="130" t="s">
        <v>35</v>
      </c>
      <c r="G140" s="50">
        <f t="shared" si="3"/>
        <v>1</v>
      </c>
      <c r="H140" s="44">
        <v>3.13260017745E11</v>
      </c>
      <c r="I140" s="132" t="s">
        <v>894</v>
      </c>
      <c r="J140" s="180" t="s">
        <v>37</v>
      </c>
      <c r="K140" s="56">
        <v>46078.0</v>
      </c>
      <c r="L140" s="150" t="s">
        <v>895</v>
      </c>
      <c r="M140" s="130" t="s">
        <v>47</v>
      </c>
      <c r="N140" s="132">
        <v>2.02667113005464E14</v>
      </c>
      <c r="O140" s="58"/>
      <c r="P140" s="60"/>
      <c r="Q140" s="58"/>
      <c r="R140" s="60"/>
      <c r="S140" s="60"/>
      <c r="T140" s="60"/>
      <c r="U140" s="95" t="s">
        <v>932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643</v>
      </c>
      <c r="B141" s="150" t="s">
        <v>638</v>
      </c>
      <c r="C141" s="40" t="str">
        <f>IF(B141="","",(VLOOKUP(B141,'Dados de PN'!$A:$B,2,0)))</f>
        <v>VENT WINDOK ASSY</v>
      </c>
      <c r="D141" s="150"/>
      <c r="E141" s="130" t="s">
        <v>34</v>
      </c>
      <c r="F141" s="44" t="s">
        <v>35</v>
      </c>
      <c r="G141" s="50">
        <f t="shared" si="3"/>
        <v>1</v>
      </c>
      <c r="H141" s="44">
        <v>1.6907743E7</v>
      </c>
      <c r="I141" s="132" t="s">
        <v>641</v>
      </c>
      <c r="J141" s="180" t="s">
        <v>37</v>
      </c>
      <c r="K141" s="56">
        <v>46092.0</v>
      </c>
      <c r="L141" s="150" t="s">
        <v>101</v>
      </c>
      <c r="M141" s="130" t="s">
        <v>61</v>
      </c>
      <c r="N141" s="58"/>
      <c r="O141" s="58"/>
      <c r="P141" s="60"/>
      <c r="Q141" s="58"/>
      <c r="R141" s="60"/>
      <c r="S141" s="60"/>
      <c r="T141" s="60"/>
      <c r="U141" s="95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648</v>
      </c>
      <c r="B142" s="150" t="s">
        <v>644</v>
      </c>
      <c r="C142" s="40" t="str">
        <f>IF(B142="","",(VLOOKUP(B142,'Dados de PN'!$A:$B,2,0)))</f>
        <v>SEAL</v>
      </c>
      <c r="D142" s="150"/>
      <c r="E142" s="130" t="s">
        <v>34</v>
      </c>
      <c r="F142" s="130" t="s">
        <v>35</v>
      </c>
      <c r="G142" s="50">
        <f t="shared" si="3"/>
        <v>1</v>
      </c>
      <c r="H142" s="44">
        <v>1.690776E7</v>
      </c>
      <c r="I142" s="132" t="s">
        <v>641</v>
      </c>
      <c r="J142" s="180" t="s">
        <v>37</v>
      </c>
      <c r="K142" s="56">
        <v>46092.0</v>
      </c>
      <c r="L142" s="150" t="s">
        <v>101</v>
      </c>
      <c r="M142" s="130" t="s">
        <v>61</v>
      </c>
      <c r="N142" s="58"/>
      <c r="O142" s="58"/>
      <c r="P142" s="60"/>
      <c r="Q142" s="58"/>
      <c r="R142" s="60"/>
      <c r="S142" s="60"/>
      <c r="T142" s="60"/>
      <c r="U142" s="95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659</v>
      </c>
      <c r="B143" s="150" t="s">
        <v>649</v>
      </c>
      <c r="C143" s="40" t="str">
        <f>IF(B143="","",(VLOOKUP(B143,'Dados de PN'!$A:$B,2,0)))</f>
        <v>DUCT-FLEX</v>
      </c>
      <c r="D143" s="150"/>
      <c r="E143" s="130" t="s">
        <v>34</v>
      </c>
      <c r="F143" s="130" t="s">
        <v>35</v>
      </c>
      <c r="G143" s="50">
        <f t="shared" si="3"/>
        <v>1</v>
      </c>
      <c r="H143" s="44">
        <v>1.690778E7</v>
      </c>
      <c r="I143" s="132" t="s">
        <v>641</v>
      </c>
      <c r="J143" s="180" t="s">
        <v>37</v>
      </c>
      <c r="K143" s="56">
        <v>46092.0</v>
      </c>
      <c r="L143" s="150" t="s">
        <v>101</v>
      </c>
      <c r="M143" s="130" t="s">
        <v>61</v>
      </c>
      <c r="N143" s="58"/>
      <c r="O143" s="58"/>
      <c r="P143" s="60"/>
      <c r="Q143" s="58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664</v>
      </c>
      <c r="B144" s="150" t="s">
        <v>654</v>
      </c>
      <c r="C144" s="40" t="str">
        <f>IF(B144="","",(VLOOKUP(B144,'Dados de PN'!$A:$B,2,0)))</f>
        <v>RING AY-ENGINE MOUNT</v>
      </c>
      <c r="D144" s="150" t="s">
        <v>656</v>
      </c>
      <c r="E144" s="130" t="s">
        <v>99</v>
      </c>
      <c r="F144" s="130" t="s">
        <v>35</v>
      </c>
      <c r="G144" s="50">
        <f t="shared" si="3"/>
        <v>1</v>
      </c>
      <c r="H144" s="44">
        <v>1.6920585E7</v>
      </c>
      <c r="I144" s="132" t="s">
        <v>657</v>
      </c>
      <c r="J144" s="180" t="s">
        <v>37</v>
      </c>
      <c r="K144" s="56">
        <v>46092.0</v>
      </c>
      <c r="L144" s="150" t="s">
        <v>101</v>
      </c>
      <c r="M144" s="130" t="s">
        <v>61</v>
      </c>
      <c r="N144" s="58"/>
      <c r="O144" s="58"/>
      <c r="P144" s="60"/>
      <c r="Q144" s="58"/>
      <c r="R144" s="60"/>
      <c r="S144" s="60"/>
      <c r="T144" s="60"/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670</v>
      </c>
      <c r="B145" s="150" t="s">
        <v>129</v>
      </c>
      <c r="C145" s="40" t="str">
        <f>IF(B145="","",(VLOOKUP(B145,'Dados de PN'!$A:$B,2,0)))</f>
        <v>HOSE ASSY</v>
      </c>
      <c r="D145" s="150"/>
      <c r="E145" s="130" t="s">
        <v>34</v>
      </c>
      <c r="F145" s="130" t="s">
        <v>35</v>
      </c>
      <c r="G145" s="50">
        <f t="shared" si="3"/>
        <v>1</v>
      </c>
      <c r="H145" s="44" t="s">
        <v>660</v>
      </c>
      <c r="I145" s="132" t="s">
        <v>662</v>
      </c>
      <c r="J145" s="180" t="s">
        <v>37</v>
      </c>
      <c r="K145" s="56">
        <v>46090.0</v>
      </c>
      <c r="L145" s="150">
        <v>2709.0</v>
      </c>
      <c r="M145" s="130" t="s">
        <v>122</v>
      </c>
      <c r="N145" s="58"/>
      <c r="O145" s="58"/>
      <c r="P145" s="60"/>
      <c r="Q145" s="58"/>
      <c r="R145" s="60"/>
      <c r="S145" s="60"/>
      <c r="T145" s="60"/>
      <c r="U145" s="95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675</v>
      </c>
      <c r="B146" s="150" t="s">
        <v>422</v>
      </c>
      <c r="C146" s="40" t="str">
        <f>IF(B146="","",(VLOOKUP(B146,'Dados de PN'!$A:$B,2,0)))</f>
        <v>WHEEL HALF ASSY</v>
      </c>
      <c r="D146" s="150"/>
      <c r="E146" s="130" t="s">
        <v>99</v>
      </c>
      <c r="F146" s="130" t="s">
        <v>35</v>
      </c>
      <c r="G146" s="50">
        <f t="shared" si="3"/>
        <v>1</v>
      </c>
      <c r="H146" s="44" t="s">
        <v>667</v>
      </c>
      <c r="I146" s="132" t="s">
        <v>668</v>
      </c>
      <c r="J146" s="180" t="s">
        <v>37</v>
      </c>
      <c r="K146" s="56">
        <v>46094.0</v>
      </c>
      <c r="L146" s="150" t="s">
        <v>383</v>
      </c>
      <c r="M146" s="130" t="s">
        <v>384</v>
      </c>
      <c r="N146" s="58"/>
      <c r="O146" s="58"/>
      <c r="P146" s="60"/>
      <c r="Q146" s="58"/>
      <c r="R146" s="60"/>
      <c r="S146" s="60"/>
      <c r="T146" s="60"/>
      <c r="U146" s="95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681</v>
      </c>
      <c r="B147" s="150" t="s">
        <v>424</v>
      </c>
      <c r="C147" s="40" t="str">
        <f>IF(B147="","",(VLOOKUP(B147,'Dados de PN'!$A:$B,2,0)))</f>
        <v>WHEEL HALF ASSY</v>
      </c>
      <c r="D147" s="150"/>
      <c r="E147" s="130" t="s">
        <v>99</v>
      </c>
      <c r="F147" s="130" t="s">
        <v>35</v>
      </c>
      <c r="G147" s="50">
        <f t="shared" si="3"/>
        <v>1</v>
      </c>
      <c r="H147" s="44" t="s">
        <v>672</v>
      </c>
      <c r="I147" s="132" t="s">
        <v>668</v>
      </c>
      <c r="J147" s="180" t="s">
        <v>37</v>
      </c>
      <c r="K147" s="56">
        <v>46094.0</v>
      </c>
      <c r="L147" s="150" t="s">
        <v>383</v>
      </c>
      <c r="M147" s="130" t="s">
        <v>384</v>
      </c>
      <c r="N147" s="58"/>
      <c r="O147" s="58"/>
      <c r="P147" s="60"/>
      <c r="Q147" s="58"/>
      <c r="R147" s="60"/>
      <c r="S147" s="60"/>
      <c r="T147" s="60"/>
      <c r="U147" s="95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685</v>
      </c>
      <c r="B148" s="150" t="s">
        <v>677</v>
      </c>
      <c r="C148" s="40" t="str">
        <f>IF(B148="","",(VLOOKUP(B148,'Dados de PN'!$A:$B,2,0)))</f>
        <v>AXLE-MAIN GEAR</v>
      </c>
      <c r="D148" s="150"/>
      <c r="E148" s="130" t="s">
        <v>99</v>
      </c>
      <c r="F148" s="130" t="s">
        <v>118</v>
      </c>
      <c r="G148" s="50">
        <f t="shared" si="3"/>
        <v>2</v>
      </c>
      <c r="H148" s="44" t="s">
        <v>679</v>
      </c>
      <c r="I148" s="132" t="s">
        <v>668</v>
      </c>
      <c r="J148" s="180" t="s">
        <v>37</v>
      </c>
      <c r="K148" s="56">
        <v>46094.0</v>
      </c>
      <c r="L148" s="150" t="s">
        <v>383</v>
      </c>
      <c r="M148" s="130" t="s">
        <v>384</v>
      </c>
      <c r="N148" s="58"/>
      <c r="O148" s="58"/>
      <c r="P148" s="60"/>
      <c r="Q148" s="58"/>
      <c r="R148" s="60"/>
      <c r="S148" s="60"/>
      <c r="T148" s="60"/>
      <c r="U148" s="95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690</v>
      </c>
      <c r="B149" s="150" t="s">
        <v>521</v>
      </c>
      <c r="C149" s="40" t="str">
        <f>IF(B149="","",(VLOOKUP(B149,'Dados de PN'!$A:$B,2,0)))</f>
        <v>INDICATOR FUEL</v>
      </c>
      <c r="D149" s="150"/>
      <c r="E149" s="130" t="s">
        <v>99</v>
      </c>
      <c r="F149" s="130" t="s">
        <v>118</v>
      </c>
      <c r="G149" s="50">
        <f t="shared" si="3"/>
        <v>2</v>
      </c>
      <c r="H149" s="44">
        <v>1.6908363E7</v>
      </c>
      <c r="I149" s="132" t="s">
        <v>684</v>
      </c>
      <c r="J149" s="182" t="s">
        <v>37</v>
      </c>
      <c r="K149" s="56">
        <v>46097.0</v>
      </c>
      <c r="L149" s="150" t="s">
        <v>238</v>
      </c>
      <c r="M149" s="130" t="s">
        <v>122</v>
      </c>
      <c r="N149" s="58"/>
      <c r="O149" s="58"/>
      <c r="P149" s="60"/>
      <c r="Q149" s="58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695</v>
      </c>
      <c r="B150" s="150" t="s">
        <v>528</v>
      </c>
      <c r="C150" s="40" t="str">
        <f>IF(B150="","",(VLOOKUP(B150,'Dados de PN'!$A:$B,2,0)))</f>
        <v>TRANSCEIVER</v>
      </c>
      <c r="D150" s="150"/>
      <c r="E150" s="130" t="s">
        <v>99</v>
      </c>
      <c r="F150" s="130" t="s">
        <v>35</v>
      </c>
      <c r="G150" s="50">
        <f t="shared" si="3"/>
        <v>1</v>
      </c>
      <c r="H150" s="44">
        <v>1.6953491E7</v>
      </c>
      <c r="I150" s="132" t="s">
        <v>688</v>
      </c>
      <c r="J150" s="182" t="s">
        <v>37</v>
      </c>
      <c r="K150" s="56">
        <v>46097.0</v>
      </c>
      <c r="L150" s="150" t="s">
        <v>238</v>
      </c>
      <c r="M150" s="130" t="s">
        <v>122</v>
      </c>
      <c r="N150" s="58"/>
      <c r="O150" s="58"/>
      <c r="P150" s="60"/>
      <c r="Q150" s="58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699</v>
      </c>
      <c r="B151" s="150" t="s">
        <v>691</v>
      </c>
      <c r="C151" s="40" t="str">
        <f>IF(B151="","",(VLOOKUP(B151,'Dados de PN'!$A:$B,2,0)))</f>
        <v>KNOB</v>
      </c>
      <c r="D151" s="150"/>
      <c r="E151" s="130" t="s">
        <v>34</v>
      </c>
      <c r="F151" s="130" t="s">
        <v>35</v>
      </c>
      <c r="G151" s="50">
        <f t="shared" si="3"/>
        <v>1</v>
      </c>
      <c r="H151" s="44">
        <v>1.6959989E7</v>
      </c>
      <c r="I151" s="132" t="s">
        <v>693</v>
      </c>
      <c r="J151" s="180" t="s">
        <v>37</v>
      </c>
      <c r="K151" s="56">
        <v>46098.0</v>
      </c>
      <c r="L151" s="150" t="s">
        <v>101</v>
      </c>
      <c r="M151" s="130" t="s">
        <v>61</v>
      </c>
      <c r="N151" s="58"/>
      <c r="O151" s="58"/>
      <c r="P151" s="60"/>
      <c r="Q151" s="58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702</v>
      </c>
      <c r="B152" s="183" t="s">
        <v>422</v>
      </c>
      <c r="C152" s="40" t="str">
        <f>IF(B152="","",(VLOOKUP(B152,'Dados de PN'!$A:$B,2,0)))</f>
        <v>WHEEL HALF ASSY</v>
      </c>
      <c r="D152" s="150"/>
      <c r="E152" s="130" t="s">
        <v>99</v>
      </c>
      <c r="F152" s="130" t="s">
        <v>118</v>
      </c>
      <c r="G152" s="50">
        <f t="shared" si="3"/>
        <v>2</v>
      </c>
      <c r="H152" s="150" t="s">
        <v>696</v>
      </c>
      <c r="I152" s="132" t="s">
        <v>697</v>
      </c>
      <c r="J152" s="180" t="s">
        <v>37</v>
      </c>
      <c r="K152" s="56">
        <v>46100.0</v>
      </c>
      <c r="L152" s="150" t="s">
        <v>630</v>
      </c>
      <c r="M152" s="130" t="s">
        <v>54</v>
      </c>
      <c r="N152" s="58"/>
      <c r="O152" s="58"/>
      <c r="P152" s="60"/>
      <c r="Q152" s="58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707</v>
      </c>
      <c r="B153" s="183" t="s">
        <v>424</v>
      </c>
      <c r="C153" s="40" t="str">
        <f>IF(B153="","",(VLOOKUP(B153,'Dados de PN'!$A:$B,2,0)))</f>
        <v>WHEEL HALF ASSY</v>
      </c>
      <c r="D153" s="150"/>
      <c r="E153" s="130" t="s">
        <v>99</v>
      </c>
      <c r="F153" s="130" t="s">
        <v>118</v>
      </c>
      <c r="G153" s="50">
        <f t="shared" si="3"/>
        <v>2</v>
      </c>
      <c r="H153" s="150" t="s">
        <v>701</v>
      </c>
      <c r="I153" s="132" t="s">
        <v>697</v>
      </c>
      <c r="J153" s="180" t="s">
        <v>37</v>
      </c>
      <c r="K153" s="56">
        <v>46100.0</v>
      </c>
      <c r="L153" s="150" t="s">
        <v>630</v>
      </c>
      <c r="M153" s="130" t="s">
        <v>54</v>
      </c>
      <c r="N153" s="58"/>
      <c r="O153" s="58"/>
      <c r="P153" s="60"/>
      <c r="Q153" s="58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712</v>
      </c>
      <c r="B154" s="183" t="s">
        <v>703</v>
      </c>
      <c r="C154" s="40" t="str">
        <f>IF(B154="","",(VLOOKUP(B154,'Dados de PN'!$A:$B,2,0)))</f>
        <v>EXTINGUISHER,FIRE</v>
      </c>
      <c r="D154" s="150"/>
      <c r="E154" s="130" t="s">
        <v>51</v>
      </c>
      <c r="F154" s="130" t="s">
        <v>35</v>
      </c>
      <c r="G154" s="50">
        <f t="shared" si="3"/>
        <v>1</v>
      </c>
      <c r="H154" s="150" t="s">
        <v>705</v>
      </c>
      <c r="I154" s="132" t="s">
        <v>697</v>
      </c>
      <c r="J154" s="180" t="s">
        <v>37</v>
      </c>
      <c r="K154" s="56">
        <v>46100.0</v>
      </c>
      <c r="L154" s="151" t="s">
        <v>557</v>
      </c>
      <c r="M154" s="60" t="s">
        <v>558</v>
      </c>
      <c r="N154" s="58"/>
      <c r="O154" s="58"/>
      <c r="P154" s="60"/>
      <c r="Q154" s="58"/>
      <c r="R154" s="60"/>
      <c r="S154" s="60"/>
      <c r="T154" s="138">
        <v>46176.0</v>
      </c>
      <c r="U154" s="95" t="s">
        <v>530</v>
      </c>
      <c r="V154" s="130" t="s">
        <v>531</v>
      </c>
      <c r="W154" s="76" t="s">
        <v>66</v>
      </c>
      <c r="X154" s="60"/>
      <c r="Y154" s="60"/>
      <c r="Z154" s="60"/>
      <c r="AA154" s="60"/>
      <c r="AB154" s="60"/>
      <c r="AC154" s="60"/>
      <c r="AD154" s="60"/>
    </row>
    <row r="155">
      <c r="A155" s="39" t="s">
        <v>717</v>
      </c>
      <c r="B155" s="150" t="s">
        <v>708</v>
      </c>
      <c r="C155" s="40" t="str">
        <f>IF(B155="","",(VLOOKUP(B155,'Dados de PN'!$A:$B,2,0)))</f>
        <v>CONTROL INDICATOR</v>
      </c>
      <c r="D155" s="150"/>
      <c r="E155" s="130" t="s">
        <v>99</v>
      </c>
      <c r="F155" s="130" t="s">
        <v>35</v>
      </c>
      <c r="G155" s="50">
        <f t="shared" si="3"/>
        <v>1</v>
      </c>
      <c r="H155" s="150" t="s">
        <v>710</v>
      </c>
      <c r="I155" s="132" t="s">
        <v>711</v>
      </c>
      <c r="J155" s="180" t="s">
        <v>37</v>
      </c>
      <c r="K155" s="56">
        <v>46101.0</v>
      </c>
      <c r="L155" s="184" t="s">
        <v>363</v>
      </c>
      <c r="M155" s="130" t="s">
        <v>364</v>
      </c>
      <c r="N155" s="58"/>
      <c r="O155" s="58"/>
      <c r="P155" s="60"/>
      <c r="Q155" s="58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722</v>
      </c>
      <c r="B156" s="150" t="s">
        <v>713</v>
      </c>
      <c r="C156" s="40" t="str">
        <f>IF(B156="","",(VLOOKUP(B156,'Dados de PN'!$A:$B,2,0)))</f>
        <v>AUDIO CONTROL PANEL</v>
      </c>
      <c r="D156" s="150"/>
      <c r="E156" s="130" t="s">
        <v>99</v>
      </c>
      <c r="F156" s="130" t="s">
        <v>35</v>
      </c>
      <c r="G156" s="50">
        <f t="shared" si="3"/>
        <v>1</v>
      </c>
      <c r="H156" s="150" t="s">
        <v>715</v>
      </c>
      <c r="I156" s="185" t="s">
        <v>711</v>
      </c>
      <c r="J156" s="180" t="s">
        <v>37</v>
      </c>
      <c r="K156" s="56">
        <v>46101.0</v>
      </c>
      <c r="L156" s="184" t="s">
        <v>363</v>
      </c>
      <c r="M156" s="130" t="s">
        <v>364</v>
      </c>
      <c r="N156" s="58"/>
      <c r="O156" s="58"/>
      <c r="P156" s="60"/>
      <c r="Q156" s="58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727</v>
      </c>
      <c r="B157" s="150" t="s">
        <v>718</v>
      </c>
      <c r="C157" s="40" t="str">
        <f>IF(B157="","",(VLOOKUP(B157,'Dados de PN'!$A:$B,2,0)))</f>
        <v>SERVO MOUNT</v>
      </c>
      <c r="D157" s="150"/>
      <c r="E157" s="130" t="s">
        <v>99</v>
      </c>
      <c r="F157" s="130" t="s">
        <v>35</v>
      </c>
      <c r="G157" s="50">
        <f t="shared" si="3"/>
        <v>1</v>
      </c>
      <c r="H157" s="150" t="s">
        <v>721</v>
      </c>
      <c r="I157" s="132" t="s">
        <v>711</v>
      </c>
      <c r="J157" s="180" t="s">
        <v>37</v>
      </c>
      <c r="K157" s="56">
        <v>46101.0</v>
      </c>
      <c r="L157" s="184" t="s">
        <v>363</v>
      </c>
      <c r="M157" s="130" t="s">
        <v>364</v>
      </c>
      <c r="N157" s="58"/>
      <c r="O157" s="58"/>
      <c r="P157" s="60"/>
      <c r="Q157" s="58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732</v>
      </c>
      <c r="B158" s="150" t="s">
        <v>508</v>
      </c>
      <c r="C158" s="40" t="str">
        <f>IF(B158="","",(VLOOKUP(B158,'Dados de PN'!$A:$B,2,0)))</f>
        <v>SWITCH-ELEC TR</v>
      </c>
      <c r="D158" s="150"/>
      <c r="E158" s="130" t="s">
        <v>34</v>
      </c>
      <c r="F158" s="130" t="s">
        <v>35</v>
      </c>
      <c r="G158" s="50">
        <f t="shared" si="3"/>
        <v>1</v>
      </c>
      <c r="H158" s="44" t="s">
        <v>724</v>
      </c>
      <c r="I158" s="132" t="s">
        <v>725</v>
      </c>
      <c r="J158" s="180" t="s">
        <v>37</v>
      </c>
      <c r="K158" s="56">
        <v>46101.0</v>
      </c>
      <c r="L158" s="150" t="s">
        <v>60</v>
      </c>
      <c r="M158" s="130" t="s">
        <v>61</v>
      </c>
      <c r="N158" s="58"/>
      <c r="O158" s="58"/>
      <c r="P158" s="60"/>
      <c r="Q158" s="58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737</v>
      </c>
      <c r="B159" s="150" t="s">
        <v>728</v>
      </c>
      <c r="C159" s="40" t="str">
        <f>IF(B159="","",(VLOOKUP(B159,'Dados de PN'!$A:$B,2,0)))</f>
        <v>NUT,PLAIN,HEXAGON</v>
      </c>
      <c r="D159" s="150"/>
      <c r="E159" s="130" t="s">
        <v>34</v>
      </c>
      <c r="F159" s="130" t="s">
        <v>118</v>
      </c>
      <c r="G159" s="50">
        <f t="shared" si="3"/>
        <v>2</v>
      </c>
      <c r="H159" s="40" t="s">
        <v>729</v>
      </c>
      <c r="I159" s="132" t="s">
        <v>730</v>
      </c>
      <c r="J159" s="180" t="s">
        <v>37</v>
      </c>
      <c r="K159" s="56">
        <v>46101.0</v>
      </c>
      <c r="L159" s="150" t="s">
        <v>53</v>
      </c>
      <c r="M159" s="130" t="s">
        <v>54</v>
      </c>
      <c r="N159" s="58"/>
      <c r="O159" s="58"/>
      <c r="P159" s="60"/>
      <c r="Q159" s="58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742</v>
      </c>
      <c r="B160" s="150" t="s">
        <v>733</v>
      </c>
      <c r="C160" s="40" t="str">
        <f>IF(B160="","",(VLOOKUP(B160,'Dados de PN'!$A:$B,2,0)))</f>
        <v>TUBE ASSY LH</v>
      </c>
      <c r="D160" s="150"/>
      <c r="E160" s="130" t="s">
        <v>34</v>
      </c>
      <c r="F160" s="130" t="s">
        <v>118</v>
      </c>
      <c r="G160" s="50">
        <f t="shared" si="3"/>
        <v>2</v>
      </c>
      <c r="H160" s="40" t="s">
        <v>735</v>
      </c>
      <c r="I160" s="132" t="s">
        <v>730</v>
      </c>
      <c r="J160" s="180" t="s">
        <v>37</v>
      </c>
      <c r="K160" s="56">
        <v>46101.0</v>
      </c>
      <c r="L160" s="150" t="s">
        <v>53</v>
      </c>
      <c r="M160" s="130" t="s">
        <v>54</v>
      </c>
      <c r="N160" s="58"/>
      <c r="O160" s="58"/>
      <c r="P160" s="60"/>
      <c r="Q160" s="58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653</v>
      </c>
      <c r="B161" s="150" t="s">
        <v>738</v>
      </c>
      <c r="C161" s="40" t="str">
        <f>IF(B161="","",(VLOOKUP(B161,'Dados de PN'!$A:$B,2,0)))</f>
        <v>066-3046-07</v>
      </c>
      <c r="D161" s="150"/>
      <c r="E161" s="130" t="s">
        <v>34</v>
      </c>
      <c r="F161" s="130" t="s">
        <v>35</v>
      </c>
      <c r="G161" s="50">
        <f t="shared" si="3"/>
        <v>1</v>
      </c>
      <c r="H161" s="40" t="s">
        <v>740</v>
      </c>
      <c r="I161" s="132" t="s">
        <v>730</v>
      </c>
      <c r="J161" s="180" t="s">
        <v>37</v>
      </c>
      <c r="K161" s="56">
        <v>46101.0</v>
      </c>
      <c r="L161" s="150" t="s">
        <v>53</v>
      </c>
      <c r="M161" s="130" t="s">
        <v>54</v>
      </c>
      <c r="N161" s="58"/>
      <c r="O161" s="58"/>
      <c r="P161" s="60"/>
      <c r="Q161" s="58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753</v>
      </c>
      <c r="B162" s="150" t="s">
        <v>743</v>
      </c>
      <c r="C162" s="40" t="str">
        <f>IF(B162="","",(VLOOKUP(B162,'Dados de PN'!$A:$B,2,0)))</f>
        <v>TRANSMITTER</v>
      </c>
      <c r="D162" s="150"/>
      <c r="E162" s="130" t="s">
        <v>99</v>
      </c>
      <c r="F162" s="130" t="s">
        <v>35</v>
      </c>
      <c r="G162" s="50">
        <f t="shared" si="3"/>
        <v>1</v>
      </c>
      <c r="H162" s="40" t="s">
        <v>746</v>
      </c>
      <c r="I162" s="132" t="s">
        <v>747</v>
      </c>
      <c r="J162" s="180" t="s">
        <v>37</v>
      </c>
      <c r="K162" s="56">
        <v>46101.0</v>
      </c>
      <c r="L162" s="150" t="s">
        <v>142</v>
      </c>
      <c r="M162" s="130" t="s">
        <v>54</v>
      </c>
      <c r="N162" s="58"/>
      <c r="O162" s="58"/>
      <c r="P162" s="60"/>
      <c r="Q162" s="58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757</v>
      </c>
      <c r="B163" s="150" t="s">
        <v>654</v>
      </c>
      <c r="C163" s="40" t="str">
        <f>IF(B163="","",(VLOOKUP(B163,'Dados de PN'!$A:$B,2,0)))</f>
        <v>RING AY-ENGINE MOUNT</v>
      </c>
      <c r="D163" s="150"/>
      <c r="E163" s="130" t="s">
        <v>99</v>
      </c>
      <c r="F163" s="130" t="s">
        <v>35</v>
      </c>
      <c r="G163" s="50">
        <f t="shared" si="3"/>
        <v>1</v>
      </c>
      <c r="H163" s="44">
        <v>1.713128E7</v>
      </c>
      <c r="I163" s="132" t="s">
        <v>751</v>
      </c>
      <c r="J163" s="180" t="s">
        <v>37</v>
      </c>
      <c r="K163" s="56">
        <v>46113.0</v>
      </c>
      <c r="L163" s="150" t="s">
        <v>252</v>
      </c>
      <c r="M163" s="130" t="s">
        <v>61</v>
      </c>
      <c r="N163" s="58"/>
      <c r="O163" s="58"/>
      <c r="P163" s="60"/>
      <c r="Q163" s="58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761</v>
      </c>
      <c r="B164" s="150" t="s">
        <v>443</v>
      </c>
      <c r="C164" s="40" t="str">
        <f>IF(B164="","",(VLOOKUP(B164,'Dados de PN'!$A:$B,2,0)))</f>
        <v>SLAVING ACCESS,SPEC</v>
      </c>
      <c r="D164" s="150"/>
      <c r="E164" s="130" t="s">
        <v>99</v>
      </c>
      <c r="F164" s="130" t="s">
        <v>35</v>
      </c>
      <c r="G164" s="50">
        <f t="shared" si="3"/>
        <v>1</v>
      </c>
      <c r="H164" s="44">
        <v>6.8526001145E11</v>
      </c>
      <c r="I164" s="132" t="s">
        <v>849</v>
      </c>
      <c r="J164" s="180" t="s">
        <v>37</v>
      </c>
      <c r="K164" s="56">
        <v>46119.0</v>
      </c>
      <c r="L164" s="150" t="s">
        <v>142</v>
      </c>
      <c r="M164" s="130" t="s">
        <v>54</v>
      </c>
      <c r="N164" s="58"/>
      <c r="O164" s="58"/>
      <c r="P164" s="60"/>
      <c r="Q164" s="58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765</v>
      </c>
      <c r="B165" s="150" t="s">
        <v>883</v>
      </c>
      <c r="C165" s="40" t="str">
        <f>IF(B165="","",(VLOOKUP(B165,'Dados de PN'!$A:$B,2,0)))</f>
        <v>INDICATOR TRUE</v>
      </c>
      <c r="D165" s="150"/>
      <c r="E165" s="130" t="s">
        <v>99</v>
      </c>
      <c r="F165" s="130" t="s">
        <v>35</v>
      </c>
      <c r="G165" s="50">
        <f t="shared" si="3"/>
        <v>1</v>
      </c>
      <c r="H165" s="44">
        <v>6.85260011448E11</v>
      </c>
      <c r="I165" s="132" t="s">
        <v>849</v>
      </c>
      <c r="J165" s="180" t="s">
        <v>37</v>
      </c>
      <c r="K165" s="56">
        <v>46119.0</v>
      </c>
      <c r="L165" s="150" t="s">
        <v>53</v>
      </c>
      <c r="M165" s="130" t="s">
        <v>54</v>
      </c>
      <c r="N165" s="58"/>
      <c r="O165" s="58"/>
      <c r="P165" s="60"/>
      <c r="Q165" s="58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769</v>
      </c>
      <c r="B166" s="150" t="s">
        <v>899</v>
      </c>
      <c r="C166" s="40" t="str">
        <f>IF(B166="","",(VLOOKUP(B166,'Dados de PN'!$A:$B,2,0)))</f>
        <v>ALTERNATOR CONTROL UNIT ASSY</v>
      </c>
      <c r="D166" s="150"/>
      <c r="E166" s="130" t="s">
        <v>51</v>
      </c>
      <c r="F166" s="130" t="s">
        <v>35</v>
      </c>
      <c r="G166" s="50">
        <f t="shared" si="3"/>
        <v>1</v>
      </c>
      <c r="H166" s="44">
        <v>6.85260011449E11</v>
      </c>
      <c r="I166" s="132" t="s">
        <v>849</v>
      </c>
      <c r="J166" s="180" t="s">
        <v>37</v>
      </c>
      <c r="K166" s="56">
        <v>46119.0</v>
      </c>
      <c r="L166" s="150" t="s">
        <v>142</v>
      </c>
      <c r="M166" s="130" t="s">
        <v>54</v>
      </c>
      <c r="N166" s="58"/>
      <c r="O166" s="58"/>
      <c r="P166" s="60"/>
      <c r="Q166" s="58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774</v>
      </c>
      <c r="B167" s="150" t="s">
        <v>443</v>
      </c>
      <c r="C167" s="40" t="str">
        <f>IF(B167="","",(VLOOKUP(B167,'Dados de PN'!$A:$B,2,0)))</f>
        <v>SLAVING ACCESS,SPEC</v>
      </c>
      <c r="D167" s="150"/>
      <c r="E167" s="130" t="s">
        <v>99</v>
      </c>
      <c r="F167" s="130" t="s">
        <v>35</v>
      </c>
      <c r="G167" s="50">
        <f t="shared" si="3"/>
        <v>1</v>
      </c>
      <c r="H167" s="44">
        <v>6.85260011452E11</v>
      </c>
      <c r="I167" s="132" t="s">
        <v>849</v>
      </c>
      <c r="J167" s="180" t="s">
        <v>37</v>
      </c>
      <c r="K167" s="56">
        <v>46119.0</v>
      </c>
      <c r="L167" s="150" t="s">
        <v>53</v>
      </c>
      <c r="M167" s="130" t="s">
        <v>54</v>
      </c>
      <c r="N167" s="58"/>
      <c r="O167" s="58"/>
      <c r="P167" s="60"/>
      <c r="Q167" s="58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777</v>
      </c>
      <c r="B168" s="150" t="s">
        <v>984</v>
      </c>
      <c r="C168" s="40" t="str">
        <f>IF(B168="","",(VLOOKUP(B168,'Dados de PN'!$A:$B,2,0)))</f>
        <v>TURN AND BANK</v>
      </c>
      <c r="D168" s="150"/>
      <c r="E168" s="130" t="s">
        <v>99</v>
      </c>
      <c r="F168" s="130" t="s">
        <v>35</v>
      </c>
      <c r="G168" s="50">
        <f t="shared" si="3"/>
        <v>1</v>
      </c>
      <c r="H168" s="44">
        <v>6.85260011453E11</v>
      </c>
      <c r="I168" s="132" t="s">
        <v>849</v>
      </c>
      <c r="J168" s="180" t="s">
        <v>37</v>
      </c>
      <c r="K168" s="56">
        <v>46119.0</v>
      </c>
      <c r="L168" s="150" t="s">
        <v>53</v>
      </c>
      <c r="M168" s="130" t="s">
        <v>54</v>
      </c>
      <c r="N168" s="58"/>
      <c r="O168" s="58"/>
      <c r="P168" s="60"/>
      <c r="Q168" s="58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782</v>
      </c>
      <c r="B169" s="150" t="s">
        <v>985</v>
      </c>
      <c r="C169" s="40" t="str">
        <f>IF(B169="","",(VLOOKUP(B169,'Dados de PN'!$A:$B,2,0)))</f>
        <v>ENGINE MOUNT WELD ASSEMBLY</v>
      </c>
      <c r="D169" s="150" t="s">
        <v>986</v>
      </c>
      <c r="E169" s="130" t="s">
        <v>51</v>
      </c>
      <c r="F169" s="150" t="s">
        <v>35</v>
      </c>
      <c r="G169" s="50">
        <f t="shared" si="3"/>
        <v>1</v>
      </c>
      <c r="H169" s="44">
        <v>1.7153041E7</v>
      </c>
      <c r="I169" s="132" t="s">
        <v>755</v>
      </c>
      <c r="J169" s="180" t="s">
        <v>37</v>
      </c>
      <c r="K169" s="56">
        <v>46120.0</v>
      </c>
      <c r="L169" s="150" t="s">
        <v>886</v>
      </c>
      <c r="M169" s="130" t="s">
        <v>612</v>
      </c>
      <c r="N169" s="58"/>
      <c r="O169" s="58"/>
      <c r="P169" s="60"/>
      <c r="Q169" s="58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787</v>
      </c>
      <c r="B170" s="150" t="s">
        <v>654</v>
      </c>
      <c r="C170" s="40" t="str">
        <f>IF(B170="","",(VLOOKUP(B170,'Dados de PN'!$A:$B,2,0)))</f>
        <v>RING AY-ENGINE MOUNT</v>
      </c>
      <c r="D170" s="150" t="s">
        <v>987</v>
      </c>
      <c r="E170" s="130" t="s">
        <v>51</v>
      </c>
      <c r="F170" s="150" t="s">
        <v>35</v>
      </c>
      <c r="G170" s="50">
        <f t="shared" si="3"/>
        <v>1</v>
      </c>
      <c r="H170" s="44">
        <v>1.7153048E7</v>
      </c>
      <c r="I170" s="132" t="s">
        <v>755</v>
      </c>
      <c r="J170" s="180" t="s">
        <v>37</v>
      </c>
      <c r="K170" s="56">
        <v>46120.0</v>
      </c>
      <c r="L170" s="150" t="s">
        <v>886</v>
      </c>
      <c r="M170" s="130" t="s">
        <v>612</v>
      </c>
      <c r="N170" s="58"/>
      <c r="O170" s="58"/>
      <c r="P170" s="60"/>
      <c r="Q170" s="58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789</v>
      </c>
      <c r="B171" s="150" t="s">
        <v>215</v>
      </c>
      <c r="C171" s="40" t="str">
        <f>IF(B171="","",(VLOOKUP(B171,'Dados de PN'!$A:$B,2,0)))</f>
        <v>BOLT</v>
      </c>
      <c r="D171" s="150"/>
      <c r="E171" s="130" t="s">
        <v>34</v>
      </c>
      <c r="F171" s="130" t="s">
        <v>118</v>
      </c>
      <c r="G171" s="50">
        <f t="shared" si="3"/>
        <v>2</v>
      </c>
      <c r="H171" s="44">
        <v>1.7155047E7</v>
      </c>
      <c r="I171" s="132" t="s">
        <v>755</v>
      </c>
      <c r="J171" s="180" t="s">
        <v>37</v>
      </c>
      <c r="K171" s="56">
        <v>46120.0</v>
      </c>
      <c r="L171" s="150" t="s">
        <v>886</v>
      </c>
      <c r="M171" s="130" t="s">
        <v>612</v>
      </c>
      <c r="N171" s="58"/>
      <c r="O171" s="58"/>
      <c r="P171" s="60"/>
      <c r="Q171" s="58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791</v>
      </c>
      <c r="B172" s="150" t="s">
        <v>759</v>
      </c>
      <c r="C172" s="40" t="str">
        <f>IF(B172="","",(VLOOKUP(B172,'Dados de PN'!$A:$B,2,0)))</f>
        <v>NUT, SELF-LOCKING, HEXAGON</v>
      </c>
      <c r="D172" s="150"/>
      <c r="E172" s="130" t="s">
        <v>34</v>
      </c>
      <c r="F172" s="130" t="s">
        <v>118</v>
      </c>
      <c r="G172" s="50">
        <f t="shared" si="3"/>
        <v>2</v>
      </c>
      <c r="H172" s="44">
        <v>1.7154695E7</v>
      </c>
      <c r="I172" s="132" t="s">
        <v>755</v>
      </c>
      <c r="J172" s="180" t="s">
        <v>37</v>
      </c>
      <c r="K172" s="56">
        <v>46120.0</v>
      </c>
      <c r="L172" s="150" t="s">
        <v>886</v>
      </c>
      <c r="M172" s="130" t="s">
        <v>612</v>
      </c>
      <c r="N172" s="58"/>
      <c r="O172" s="58"/>
      <c r="P172" s="60"/>
      <c r="Q172" s="58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795</v>
      </c>
      <c r="B173" s="150" t="s">
        <v>762</v>
      </c>
      <c r="C173" s="40" t="str">
        <f>IF(B173="","",(VLOOKUP(B173,'Dados de PN'!$A:$B,2,0)))</f>
        <v>WASHER, FLAT</v>
      </c>
      <c r="D173" s="150"/>
      <c r="E173" s="130" t="s">
        <v>34</v>
      </c>
      <c r="F173" s="130" t="s">
        <v>118</v>
      </c>
      <c r="G173" s="50">
        <f t="shared" si="3"/>
        <v>2</v>
      </c>
      <c r="H173" s="44">
        <v>1.7154706E7</v>
      </c>
      <c r="I173" s="132" t="s">
        <v>755</v>
      </c>
      <c r="J173" s="180" t="s">
        <v>37</v>
      </c>
      <c r="K173" s="56">
        <v>46120.0</v>
      </c>
      <c r="L173" s="150" t="s">
        <v>886</v>
      </c>
      <c r="M173" s="130" t="s">
        <v>612</v>
      </c>
      <c r="N173" s="58"/>
      <c r="O173" s="58"/>
      <c r="P173" s="60"/>
      <c r="Q173" s="58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799</v>
      </c>
      <c r="B174" s="150" t="s">
        <v>766</v>
      </c>
      <c r="C174" s="40" t="str">
        <f>IF(B174="","",(VLOOKUP(B174,'Dados de PN'!$A:$B,2,0)))</f>
        <v>WASHER, RECESSED</v>
      </c>
      <c r="D174" s="150"/>
      <c r="E174" s="130" t="s">
        <v>34</v>
      </c>
      <c r="F174" s="150" t="s">
        <v>205</v>
      </c>
      <c r="G174" s="50">
        <f t="shared" si="3"/>
        <v>4</v>
      </c>
      <c r="H174" s="44">
        <v>1.715475E7</v>
      </c>
      <c r="I174" s="132" t="s">
        <v>755</v>
      </c>
      <c r="J174" s="180" t="s">
        <v>37</v>
      </c>
      <c r="K174" s="56">
        <v>46120.0</v>
      </c>
      <c r="L174" s="150" t="s">
        <v>886</v>
      </c>
      <c r="M174" s="130" t="s">
        <v>612</v>
      </c>
      <c r="N174" s="58"/>
      <c r="O174" s="58"/>
      <c r="P174" s="60"/>
      <c r="Q174" s="58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805</v>
      </c>
      <c r="B175" s="150" t="s">
        <v>770</v>
      </c>
      <c r="C175" s="40" t="str">
        <f>IF(B175="","",(VLOOKUP(B175,'Dados de PN'!$A:$B,2,0)))</f>
        <v>BOLT, MACHINE</v>
      </c>
      <c r="D175" s="150"/>
      <c r="E175" s="130" t="s">
        <v>34</v>
      </c>
      <c r="F175" s="150" t="s">
        <v>35</v>
      </c>
      <c r="G175" s="50">
        <f t="shared" si="3"/>
        <v>1</v>
      </c>
      <c r="H175" s="44">
        <v>1.7154753E7</v>
      </c>
      <c r="I175" s="132" t="s">
        <v>755</v>
      </c>
      <c r="J175" s="180" t="s">
        <v>37</v>
      </c>
      <c r="K175" s="56">
        <v>46120.0</v>
      </c>
      <c r="L175" s="150" t="s">
        <v>886</v>
      </c>
      <c r="M175" s="130" t="s">
        <v>612</v>
      </c>
      <c r="N175" s="58"/>
      <c r="O175" s="58"/>
      <c r="P175" s="60"/>
      <c r="Q175" s="58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809</v>
      </c>
      <c r="B176" s="150" t="s">
        <v>775</v>
      </c>
      <c r="C176" s="40" t="str">
        <f>IF(B176="","",(VLOOKUP(B176,'Dados de PN'!$A:$B,2,0)))</f>
        <v>WASHER, FLAT</v>
      </c>
      <c r="D176" s="150"/>
      <c r="E176" s="130" t="s">
        <v>34</v>
      </c>
      <c r="F176" s="130" t="s">
        <v>118</v>
      </c>
      <c r="G176" s="50">
        <f t="shared" si="3"/>
        <v>2</v>
      </c>
      <c r="H176" s="44">
        <v>1.7154695E7</v>
      </c>
      <c r="I176" s="132" t="s">
        <v>755</v>
      </c>
      <c r="J176" s="180" t="s">
        <v>37</v>
      </c>
      <c r="K176" s="56">
        <v>46120.0</v>
      </c>
      <c r="L176" s="150" t="s">
        <v>886</v>
      </c>
      <c r="M176" s="130" t="s">
        <v>612</v>
      </c>
      <c r="N176" s="58"/>
      <c r="O176" s="58"/>
      <c r="P176" s="60"/>
      <c r="Q176" s="58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813</v>
      </c>
      <c r="B177" s="150" t="s">
        <v>778</v>
      </c>
      <c r="C177" s="40" t="str">
        <f>IF(B177="","",(VLOOKUP(B177,'Dados de PN'!$A:$B,2,0)))</f>
        <v>WASHER</v>
      </c>
      <c r="D177" s="150"/>
      <c r="E177" s="130" t="s">
        <v>34</v>
      </c>
      <c r="F177" s="150" t="s">
        <v>35</v>
      </c>
      <c r="G177" s="50">
        <f t="shared" si="3"/>
        <v>1</v>
      </c>
      <c r="H177" s="44">
        <v>1.715499E7</v>
      </c>
      <c r="I177" s="132" t="s">
        <v>755</v>
      </c>
      <c r="J177" s="180" t="s">
        <v>37</v>
      </c>
      <c r="K177" s="56">
        <v>46120.0</v>
      </c>
      <c r="L177" s="150" t="s">
        <v>886</v>
      </c>
      <c r="M177" s="130" t="s">
        <v>612</v>
      </c>
      <c r="N177" s="58"/>
      <c r="O177" s="58"/>
      <c r="P177" s="60"/>
      <c r="Q177" s="58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815</v>
      </c>
      <c r="B178" s="150" t="s">
        <v>783</v>
      </c>
      <c r="C178" s="40" t="str">
        <f>IF(B178="","",(VLOOKUP(B178,'Dados de PN'!$A:$B,2,0)))</f>
        <v>NUT, SELF-LOCKING</v>
      </c>
      <c r="D178" s="150"/>
      <c r="E178" s="130" t="s">
        <v>34</v>
      </c>
      <c r="F178" s="150" t="s">
        <v>35</v>
      </c>
      <c r="G178" s="50">
        <f t="shared" si="3"/>
        <v>1</v>
      </c>
      <c r="H178" s="44">
        <v>1.7154998E7</v>
      </c>
      <c r="I178" s="132" t="s">
        <v>755</v>
      </c>
      <c r="J178" s="180" t="s">
        <v>37</v>
      </c>
      <c r="K178" s="56">
        <v>46120.0</v>
      </c>
      <c r="L178" s="150" t="s">
        <v>886</v>
      </c>
      <c r="M178" s="130" t="s">
        <v>612</v>
      </c>
      <c r="N178" s="58"/>
      <c r="O178" s="58"/>
      <c r="P178" s="60"/>
      <c r="Q178" s="58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819</v>
      </c>
      <c r="B179" s="150" t="s">
        <v>220</v>
      </c>
      <c r="C179" s="40" t="str">
        <f>IF(B179="","",(VLOOKUP(B179,'Dados de PN'!$A:$B,2,0)))</f>
        <v>BOLT,INTERNAL WRENCHING</v>
      </c>
      <c r="D179" s="150"/>
      <c r="E179" s="130" t="s">
        <v>34</v>
      </c>
      <c r="F179" s="130" t="s">
        <v>118</v>
      </c>
      <c r="G179" s="50">
        <f t="shared" si="3"/>
        <v>2</v>
      </c>
      <c r="H179" s="44">
        <v>1.7155038E7</v>
      </c>
      <c r="I179" s="132" t="s">
        <v>755</v>
      </c>
      <c r="J179" s="180" t="s">
        <v>37</v>
      </c>
      <c r="K179" s="56">
        <v>46120.0</v>
      </c>
      <c r="L179" s="150" t="s">
        <v>886</v>
      </c>
      <c r="M179" s="130" t="s">
        <v>612</v>
      </c>
      <c r="N179" s="58"/>
      <c r="O179" s="58"/>
      <c r="P179" s="60"/>
      <c r="Q179" s="58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821</v>
      </c>
      <c r="B180" s="150" t="s">
        <v>703</v>
      </c>
      <c r="C180" s="40" t="str">
        <f>IF(B180="","",(VLOOKUP(B180,'Dados de PN'!$A:$B,2,0)))</f>
        <v>EXTINGUISHER,FIRE</v>
      </c>
      <c r="D180" s="150"/>
      <c r="E180" s="130" t="s">
        <v>51</v>
      </c>
      <c r="F180" s="130" t="s">
        <v>35</v>
      </c>
      <c r="G180" s="50">
        <f t="shared" si="3"/>
        <v>1</v>
      </c>
      <c r="H180" s="44">
        <v>1.7183414E7</v>
      </c>
      <c r="I180" s="132" t="s">
        <v>697</v>
      </c>
      <c r="J180" s="130" t="s">
        <v>37</v>
      </c>
      <c r="K180" s="56">
        <v>46121.0</v>
      </c>
      <c r="L180" s="150" t="s">
        <v>383</v>
      </c>
      <c r="M180" s="130" t="s">
        <v>384</v>
      </c>
      <c r="N180" s="58"/>
      <c r="O180" s="58"/>
      <c r="P180" s="60"/>
      <c r="Q180" s="58"/>
      <c r="R180" s="60"/>
      <c r="S180" s="60"/>
      <c r="T180" s="138">
        <v>46176.0</v>
      </c>
      <c r="U180" s="95" t="s">
        <v>530</v>
      </c>
      <c r="V180" s="130" t="s">
        <v>531</v>
      </c>
      <c r="W180" s="76" t="s">
        <v>66</v>
      </c>
      <c r="X180" s="60"/>
      <c r="Y180" s="60"/>
      <c r="Z180" s="60"/>
      <c r="AA180" s="60"/>
      <c r="AB180" s="60"/>
      <c r="AC180" s="60"/>
      <c r="AD180" s="60"/>
    </row>
    <row r="181">
      <c r="A181" s="39" t="s">
        <v>824</v>
      </c>
      <c r="B181" s="40" t="s">
        <v>277</v>
      </c>
      <c r="C181" s="40" t="str">
        <f>IF(B181="","",(VLOOKUP(B181,'Dados de PN'!$A:$B,2,0)))</f>
        <v>CONTROL,DIRECTIONAL,AUTOMATIC PILOT</v>
      </c>
      <c r="D181" s="150"/>
      <c r="E181" s="130" t="s">
        <v>99</v>
      </c>
      <c r="F181" s="130" t="s">
        <v>35</v>
      </c>
      <c r="G181" s="50">
        <f t="shared" si="3"/>
        <v>1</v>
      </c>
      <c r="H181" s="150" t="s">
        <v>988</v>
      </c>
      <c r="I181" s="132" t="s">
        <v>793</v>
      </c>
      <c r="J181" s="130" t="s">
        <v>37</v>
      </c>
      <c r="K181" s="56">
        <v>46121.0</v>
      </c>
      <c r="L181" s="150" t="s">
        <v>989</v>
      </c>
      <c r="M181" s="130" t="s">
        <v>54</v>
      </c>
      <c r="N181" s="58"/>
      <c r="O181" s="58"/>
      <c r="P181" s="60"/>
      <c r="Q181" s="58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827</v>
      </c>
      <c r="B182" s="40" t="s">
        <v>796</v>
      </c>
      <c r="C182" s="40" t="str">
        <f>IF(B182="","",(VLOOKUP(B182,'Dados de PN'!$A:$B,2,0)))</f>
        <v>PLATE</v>
      </c>
      <c r="D182" s="150"/>
      <c r="E182" s="130" t="s">
        <v>99</v>
      </c>
      <c r="F182" s="130" t="s">
        <v>35</v>
      </c>
      <c r="G182" s="50">
        <f t="shared" si="3"/>
        <v>1</v>
      </c>
      <c r="H182" s="150" t="s">
        <v>990</v>
      </c>
      <c r="I182" s="132" t="s">
        <v>793</v>
      </c>
      <c r="J182" s="130" t="s">
        <v>37</v>
      </c>
      <c r="K182" s="56">
        <v>46121.0</v>
      </c>
      <c r="L182" s="150" t="s">
        <v>142</v>
      </c>
      <c r="M182" s="130" t="s">
        <v>54</v>
      </c>
      <c r="N182" s="58"/>
      <c r="O182" s="58"/>
      <c r="P182" s="60"/>
      <c r="Q182" s="58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829</v>
      </c>
      <c r="B183" s="40" t="s">
        <v>800</v>
      </c>
      <c r="C183" s="40" t="str">
        <f>IF(B183="","",(VLOOKUP(B183,'Dados de PN'!$A:$B,2,0)))</f>
        <v>INDICADOR RMI</v>
      </c>
      <c r="D183" s="150"/>
      <c r="E183" s="130" t="s">
        <v>99</v>
      </c>
      <c r="F183" s="130" t="s">
        <v>118</v>
      </c>
      <c r="G183" s="50">
        <f t="shared" si="3"/>
        <v>2</v>
      </c>
      <c r="H183" s="150" t="s">
        <v>991</v>
      </c>
      <c r="I183" s="132" t="s">
        <v>793</v>
      </c>
      <c r="J183" s="130" t="s">
        <v>37</v>
      </c>
      <c r="K183" s="56">
        <v>46121.0</v>
      </c>
      <c r="L183" s="150" t="s">
        <v>803</v>
      </c>
      <c r="M183" s="130" t="s">
        <v>54</v>
      </c>
      <c r="N183" s="58"/>
      <c r="O183" s="58"/>
      <c r="P183" s="60"/>
      <c r="Q183" s="58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836</v>
      </c>
      <c r="B184" s="40" t="s">
        <v>806</v>
      </c>
      <c r="C184" s="40" t="str">
        <f>IF(B184="","",(VLOOKUP(B184,'Dados de PN'!$A:$B,2,0)))</f>
        <v>ANTENA</v>
      </c>
      <c r="D184" s="150"/>
      <c r="E184" s="130" t="s">
        <v>99</v>
      </c>
      <c r="F184" s="130" t="s">
        <v>35</v>
      </c>
      <c r="G184" s="50">
        <f t="shared" si="3"/>
        <v>1</v>
      </c>
      <c r="H184" s="150" t="s">
        <v>992</v>
      </c>
      <c r="I184" s="132" t="s">
        <v>793</v>
      </c>
      <c r="J184" s="130" t="s">
        <v>37</v>
      </c>
      <c r="K184" s="56">
        <v>46121.0</v>
      </c>
      <c r="L184" s="150" t="s">
        <v>142</v>
      </c>
      <c r="M184" s="130" t="s">
        <v>54</v>
      </c>
      <c r="N184" s="58"/>
      <c r="O184" s="58"/>
      <c r="P184" s="60"/>
      <c r="Q184" s="58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839</v>
      </c>
      <c r="B185" s="150" t="s">
        <v>810</v>
      </c>
      <c r="C185" s="40" t="str">
        <f>IF(B185="","",(VLOOKUP(B185,'Dados de PN'!$A:$B,2,0)))</f>
        <v>LINE ASSY-INSTRUMENT TO TEE</v>
      </c>
      <c r="D185" s="150"/>
      <c r="E185" s="130" t="s">
        <v>34</v>
      </c>
      <c r="F185" s="130" t="s">
        <v>35</v>
      </c>
      <c r="G185" s="50">
        <f t="shared" si="3"/>
        <v>1</v>
      </c>
      <c r="H185" s="150" t="s">
        <v>993</v>
      </c>
      <c r="I185" s="132" t="s">
        <v>812</v>
      </c>
      <c r="J185" s="130" t="s">
        <v>37</v>
      </c>
      <c r="K185" s="56">
        <v>46122.0</v>
      </c>
      <c r="L185" s="150" t="s">
        <v>238</v>
      </c>
      <c r="M185" s="130" t="s">
        <v>122</v>
      </c>
      <c r="N185" s="58"/>
      <c r="O185" s="58"/>
      <c r="P185" s="60"/>
      <c r="Q185" s="58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844</v>
      </c>
      <c r="B186" s="150" t="s">
        <v>810</v>
      </c>
      <c r="C186" s="40" t="str">
        <f>IF(B186="","",(VLOOKUP(B186,'Dados de PN'!$A:$B,2,0)))</f>
        <v>LINE ASSY-INSTRUMENT TO TEE</v>
      </c>
      <c r="D186" s="150"/>
      <c r="E186" s="130" t="s">
        <v>34</v>
      </c>
      <c r="F186" s="130" t="s">
        <v>35</v>
      </c>
      <c r="G186" s="50">
        <f t="shared" si="3"/>
        <v>1</v>
      </c>
      <c r="H186" s="150" t="s">
        <v>994</v>
      </c>
      <c r="I186" s="132" t="s">
        <v>812</v>
      </c>
      <c r="J186" s="130" t="s">
        <v>37</v>
      </c>
      <c r="K186" s="56">
        <v>46122.0</v>
      </c>
      <c r="L186" s="150" t="s">
        <v>238</v>
      </c>
      <c r="M186" s="130" t="s">
        <v>122</v>
      </c>
      <c r="N186" s="58"/>
      <c r="O186" s="58"/>
      <c r="P186" s="60"/>
      <c r="Q186" s="58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846</v>
      </c>
      <c r="B187" s="150" t="s">
        <v>816</v>
      </c>
      <c r="C187" s="40" t="str">
        <f>IF(B187="","",(VLOOKUP(B187,'Dados de PN'!$A:$B,2,0)))</f>
        <v>PORCA FLUTUANTE</v>
      </c>
      <c r="D187" s="150"/>
      <c r="E187" s="130" t="s">
        <v>34</v>
      </c>
      <c r="F187" s="130" t="s">
        <v>93</v>
      </c>
      <c r="G187" s="50">
        <f t="shared" si="3"/>
        <v>50</v>
      </c>
      <c r="H187" s="150" t="s">
        <v>995</v>
      </c>
      <c r="I187" s="132" t="s">
        <v>812</v>
      </c>
      <c r="J187" s="130" t="s">
        <v>37</v>
      </c>
      <c r="K187" s="56">
        <v>46122.0</v>
      </c>
      <c r="L187" s="150" t="s">
        <v>238</v>
      </c>
      <c r="M187" s="130" t="s">
        <v>122</v>
      </c>
      <c r="N187" s="58"/>
      <c r="O187" s="58"/>
      <c r="P187" s="60"/>
      <c r="Q187" s="58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852</v>
      </c>
      <c r="B188" s="150" t="s">
        <v>820</v>
      </c>
      <c r="C188" s="40" t="str">
        <f>IF(B188="","",(VLOOKUP(B188,'Dados de PN'!$A:$B,2,0)))</f>
        <v>BOLT</v>
      </c>
      <c r="D188" s="150"/>
      <c r="E188" s="130" t="s">
        <v>34</v>
      </c>
      <c r="F188" s="130" t="s">
        <v>35</v>
      </c>
      <c r="G188" s="50">
        <f t="shared" si="3"/>
        <v>1</v>
      </c>
      <c r="H188" s="44">
        <v>1.7187137E7</v>
      </c>
      <c r="I188" s="132" t="s">
        <v>812</v>
      </c>
      <c r="J188" s="130" t="s">
        <v>37</v>
      </c>
      <c r="K188" s="56">
        <v>46122.0</v>
      </c>
      <c r="L188" s="150" t="s">
        <v>886</v>
      </c>
      <c r="M188" s="130" t="s">
        <v>612</v>
      </c>
      <c r="N188" s="58"/>
      <c r="O188" s="58"/>
      <c r="P188" s="60"/>
      <c r="Q188" s="58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858</v>
      </c>
      <c r="B189" s="150" t="s">
        <v>822</v>
      </c>
      <c r="C189" s="40" t="str">
        <f>IF(B189="","",(VLOOKUP(B189,'Dados de PN'!$A:$B,2,0)))</f>
        <v>BOLT,INTERNAL WRENCHING</v>
      </c>
      <c r="D189" s="150"/>
      <c r="E189" s="130" t="s">
        <v>34</v>
      </c>
      <c r="F189" s="130" t="s">
        <v>118</v>
      </c>
      <c r="G189" s="50">
        <f t="shared" si="3"/>
        <v>2</v>
      </c>
      <c r="H189" s="44">
        <v>1.7187145E7</v>
      </c>
      <c r="I189" s="132" t="s">
        <v>812</v>
      </c>
      <c r="J189" s="130" t="s">
        <v>37</v>
      </c>
      <c r="K189" s="56">
        <v>46122.0</v>
      </c>
      <c r="L189" s="150" t="s">
        <v>886</v>
      </c>
      <c r="M189" s="130" t="s">
        <v>612</v>
      </c>
      <c r="N189" s="58"/>
      <c r="O189" s="58"/>
      <c r="P189" s="60"/>
      <c r="Q189" s="58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862</v>
      </c>
      <c r="B190" s="150" t="s">
        <v>825</v>
      </c>
      <c r="C190" s="40" t="str">
        <f>IF(B190="","",(VLOOKUP(B190,'Dados de PN'!$A:$B,2,0)))</f>
        <v>NUT,SELF-LOCKING,HEXAGON</v>
      </c>
      <c r="D190" s="150"/>
      <c r="E190" s="130" t="s">
        <v>34</v>
      </c>
      <c r="F190" s="150" t="s">
        <v>205</v>
      </c>
      <c r="G190" s="50">
        <f t="shared" si="3"/>
        <v>4</v>
      </c>
      <c r="H190" s="44">
        <v>1.7187148E7</v>
      </c>
      <c r="I190" s="132" t="s">
        <v>812</v>
      </c>
      <c r="J190" s="130" t="s">
        <v>37</v>
      </c>
      <c r="K190" s="56">
        <v>46122.0</v>
      </c>
      <c r="L190" s="150" t="s">
        <v>886</v>
      </c>
      <c r="M190" s="130" t="s">
        <v>612</v>
      </c>
      <c r="N190" s="58"/>
      <c r="O190" s="58"/>
      <c r="P190" s="60"/>
      <c r="Q190" s="58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868</v>
      </c>
      <c r="B191" s="150" t="s">
        <v>828</v>
      </c>
      <c r="C191" s="40" t="str">
        <f>IF(B191="","",(VLOOKUP(B191,'Dados de PN'!$A:$B,2,0)))</f>
        <v>BOLT,INTERNAL WRENCHING</v>
      </c>
      <c r="D191" s="150"/>
      <c r="E191" s="130" t="s">
        <v>34</v>
      </c>
      <c r="F191" s="130" t="s">
        <v>35</v>
      </c>
      <c r="G191" s="50">
        <f t="shared" si="3"/>
        <v>1</v>
      </c>
      <c r="H191" s="44">
        <v>1.7187154E7</v>
      </c>
      <c r="I191" s="132" t="s">
        <v>812</v>
      </c>
      <c r="J191" s="130" t="s">
        <v>37</v>
      </c>
      <c r="K191" s="56">
        <v>46122.0</v>
      </c>
      <c r="L191" s="150" t="s">
        <v>886</v>
      </c>
      <c r="M191" s="130" t="s">
        <v>612</v>
      </c>
      <c r="N191" s="58"/>
      <c r="O191" s="58"/>
      <c r="P191" s="60"/>
      <c r="Q191" s="58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871</v>
      </c>
      <c r="B192" s="150" t="s">
        <v>830</v>
      </c>
      <c r="C192" s="40" t="str">
        <f>IF(B192="","",(VLOOKUP(B192,'Dados de PN'!$A:$B,2,0)))</f>
        <v>ENGINE MOUNT</v>
      </c>
      <c r="D192" s="150"/>
      <c r="E192" s="130" t="s">
        <v>34</v>
      </c>
      <c r="F192" s="130" t="s">
        <v>833</v>
      </c>
      <c r="G192" s="50">
        <f t="shared" si="3"/>
        <v>6</v>
      </c>
      <c r="H192" s="44">
        <v>1.7187163E7</v>
      </c>
      <c r="I192" s="132" t="s">
        <v>812</v>
      </c>
      <c r="J192" s="130" t="s">
        <v>37</v>
      </c>
      <c r="K192" s="56">
        <v>46122.0</v>
      </c>
      <c r="L192" s="150" t="s">
        <v>886</v>
      </c>
      <c r="M192" s="130" t="s">
        <v>612</v>
      </c>
      <c r="N192" s="58"/>
      <c r="O192" s="58"/>
      <c r="P192" s="60"/>
      <c r="Q192" s="58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874</v>
      </c>
      <c r="B193" s="150" t="s">
        <v>837</v>
      </c>
      <c r="C193" s="40" t="str">
        <f>IF(B193="","",(VLOOKUP(B193,'Dados de PN'!$A:$B,2,0)))</f>
        <v>BOLT</v>
      </c>
      <c r="D193" s="150"/>
      <c r="E193" s="130" t="s">
        <v>34</v>
      </c>
      <c r="F193" s="130" t="s">
        <v>35</v>
      </c>
      <c r="G193" s="50">
        <f t="shared" si="3"/>
        <v>1</v>
      </c>
      <c r="H193" s="44">
        <v>1.7187176E7</v>
      </c>
      <c r="I193" s="132" t="s">
        <v>812</v>
      </c>
      <c r="J193" s="130" t="s">
        <v>37</v>
      </c>
      <c r="K193" s="56">
        <v>46122.0</v>
      </c>
      <c r="L193" s="150" t="s">
        <v>886</v>
      </c>
      <c r="M193" s="130" t="s">
        <v>612</v>
      </c>
      <c r="N193" s="58"/>
      <c r="O193" s="58"/>
      <c r="P193" s="60"/>
      <c r="Q193" s="58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878</v>
      </c>
      <c r="B194" s="150" t="s">
        <v>840</v>
      </c>
      <c r="C194" s="40" t="str">
        <f>IF(B194="","",(VLOOKUP(B194,'Dados de PN'!$A:$B,2,0)))</f>
        <v>NUT,PLAIN,CASTELLATED,HEXAGON</v>
      </c>
      <c r="D194" s="150"/>
      <c r="E194" s="130" t="s">
        <v>34</v>
      </c>
      <c r="F194" s="130" t="s">
        <v>302</v>
      </c>
      <c r="G194" s="50">
        <f t="shared" si="3"/>
        <v>3</v>
      </c>
      <c r="H194" s="44">
        <v>1.7187179E7</v>
      </c>
      <c r="I194" s="132" t="s">
        <v>812</v>
      </c>
      <c r="J194" s="130" t="s">
        <v>37</v>
      </c>
      <c r="K194" s="56">
        <v>46122.0</v>
      </c>
      <c r="L194" s="150" t="s">
        <v>886</v>
      </c>
      <c r="M194" s="130" t="s">
        <v>612</v>
      </c>
      <c r="N194" s="58"/>
      <c r="O194" s="58"/>
      <c r="P194" s="60"/>
      <c r="Q194" s="58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882</v>
      </c>
      <c r="B195" s="150" t="s">
        <v>840</v>
      </c>
      <c r="C195" s="40" t="str">
        <f>IF(B195="","",(VLOOKUP(B195,'Dados de PN'!$A:$B,2,0)))</f>
        <v>NUT,PLAIN,CASTELLATED,HEXAGON</v>
      </c>
      <c r="D195" s="150"/>
      <c r="E195" s="130" t="s">
        <v>34</v>
      </c>
      <c r="F195" s="130" t="s">
        <v>302</v>
      </c>
      <c r="G195" s="50">
        <f t="shared" si="3"/>
        <v>3</v>
      </c>
      <c r="H195" s="44">
        <v>1.7191995E7</v>
      </c>
      <c r="I195" s="132" t="s">
        <v>812</v>
      </c>
      <c r="J195" s="130" t="s">
        <v>37</v>
      </c>
      <c r="K195" s="56">
        <v>46122.0</v>
      </c>
      <c r="L195" s="150" t="s">
        <v>886</v>
      </c>
      <c r="M195" s="130" t="s">
        <v>612</v>
      </c>
      <c r="N195" s="58"/>
      <c r="O195" s="58"/>
      <c r="P195" s="60"/>
      <c r="Q195" s="58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887</v>
      </c>
      <c r="B196" s="150" t="s">
        <v>847</v>
      </c>
      <c r="C196" s="40" t="str">
        <f>IF(B196="","",(VLOOKUP(B196,'Dados de PN'!$A:$B,2,0)))</f>
        <v>HOSE ASSY TEE</v>
      </c>
      <c r="D196" s="150"/>
      <c r="E196" s="130" t="s">
        <v>34</v>
      </c>
      <c r="F196" s="130" t="s">
        <v>35</v>
      </c>
      <c r="G196" s="50">
        <f t="shared" si="3"/>
        <v>1</v>
      </c>
      <c r="H196" s="44">
        <v>3.13260018206E11</v>
      </c>
      <c r="I196" s="132" t="s">
        <v>849</v>
      </c>
      <c r="J196" s="130" t="s">
        <v>37</v>
      </c>
      <c r="K196" s="56">
        <v>46126.0</v>
      </c>
      <c r="L196" s="150" t="s">
        <v>370</v>
      </c>
      <c r="M196" s="130" t="s">
        <v>47</v>
      </c>
      <c r="N196" s="58"/>
      <c r="O196" s="58"/>
      <c r="P196" s="60"/>
      <c r="Q196" s="58"/>
      <c r="R196" s="60"/>
      <c r="S196" s="60"/>
      <c r="T196" s="60"/>
      <c r="U196" s="59"/>
      <c r="V196" s="13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891</v>
      </c>
      <c r="B197" s="150" t="s">
        <v>532</v>
      </c>
      <c r="C197" s="40" t="str">
        <f>IF(B197="","",(VLOOKUP(B197,'Dados de PN'!$A:$B,2,0)))</f>
        <v>RECEIVER TRANSMITTER</v>
      </c>
      <c r="D197" s="150" t="s">
        <v>996</v>
      </c>
      <c r="E197" s="130" t="s">
        <v>99</v>
      </c>
      <c r="F197" s="130" t="s">
        <v>35</v>
      </c>
      <c r="G197" s="50">
        <f t="shared" si="3"/>
        <v>1</v>
      </c>
      <c r="H197" s="44">
        <v>1.7244405E7</v>
      </c>
      <c r="I197" s="132" t="s">
        <v>856</v>
      </c>
      <c r="J197" s="130" t="s">
        <v>37</v>
      </c>
      <c r="K197" s="56">
        <v>46128.0</v>
      </c>
      <c r="L197" s="150" t="s">
        <v>363</v>
      </c>
      <c r="M197" s="130" t="s">
        <v>364</v>
      </c>
      <c r="N197" s="58"/>
      <c r="O197" s="58"/>
      <c r="P197" s="60"/>
      <c r="Q197" s="58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898</v>
      </c>
      <c r="B198" s="150" t="s">
        <v>528</v>
      </c>
      <c r="C198" s="40" t="str">
        <f>IF(B198="","",(VLOOKUP(B198,'Dados de PN'!$A:$B,2,0)))</f>
        <v>TRANSCEIVER</v>
      </c>
      <c r="D198" s="150" t="s">
        <v>997</v>
      </c>
      <c r="E198" s="130" t="s">
        <v>99</v>
      </c>
      <c r="F198" s="130" t="s">
        <v>35</v>
      </c>
      <c r="G198" s="50">
        <f t="shared" si="3"/>
        <v>1</v>
      </c>
      <c r="H198" s="44">
        <v>3.29260019063E11</v>
      </c>
      <c r="I198" s="132" t="s">
        <v>860</v>
      </c>
      <c r="J198" s="130" t="s">
        <v>37</v>
      </c>
      <c r="K198" s="56">
        <v>46128.0</v>
      </c>
      <c r="L198" s="150" t="s">
        <v>238</v>
      </c>
      <c r="M198" s="130" t="s">
        <v>122</v>
      </c>
      <c r="N198" s="58"/>
      <c r="O198" s="58"/>
      <c r="P198" s="60"/>
      <c r="Q198" s="58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904</v>
      </c>
      <c r="B199" s="150" t="s">
        <v>863</v>
      </c>
      <c r="C199" s="40" t="str">
        <f>IF(B199="","",(VLOOKUP(B199,'Dados de PN'!$A:$B,2,0)))</f>
        <v>PIN,COTTER</v>
      </c>
      <c r="D199" s="150"/>
      <c r="E199" s="130" t="s">
        <v>34</v>
      </c>
      <c r="F199" s="130" t="s">
        <v>865</v>
      </c>
      <c r="G199" s="50">
        <f t="shared" si="3"/>
        <v>5</v>
      </c>
      <c r="H199" s="44">
        <v>1.7261012E7</v>
      </c>
      <c r="I199" s="132" t="s">
        <v>866</v>
      </c>
      <c r="J199" s="130" t="s">
        <v>207</v>
      </c>
      <c r="K199" s="56">
        <v>46128.0</v>
      </c>
      <c r="L199" s="150" t="s">
        <v>101</v>
      </c>
      <c r="M199" s="130" t="s">
        <v>61</v>
      </c>
      <c r="N199" s="58"/>
      <c r="O199" s="58"/>
      <c r="P199" s="60"/>
      <c r="Q199" s="58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907</v>
      </c>
      <c r="B200" s="150" t="s">
        <v>998</v>
      </c>
      <c r="C200" s="40" t="str">
        <f>IF(B200="","",(VLOOKUP(B200,'Dados de PN'!$A:$B,2,0)))</f>
        <v>SPACER</v>
      </c>
      <c r="D200" s="150"/>
      <c r="E200" s="130" t="s">
        <v>34</v>
      </c>
      <c r="F200" s="130" t="s">
        <v>118</v>
      </c>
      <c r="G200" s="50">
        <f t="shared" si="3"/>
        <v>2</v>
      </c>
      <c r="H200" s="44">
        <v>1.7276994E7</v>
      </c>
      <c r="I200" s="132" t="s">
        <v>869</v>
      </c>
      <c r="J200" s="130" t="s">
        <v>59</v>
      </c>
      <c r="K200" s="56">
        <v>46129.0</v>
      </c>
      <c r="L200" s="150" t="s">
        <v>101</v>
      </c>
      <c r="M200" s="130" t="s">
        <v>61</v>
      </c>
      <c r="N200" s="58"/>
      <c r="O200" s="58"/>
      <c r="P200" s="60"/>
      <c r="Q200" s="58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910</v>
      </c>
      <c r="B201" s="150" t="s">
        <v>341</v>
      </c>
      <c r="C201" s="40" t="str">
        <f>IF(B201="","",(VLOOKUP(B201,'Dados de PN'!$A:$B,2,0)))</f>
        <v>HOSE ASSEMBLY,NONMETALLIC</v>
      </c>
      <c r="D201" s="150"/>
      <c r="E201" s="130" t="s">
        <v>34</v>
      </c>
      <c r="F201" s="130" t="s">
        <v>118</v>
      </c>
      <c r="G201" s="50">
        <f t="shared" si="3"/>
        <v>2</v>
      </c>
      <c r="H201" s="44">
        <v>1.7254045E7</v>
      </c>
      <c r="I201" s="132" t="s">
        <v>793</v>
      </c>
      <c r="J201" s="130" t="s">
        <v>37</v>
      </c>
      <c r="K201" s="56">
        <v>46135.0</v>
      </c>
      <c r="L201" s="150" t="s">
        <v>271</v>
      </c>
      <c r="M201" s="130" t="s">
        <v>54</v>
      </c>
      <c r="N201" s="58"/>
      <c r="O201" s="58"/>
      <c r="P201" s="60"/>
      <c r="Q201" s="58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914</v>
      </c>
      <c r="B202" s="150" t="s">
        <v>875</v>
      </c>
      <c r="C202" s="40" t="str">
        <f>IF(B202="","",(VLOOKUP(B202,'Dados de PN'!$A:$B,2,0)))</f>
        <v>NUT,PLAIN,HEXAGON</v>
      </c>
      <c r="D202" s="150"/>
      <c r="E202" s="130" t="s">
        <v>34</v>
      </c>
      <c r="F202" s="150" t="s">
        <v>205</v>
      </c>
      <c r="G202" s="50">
        <f t="shared" si="3"/>
        <v>4</v>
      </c>
      <c r="H202" s="44">
        <v>1.7331826E7</v>
      </c>
      <c r="I202" s="132" t="s">
        <v>876</v>
      </c>
      <c r="J202" s="130" t="s">
        <v>37</v>
      </c>
      <c r="K202" s="56">
        <v>46139.0</v>
      </c>
      <c r="L202" s="150" t="s">
        <v>476</v>
      </c>
      <c r="M202" s="130" t="s">
        <v>477</v>
      </c>
      <c r="N202" s="58"/>
      <c r="O202" s="58"/>
      <c r="P202" s="60"/>
      <c r="Q202" s="58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919</v>
      </c>
      <c r="B203" s="150" t="s">
        <v>880</v>
      </c>
      <c r="C203" s="40" t="str">
        <f>IF(B203="","",(VLOOKUP(B203,'Dados de PN'!$A:$B,2,0)))</f>
        <v>ANEL-O</v>
      </c>
      <c r="D203" s="150"/>
      <c r="E203" s="130" t="s">
        <v>34</v>
      </c>
      <c r="F203" s="130" t="s">
        <v>118</v>
      </c>
      <c r="G203" s="50">
        <f t="shared" si="3"/>
        <v>2</v>
      </c>
      <c r="H203" s="44">
        <v>1.7331914E7</v>
      </c>
      <c r="I203" s="132" t="s">
        <v>876</v>
      </c>
      <c r="J203" s="130" t="s">
        <v>37</v>
      </c>
      <c r="K203" s="56">
        <v>46139.0</v>
      </c>
      <c r="L203" s="150" t="s">
        <v>476</v>
      </c>
      <c r="M203" s="130" t="s">
        <v>477</v>
      </c>
      <c r="N203" s="58"/>
      <c r="O203" s="58"/>
      <c r="P203" s="60"/>
      <c r="Q203" s="58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925</v>
      </c>
      <c r="B204" s="150" t="s">
        <v>883</v>
      </c>
      <c r="C204" s="40" t="str">
        <f>IF(B204="","",(VLOOKUP(B204,'Dados de PN'!$A:$B,2,0)))</f>
        <v>INDICATOR TRUE</v>
      </c>
      <c r="D204" s="150"/>
      <c r="E204" s="130" t="s">
        <v>99</v>
      </c>
      <c r="F204" s="130" t="s">
        <v>35</v>
      </c>
      <c r="G204" s="50">
        <f t="shared" si="3"/>
        <v>1</v>
      </c>
      <c r="H204" s="150" t="s">
        <v>999</v>
      </c>
      <c r="I204" s="132" t="s">
        <v>860</v>
      </c>
      <c r="J204" s="130" t="s">
        <v>37</v>
      </c>
      <c r="K204" s="56">
        <v>46139.0</v>
      </c>
      <c r="L204" s="150" t="s">
        <v>989</v>
      </c>
      <c r="M204" s="130" t="s">
        <v>122</v>
      </c>
      <c r="N204" s="58"/>
      <c r="O204" s="58"/>
      <c r="P204" s="60"/>
      <c r="Q204" s="58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930</v>
      </c>
      <c r="B205" s="150" t="s">
        <v>888</v>
      </c>
      <c r="C205" s="40" t="str">
        <f>IF(B205="","",(VLOOKUP(B205,'Dados de PN'!$A:$B,2,0)))</f>
        <v>FUEL TOTALIZER</v>
      </c>
      <c r="D205" s="150"/>
      <c r="E205" s="130" t="s">
        <v>99</v>
      </c>
      <c r="F205" s="130" t="s">
        <v>35</v>
      </c>
      <c r="G205" s="50">
        <f t="shared" si="3"/>
        <v>1</v>
      </c>
      <c r="H205" s="150" t="s">
        <v>1000</v>
      </c>
      <c r="I205" s="132" t="s">
        <v>860</v>
      </c>
      <c r="J205" s="130" t="s">
        <v>37</v>
      </c>
      <c r="K205" s="56">
        <v>46139.0</v>
      </c>
      <c r="L205" s="150" t="s">
        <v>989</v>
      </c>
      <c r="M205" s="130" t="s">
        <v>122</v>
      </c>
      <c r="N205" s="58"/>
      <c r="O205" s="58"/>
      <c r="P205" s="60"/>
      <c r="Q205" s="58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933</v>
      </c>
      <c r="B206" s="150" t="s">
        <v>892</v>
      </c>
      <c r="C206" s="40" t="str">
        <f>IF(B206="","",(VLOOKUP(B206,'Dados de PN'!$A:$B,2,0)))</f>
        <v>NOSE GEAR STRUT ASSY - TALL FORK</v>
      </c>
      <c r="D206" s="150" t="s">
        <v>1001</v>
      </c>
      <c r="E206" s="130" t="s">
        <v>99</v>
      </c>
      <c r="F206" s="130" t="s">
        <v>35</v>
      </c>
      <c r="G206" s="50">
        <f t="shared" si="3"/>
        <v>1</v>
      </c>
      <c r="H206" s="44">
        <v>1.7354192E7</v>
      </c>
      <c r="I206" s="132" t="s">
        <v>896</v>
      </c>
      <c r="J206" s="130" t="s">
        <v>37</v>
      </c>
      <c r="K206" s="56">
        <v>46139.0</v>
      </c>
      <c r="L206" s="150" t="s">
        <v>53</v>
      </c>
      <c r="M206" s="130" t="s">
        <v>54</v>
      </c>
      <c r="N206" s="58"/>
      <c r="O206" s="58"/>
      <c r="P206" s="60"/>
      <c r="Q206" s="58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935</v>
      </c>
      <c r="B207" s="150" t="s">
        <v>899</v>
      </c>
      <c r="C207" s="40" t="str">
        <f>IF(B207="","",(VLOOKUP(B207,'Dados de PN'!$A:$B,2,0)))</f>
        <v>ALTERNATOR CONTROL UNIT ASSY</v>
      </c>
      <c r="D207" s="150" t="s">
        <v>1002</v>
      </c>
      <c r="E207" s="130" t="s">
        <v>51</v>
      </c>
      <c r="F207" s="150" t="s">
        <v>902</v>
      </c>
      <c r="G207" s="79">
        <v>1.0</v>
      </c>
      <c r="H207" s="40" t="s">
        <v>1003</v>
      </c>
      <c r="I207" s="132" t="s">
        <v>903</v>
      </c>
      <c r="J207" s="130" t="s">
        <v>37</v>
      </c>
      <c r="K207" s="56">
        <v>46141.0</v>
      </c>
      <c r="L207" s="150" t="s">
        <v>53</v>
      </c>
      <c r="M207" s="130" t="s">
        <v>54</v>
      </c>
      <c r="N207" s="58"/>
      <c r="O207" s="58"/>
      <c r="P207" s="60"/>
      <c r="Q207" s="58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937</v>
      </c>
      <c r="B208" s="150" t="s">
        <v>465</v>
      </c>
      <c r="C208" s="40" t="str">
        <f>IF(B208="","",(VLOOKUP(B208,'Dados de PN'!$A:$B,2,0)))</f>
        <v>IND RDR 200 IN</v>
      </c>
      <c r="D208" s="150"/>
      <c r="E208" s="130" t="s">
        <v>99</v>
      </c>
      <c r="F208" s="150" t="s">
        <v>902</v>
      </c>
      <c r="G208" s="79">
        <v>1.0</v>
      </c>
      <c r="H208" s="40" t="s">
        <v>1004</v>
      </c>
      <c r="I208" s="132" t="s">
        <v>906</v>
      </c>
      <c r="J208" s="130" t="s">
        <v>37</v>
      </c>
      <c r="K208" s="56">
        <v>46141.0</v>
      </c>
      <c r="L208" s="150" t="s">
        <v>53</v>
      </c>
      <c r="M208" s="130" t="s">
        <v>54</v>
      </c>
      <c r="N208" s="58"/>
      <c r="O208" s="58"/>
      <c r="P208" s="60"/>
      <c r="Q208" s="58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942</v>
      </c>
      <c r="B209" s="150" t="s">
        <v>1005</v>
      </c>
      <c r="C209" s="40" t="str">
        <f>IF(B209="","",(VLOOKUP(B209,'Dados de PN'!$A:$B,2,0)))</f>
        <v>PACKING,PREFORMED</v>
      </c>
      <c r="D209" s="150"/>
      <c r="E209" s="130" t="s">
        <v>34</v>
      </c>
      <c r="F209" s="150" t="s">
        <v>902</v>
      </c>
      <c r="G209" s="79">
        <v>1.0</v>
      </c>
      <c r="H209" s="40" t="s">
        <v>1006</v>
      </c>
      <c r="I209" s="132" t="s">
        <v>906</v>
      </c>
      <c r="J209" s="130" t="s">
        <v>37</v>
      </c>
      <c r="K209" s="56">
        <v>46141.0</v>
      </c>
      <c r="L209" s="150" t="s">
        <v>53</v>
      </c>
      <c r="M209" s="130" t="s">
        <v>54</v>
      </c>
      <c r="N209" s="58"/>
      <c r="O209" s="58"/>
      <c r="P209" s="60"/>
      <c r="Q209" s="58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946</v>
      </c>
      <c r="B210" s="150" t="s">
        <v>911</v>
      </c>
      <c r="C210" s="40" t="str">
        <f>IF(B210="","",(VLOOKUP(B210,'Dados de PN'!$A:$B,2,0)))</f>
        <v>WASHER</v>
      </c>
      <c r="D210" s="150"/>
      <c r="E210" s="130" t="s">
        <v>34</v>
      </c>
      <c r="F210" s="150" t="s">
        <v>913</v>
      </c>
      <c r="G210" s="79">
        <v>2.0</v>
      </c>
      <c r="H210" s="40" t="s">
        <v>1007</v>
      </c>
      <c r="I210" s="132" t="s">
        <v>906</v>
      </c>
      <c r="J210" s="130" t="s">
        <v>37</v>
      </c>
      <c r="K210" s="56">
        <v>46141.0</v>
      </c>
      <c r="L210" s="150" t="s">
        <v>53</v>
      </c>
      <c r="M210" s="130" t="s">
        <v>54</v>
      </c>
      <c r="N210" s="58"/>
      <c r="O210" s="58"/>
      <c r="P210" s="60"/>
      <c r="Q210" s="58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949</v>
      </c>
      <c r="B211" s="150" t="s">
        <v>916</v>
      </c>
      <c r="C211" s="40" t="str">
        <f>IF(B211="","",(VLOOKUP(B211,'Dados de PN'!$A:$B,2,0)))</f>
        <v>CLEVIS,ROD END</v>
      </c>
      <c r="D211" s="150"/>
      <c r="E211" s="130" t="s">
        <v>34</v>
      </c>
      <c r="F211" s="150" t="s">
        <v>913</v>
      </c>
      <c r="G211" s="79">
        <v>2.0</v>
      </c>
      <c r="H211" s="40" t="s">
        <v>1008</v>
      </c>
      <c r="I211" s="132" t="s">
        <v>906</v>
      </c>
      <c r="J211" s="130" t="s">
        <v>37</v>
      </c>
      <c r="K211" s="56">
        <v>46141.0</v>
      </c>
      <c r="L211" s="150" t="s">
        <v>53</v>
      </c>
      <c r="M211" s="130" t="s">
        <v>54</v>
      </c>
      <c r="N211" s="58"/>
      <c r="O211" s="58"/>
      <c r="P211" s="60"/>
      <c r="Q211" s="58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952</v>
      </c>
      <c r="B212" s="150" t="s">
        <v>920</v>
      </c>
      <c r="C212" s="40" t="str">
        <f>IF(B212="","",(VLOOKUP(B212,'Dados de PN'!$A:$B,2,0)))</f>
        <v>SCREW,TAPPING</v>
      </c>
      <c r="D212" s="150"/>
      <c r="E212" s="130" t="s">
        <v>34</v>
      </c>
      <c r="F212" s="150" t="s">
        <v>922</v>
      </c>
      <c r="G212" s="79">
        <v>6.0</v>
      </c>
      <c r="H212" s="40" t="s">
        <v>1009</v>
      </c>
      <c r="I212" s="132" t="s">
        <v>906</v>
      </c>
      <c r="J212" s="130" t="s">
        <v>37</v>
      </c>
      <c r="K212" s="56">
        <v>46141.0</v>
      </c>
      <c r="L212" s="150" t="s">
        <v>53</v>
      </c>
      <c r="M212" s="130" t="s">
        <v>54</v>
      </c>
      <c r="N212" s="58"/>
      <c r="O212" s="58"/>
      <c r="P212" s="60"/>
      <c r="Q212" s="58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955</v>
      </c>
      <c r="B213" s="150" t="s">
        <v>926</v>
      </c>
      <c r="C213" s="40" t="str">
        <f>IF(B213="","",(VLOOKUP(B213,'Dados de PN'!$A:$B,2,0)))</f>
        <v>SEAL,DOOR EMERGENCY EXIT</v>
      </c>
      <c r="D213" s="150"/>
      <c r="E213" s="130" t="s">
        <v>34</v>
      </c>
      <c r="F213" s="150" t="s">
        <v>913</v>
      </c>
      <c r="G213" s="79">
        <v>2.0</v>
      </c>
      <c r="H213" s="40" t="s">
        <v>1010</v>
      </c>
      <c r="I213" s="132" t="s">
        <v>928</v>
      </c>
      <c r="J213" s="130" t="s">
        <v>37</v>
      </c>
      <c r="K213" s="56">
        <v>46141.0</v>
      </c>
      <c r="L213" s="150" t="s">
        <v>53</v>
      </c>
      <c r="M213" s="130" t="s">
        <v>54</v>
      </c>
      <c r="N213" s="58"/>
      <c r="O213" s="58"/>
      <c r="P213" s="60"/>
      <c r="Q213" s="58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957</v>
      </c>
      <c r="B214" s="150" t="s">
        <v>926</v>
      </c>
      <c r="C214" s="40" t="str">
        <f>IF(B214="","",(VLOOKUP(B214,'Dados de PN'!$A:$B,2,0)))</f>
        <v>SEAL,DOOR EMERGENCY EXIT</v>
      </c>
      <c r="D214" s="150"/>
      <c r="E214" s="130" t="s">
        <v>34</v>
      </c>
      <c r="F214" s="150" t="s">
        <v>663</v>
      </c>
      <c r="G214" s="50">
        <f t="shared" ref="G214:G216" si="4">VALUE(SUBSTITUTE(F214," EA",""))</f>
        <v>1</v>
      </c>
      <c r="H214" s="40" t="s">
        <v>1011</v>
      </c>
      <c r="I214" s="132" t="s">
        <v>931</v>
      </c>
      <c r="J214" s="130" t="s">
        <v>37</v>
      </c>
      <c r="K214" s="56">
        <v>46141.0</v>
      </c>
      <c r="L214" s="150" t="s">
        <v>53</v>
      </c>
      <c r="M214" s="130" t="s">
        <v>54</v>
      </c>
      <c r="N214" s="58"/>
      <c r="O214" s="58"/>
      <c r="P214" s="60"/>
      <c r="Q214" s="58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960</v>
      </c>
      <c r="B215" s="150" t="s">
        <v>926</v>
      </c>
      <c r="C215" s="40" t="str">
        <f>IF(B215="","",(VLOOKUP(B215,'Dados de PN'!$A:$B,2,0)))</f>
        <v>SEAL,DOOR EMERGENCY EXIT</v>
      </c>
      <c r="D215" s="150"/>
      <c r="E215" s="130" t="s">
        <v>34</v>
      </c>
      <c r="F215" s="150" t="s">
        <v>663</v>
      </c>
      <c r="G215" s="50">
        <f t="shared" si="4"/>
        <v>1</v>
      </c>
      <c r="H215" s="40" t="s">
        <v>1012</v>
      </c>
      <c r="I215" s="132" t="s">
        <v>934</v>
      </c>
      <c r="J215" s="130" t="s">
        <v>37</v>
      </c>
      <c r="K215" s="56">
        <v>46141.0</v>
      </c>
      <c r="L215" s="150" t="s">
        <v>53</v>
      </c>
      <c r="M215" s="130" t="s">
        <v>54</v>
      </c>
      <c r="N215" s="58"/>
      <c r="O215" s="58"/>
      <c r="P215" s="60"/>
      <c r="Q215" s="58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963</v>
      </c>
      <c r="B216" s="150" t="s">
        <v>143</v>
      </c>
      <c r="C216" s="40" t="str">
        <f>IF(B216="","",(VLOOKUP(B216,'Dados de PN'!$A:$B,2,0)))</f>
        <v>TRANSMISSION ASSY</v>
      </c>
      <c r="D216" s="150"/>
      <c r="E216" s="130" t="s">
        <v>34</v>
      </c>
      <c r="F216" s="150" t="s">
        <v>663</v>
      </c>
      <c r="G216" s="50">
        <f t="shared" si="4"/>
        <v>1</v>
      </c>
      <c r="H216" s="44">
        <v>1.7377917E7</v>
      </c>
      <c r="I216" s="132" t="s">
        <v>936</v>
      </c>
      <c r="J216" s="130" t="s">
        <v>37</v>
      </c>
      <c r="K216" s="56">
        <v>46142.0</v>
      </c>
      <c r="L216" s="150" t="s">
        <v>219</v>
      </c>
      <c r="M216" s="130" t="s">
        <v>47</v>
      </c>
      <c r="N216" s="58"/>
      <c r="O216" s="58"/>
      <c r="P216" s="60"/>
      <c r="Q216" s="58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966</v>
      </c>
      <c r="B217" s="150" t="s">
        <v>938</v>
      </c>
      <c r="C217" s="40" t="str">
        <f>IF(B217="","",(VLOOKUP(B217,'Dados de PN'!$A:$B,2,0)))</f>
        <v>SELANT</v>
      </c>
      <c r="D217" s="150"/>
      <c r="E217" s="130" t="s">
        <v>34</v>
      </c>
      <c r="F217" s="130" t="s">
        <v>940</v>
      </c>
      <c r="G217" s="79">
        <v>60.0</v>
      </c>
      <c r="H217" s="44">
        <v>1.7401193E7</v>
      </c>
      <c r="I217" s="132" t="s">
        <v>941</v>
      </c>
      <c r="J217" s="130" t="s">
        <v>37</v>
      </c>
      <c r="K217" s="56">
        <v>46146.0</v>
      </c>
      <c r="L217" s="150" t="s">
        <v>101</v>
      </c>
      <c r="M217" s="130" t="s">
        <v>61</v>
      </c>
      <c r="N217" s="58"/>
      <c r="O217" s="58"/>
      <c r="P217" s="60"/>
      <c r="Q217" s="58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967</v>
      </c>
      <c r="B218" s="150" t="s">
        <v>943</v>
      </c>
      <c r="C218" s="40" t="str">
        <f>IF(B218="","",(VLOOKUP(B218,'Dados de PN'!$A:$B,2,0)))</f>
        <v>LATCH-BATTERY</v>
      </c>
      <c r="D218" s="150"/>
      <c r="E218" s="130" t="s">
        <v>34</v>
      </c>
      <c r="F218" s="150" t="s">
        <v>35</v>
      </c>
      <c r="G218" s="50">
        <f t="shared" ref="G218:G234" si="5">VALUE(SUBSTITUTE(F218," EA",""))</f>
        <v>1</v>
      </c>
      <c r="H218" s="44">
        <v>1.7333541E7</v>
      </c>
      <c r="I218" s="132" t="s">
        <v>945</v>
      </c>
      <c r="J218" s="130" t="s">
        <v>37</v>
      </c>
      <c r="K218" s="56">
        <v>46148.0</v>
      </c>
      <c r="L218" s="150" t="s">
        <v>989</v>
      </c>
      <c r="M218" s="130" t="s">
        <v>122</v>
      </c>
      <c r="N218" s="58"/>
      <c r="O218" s="58"/>
      <c r="P218" s="60"/>
      <c r="Q218" s="58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968</v>
      </c>
      <c r="B219" s="150" t="s">
        <v>947</v>
      </c>
      <c r="C219" s="40" t="str">
        <f>IF(B219="","",(VLOOKUP(B219,'Dados de PN'!$A:$B,2,0)))</f>
        <v>PORCA PLANA COM BORBOLETA</v>
      </c>
      <c r="D219" s="150"/>
      <c r="E219" s="130" t="s">
        <v>34</v>
      </c>
      <c r="F219" s="150" t="s">
        <v>205</v>
      </c>
      <c r="G219" s="50">
        <f t="shared" si="5"/>
        <v>4</v>
      </c>
      <c r="H219" s="44">
        <v>1.742819E7</v>
      </c>
      <c r="I219" s="132" t="s">
        <v>945</v>
      </c>
      <c r="J219" s="130" t="s">
        <v>37</v>
      </c>
      <c r="K219" s="56">
        <v>46148.0</v>
      </c>
      <c r="L219" s="150" t="s">
        <v>989</v>
      </c>
      <c r="M219" s="130" t="s">
        <v>122</v>
      </c>
      <c r="N219" s="58"/>
      <c r="O219" s="58"/>
      <c r="P219" s="60"/>
      <c r="Q219" s="58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969</v>
      </c>
      <c r="B220" s="150" t="s">
        <v>950</v>
      </c>
      <c r="C220" s="40" t="str">
        <f>IF(B220="","",(VLOOKUP(B220,'Dados de PN'!$A:$B,2,0)))</f>
        <v>ANCHOR</v>
      </c>
      <c r="D220" s="150"/>
      <c r="E220" s="130" t="s">
        <v>34</v>
      </c>
      <c r="F220" s="150" t="s">
        <v>205</v>
      </c>
      <c r="G220" s="50">
        <f t="shared" si="5"/>
        <v>4</v>
      </c>
      <c r="H220" s="44">
        <v>1.7384283E7</v>
      </c>
      <c r="I220" s="132" t="s">
        <v>945</v>
      </c>
      <c r="J220" s="130" t="s">
        <v>37</v>
      </c>
      <c r="K220" s="56">
        <v>46148.0</v>
      </c>
      <c r="L220" s="150" t="s">
        <v>989</v>
      </c>
      <c r="M220" s="130" t="s">
        <v>122</v>
      </c>
      <c r="N220" s="58"/>
      <c r="O220" s="58"/>
      <c r="P220" s="60"/>
      <c r="Q220" s="58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971</v>
      </c>
      <c r="B221" s="130" t="s">
        <v>953</v>
      </c>
      <c r="C221" s="40" t="str">
        <f>IF(B221="","",(VLOOKUP(B221,'Dados de PN'!$A:$B,2,0)))</f>
        <v>ANEL-O</v>
      </c>
      <c r="D221" s="150"/>
      <c r="E221" s="130" t="s">
        <v>34</v>
      </c>
      <c r="F221" s="151" t="s">
        <v>663</v>
      </c>
      <c r="G221" s="50">
        <f t="shared" si="5"/>
        <v>1</v>
      </c>
      <c r="H221" s="40" t="s">
        <v>1013</v>
      </c>
      <c r="I221" s="132" t="s">
        <v>954</v>
      </c>
      <c r="J221" s="130" t="s">
        <v>37</v>
      </c>
      <c r="K221" s="56">
        <v>46148.0</v>
      </c>
      <c r="L221" s="150" t="s">
        <v>557</v>
      </c>
      <c r="M221" s="130" t="s">
        <v>384</v>
      </c>
      <c r="N221" s="58"/>
      <c r="O221" s="58"/>
      <c r="P221" s="60"/>
      <c r="Q221" s="58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975</v>
      </c>
      <c r="B222" s="130" t="s">
        <v>139</v>
      </c>
      <c r="C222" s="40" t="str">
        <f>IF(B222="","",(VLOOKUP(B222,'Dados de PN'!$A:$B,2,0)))</f>
        <v>NUT,SELF-LOCKING,HEXAGON</v>
      </c>
      <c r="D222" s="150"/>
      <c r="E222" s="130" t="s">
        <v>34</v>
      </c>
      <c r="F222" s="151" t="s">
        <v>956</v>
      </c>
      <c r="G222" s="50">
        <f t="shared" si="5"/>
        <v>8</v>
      </c>
      <c r="H222" s="40" t="s">
        <v>1014</v>
      </c>
      <c r="I222" s="132" t="s">
        <v>954</v>
      </c>
      <c r="J222" s="130" t="s">
        <v>37</v>
      </c>
      <c r="K222" s="56">
        <v>46148.0</v>
      </c>
      <c r="L222" s="150" t="s">
        <v>557</v>
      </c>
      <c r="M222" s="130" t="s">
        <v>384</v>
      </c>
      <c r="N222" s="58"/>
      <c r="O222" s="58"/>
      <c r="P222" s="60"/>
      <c r="Q222" s="58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977</v>
      </c>
      <c r="B223" s="130" t="s">
        <v>825</v>
      </c>
      <c r="C223" s="40" t="str">
        <f>IF(B223="","",(VLOOKUP(B223,'Dados de PN'!$A:$B,2,0)))</f>
        <v>NUT,SELF-LOCKING,HEXAGON</v>
      </c>
      <c r="D223" s="150"/>
      <c r="E223" s="130" t="s">
        <v>34</v>
      </c>
      <c r="F223" s="151" t="s">
        <v>958</v>
      </c>
      <c r="G223" s="50">
        <f t="shared" si="5"/>
        <v>4</v>
      </c>
      <c r="H223" s="40" t="s">
        <v>1015</v>
      </c>
      <c r="I223" s="132" t="s">
        <v>954</v>
      </c>
      <c r="J223" s="130" t="s">
        <v>37</v>
      </c>
      <c r="K223" s="56">
        <v>46148.0</v>
      </c>
      <c r="L223" s="150" t="s">
        <v>557</v>
      </c>
      <c r="M223" s="130" t="s">
        <v>384</v>
      </c>
      <c r="N223" s="58"/>
      <c r="O223" s="58"/>
      <c r="P223" s="60"/>
      <c r="Q223" s="58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979</v>
      </c>
      <c r="B224" s="130" t="s">
        <v>961</v>
      </c>
      <c r="C224" s="40" t="str">
        <f>IF(B224="","",(VLOOKUP(B224,'Dados de PN'!$A:$B,2,0)))</f>
        <v>ANEL-O</v>
      </c>
      <c r="D224" s="150"/>
      <c r="E224" s="130" t="s">
        <v>34</v>
      </c>
      <c r="F224" s="151" t="s">
        <v>663</v>
      </c>
      <c r="G224" s="50">
        <f t="shared" si="5"/>
        <v>1</v>
      </c>
      <c r="H224" s="40" t="s">
        <v>1016</v>
      </c>
      <c r="I224" s="132" t="s">
        <v>954</v>
      </c>
      <c r="J224" s="130" t="s">
        <v>37</v>
      </c>
      <c r="K224" s="56">
        <v>46148.0</v>
      </c>
      <c r="L224" s="150" t="s">
        <v>557</v>
      </c>
      <c r="M224" s="130" t="s">
        <v>384</v>
      </c>
      <c r="N224" s="58"/>
      <c r="O224" s="58"/>
      <c r="P224" s="60"/>
      <c r="Q224" s="58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981</v>
      </c>
      <c r="B225" s="130" t="s">
        <v>964</v>
      </c>
      <c r="C225" s="40" t="str">
        <f>IF(B225="","",(VLOOKUP(B225,'Dados de PN'!$A:$B,2,0)))</f>
        <v>ANEL DE VEDAÇÃO</v>
      </c>
      <c r="D225" s="150"/>
      <c r="E225" s="130" t="s">
        <v>34</v>
      </c>
      <c r="F225" s="151" t="s">
        <v>663</v>
      </c>
      <c r="G225" s="50">
        <f t="shared" si="5"/>
        <v>1</v>
      </c>
      <c r="H225" s="40" t="s">
        <v>1017</v>
      </c>
      <c r="I225" s="132" t="s">
        <v>954</v>
      </c>
      <c r="J225" s="130" t="s">
        <v>37</v>
      </c>
      <c r="K225" s="56">
        <v>46148.0</v>
      </c>
      <c r="L225" s="150" t="s">
        <v>557</v>
      </c>
      <c r="M225" s="130" t="s">
        <v>384</v>
      </c>
      <c r="N225" s="58"/>
      <c r="O225" s="58"/>
      <c r="P225" s="60"/>
      <c r="Q225" s="58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1019</v>
      </c>
      <c r="B226" s="130" t="s">
        <v>766</v>
      </c>
      <c r="C226" s="40" t="str">
        <f>IF(B226="","",(VLOOKUP(B226,'Dados de PN'!$A:$B,2,0)))</f>
        <v>WASHER, RECESSED</v>
      </c>
      <c r="D226" s="150"/>
      <c r="E226" s="130" t="s">
        <v>34</v>
      </c>
      <c r="F226" s="151" t="s">
        <v>958</v>
      </c>
      <c r="G226" s="50">
        <f t="shared" si="5"/>
        <v>4</v>
      </c>
      <c r="H226" s="40" t="s">
        <v>1018</v>
      </c>
      <c r="I226" s="132" t="s">
        <v>954</v>
      </c>
      <c r="J226" s="130" t="s">
        <v>37</v>
      </c>
      <c r="K226" s="56">
        <v>46148.0</v>
      </c>
      <c r="L226" s="150" t="s">
        <v>557</v>
      </c>
      <c r="M226" s="130" t="s">
        <v>384</v>
      </c>
      <c r="N226" s="58"/>
      <c r="O226" s="58"/>
      <c r="P226" s="60"/>
      <c r="Q226" s="58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1021</v>
      </c>
      <c r="B227" s="130" t="s">
        <v>828</v>
      </c>
      <c r="C227" s="40" t="str">
        <f>IF(B227="","",(VLOOKUP(B227,'Dados de PN'!$A:$B,2,0)))</f>
        <v>BOLT,INTERNAL WRENCHING</v>
      </c>
      <c r="D227" s="150"/>
      <c r="E227" s="130" t="s">
        <v>34</v>
      </c>
      <c r="F227" s="151" t="s">
        <v>663</v>
      </c>
      <c r="G227" s="50">
        <f t="shared" si="5"/>
        <v>1</v>
      </c>
      <c r="H227" s="40" t="s">
        <v>1020</v>
      </c>
      <c r="I227" s="132" t="s">
        <v>954</v>
      </c>
      <c r="J227" s="130" t="s">
        <v>37</v>
      </c>
      <c r="K227" s="56">
        <v>46148.0</v>
      </c>
      <c r="L227" s="150" t="s">
        <v>557</v>
      </c>
      <c r="M227" s="130" t="s">
        <v>384</v>
      </c>
      <c r="N227" s="58"/>
      <c r="O227" s="58"/>
      <c r="P227" s="60"/>
      <c r="Q227" s="58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1023</v>
      </c>
      <c r="B228" s="130" t="s">
        <v>514</v>
      </c>
      <c r="C228" s="40" t="str">
        <f>IF(B228="","",(VLOOKUP(B228,'Dados de PN'!$A:$B,2,0)))</f>
        <v>RETAINER,PACKING</v>
      </c>
      <c r="D228" s="150"/>
      <c r="E228" s="130" t="s">
        <v>34</v>
      </c>
      <c r="F228" s="151" t="s">
        <v>663</v>
      </c>
      <c r="G228" s="50">
        <f t="shared" si="5"/>
        <v>1</v>
      </c>
      <c r="H228" s="40" t="s">
        <v>1022</v>
      </c>
      <c r="I228" s="132" t="s">
        <v>954</v>
      </c>
      <c r="J228" s="130" t="s">
        <v>37</v>
      </c>
      <c r="K228" s="56">
        <v>46148.0</v>
      </c>
      <c r="L228" s="150" t="s">
        <v>557</v>
      </c>
      <c r="M228" s="130" t="s">
        <v>384</v>
      </c>
      <c r="N228" s="58"/>
      <c r="O228" s="58"/>
      <c r="P228" s="60"/>
      <c r="Q228" s="58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1002</v>
      </c>
      <c r="B229" s="130" t="s">
        <v>970</v>
      </c>
      <c r="C229" s="40" t="str">
        <f>IF(B229="","",(VLOOKUP(B229,'Dados de PN'!$A:$B,2,0)))</f>
        <v>ANEL-O</v>
      </c>
      <c r="D229" s="150"/>
      <c r="E229" s="130" t="s">
        <v>34</v>
      </c>
      <c r="F229" s="151" t="s">
        <v>663</v>
      </c>
      <c r="G229" s="50">
        <f t="shared" si="5"/>
        <v>1</v>
      </c>
      <c r="H229" s="40" t="s">
        <v>1024</v>
      </c>
      <c r="I229" s="132" t="s">
        <v>954</v>
      </c>
      <c r="J229" s="130" t="s">
        <v>37</v>
      </c>
      <c r="K229" s="56">
        <v>46148.0</v>
      </c>
      <c r="L229" s="150" t="s">
        <v>557</v>
      </c>
      <c r="M229" s="130" t="s">
        <v>384</v>
      </c>
      <c r="N229" s="58"/>
      <c r="O229" s="58"/>
      <c r="P229" s="60"/>
      <c r="Q229" s="58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1026</v>
      </c>
      <c r="B230" s="130" t="s">
        <v>973</v>
      </c>
      <c r="C230" s="40" t="str">
        <f>IF(B230="","",(VLOOKUP(B230,'Dados de PN'!$A:$B,2,0)))</f>
        <v>O-RING</v>
      </c>
      <c r="D230" s="150"/>
      <c r="E230" s="130" t="s">
        <v>34</v>
      </c>
      <c r="F230" s="151" t="s">
        <v>663</v>
      </c>
      <c r="G230" s="50">
        <f t="shared" si="5"/>
        <v>1</v>
      </c>
      <c r="H230" s="40" t="s">
        <v>1025</v>
      </c>
      <c r="I230" s="132" t="s">
        <v>954</v>
      </c>
      <c r="J230" s="130" t="s">
        <v>37</v>
      </c>
      <c r="K230" s="56">
        <v>46148.0</v>
      </c>
      <c r="L230" s="150" t="s">
        <v>557</v>
      </c>
      <c r="M230" s="130" t="s">
        <v>384</v>
      </c>
      <c r="N230" s="58"/>
      <c r="O230" s="58"/>
      <c r="P230" s="60"/>
      <c r="Q230" s="58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1028</v>
      </c>
      <c r="B231" s="130" t="s">
        <v>976</v>
      </c>
      <c r="C231" s="40" t="str">
        <f>IF(B231="","",(VLOOKUP(B231,'Dados de PN'!$A:$B,2,0)))</f>
        <v>ANEL-O</v>
      </c>
      <c r="D231" s="150"/>
      <c r="E231" s="130" t="s">
        <v>34</v>
      </c>
      <c r="F231" s="151" t="s">
        <v>663</v>
      </c>
      <c r="G231" s="50">
        <f t="shared" si="5"/>
        <v>1</v>
      </c>
      <c r="H231" s="40" t="s">
        <v>1027</v>
      </c>
      <c r="I231" s="132" t="s">
        <v>954</v>
      </c>
      <c r="J231" s="130" t="s">
        <v>37</v>
      </c>
      <c r="K231" s="56">
        <v>46148.0</v>
      </c>
      <c r="L231" s="150" t="s">
        <v>557</v>
      </c>
      <c r="M231" s="130" t="s">
        <v>384</v>
      </c>
      <c r="N231" s="58"/>
      <c r="O231" s="58"/>
      <c r="P231" s="60"/>
      <c r="Q231" s="58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1030</v>
      </c>
      <c r="B232" s="130" t="s">
        <v>978</v>
      </c>
      <c r="C232" s="40" t="str">
        <f>IF(B232="","",(VLOOKUP(B232,'Dados de PN'!$A:$B,2,0)))</f>
        <v>WASHER,FLAT</v>
      </c>
      <c r="D232" s="150"/>
      <c r="E232" s="130" t="s">
        <v>34</v>
      </c>
      <c r="F232" s="151" t="s">
        <v>958</v>
      </c>
      <c r="G232" s="50">
        <f t="shared" si="5"/>
        <v>4</v>
      </c>
      <c r="H232" s="40" t="s">
        <v>1029</v>
      </c>
      <c r="I232" s="132" t="s">
        <v>954</v>
      </c>
      <c r="J232" s="130" t="s">
        <v>37</v>
      </c>
      <c r="K232" s="56">
        <v>46148.0</v>
      </c>
      <c r="L232" s="150" t="s">
        <v>557</v>
      </c>
      <c r="M232" s="130" t="s">
        <v>384</v>
      </c>
      <c r="N232" s="58"/>
      <c r="O232" s="58"/>
      <c r="P232" s="60"/>
      <c r="Q232" s="58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1032</v>
      </c>
      <c r="B233" s="130" t="s">
        <v>822</v>
      </c>
      <c r="C233" s="40" t="str">
        <f>IF(B233="","",(VLOOKUP(B233,'Dados de PN'!$A:$B,2,0)))</f>
        <v>BOLT,INTERNAL WRENCHING</v>
      </c>
      <c r="D233" s="150"/>
      <c r="E233" s="130" t="s">
        <v>34</v>
      </c>
      <c r="F233" s="151" t="s">
        <v>980</v>
      </c>
      <c r="G233" s="50">
        <f t="shared" si="5"/>
        <v>2</v>
      </c>
      <c r="H233" s="40" t="s">
        <v>1031</v>
      </c>
      <c r="I233" s="132" t="s">
        <v>954</v>
      </c>
      <c r="J233" s="130" t="s">
        <v>37</v>
      </c>
      <c r="K233" s="56">
        <v>46148.0</v>
      </c>
      <c r="L233" s="150" t="s">
        <v>557</v>
      </c>
      <c r="M233" s="130" t="s">
        <v>384</v>
      </c>
      <c r="N233" s="58"/>
      <c r="O233" s="58"/>
      <c r="P233" s="60"/>
      <c r="Q233" s="58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1034</v>
      </c>
      <c r="B234" s="130" t="s">
        <v>820</v>
      </c>
      <c r="C234" s="40" t="str">
        <f>IF(B234="","",(VLOOKUP(B234,'Dados de PN'!$A:$B,2,0)))</f>
        <v>BOLT</v>
      </c>
      <c r="D234" s="150"/>
      <c r="E234" s="130" t="s">
        <v>34</v>
      </c>
      <c r="F234" s="151" t="s">
        <v>663</v>
      </c>
      <c r="G234" s="50">
        <f t="shared" si="5"/>
        <v>1</v>
      </c>
      <c r="H234" s="40" t="s">
        <v>1033</v>
      </c>
      <c r="I234" s="132" t="s">
        <v>954</v>
      </c>
      <c r="J234" s="130" t="s">
        <v>37</v>
      </c>
      <c r="K234" s="56">
        <v>46148.0</v>
      </c>
      <c r="L234" s="150" t="s">
        <v>557</v>
      </c>
      <c r="M234" s="130" t="s">
        <v>384</v>
      </c>
      <c r="N234" s="58"/>
      <c r="O234" s="58"/>
      <c r="P234" s="60"/>
      <c r="Q234" s="58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1038</v>
      </c>
      <c r="B235" s="130" t="s">
        <v>1035</v>
      </c>
      <c r="C235" s="40" t="str">
        <f>IF(B235="","",(VLOOKUP(B235,'Dados de PN'!$A:$B,2,0)))</f>
        <v>PHASING COUPLE</v>
      </c>
      <c r="D235" s="150"/>
      <c r="E235" s="130" t="s">
        <v>34</v>
      </c>
      <c r="F235" s="130" t="s">
        <v>902</v>
      </c>
      <c r="G235" s="79">
        <v>1.0</v>
      </c>
      <c r="H235" s="44">
        <v>1.7439905E7</v>
      </c>
      <c r="I235" s="132" t="s">
        <v>1036</v>
      </c>
      <c r="J235" s="130" t="s">
        <v>37</v>
      </c>
      <c r="K235" s="56">
        <v>46149.0</v>
      </c>
      <c r="L235" s="150" t="s">
        <v>1037</v>
      </c>
      <c r="M235" s="130" t="s">
        <v>54</v>
      </c>
      <c r="N235" s="58"/>
      <c r="O235" s="58"/>
      <c r="P235" s="60"/>
      <c r="Q235" s="58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1039</v>
      </c>
      <c r="B236" s="130" t="s">
        <v>1035</v>
      </c>
      <c r="C236" s="40" t="str">
        <f>IF(B236="","",(VLOOKUP(B236,'Dados de PN'!$A:$B,2,0)))</f>
        <v>PHASING COUPLE</v>
      </c>
      <c r="D236" s="150"/>
      <c r="E236" s="130" t="s">
        <v>34</v>
      </c>
      <c r="F236" s="130" t="s">
        <v>902</v>
      </c>
      <c r="G236" s="79">
        <v>1.0</v>
      </c>
      <c r="H236" s="44">
        <v>1.7440211E7</v>
      </c>
      <c r="I236" s="132" t="s">
        <v>1036</v>
      </c>
      <c r="J236" s="130" t="s">
        <v>37</v>
      </c>
      <c r="K236" s="56">
        <v>46149.0</v>
      </c>
      <c r="L236" s="150" t="s">
        <v>1037</v>
      </c>
      <c r="M236" s="130" t="s">
        <v>54</v>
      </c>
      <c r="N236" s="58"/>
      <c r="O236" s="58"/>
      <c r="P236" s="60"/>
      <c r="Q236" s="58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1040</v>
      </c>
      <c r="B237" s="130" t="s">
        <v>806</v>
      </c>
      <c r="C237" s="40" t="str">
        <f>IF(B237="","",(VLOOKUP(B237,'Dados de PN'!$A:$B,2,0)))</f>
        <v>ANTENA</v>
      </c>
      <c r="D237" s="150"/>
      <c r="E237" s="130" t="s">
        <v>34</v>
      </c>
      <c r="F237" s="130" t="s">
        <v>913</v>
      </c>
      <c r="G237" s="79">
        <v>2.0</v>
      </c>
      <c r="H237" s="44">
        <v>1.7440365E7</v>
      </c>
      <c r="I237" s="132" t="s">
        <v>1036</v>
      </c>
      <c r="J237" s="130" t="s">
        <v>37</v>
      </c>
      <c r="K237" s="56">
        <v>46149.0</v>
      </c>
      <c r="L237" s="150" t="s">
        <v>1037</v>
      </c>
      <c r="M237" s="130" t="s">
        <v>54</v>
      </c>
      <c r="N237" s="58"/>
      <c r="O237" s="58"/>
      <c r="P237" s="60"/>
      <c r="Q237" s="58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1041</v>
      </c>
      <c r="B238" s="130" t="s">
        <v>806</v>
      </c>
      <c r="C238" s="40" t="str">
        <f>IF(B238="","",(VLOOKUP(B238,'Dados de PN'!$A:$B,2,0)))</f>
        <v>ANTENA</v>
      </c>
      <c r="D238" s="150"/>
      <c r="E238" s="130" t="s">
        <v>34</v>
      </c>
      <c r="F238" s="130" t="s">
        <v>902</v>
      </c>
      <c r="G238" s="79">
        <v>1.0</v>
      </c>
      <c r="H238" s="44">
        <v>1.7440621E7</v>
      </c>
      <c r="I238" s="132" t="s">
        <v>1036</v>
      </c>
      <c r="J238" s="130" t="s">
        <v>37</v>
      </c>
      <c r="K238" s="56">
        <v>46149.0</v>
      </c>
      <c r="L238" s="150" t="s">
        <v>1037</v>
      </c>
      <c r="M238" s="130" t="s">
        <v>54</v>
      </c>
      <c r="N238" s="58"/>
      <c r="O238" s="58"/>
      <c r="P238" s="60"/>
      <c r="Q238" s="58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1043</v>
      </c>
      <c r="B239" s="130" t="s">
        <v>1042</v>
      </c>
      <c r="C239" s="40" t="str">
        <f>IF(B239="","",(VLOOKUP(B239,'Dados de PN'!$A:$B,2,0)))</f>
        <v>GASKET</v>
      </c>
      <c r="D239" s="150"/>
      <c r="E239" s="130" t="s">
        <v>34</v>
      </c>
      <c r="F239" s="130" t="s">
        <v>913</v>
      </c>
      <c r="G239" s="79">
        <v>2.0</v>
      </c>
      <c r="H239" s="44">
        <v>1.7440604E7</v>
      </c>
      <c r="I239" s="132" t="s">
        <v>1036</v>
      </c>
      <c r="J239" s="130" t="s">
        <v>37</v>
      </c>
      <c r="K239" s="56">
        <v>46149.0</v>
      </c>
      <c r="L239" s="150" t="s">
        <v>1037</v>
      </c>
      <c r="M239" s="130" t="s">
        <v>54</v>
      </c>
      <c r="N239" s="58"/>
      <c r="O239" s="58"/>
      <c r="P239" s="60"/>
      <c r="Q239" s="58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1044</v>
      </c>
      <c r="B240" s="130" t="s">
        <v>1042</v>
      </c>
      <c r="C240" s="40" t="str">
        <f>IF(B240="","",(VLOOKUP(B240,'Dados de PN'!$A:$B,2,0)))</f>
        <v>GASKET</v>
      </c>
      <c r="D240" s="150"/>
      <c r="E240" s="130" t="s">
        <v>34</v>
      </c>
      <c r="F240" s="130" t="s">
        <v>913</v>
      </c>
      <c r="G240" s="79">
        <v>2.0</v>
      </c>
      <c r="H240" s="44">
        <v>1.7440771E7</v>
      </c>
      <c r="I240" s="132" t="s">
        <v>1036</v>
      </c>
      <c r="J240" s="130" t="s">
        <v>37</v>
      </c>
      <c r="K240" s="56">
        <v>46149.0</v>
      </c>
      <c r="L240" s="150" t="s">
        <v>1037</v>
      </c>
      <c r="M240" s="130" t="s">
        <v>54</v>
      </c>
      <c r="N240" s="58"/>
      <c r="O240" s="58"/>
      <c r="P240" s="60"/>
      <c r="Q240" s="58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1046</v>
      </c>
      <c r="B241" s="130" t="s">
        <v>1045</v>
      </c>
      <c r="C241" s="40" t="str">
        <f>IF(B241="","",(VLOOKUP(B241,'Dados de PN'!$A:$B,2,0)))</f>
        <v>RECEIVER-TRANSMITTER,RADIO (KT71)</v>
      </c>
      <c r="D241" s="150"/>
      <c r="E241" s="130" t="s">
        <v>99</v>
      </c>
      <c r="F241" s="130" t="s">
        <v>902</v>
      </c>
      <c r="G241" s="79">
        <v>1.0</v>
      </c>
      <c r="H241" s="44">
        <v>1.7441308E7</v>
      </c>
      <c r="I241" s="132" t="s">
        <v>1036</v>
      </c>
      <c r="J241" s="130" t="s">
        <v>37</v>
      </c>
      <c r="K241" s="56">
        <v>46149.0</v>
      </c>
      <c r="L241" s="150" t="s">
        <v>1037</v>
      </c>
      <c r="M241" s="130" t="s">
        <v>54</v>
      </c>
      <c r="N241" s="58"/>
      <c r="O241" s="58"/>
      <c r="P241" s="60"/>
      <c r="Q241" s="58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1049</v>
      </c>
      <c r="B242" s="130" t="s">
        <v>1047</v>
      </c>
      <c r="C242" s="40" t="str">
        <f>IF(B242="","",(VLOOKUP(B242,'Dados de PN'!$A:$B,2,0)))</f>
        <v>SCREW,MACHINE</v>
      </c>
      <c r="D242" s="150"/>
      <c r="E242" s="130" t="s">
        <v>34</v>
      </c>
      <c r="F242" s="130" t="s">
        <v>1048</v>
      </c>
      <c r="G242" s="79">
        <v>20.0</v>
      </c>
      <c r="H242" s="44">
        <v>1.7440912E7</v>
      </c>
      <c r="I242" s="132" t="s">
        <v>1036</v>
      </c>
      <c r="J242" s="130" t="s">
        <v>37</v>
      </c>
      <c r="K242" s="56">
        <v>46149.0</v>
      </c>
      <c r="L242" s="150" t="s">
        <v>1037</v>
      </c>
      <c r="M242" s="130" t="s">
        <v>54</v>
      </c>
      <c r="N242" s="58"/>
      <c r="O242" s="58"/>
      <c r="P242" s="60"/>
      <c r="Q242" s="58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1050</v>
      </c>
      <c r="B243" s="130" t="s">
        <v>166</v>
      </c>
      <c r="C243" s="40" t="str">
        <f>IF(B243="","",(VLOOKUP(B243,'Dados de PN'!$A:$B,2,0)))</f>
        <v>COMPUTADOR DO PILOTO AUTOMÁTICO</v>
      </c>
      <c r="D243" s="150"/>
      <c r="E243" s="130" t="s">
        <v>99</v>
      </c>
      <c r="F243" s="130" t="s">
        <v>902</v>
      </c>
      <c r="G243" s="79">
        <v>1.0</v>
      </c>
      <c r="H243" s="44">
        <v>1.6069857E7</v>
      </c>
      <c r="I243" s="132" t="s">
        <v>1036</v>
      </c>
      <c r="J243" s="130" t="s">
        <v>37</v>
      </c>
      <c r="K243" s="56">
        <v>46149.0</v>
      </c>
      <c r="L243" s="150" t="s">
        <v>1037</v>
      </c>
      <c r="M243" s="130" t="s">
        <v>54</v>
      </c>
      <c r="N243" s="58"/>
      <c r="O243" s="58"/>
      <c r="P243" s="60"/>
      <c r="Q243" s="58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1051</v>
      </c>
      <c r="B244" s="130" t="s">
        <v>521</v>
      </c>
      <c r="C244" s="40" t="str">
        <f>IF(B244="","",(VLOOKUP(B244,'Dados de PN'!$A:$B,2,0)))</f>
        <v>INDICATOR FUEL</v>
      </c>
      <c r="D244" s="150"/>
      <c r="E244" s="130" t="s">
        <v>99</v>
      </c>
      <c r="F244" s="130" t="s">
        <v>902</v>
      </c>
      <c r="G244" s="79">
        <v>1.0</v>
      </c>
      <c r="H244" s="44">
        <v>1.6126104E7</v>
      </c>
      <c r="I244" s="132" t="s">
        <v>1036</v>
      </c>
      <c r="J244" s="130" t="s">
        <v>37</v>
      </c>
      <c r="K244" s="56">
        <v>46149.0</v>
      </c>
      <c r="L244" s="150" t="s">
        <v>1037</v>
      </c>
      <c r="M244" s="130" t="s">
        <v>54</v>
      </c>
      <c r="N244" s="58"/>
      <c r="O244" s="58"/>
      <c r="P244" s="60"/>
      <c r="Q244" s="58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1053</v>
      </c>
      <c r="B245" s="130" t="s">
        <v>1052</v>
      </c>
      <c r="C245" s="40" t="str">
        <f>IF(B245="","",(VLOOKUP(B245,'Dados de PN'!$A:$B,2,0)))</f>
        <v>GPS RECEIVER (STAND ALONE)</v>
      </c>
      <c r="D245" s="150"/>
      <c r="E245" s="130" t="s">
        <v>99</v>
      </c>
      <c r="F245" s="130" t="s">
        <v>902</v>
      </c>
      <c r="G245" s="79">
        <v>1.0</v>
      </c>
      <c r="H245" s="44">
        <v>1.6393897E7</v>
      </c>
      <c r="I245" s="132" t="s">
        <v>1036</v>
      </c>
      <c r="J245" s="130" t="s">
        <v>37</v>
      </c>
      <c r="K245" s="56">
        <v>46149.0</v>
      </c>
      <c r="L245" s="150" t="s">
        <v>1037</v>
      </c>
      <c r="M245" s="130" t="s">
        <v>54</v>
      </c>
      <c r="N245" s="58"/>
      <c r="O245" s="58"/>
      <c r="P245" s="60"/>
      <c r="Q245" s="58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1055</v>
      </c>
      <c r="B246" s="150" t="s">
        <v>1054</v>
      </c>
      <c r="C246" s="40" t="str">
        <f>IF(B246="","",(VLOOKUP(B246,'Dados de PN'!$A:$B,2,0)))</f>
        <v>ANEL-O</v>
      </c>
      <c r="D246" s="150"/>
      <c r="E246" s="130" t="s">
        <v>34</v>
      </c>
      <c r="F246" s="130" t="s">
        <v>902</v>
      </c>
      <c r="G246" s="79">
        <v>1.0</v>
      </c>
      <c r="H246" s="44">
        <v>1.7435536E7</v>
      </c>
      <c r="I246" s="132" t="s">
        <v>1036</v>
      </c>
      <c r="J246" s="130" t="s">
        <v>37</v>
      </c>
      <c r="K246" s="56">
        <v>46149.0</v>
      </c>
      <c r="L246" s="150" t="s">
        <v>1037</v>
      </c>
      <c r="M246" s="130" t="s">
        <v>54</v>
      </c>
      <c r="N246" s="58"/>
      <c r="O246" s="58"/>
      <c r="P246" s="60"/>
      <c r="Q246" s="58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1056</v>
      </c>
      <c r="B247" s="130" t="s">
        <v>953</v>
      </c>
      <c r="C247" s="40" t="str">
        <f>IF(B247="","",(VLOOKUP(B247,'Dados de PN'!$A:$B,2,0)))</f>
        <v>ANEL-O</v>
      </c>
      <c r="D247" s="150"/>
      <c r="E247" s="130" t="s">
        <v>34</v>
      </c>
      <c r="F247" s="130" t="s">
        <v>902</v>
      </c>
      <c r="G247" s="79">
        <v>1.0</v>
      </c>
      <c r="H247" s="44">
        <v>1.7435646E7</v>
      </c>
      <c r="I247" s="132" t="s">
        <v>1036</v>
      </c>
      <c r="J247" s="130" t="s">
        <v>37</v>
      </c>
      <c r="K247" s="56">
        <v>46149.0</v>
      </c>
      <c r="L247" s="150" t="s">
        <v>1037</v>
      </c>
      <c r="M247" s="130" t="s">
        <v>54</v>
      </c>
      <c r="N247" s="58"/>
      <c r="O247" s="58"/>
      <c r="P247" s="60"/>
      <c r="Q247" s="58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1057</v>
      </c>
      <c r="B248" s="130" t="s">
        <v>465</v>
      </c>
      <c r="C248" s="40" t="str">
        <f>IF(B248="","",(VLOOKUP(B248,'Dados de PN'!$A:$B,2,0)))</f>
        <v>IND RDR 200 IN</v>
      </c>
      <c r="D248" s="150"/>
      <c r="E248" s="130" t="s">
        <v>99</v>
      </c>
      <c r="F248" s="130" t="s">
        <v>902</v>
      </c>
      <c r="G248" s="79">
        <v>1.0</v>
      </c>
      <c r="H248" s="44">
        <v>1.7354649E7</v>
      </c>
      <c r="I248" s="132" t="s">
        <v>1036</v>
      </c>
      <c r="J248" s="130" t="s">
        <v>37</v>
      </c>
      <c r="K248" s="56">
        <v>46149.0</v>
      </c>
      <c r="L248" s="150" t="s">
        <v>1037</v>
      </c>
      <c r="M248" s="130" t="s">
        <v>54</v>
      </c>
      <c r="N248" s="58"/>
      <c r="O248" s="58"/>
      <c r="P248" s="60"/>
      <c r="Q248" s="58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1060</v>
      </c>
      <c r="B249" s="130" t="s">
        <v>1058</v>
      </c>
      <c r="C249" s="40" t="str">
        <f>IF(B249="","",(VLOOKUP(B249,'Dados de PN'!$A:$B,2,0)))</f>
        <v>HOSE ASSY-FUEL MOTIVE FLOW</v>
      </c>
      <c r="D249" s="150"/>
      <c r="E249" s="130" t="s">
        <v>34</v>
      </c>
      <c r="F249" s="130" t="s">
        <v>1059</v>
      </c>
      <c r="G249" s="79">
        <v>3.0</v>
      </c>
      <c r="H249" s="44">
        <v>1.7425684E7</v>
      </c>
      <c r="I249" s="132" t="s">
        <v>1036</v>
      </c>
      <c r="J249" s="130" t="s">
        <v>37</v>
      </c>
      <c r="K249" s="56">
        <v>46149.0</v>
      </c>
      <c r="L249" s="150" t="s">
        <v>1037</v>
      </c>
      <c r="M249" s="130" t="s">
        <v>54</v>
      </c>
      <c r="N249" s="58"/>
      <c r="O249" s="58"/>
      <c r="P249" s="60"/>
      <c r="Q249" s="58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1063</v>
      </c>
      <c r="B250" s="150" t="s">
        <v>1061</v>
      </c>
      <c r="C250" s="40" t="str">
        <f>IF(B250="","",(VLOOKUP(B250,'Dados de PN'!$A:$B,2,0)))</f>
        <v>CLEVIS</v>
      </c>
      <c r="D250" s="150"/>
      <c r="E250" s="130" t="s">
        <v>34</v>
      </c>
      <c r="F250" s="130" t="s">
        <v>35</v>
      </c>
      <c r="G250" s="50">
        <f t="shared" ref="G250:G275" si="6">VALUE(SUBSTITUTE(F250," EA",""))</f>
        <v>1</v>
      </c>
      <c r="H250" s="44">
        <v>1.7446824E7</v>
      </c>
      <c r="I250" s="132" t="s">
        <v>1062</v>
      </c>
      <c r="J250" s="130" t="s">
        <v>37</v>
      </c>
      <c r="K250" s="56">
        <v>46150.0</v>
      </c>
      <c r="L250" s="150" t="s">
        <v>476</v>
      </c>
      <c r="M250" s="130" t="s">
        <v>477</v>
      </c>
      <c r="N250" s="58"/>
      <c r="O250" s="58"/>
      <c r="P250" s="60"/>
      <c r="Q250" s="58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1066</v>
      </c>
      <c r="B251" s="130" t="s">
        <v>1064</v>
      </c>
      <c r="C251" s="40" t="str">
        <f>IF(B251="","",(VLOOKUP(B251,'Dados de PN'!$A:$B,2,0)))</f>
        <v>CABLE FIRE</v>
      </c>
      <c r="D251" s="150"/>
      <c r="E251" s="130" t="s">
        <v>34</v>
      </c>
      <c r="F251" s="130" t="s">
        <v>35</v>
      </c>
      <c r="G251" s="50">
        <f t="shared" si="6"/>
        <v>1</v>
      </c>
      <c r="H251" s="44">
        <v>6.85260011861E11</v>
      </c>
      <c r="I251" s="132" t="s">
        <v>1065</v>
      </c>
      <c r="J251" s="130" t="s">
        <v>37</v>
      </c>
      <c r="K251" s="56">
        <v>46155.0</v>
      </c>
      <c r="L251" s="150" t="s">
        <v>53</v>
      </c>
      <c r="M251" s="130" t="s">
        <v>54</v>
      </c>
      <c r="N251" s="58"/>
      <c r="O251" s="58"/>
      <c r="P251" s="60"/>
      <c r="Q251" s="58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1069</v>
      </c>
      <c r="B252" s="150" t="s">
        <v>1067</v>
      </c>
      <c r="C252" s="40" t="str">
        <f>IF(B252="","",(VLOOKUP(B252,'Dados de PN'!$A:$B,2,0)))</f>
        <v>TRANSMITTER FUEL</v>
      </c>
      <c r="D252" s="150"/>
      <c r="E252" s="130" t="s">
        <v>34</v>
      </c>
      <c r="F252" s="130" t="s">
        <v>35</v>
      </c>
      <c r="G252" s="50">
        <f t="shared" si="6"/>
        <v>1</v>
      </c>
      <c r="H252" s="44">
        <v>3.29260019114E11</v>
      </c>
      <c r="I252" s="132" t="s">
        <v>1068</v>
      </c>
      <c r="J252" s="130" t="s">
        <v>37</v>
      </c>
      <c r="K252" s="56">
        <v>46161.0</v>
      </c>
      <c r="L252" s="150" t="s">
        <v>989</v>
      </c>
      <c r="M252" s="130" t="s">
        <v>122</v>
      </c>
      <c r="N252" s="58"/>
      <c r="O252" s="58"/>
      <c r="P252" s="60"/>
      <c r="Q252" s="58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1071</v>
      </c>
      <c r="B253" s="150" t="s">
        <v>330</v>
      </c>
      <c r="C253" s="40" t="str">
        <f>IF(B253="","",(VLOOKUP(B253,'Dados de PN'!$A:$B,2,0)))</f>
        <v>TRUNION ASSY-RH-MAIN GEAR</v>
      </c>
      <c r="D253" s="150"/>
      <c r="E253" s="130" t="s">
        <v>51</v>
      </c>
      <c r="F253" s="130" t="s">
        <v>35</v>
      </c>
      <c r="G253" s="50">
        <f t="shared" si="6"/>
        <v>1</v>
      </c>
      <c r="H253" s="44">
        <v>3.96260016406E11</v>
      </c>
      <c r="I253" s="132" t="s">
        <v>1070</v>
      </c>
      <c r="J253" s="130" t="s">
        <v>37</v>
      </c>
      <c r="K253" s="56">
        <v>46161.0</v>
      </c>
      <c r="L253" s="150" t="s">
        <v>60</v>
      </c>
      <c r="M253" s="130" t="s">
        <v>61</v>
      </c>
      <c r="N253" s="58"/>
      <c r="O253" s="58"/>
      <c r="P253" s="60"/>
      <c r="Q253" s="58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1074</v>
      </c>
      <c r="B254" s="150" t="s">
        <v>1072</v>
      </c>
      <c r="C254" s="40" t="str">
        <f>IF(B254="","",(VLOOKUP(B254,'Dados de PN'!$A:$B,2,0)))</f>
        <v>MANG</v>
      </c>
      <c r="D254" s="150"/>
      <c r="E254" s="130" t="s">
        <v>34</v>
      </c>
      <c r="F254" s="130" t="s">
        <v>35</v>
      </c>
      <c r="G254" s="50">
        <f t="shared" si="6"/>
        <v>1</v>
      </c>
      <c r="H254" s="44">
        <v>6.90260002416E11</v>
      </c>
      <c r="I254" s="132" t="s">
        <v>1073</v>
      </c>
      <c r="J254" s="130" t="s">
        <v>37</v>
      </c>
      <c r="K254" s="56">
        <v>46162.0</v>
      </c>
      <c r="L254" s="150" t="s">
        <v>476</v>
      </c>
      <c r="M254" s="130" t="s">
        <v>477</v>
      </c>
      <c r="N254" s="58"/>
      <c r="O254" s="58"/>
      <c r="P254" s="60"/>
      <c r="Q254" s="58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1078</v>
      </c>
      <c r="B255" s="150" t="s">
        <v>1075</v>
      </c>
      <c r="C255" s="40" t="str">
        <f>IF(B255="","",(VLOOKUP(B255,'Dados de PN'!$A:$B,2,0)))</f>
        <v>SPRING ASSY-MAIN GEAR CENTER</v>
      </c>
      <c r="D255" s="150" t="s">
        <v>1076</v>
      </c>
      <c r="E255" s="130" t="s">
        <v>51</v>
      </c>
      <c r="F255" s="130" t="s">
        <v>35</v>
      </c>
      <c r="G255" s="50">
        <f t="shared" si="6"/>
        <v>1</v>
      </c>
      <c r="H255" s="44">
        <v>1.7537154E7</v>
      </c>
      <c r="I255" s="132" t="s">
        <v>1077</v>
      </c>
      <c r="J255" s="130" t="s">
        <v>37</v>
      </c>
      <c r="K255" s="56">
        <v>46162.0</v>
      </c>
      <c r="L255" s="150" t="s">
        <v>60</v>
      </c>
      <c r="M255" s="130" t="s">
        <v>61</v>
      </c>
      <c r="N255" s="58"/>
      <c r="O255" s="58"/>
      <c r="P255" s="60"/>
      <c r="Q255" s="58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1081</v>
      </c>
      <c r="B256" s="150" t="s">
        <v>1079</v>
      </c>
      <c r="C256" s="40" t="str">
        <f>IF(B256="","",(VLOOKUP(B256,'Dados de PN'!$A:$B,2,0)))</f>
        <v>SWITCH</v>
      </c>
      <c r="D256" s="150"/>
      <c r="E256" s="130" t="s">
        <v>34</v>
      </c>
      <c r="F256" s="130" t="s">
        <v>35</v>
      </c>
      <c r="G256" s="50">
        <f t="shared" si="6"/>
        <v>1</v>
      </c>
      <c r="H256" s="44">
        <v>1.7541759E7</v>
      </c>
      <c r="I256" s="132" t="s">
        <v>1080</v>
      </c>
      <c r="J256" s="130" t="s">
        <v>37</v>
      </c>
      <c r="K256" s="56">
        <v>46163.0</v>
      </c>
      <c r="L256" s="150" t="s">
        <v>363</v>
      </c>
      <c r="M256" s="130" t="s">
        <v>364</v>
      </c>
      <c r="N256" s="58"/>
      <c r="O256" s="58"/>
      <c r="P256" s="60"/>
      <c r="Q256" s="58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1082</v>
      </c>
      <c r="B257" s="150" t="s">
        <v>1079</v>
      </c>
      <c r="C257" s="40" t="str">
        <f>IF(B257="","",(VLOOKUP(B257,'Dados de PN'!$A:$B,2,0)))</f>
        <v>SWITCH</v>
      </c>
      <c r="D257" s="150"/>
      <c r="E257" s="130" t="s">
        <v>34</v>
      </c>
      <c r="F257" s="130" t="s">
        <v>35</v>
      </c>
      <c r="G257" s="50">
        <f t="shared" si="6"/>
        <v>1</v>
      </c>
      <c r="H257" s="44">
        <v>1.7484041E7</v>
      </c>
      <c r="I257" s="132" t="s">
        <v>1080</v>
      </c>
      <c r="J257" s="130" t="s">
        <v>37</v>
      </c>
      <c r="K257" s="56">
        <v>46163.0</v>
      </c>
      <c r="L257" s="150" t="s">
        <v>363</v>
      </c>
      <c r="M257" s="130" t="s">
        <v>364</v>
      </c>
      <c r="N257" s="58"/>
      <c r="O257" s="58"/>
      <c r="P257" s="60"/>
      <c r="Q257" s="58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1086</v>
      </c>
      <c r="B258" s="150" t="s">
        <v>1083</v>
      </c>
      <c r="C258" s="40" t="str">
        <f>IF(B258="","",(VLOOKUP(B258,'Dados de PN'!$A:$B,2,0)))</f>
        <v>STARTER-GENERATOR</v>
      </c>
      <c r="D258" s="150" t="s">
        <v>1084</v>
      </c>
      <c r="E258" s="130" t="s">
        <v>99</v>
      </c>
      <c r="F258" s="130" t="s">
        <v>35</v>
      </c>
      <c r="G258" s="50">
        <f t="shared" si="6"/>
        <v>1</v>
      </c>
      <c r="H258" s="44">
        <v>1.761209E7</v>
      </c>
      <c r="I258" s="132" t="s">
        <v>1085</v>
      </c>
      <c r="J258" s="130" t="s">
        <v>37</v>
      </c>
      <c r="K258" s="56">
        <v>46170.0</v>
      </c>
      <c r="L258" s="150" t="s">
        <v>383</v>
      </c>
      <c r="M258" s="130" t="s">
        <v>384</v>
      </c>
      <c r="N258" s="58"/>
      <c r="O258" s="58"/>
      <c r="P258" s="60"/>
      <c r="Q258" s="58"/>
      <c r="R258" s="60"/>
      <c r="S258" s="60"/>
      <c r="T258" s="138">
        <v>46176.0</v>
      </c>
      <c r="U258" s="95" t="s">
        <v>530</v>
      </c>
      <c r="V258" s="130" t="s">
        <v>531</v>
      </c>
      <c r="W258" s="76" t="s">
        <v>66</v>
      </c>
      <c r="X258" s="60"/>
      <c r="Y258" s="60"/>
      <c r="Z258" s="60"/>
      <c r="AA258" s="60"/>
      <c r="AB258" s="60"/>
      <c r="AC258" s="60"/>
      <c r="AD258" s="60"/>
    </row>
    <row r="259">
      <c r="A259" s="39" t="s">
        <v>1091</v>
      </c>
      <c r="B259" s="150" t="s">
        <v>1087</v>
      </c>
      <c r="C259" s="40" t="str">
        <f>IF(B259="","",(VLOOKUP(B259,'Dados de PN'!$A:$B,2,0)))</f>
        <v>IND FUEL FLOW</v>
      </c>
      <c r="D259" s="150" t="s">
        <v>1088</v>
      </c>
      <c r="E259" s="130" t="s">
        <v>99</v>
      </c>
      <c r="F259" s="130" t="s">
        <v>1089</v>
      </c>
      <c r="G259" s="50">
        <f t="shared" si="6"/>
        <v>1</v>
      </c>
      <c r="H259" s="44">
        <v>3.29260019124E11</v>
      </c>
      <c r="I259" s="132" t="s">
        <v>1090</v>
      </c>
      <c r="J259" s="130" t="s">
        <v>37</v>
      </c>
      <c r="K259" s="56">
        <v>46170.0</v>
      </c>
      <c r="L259" s="150" t="s">
        <v>989</v>
      </c>
      <c r="M259" s="130" t="s">
        <v>122</v>
      </c>
      <c r="N259" s="58"/>
      <c r="O259" s="58"/>
      <c r="P259" s="60"/>
      <c r="Q259" s="58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1094</v>
      </c>
      <c r="B260" s="132" t="s">
        <v>418</v>
      </c>
      <c r="C260" s="40" t="str">
        <f>IF(B260="","",(VLOOKUP(B260,'Dados de PN'!$A:$B,2,0)))</f>
        <v>WHEEL HALF ASSY</v>
      </c>
      <c r="D260" s="150" t="s">
        <v>1092</v>
      </c>
      <c r="E260" s="130" t="s">
        <v>99</v>
      </c>
      <c r="F260" s="130" t="s">
        <v>118</v>
      </c>
      <c r="G260" s="50">
        <f t="shared" si="6"/>
        <v>2</v>
      </c>
      <c r="H260" s="44">
        <v>1.7617015E7</v>
      </c>
      <c r="I260" s="132" t="s">
        <v>1144</v>
      </c>
      <c r="J260" s="130" t="s">
        <v>37</v>
      </c>
      <c r="K260" s="56">
        <v>46171.0</v>
      </c>
      <c r="L260" s="150" t="s">
        <v>271</v>
      </c>
      <c r="M260" s="130" t="s">
        <v>54</v>
      </c>
      <c r="N260" s="58"/>
      <c r="O260" s="58"/>
      <c r="P260" s="60"/>
      <c r="Q260" s="58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1097</v>
      </c>
      <c r="B261" s="132" t="s">
        <v>1095</v>
      </c>
      <c r="C261" s="40" t="str">
        <f>IF(B261="","",(VLOOKUP(B261,'Dados de PN'!$A:$B,2,0)))</f>
        <v>STARTER GENERATOR</v>
      </c>
      <c r="D261" s="150" t="s">
        <v>1096</v>
      </c>
      <c r="E261" s="130" t="s">
        <v>99</v>
      </c>
      <c r="F261" s="130" t="s">
        <v>35</v>
      </c>
      <c r="G261" s="50">
        <f t="shared" si="6"/>
        <v>1</v>
      </c>
      <c r="H261" s="44">
        <v>1.7617016E7</v>
      </c>
      <c r="I261" s="132" t="s">
        <v>1144</v>
      </c>
      <c r="J261" s="130" t="s">
        <v>37</v>
      </c>
      <c r="K261" s="56">
        <v>46171.0</v>
      </c>
      <c r="L261" s="150" t="s">
        <v>110</v>
      </c>
      <c r="M261" s="130" t="s">
        <v>54</v>
      </c>
      <c r="N261" s="58"/>
      <c r="O261" s="58"/>
      <c r="P261" s="60"/>
      <c r="Q261" s="58"/>
      <c r="R261" s="60"/>
      <c r="S261" s="60"/>
      <c r="T261" s="138">
        <v>46176.0</v>
      </c>
      <c r="U261" s="95" t="s">
        <v>530</v>
      </c>
      <c r="V261" s="130" t="s">
        <v>531</v>
      </c>
      <c r="W261" s="76" t="s">
        <v>66</v>
      </c>
      <c r="X261" s="60"/>
      <c r="Y261" s="60"/>
      <c r="Z261" s="60"/>
      <c r="AA261" s="60"/>
      <c r="AB261" s="60"/>
      <c r="AC261" s="60"/>
      <c r="AD261" s="60"/>
    </row>
    <row r="262">
      <c r="A262" s="39" t="s">
        <v>1099</v>
      </c>
      <c r="B262" s="132" t="s">
        <v>677</v>
      </c>
      <c r="C262" s="40" t="str">
        <f>IF(B262="","",(VLOOKUP(B262,'Dados de PN'!$A:$B,2,0)))</f>
        <v>AXLE-MAIN GEAR</v>
      </c>
      <c r="D262" s="150" t="s">
        <v>1098</v>
      </c>
      <c r="E262" s="130" t="s">
        <v>51</v>
      </c>
      <c r="F262" s="130" t="s">
        <v>35</v>
      </c>
      <c r="G262" s="50">
        <f t="shared" si="6"/>
        <v>1</v>
      </c>
      <c r="H262" s="44">
        <v>1.7617017E7</v>
      </c>
      <c r="I262" s="132" t="s">
        <v>1144</v>
      </c>
      <c r="J262" s="130" t="s">
        <v>37</v>
      </c>
      <c r="K262" s="56">
        <v>46171.0</v>
      </c>
      <c r="L262" s="150" t="s">
        <v>53</v>
      </c>
      <c r="M262" s="130" t="s">
        <v>54</v>
      </c>
      <c r="N262" s="58"/>
      <c r="O262" s="58"/>
      <c r="P262" s="60"/>
      <c r="Q262" s="58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1102</v>
      </c>
      <c r="B263" s="132" t="s">
        <v>1100</v>
      </c>
      <c r="C263" s="40" t="str">
        <f>IF(B263="","",(VLOOKUP(B263,'Dados de PN'!$A:$B,2,0)))</f>
        <v>BATTERY</v>
      </c>
      <c r="D263" s="150" t="s">
        <v>1101</v>
      </c>
      <c r="E263" s="130" t="s">
        <v>51</v>
      </c>
      <c r="F263" s="130" t="s">
        <v>35</v>
      </c>
      <c r="G263" s="50">
        <f t="shared" si="6"/>
        <v>1</v>
      </c>
      <c r="H263" s="44">
        <v>1.7617018E7</v>
      </c>
      <c r="I263" s="132" t="s">
        <v>1144</v>
      </c>
      <c r="J263" s="130" t="s">
        <v>37</v>
      </c>
      <c r="K263" s="56">
        <v>46171.0</v>
      </c>
      <c r="L263" s="150" t="s">
        <v>142</v>
      </c>
      <c r="M263" s="130" t="s">
        <v>54</v>
      </c>
      <c r="N263" s="58"/>
      <c r="O263" s="58"/>
      <c r="P263" s="60"/>
      <c r="Q263" s="58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1104</v>
      </c>
      <c r="B264" s="132" t="s">
        <v>703</v>
      </c>
      <c r="C264" s="40" t="str">
        <f>IF(B264="","",(VLOOKUP(B264,'Dados de PN'!$A:$B,2,0)))</f>
        <v>EXTINGUISHER,FIRE</v>
      </c>
      <c r="D264" s="150" t="s">
        <v>1103</v>
      </c>
      <c r="E264" s="130" t="s">
        <v>99</v>
      </c>
      <c r="F264" s="130" t="s">
        <v>35</v>
      </c>
      <c r="G264" s="50">
        <f t="shared" si="6"/>
        <v>1</v>
      </c>
      <c r="H264" s="44">
        <v>1.7617019E7</v>
      </c>
      <c r="I264" s="132" t="s">
        <v>1144</v>
      </c>
      <c r="J264" s="130" t="s">
        <v>37</v>
      </c>
      <c r="K264" s="56">
        <v>46171.0</v>
      </c>
      <c r="L264" s="150" t="s">
        <v>142</v>
      </c>
      <c r="M264" s="130" t="s">
        <v>54</v>
      </c>
      <c r="N264" s="58"/>
      <c r="O264" s="58"/>
      <c r="P264" s="60"/>
      <c r="Q264" s="58"/>
      <c r="R264" s="60"/>
      <c r="S264" s="60"/>
      <c r="T264" s="138">
        <v>46176.0</v>
      </c>
      <c r="U264" s="95" t="s">
        <v>530</v>
      </c>
      <c r="V264" s="130" t="s">
        <v>531</v>
      </c>
      <c r="W264" s="76" t="s">
        <v>66</v>
      </c>
      <c r="X264" s="60"/>
      <c r="Y264" s="60"/>
      <c r="Z264" s="60"/>
      <c r="AA264" s="60"/>
      <c r="AB264" s="60"/>
      <c r="AC264" s="60"/>
      <c r="AD264" s="60"/>
    </row>
    <row r="265">
      <c r="A265" s="39" t="s">
        <v>1107</v>
      </c>
      <c r="B265" s="130" t="s">
        <v>172</v>
      </c>
      <c r="C265" s="40" t="str">
        <f>IF(B265="","",(VLOOKUP(B265,'Dados de PN'!$A:$B,2,0)))</f>
        <v>INDICATOR,HORIZONTAL SITUATION</v>
      </c>
      <c r="D265" s="150" t="s">
        <v>1105</v>
      </c>
      <c r="E265" s="130" t="s">
        <v>99</v>
      </c>
      <c r="F265" s="130" t="s">
        <v>35</v>
      </c>
      <c r="G265" s="50">
        <f t="shared" si="6"/>
        <v>1</v>
      </c>
      <c r="H265" s="44">
        <v>3.96260016501E11</v>
      </c>
      <c r="I265" s="132" t="s">
        <v>1145</v>
      </c>
      <c r="J265" s="130" t="s">
        <v>37</v>
      </c>
      <c r="K265" s="56">
        <v>46174.0</v>
      </c>
      <c r="L265" s="150" t="s">
        <v>60</v>
      </c>
      <c r="M265" s="130" t="s">
        <v>61</v>
      </c>
      <c r="N265" s="58"/>
      <c r="O265" s="58"/>
      <c r="P265" s="60"/>
      <c r="Q265" s="58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1109</v>
      </c>
      <c r="B266" s="130" t="s">
        <v>1108</v>
      </c>
      <c r="C266" s="40" t="str">
        <f>IF(B266="","",(VLOOKUP(B266,'Dados de PN'!$A:$B,2,0)))</f>
        <v>CONNECTOR,ELECTRICAL</v>
      </c>
      <c r="D266" s="150"/>
      <c r="E266" s="130" t="s">
        <v>34</v>
      </c>
      <c r="F266" s="130" t="s">
        <v>118</v>
      </c>
      <c r="G266" s="50">
        <f t="shared" si="6"/>
        <v>2</v>
      </c>
      <c r="H266" s="44">
        <v>3.96260016502E11</v>
      </c>
      <c r="I266" s="132" t="s">
        <v>1145</v>
      </c>
      <c r="J266" s="130" t="s">
        <v>37</v>
      </c>
      <c r="K266" s="56">
        <v>46174.0</v>
      </c>
      <c r="L266" s="150" t="s">
        <v>60</v>
      </c>
      <c r="M266" s="130" t="s">
        <v>61</v>
      </c>
      <c r="N266" s="58"/>
      <c r="O266" s="58"/>
      <c r="P266" s="60"/>
      <c r="Q266" s="58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1110</v>
      </c>
      <c r="B267" s="130" t="s">
        <v>644</v>
      </c>
      <c r="C267" s="40" t="str">
        <f>IF(B267="","",(VLOOKUP(B267,'Dados de PN'!$A:$B,2,0)))</f>
        <v>SEAL</v>
      </c>
      <c r="D267" s="150"/>
      <c r="E267" s="130" t="s">
        <v>34</v>
      </c>
      <c r="F267" s="130" t="s">
        <v>118</v>
      </c>
      <c r="G267" s="50">
        <f t="shared" si="6"/>
        <v>2</v>
      </c>
      <c r="H267" s="44">
        <v>3.962600165E11</v>
      </c>
      <c r="I267" s="132" t="s">
        <v>1145</v>
      </c>
      <c r="J267" s="130" t="s">
        <v>37</v>
      </c>
      <c r="K267" s="56">
        <v>46174.0</v>
      </c>
      <c r="L267" s="150" t="s">
        <v>252</v>
      </c>
      <c r="M267" s="130" t="s">
        <v>61</v>
      </c>
      <c r="N267" s="58"/>
      <c r="O267" s="58"/>
      <c r="P267" s="60"/>
      <c r="Q267" s="58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1111</v>
      </c>
      <c r="B268" s="150" t="s">
        <v>1146</v>
      </c>
      <c r="C268" s="40" t="str">
        <f>IF(B268="","",(VLOOKUP(B268,'Dados de PN'!$A:$B,2,0)))</f>
        <v>HOSE AY</v>
      </c>
      <c r="D268" s="150"/>
      <c r="E268" s="130" t="s">
        <v>34</v>
      </c>
      <c r="F268" s="130" t="s">
        <v>302</v>
      </c>
      <c r="G268" s="50">
        <f t="shared" si="6"/>
        <v>3</v>
      </c>
      <c r="H268" s="44">
        <v>1.7624839E7</v>
      </c>
      <c r="I268" s="132" t="s">
        <v>1147</v>
      </c>
      <c r="J268" s="130" t="s">
        <v>37</v>
      </c>
      <c r="K268" s="56">
        <v>46174.0</v>
      </c>
      <c r="L268" s="150" t="s">
        <v>1148</v>
      </c>
      <c r="M268" s="130" t="s">
        <v>47</v>
      </c>
      <c r="N268" s="58"/>
      <c r="O268" s="58"/>
      <c r="P268" s="60"/>
      <c r="Q268" s="58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1112</v>
      </c>
      <c r="B269" s="150" t="s">
        <v>1149</v>
      </c>
      <c r="C269" s="40" t="str">
        <f>IF(B269="","",(VLOOKUP(B269,'Dados de PN'!$A:$B,2,0)))</f>
        <v>GOVERNADOR DE HÉLICE</v>
      </c>
      <c r="D269" s="150" t="s">
        <v>1150</v>
      </c>
      <c r="E269" s="130" t="s">
        <v>99</v>
      </c>
      <c r="F269" s="130" t="s">
        <v>35</v>
      </c>
      <c r="G269" s="50">
        <f t="shared" si="6"/>
        <v>1</v>
      </c>
      <c r="H269" s="40" t="s">
        <v>1151</v>
      </c>
      <c r="I269" s="132" t="s">
        <v>1152</v>
      </c>
      <c r="J269" s="130" t="s">
        <v>37</v>
      </c>
      <c r="K269" s="56">
        <v>46174.0</v>
      </c>
      <c r="L269" s="150" t="s">
        <v>989</v>
      </c>
      <c r="M269" s="130" t="s">
        <v>122</v>
      </c>
      <c r="N269" s="58"/>
      <c r="O269" s="58"/>
      <c r="P269" s="60"/>
      <c r="Q269" s="58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1113</v>
      </c>
      <c r="B270" s="150" t="s">
        <v>964</v>
      </c>
      <c r="C270" s="40" t="str">
        <f>IF(B270="","",(VLOOKUP(B270,'Dados de PN'!$A:$B,2,0)))</f>
        <v>ANEL DE VEDAÇÃO</v>
      </c>
      <c r="D270" s="150"/>
      <c r="E270" s="130" t="s">
        <v>34</v>
      </c>
      <c r="F270" s="130" t="s">
        <v>118</v>
      </c>
      <c r="G270" s="50">
        <f t="shared" si="6"/>
        <v>2</v>
      </c>
      <c r="H270" s="40" t="s">
        <v>1153</v>
      </c>
      <c r="I270" s="132" t="s">
        <v>1152</v>
      </c>
      <c r="J270" s="130" t="s">
        <v>37</v>
      </c>
      <c r="K270" s="56">
        <v>46174.0</v>
      </c>
      <c r="L270" s="150" t="s">
        <v>989</v>
      </c>
      <c r="M270" s="130" t="s">
        <v>122</v>
      </c>
      <c r="N270" s="58"/>
      <c r="O270" s="58"/>
      <c r="P270" s="60"/>
      <c r="Q270" s="58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1114</v>
      </c>
      <c r="B271" s="150" t="s">
        <v>514</v>
      </c>
      <c r="C271" s="40" t="str">
        <f>IF(B271="","",(VLOOKUP(B271,'Dados de PN'!$A:$B,2,0)))</f>
        <v>RETAINER,PACKING</v>
      </c>
      <c r="D271" s="150"/>
      <c r="E271" s="130" t="s">
        <v>34</v>
      </c>
      <c r="F271" s="130" t="s">
        <v>118</v>
      </c>
      <c r="G271" s="50">
        <f t="shared" si="6"/>
        <v>2</v>
      </c>
      <c r="H271" s="40" t="s">
        <v>1154</v>
      </c>
      <c r="I271" s="132" t="s">
        <v>1152</v>
      </c>
      <c r="J271" s="130" t="s">
        <v>37</v>
      </c>
      <c r="K271" s="56">
        <v>46174.0</v>
      </c>
      <c r="L271" s="150" t="s">
        <v>989</v>
      </c>
      <c r="M271" s="130" t="s">
        <v>122</v>
      </c>
      <c r="N271" s="58"/>
      <c r="O271" s="58"/>
      <c r="P271" s="60"/>
      <c r="Q271" s="58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1115</v>
      </c>
      <c r="B272" s="150" t="s">
        <v>1155</v>
      </c>
      <c r="C272" s="40" t="str">
        <f>IF(B272="","",(VLOOKUP(B272,'Dados de PN'!$A:$B,2,0)))</f>
        <v>HEADREST ASSEMBLY</v>
      </c>
      <c r="D272" s="150"/>
      <c r="E272" s="130" t="s">
        <v>34</v>
      </c>
      <c r="F272" s="130" t="s">
        <v>118</v>
      </c>
      <c r="G272" s="50">
        <f t="shared" si="6"/>
        <v>2</v>
      </c>
      <c r="H272" s="40" t="s">
        <v>1156</v>
      </c>
      <c r="I272" s="132" t="s">
        <v>1152</v>
      </c>
      <c r="J272" s="130" t="s">
        <v>37</v>
      </c>
      <c r="K272" s="56">
        <v>46174.0</v>
      </c>
      <c r="L272" s="150" t="s">
        <v>989</v>
      </c>
      <c r="M272" s="130" t="s">
        <v>122</v>
      </c>
      <c r="N272" s="58"/>
      <c r="O272" s="58"/>
      <c r="P272" s="60"/>
      <c r="Q272" s="58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1116</v>
      </c>
      <c r="B273" s="150" t="s">
        <v>1157</v>
      </c>
      <c r="C273" s="40" t="str">
        <f>IF(B273="","",(VLOOKUP(B273,'Dados de PN'!$A:$B,2,0)))</f>
        <v>PARTITION ASSY-CARGO AFT</v>
      </c>
      <c r="D273" s="150"/>
      <c r="E273" s="130" t="s">
        <v>34</v>
      </c>
      <c r="F273" s="130" t="s">
        <v>35</v>
      </c>
      <c r="G273" s="50">
        <f t="shared" si="6"/>
        <v>1</v>
      </c>
      <c r="H273" s="40" t="s">
        <v>1158</v>
      </c>
      <c r="I273" s="132" t="s">
        <v>1152</v>
      </c>
      <c r="J273" s="130" t="s">
        <v>37</v>
      </c>
      <c r="K273" s="56">
        <v>46174.0</v>
      </c>
      <c r="L273" s="150" t="s">
        <v>989</v>
      </c>
      <c r="M273" s="130" t="s">
        <v>122</v>
      </c>
      <c r="N273" s="58"/>
      <c r="O273" s="58"/>
      <c r="P273" s="60"/>
      <c r="Q273" s="58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1117</v>
      </c>
      <c r="B274" s="150" t="s">
        <v>1159</v>
      </c>
      <c r="C274" s="40" t="str">
        <f>IF(B274="","",(VLOOKUP(B274,'Dados de PN'!$A:$B,2,0)))</f>
        <v>VALVE ASSEMBLY,COMPRESSOR BLEED</v>
      </c>
      <c r="D274" s="150" t="s">
        <v>1160</v>
      </c>
      <c r="E274" s="130" t="s">
        <v>99</v>
      </c>
      <c r="F274" s="130" t="s">
        <v>35</v>
      </c>
      <c r="G274" s="50">
        <f t="shared" si="6"/>
        <v>1</v>
      </c>
      <c r="H274" s="40" t="s">
        <v>1161</v>
      </c>
      <c r="I274" s="132" t="s">
        <v>1152</v>
      </c>
      <c r="J274" s="130" t="s">
        <v>37</v>
      </c>
      <c r="K274" s="56">
        <v>46174.0</v>
      </c>
      <c r="L274" s="150" t="s">
        <v>989</v>
      </c>
      <c r="M274" s="130" t="s">
        <v>122</v>
      </c>
      <c r="N274" s="58"/>
      <c r="O274" s="58"/>
      <c r="P274" s="60"/>
      <c r="Q274" s="58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1118</v>
      </c>
      <c r="B275" s="150" t="s">
        <v>834</v>
      </c>
      <c r="C275" s="40" t="str">
        <f>IF(B275="","",(VLOOKUP(B275,'Dados de PN'!$A:$B,2,0)))</f>
        <v>GYRO HORIZON</v>
      </c>
      <c r="D275" s="150" t="s">
        <v>1162</v>
      </c>
      <c r="E275" s="130" t="s">
        <v>99</v>
      </c>
      <c r="F275" s="130" t="s">
        <v>35</v>
      </c>
      <c r="G275" s="50">
        <f t="shared" si="6"/>
        <v>1</v>
      </c>
      <c r="H275" s="40" t="s">
        <v>1163</v>
      </c>
      <c r="I275" s="132" t="s">
        <v>1164</v>
      </c>
      <c r="J275" s="130" t="s">
        <v>37</v>
      </c>
      <c r="K275" s="56">
        <v>46174.0</v>
      </c>
      <c r="L275" s="150" t="s">
        <v>120</v>
      </c>
      <c r="M275" s="130" t="s">
        <v>122</v>
      </c>
      <c r="N275" s="58"/>
      <c r="O275" s="58"/>
      <c r="P275" s="60"/>
      <c r="Q275" s="58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1119</v>
      </c>
      <c r="B276" s="150" t="s">
        <v>926</v>
      </c>
      <c r="C276" s="40" t="str">
        <f>IF(B276="","",(VLOOKUP(B276,'Dados de PN'!$A:$B,2,0)))</f>
        <v>SEAL,DOOR EMERGENCY EXIT</v>
      </c>
      <c r="D276" s="150"/>
      <c r="E276" s="130" t="s">
        <v>34</v>
      </c>
      <c r="F276" s="130" t="s">
        <v>1165</v>
      </c>
      <c r="G276" s="79">
        <v>4.0</v>
      </c>
      <c r="H276" s="40" t="s">
        <v>1166</v>
      </c>
      <c r="I276" s="132" t="s">
        <v>1164</v>
      </c>
      <c r="J276" s="130" t="s">
        <v>37</v>
      </c>
      <c r="K276" s="56">
        <v>46174.0</v>
      </c>
      <c r="L276" s="150" t="s">
        <v>120</v>
      </c>
      <c r="M276" s="130" t="s">
        <v>122</v>
      </c>
      <c r="N276" s="58"/>
      <c r="O276" s="58"/>
      <c r="P276" s="60"/>
      <c r="Q276" s="58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1120</v>
      </c>
      <c r="B277" s="150" t="s">
        <v>1167</v>
      </c>
      <c r="C277" s="40" t="str">
        <f>IF(B277="","",(VLOOKUP(B277,'Dados de PN'!$A:$B,2,0)))</f>
        <v>STUD</v>
      </c>
      <c r="D277" s="150"/>
      <c r="E277" s="130" t="s">
        <v>34</v>
      </c>
      <c r="F277" s="130" t="s">
        <v>308</v>
      </c>
      <c r="G277" s="50">
        <f t="shared" ref="G277:G347" si="7">VALUE(SUBSTITUTE(F277," EA",""))</f>
        <v>10</v>
      </c>
      <c r="H277" s="40" t="s">
        <v>1168</v>
      </c>
      <c r="I277" s="132" t="s">
        <v>1164</v>
      </c>
      <c r="J277" s="130" t="s">
        <v>37</v>
      </c>
      <c r="K277" s="56">
        <v>46174.0</v>
      </c>
      <c r="L277" s="150" t="s">
        <v>120</v>
      </c>
      <c r="M277" s="130" t="s">
        <v>122</v>
      </c>
      <c r="N277" s="58"/>
      <c r="O277" s="58"/>
      <c r="P277" s="60"/>
      <c r="Q277" s="58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1121</v>
      </c>
      <c r="B278" s="150" t="s">
        <v>1169</v>
      </c>
      <c r="C278" s="40" t="str">
        <f>IF(B278="","",(VLOOKUP(B278,'Dados de PN'!$A:$B,2,0)))</f>
        <v>STUD</v>
      </c>
      <c r="D278" s="150"/>
      <c r="E278" s="130" t="s">
        <v>34</v>
      </c>
      <c r="F278" s="130" t="s">
        <v>308</v>
      </c>
      <c r="G278" s="50">
        <f t="shared" si="7"/>
        <v>10</v>
      </c>
      <c r="H278" s="40" t="s">
        <v>1170</v>
      </c>
      <c r="I278" s="132" t="s">
        <v>1164</v>
      </c>
      <c r="J278" s="130" t="s">
        <v>37</v>
      </c>
      <c r="K278" s="56">
        <v>46174.0</v>
      </c>
      <c r="L278" s="150" t="s">
        <v>120</v>
      </c>
      <c r="M278" s="130" t="s">
        <v>122</v>
      </c>
      <c r="N278" s="58"/>
      <c r="O278" s="58"/>
      <c r="P278" s="60"/>
      <c r="Q278" s="58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1122</v>
      </c>
      <c r="B279" s="150" t="s">
        <v>1171</v>
      </c>
      <c r="C279" s="40" t="str">
        <f>IF(B279="","",(VLOOKUP(B279,'Dados de PN'!$A:$B,2,0)))</f>
        <v>STUD</v>
      </c>
      <c r="D279" s="150"/>
      <c r="E279" s="130" t="s">
        <v>34</v>
      </c>
      <c r="F279" s="130" t="s">
        <v>308</v>
      </c>
      <c r="G279" s="50">
        <f t="shared" si="7"/>
        <v>10</v>
      </c>
      <c r="H279" s="40" t="s">
        <v>1172</v>
      </c>
      <c r="I279" s="132" t="s">
        <v>1164</v>
      </c>
      <c r="J279" s="130" t="s">
        <v>37</v>
      </c>
      <c r="K279" s="56">
        <v>46174.0</v>
      </c>
      <c r="L279" s="150" t="s">
        <v>120</v>
      </c>
      <c r="M279" s="130" t="s">
        <v>122</v>
      </c>
      <c r="N279" s="58"/>
      <c r="O279" s="58"/>
      <c r="P279" s="60"/>
      <c r="Q279" s="58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1123</v>
      </c>
      <c r="B280" s="150" t="s">
        <v>1173</v>
      </c>
      <c r="C280" s="40" t="str">
        <f>IF(B280="","",(VLOOKUP(B280,'Dados de PN'!$A:$B,2,0)))</f>
        <v>STUD</v>
      </c>
      <c r="D280" s="150"/>
      <c r="E280" s="130" t="s">
        <v>34</v>
      </c>
      <c r="F280" s="130" t="s">
        <v>865</v>
      </c>
      <c r="G280" s="50">
        <f t="shared" si="7"/>
        <v>5</v>
      </c>
      <c r="H280" s="40" t="s">
        <v>1174</v>
      </c>
      <c r="I280" s="132" t="s">
        <v>1164</v>
      </c>
      <c r="J280" s="130" t="s">
        <v>37</v>
      </c>
      <c r="K280" s="56">
        <v>46174.0</v>
      </c>
      <c r="L280" s="150" t="s">
        <v>120</v>
      </c>
      <c r="M280" s="130" t="s">
        <v>122</v>
      </c>
      <c r="N280" s="58"/>
      <c r="O280" s="58"/>
      <c r="P280" s="60"/>
      <c r="Q280" s="58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9" t="s">
        <v>1124</v>
      </c>
      <c r="B281" s="150" t="s">
        <v>1175</v>
      </c>
      <c r="C281" s="40" t="str">
        <f>IF(B281="","",(VLOOKUP(B281,'Dados de PN'!$A:$B,2,0)))</f>
        <v>STUD</v>
      </c>
      <c r="D281" s="150"/>
      <c r="E281" s="130" t="s">
        <v>34</v>
      </c>
      <c r="F281" s="130" t="s">
        <v>308</v>
      </c>
      <c r="G281" s="50">
        <f t="shared" si="7"/>
        <v>10</v>
      </c>
      <c r="H281" s="40" t="s">
        <v>1176</v>
      </c>
      <c r="I281" s="132" t="s">
        <v>1164</v>
      </c>
      <c r="J281" s="130" t="s">
        <v>37</v>
      </c>
      <c r="K281" s="56">
        <v>46174.0</v>
      </c>
      <c r="L281" s="150" t="s">
        <v>120</v>
      </c>
      <c r="M281" s="130" t="s">
        <v>122</v>
      </c>
      <c r="N281" s="58"/>
      <c r="O281" s="58"/>
      <c r="P281" s="60"/>
      <c r="Q281" s="58"/>
      <c r="R281" s="60"/>
      <c r="S281" s="60"/>
      <c r="T281" s="60"/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9" t="s">
        <v>1125</v>
      </c>
      <c r="B282" s="150" t="s">
        <v>372</v>
      </c>
      <c r="C282" s="40" t="str">
        <f>IF(B282="","",(VLOOKUP(B282,'Dados de PN'!$A:$B,2,0)))</f>
        <v>GROMMET</v>
      </c>
      <c r="D282" s="150"/>
      <c r="E282" s="130" t="s">
        <v>34</v>
      </c>
      <c r="F282" s="130" t="s">
        <v>93</v>
      </c>
      <c r="G282" s="50">
        <f t="shared" si="7"/>
        <v>50</v>
      </c>
      <c r="H282" s="40" t="s">
        <v>1177</v>
      </c>
      <c r="I282" s="132" t="s">
        <v>1164</v>
      </c>
      <c r="J282" s="130" t="s">
        <v>37</v>
      </c>
      <c r="K282" s="56">
        <v>46174.0</v>
      </c>
      <c r="L282" s="150" t="s">
        <v>120</v>
      </c>
      <c r="M282" s="130" t="s">
        <v>122</v>
      </c>
      <c r="N282" s="58"/>
      <c r="O282" s="58"/>
      <c r="P282" s="60"/>
      <c r="Q282" s="58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1126</v>
      </c>
      <c r="B283" s="150" t="s">
        <v>1178</v>
      </c>
      <c r="C283" s="40" t="str">
        <f>IF(B283="","",(VLOOKUP(B283,'Dados de PN'!$A:$B,2,0)))</f>
        <v>RECEPTACLE,TURNLOCK FASTENER</v>
      </c>
      <c r="D283" s="150"/>
      <c r="E283" s="130" t="s">
        <v>34</v>
      </c>
      <c r="F283" s="130" t="s">
        <v>93</v>
      </c>
      <c r="G283" s="50">
        <f t="shared" si="7"/>
        <v>50</v>
      </c>
      <c r="H283" s="40" t="s">
        <v>1179</v>
      </c>
      <c r="I283" s="132" t="s">
        <v>1164</v>
      </c>
      <c r="J283" s="130" t="s">
        <v>37</v>
      </c>
      <c r="K283" s="56">
        <v>46174.0</v>
      </c>
      <c r="L283" s="150" t="s">
        <v>120</v>
      </c>
      <c r="M283" s="130" t="s">
        <v>122</v>
      </c>
      <c r="N283" s="58"/>
      <c r="O283" s="58"/>
      <c r="P283" s="60"/>
      <c r="Q283" s="58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1127</v>
      </c>
      <c r="B284" s="150" t="s">
        <v>1180</v>
      </c>
      <c r="C284" s="40" t="str">
        <f>IF(B284="","",(VLOOKUP(B284,'Dados de PN'!$A:$B,2,0)))</f>
        <v>SUPPORT SPINNER</v>
      </c>
      <c r="D284" s="150"/>
      <c r="E284" s="130" t="s">
        <v>34</v>
      </c>
      <c r="F284" s="130" t="s">
        <v>35</v>
      </c>
      <c r="G284" s="50">
        <f t="shared" si="7"/>
        <v>1</v>
      </c>
      <c r="H284" s="40" t="s">
        <v>1181</v>
      </c>
      <c r="I284" s="132" t="s">
        <v>1164</v>
      </c>
      <c r="J284" s="130" t="s">
        <v>37</v>
      </c>
      <c r="K284" s="56">
        <v>46174.0</v>
      </c>
      <c r="L284" s="150" t="s">
        <v>120</v>
      </c>
      <c r="M284" s="130" t="s">
        <v>122</v>
      </c>
      <c r="N284" s="58"/>
      <c r="O284" s="58"/>
      <c r="P284" s="60"/>
      <c r="Q284" s="58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1128</v>
      </c>
      <c r="B285" s="150" t="s">
        <v>1182</v>
      </c>
      <c r="C285" s="40" t="str">
        <f>IF(B285="","",(VLOOKUP(B285,'Dados de PN'!$A:$B,2,0)))</f>
        <v>SHIM</v>
      </c>
      <c r="D285" s="150"/>
      <c r="E285" s="130" t="s">
        <v>34</v>
      </c>
      <c r="F285" s="130" t="s">
        <v>35</v>
      </c>
      <c r="G285" s="50">
        <f t="shared" si="7"/>
        <v>1</v>
      </c>
      <c r="H285" s="40" t="s">
        <v>1183</v>
      </c>
      <c r="I285" s="132" t="s">
        <v>1164</v>
      </c>
      <c r="J285" s="130" t="s">
        <v>37</v>
      </c>
      <c r="K285" s="56">
        <v>46174.0</v>
      </c>
      <c r="L285" s="150" t="s">
        <v>120</v>
      </c>
      <c r="M285" s="130" t="s">
        <v>122</v>
      </c>
      <c r="N285" s="58"/>
      <c r="O285" s="58"/>
      <c r="P285" s="60"/>
      <c r="Q285" s="58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1129</v>
      </c>
      <c r="B286" s="150" t="s">
        <v>1184</v>
      </c>
      <c r="C286" s="40" t="str">
        <f>IF(B286="","",(VLOOKUP(B286,'Dados de PN'!$A:$B,2,0)))</f>
        <v>SHIM</v>
      </c>
      <c r="D286" s="150"/>
      <c r="E286" s="130" t="s">
        <v>34</v>
      </c>
      <c r="F286" s="130" t="s">
        <v>308</v>
      </c>
      <c r="G286" s="50">
        <f t="shared" si="7"/>
        <v>10</v>
      </c>
      <c r="H286" s="40" t="s">
        <v>1185</v>
      </c>
      <c r="I286" s="132" t="s">
        <v>1164</v>
      </c>
      <c r="J286" s="130" t="s">
        <v>37</v>
      </c>
      <c r="K286" s="56">
        <v>46174.0</v>
      </c>
      <c r="L286" s="150" t="s">
        <v>120</v>
      </c>
      <c r="M286" s="130" t="s">
        <v>122</v>
      </c>
      <c r="N286" s="58"/>
      <c r="O286" s="58"/>
      <c r="P286" s="60"/>
      <c r="Q286" s="58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1130</v>
      </c>
      <c r="B287" s="150" t="s">
        <v>1186</v>
      </c>
      <c r="C287" s="40" t="str">
        <f>IF(B287="","",(VLOOKUP(B287,'Dados de PN'!$A:$B,2,0)))</f>
        <v>CLAMP</v>
      </c>
      <c r="D287" s="150"/>
      <c r="E287" s="130" t="s">
        <v>34</v>
      </c>
      <c r="F287" s="130" t="s">
        <v>35</v>
      </c>
      <c r="G287" s="50">
        <f t="shared" si="7"/>
        <v>1</v>
      </c>
      <c r="H287" s="40" t="s">
        <v>1187</v>
      </c>
      <c r="I287" s="132" t="s">
        <v>1164</v>
      </c>
      <c r="J287" s="130" t="s">
        <v>37</v>
      </c>
      <c r="K287" s="56">
        <v>46174.0</v>
      </c>
      <c r="L287" s="150" t="s">
        <v>120</v>
      </c>
      <c r="M287" s="130" t="s">
        <v>122</v>
      </c>
      <c r="N287" s="58"/>
      <c r="O287" s="58"/>
      <c r="P287" s="60"/>
      <c r="Q287" s="58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1131</v>
      </c>
      <c r="B288" s="150" t="s">
        <v>1188</v>
      </c>
      <c r="C288" s="40" t="str">
        <f>IF(B288="","",(VLOOKUP(B288,'Dados de PN'!$A:$B,2,0)))</f>
        <v>GROMMET</v>
      </c>
      <c r="D288" s="150"/>
      <c r="E288" s="130" t="s">
        <v>34</v>
      </c>
      <c r="F288" s="130" t="s">
        <v>1189</v>
      </c>
      <c r="G288" s="50">
        <f t="shared" si="7"/>
        <v>67</v>
      </c>
      <c r="H288" s="44">
        <v>3.96260016504E11</v>
      </c>
      <c r="I288" s="132" t="s">
        <v>1190</v>
      </c>
      <c r="J288" s="130" t="s">
        <v>37</v>
      </c>
      <c r="K288" s="56">
        <v>46174.0</v>
      </c>
      <c r="L288" s="150" t="s">
        <v>60</v>
      </c>
      <c r="M288" s="130" t="s">
        <v>61</v>
      </c>
      <c r="N288" s="58"/>
      <c r="O288" s="58"/>
      <c r="P288" s="60"/>
      <c r="Q288" s="58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1132</v>
      </c>
      <c r="B289" s="150" t="s">
        <v>1191</v>
      </c>
      <c r="C289" s="40" t="str">
        <f>IF(B289="","",(VLOOKUP(B289,'Dados de PN'!$A:$B,2,0)))</f>
        <v>FAIRING AY RH</v>
      </c>
      <c r="D289" s="150"/>
      <c r="E289" s="130" t="s">
        <v>34</v>
      </c>
      <c r="F289" s="130" t="s">
        <v>35</v>
      </c>
      <c r="G289" s="50">
        <f t="shared" si="7"/>
        <v>1</v>
      </c>
      <c r="H289" s="44">
        <v>3.13260018291E11</v>
      </c>
      <c r="I289" s="132" t="s">
        <v>1192</v>
      </c>
      <c r="J289" s="130" t="s">
        <v>37</v>
      </c>
      <c r="K289" s="56">
        <v>46176.0</v>
      </c>
      <c r="L289" s="150" t="s">
        <v>38</v>
      </c>
      <c r="M289" s="130" t="s">
        <v>47</v>
      </c>
      <c r="N289" s="58"/>
      <c r="O289" s="58"/>
      <c r="P289" s="60"/>
      <c r="Q289" s="58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1133</v>
      </c>
      <c r="B290" s="150" t="s">
        <v>222</v>
      </c>
      <c r="C290" s="40" t="str">
        <f>IF(B290="","",(VLOOKUP(B290,'Dados de PN'!$A:$B,2,0)))</f>
        <v>PNEU PRINCIPAL 8.50-10 08PR TT FCIII MLG</v>
      </c>
      <c r="D290" s="150"/>
      <c r="E290" s="130" t="s">
        <v>34</v>
      </c>
      <c r="F290" s="150" t="s">
        <v>118</v>
      </c>
      <c r="G290" s="50">
        <f t="shared" si="7"/>
        <v>2</v>
      </c>
      <c r="H290" s="40" t="s">
        <v>1193</v>
      </c>
      <c r="I290" s="132" t="s">
        <v>1164</v>
      </c>
      <c r="J290" s="130" t="s">
        <v>37</v>
      </c>
      <c r="K290" s="56">
        <v>46182.0</v>
      </c>
      <c r="L290" s="150" t="s">
        <v>120</v>
      </c>
      <c r="M290" s="130" t="s">
        <v>122</v>
      </c>
      <c r="N290" s="58"/>
      <c r="O290" s="58"/>
      <c r="P290" s="60"/>
      <c r="Q290" s="58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1134</v>
      </c>
      <c r="B291" s="150" t="s">
        <v>279</v>
      </c>
      <c r="C291" s="40" t="str">
        <f>IF(B291="","",(VLOOKUP(B291,'Dados de PN'!$A:$B,2,0)))</f>
        <v>INNER TUBE,PNEUMATIC TIRE,AIRCRAFT</v>
      </c>
      <c r="D291" s="150"/>
      <c r="E291" s="130" t="s">
        <v>34</v>
      </c>
      <c r="F291" s="150" t="s">
        <v>35</v>
      </c>
      <c r="G291" s="50">
        <f t="shared" si="7"/>
        <v>1</v>
      </c>
      <c r="H291" s="40" t="s">
        <v>1194</v>
      </c>
      <c r="I291" s="132" t="s">
        <v>1164</v>
      </c>
      <c r="J291" s="130" t="s">
        <v>37</v>
      </c>
      <c r="K291" s="56">
        <v>46182.0</v>
      </c>
      <c r="L291" s="150" t="s">
        <v>120</v>
      </c>
      <c r="M291" s="130" t="s">
        <v>122</v>
      </c>
      <c r="N291" s="58"/>
      <c r="O291" s="58"/>
      <c r="P291" s="60"/>
      <c r="Q291" s="58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1135</v>
      </c>
      <c r="B292" s="150" t="s">
        <v>880</v>
      </c>
      <c r="C292" s="40" t="str">
        <f>IF(B292="","",(VLOOKUP(B292,'Dados de PN'!$A:$B,2,0)))</f>
        <v>ANEL-O</v>
      </c>
      <c r="D292" s="150"/>
      <c r="E292" s="130" t="s">
        <v>34</v>
      </c>
      <c r="F292" s="150" t="s">
        <v>833</v>
      </c>
      <c r="G292" s="50">
        <f t="shared" si="7"/>
        <v>6</v>
      </c>
      <c r="H292" s="44">
        <v>1.7680394E7</v>
      </c>
      <c r="I292" s="132" t="s">
        <v>1195</v>
      </c>
      <c r="J292" s="130" t="s">
        <v>37</v>
      </c>
      <c r="K292" s="56">
        <v>46183.0</v>
      </c>
      <c r="L292" s="150" t="s">
        <v>395</v>
      </c>
      <c r="M292" s="130" t="s">
        <v>47</v>
      </c>
      <c r="N292" s="58"/>
      <c r="O292" s="58"/>
      <c r="P292" s="60"/>
      <c r="Q292" s="58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1136</v>
      </c>
      <c r="B293" s="150" t="s">
        <v>624</v>
      </c>
      <c r="C293" s="40" t="str">
        <f>IF(B293="","",(VLOOKUP(B293,'Dados de PN'!$A:$B,2,0)))</f>
        <v>HOSE ASSY</v>
      </c>
      <c r="D293" s="150"/>
      <c r="E293" s="130" t="s">
        <v>34</v>
      </c>
      <c r="F293" s="150" t="s">
        <v>35</v>
      </c>
      <c r="G293" s="50">
        <f t="shared" si="7"/>
        <v>1</v>
      </c>
      <c r="H293" s="44">
        <v>1.7695916E7</v>
      </c>
      <c r="I293" s="132" t="s">
        <v>1195</v>
      </c>
      <c r="J293" s="130" t="s">
        <v>37</v>
      </c>
      <c r="K293" s="56">
        <v>46185.0</v>
      </c>
      <c r="L293" s="150" t="s">
        <v>395</v>
      </c>
      <c r="M293" s="130" t="s">
        <v>47</v>
      </c>
      <c r="N293" s="58"/>
      <c r="O293" s="58"/>
      <c r="P293" s="60"/>
      <c r="Q293" s="58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1137</v>
      </c>
      <c r="B294" s="150" t="s">
        <v>1196</v>
      </c>
      <c r="C294" s="40" t="str">
        <f>IF(B294="","",(VLOOKUP(B294,'Dados de PN'!$A:$B,2,0)))</f>
        <v>SPRING,HELICAL,EXTE</v>
      </c>
      <c r="D294" s="150"/>
      <c r="E294" s="130" t="s">
        <v>34</v>
      </c>
      <c r="F294" s="130" t="s">
        <v>205</v>
      </c>
      <c r="G294" s="50">
        <f t="shared" si="7"/>
        <v>4</v>
      </c>
      <c r="H294" s="44">
        <v>1.7739766E7</v>
      </c>
      <c r="I294" s="132" t="s">
        <v>1197</v>
      </c>
      <c r="J294" s="130" t="s">
        <v>37</v>
      </c>
      <c r="K294" s="56">
        <v>46192.0</v>
      </c>
      <c r="L294" s="150" t="s">
        <v>101</v>
      </c>
      <c r="M294" s="130" t="s">
        <v>61</v>
      </c>
      <c r="N294" s="58"/>
      <c r="O294" s="58"/>
      <c r="P294" s="60"/>
      <c r="Q294" s="58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1138</v>
      </c>
      <c r="B295" s="44" t="s">
        <v>1079</v>
      </c>
      <c r="C295" s="40" t="str">
        <f>IF(B295="","",(VLOOKUP(B295,'Dados de PN'!$A:$B,2,0)))</f>
        <v>SWITCH</v>
      </c>
      <c r="D295" s="150"/>
      <c r="E295" s="130" t="s">
        <v>34</v>
      </c>
      <c r="F295" s="150" t="s">
        <v>35</v>
      </c>
      <c r="G295" s="50">
        <f t="shared" si="7"/>
        <v>1</v>
      </c>
      <c r="H295" s="44">
        <v>1.7741001E7</v>
      </c>
      <c r="I295" s="132" t="s">
        <v>1198</v>
      </c>
      <c r="J295" s="130" t="s">
        <v>37</v>
      </c>
      <c r="K295" s="56">
        <v>46192.0</v>
      </c>
      <c r="L295" s="150" t="s">
        <v>196</v>
      </c>
      <c r="M295" s="130" t="s">
        <v>54</v>
      </c>
      <c r="N295" s="58"/>
      <c r="O295" s="58"/>
      <c r="P295" s="60"/>
      <c r="Q295" s="58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1139</v>
      </c>
      <c r="B296" s="44" t="s">
        <v>1199</v>
      </c>
      <c r="C296" s="40" t="str">
        <f>IF(B296="","",(VLOOKUP(B296,'Dados de PN'!$A:$B,2,0)))</f>
        <v>CABLE ASSEMBLY</v>
      </c>
      <c r="D296" s="150"/>
      <c r="E296" s="130" t="s">
        <v>34</v>
      </c>
      <c r="F296" s="150" t="s">
        <v>35</v>
      </c>
      <c r="G296" s="50">
        <f t="shared" si="7"/>
        <v>1</v>
      </c>
      <c r="H296" s="44">
        <v>1.774104E7</v>
      </c>
      <c r="I296" s="132" t="s">
        <v>1198</v>
      </c>
      <c r="J296" s="130" t="s">
        <v>37</v>
      </c>
      <c r="K296" s="56">
        <v>46192.0</v>
      </c>
      <c r="L296" s="150" t="s">
        <v>196</v>
      </c>
      <c r="M296" s="130" t="s">
        <v>54</v>
      </c>
      <c r="N296" s="58"/>
      <c r="O296" s="58"/>
      <c r="P296" s="60"/>
      <c r="Q296" s="58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1140</v>
      </c>
      <c r="B297" s="44" t="s">
        <v>287</v>
      </c>
      <c r="C297" s="40" t="str">
        <f>IF(B297="","",(VLOOKUP(B297,'Dados de PN'!$A:$B,2,0)))</f>
        <v>RECEIVER VOR/LOC (KNS81)</v>
      </c>
      <c r="D297" s="150" t="s">
        <v>1200</v>
      </c>
      <c r="E297" s="130" t="s">
        <v>99</v>
      </c>
      <c r="F297" s="150" t="s">
        <v>35</v>
      </c>
      <c r="G297" s="50">
        <f t="shared" si="7"/>
        <v>1</v>
      </c>
      <c r="H297" s="44">
        <v>1.774166E7</v>
      </c>
      <c r="I297" s="132" t="s">
        <v>1198</v>
      </c>
      <c r="J297" s="130" t="s">
        <v>37</v>
      </c>
      <c r="K297" s="56">
        <v>46192.0</v>
      </c>
      <c r="L297" s="150" t="s">
        <v>196</v>
      </c>
      <c r="M297" s="130" t="s">
        <v>54</v>
      </c>
      <c r="N297" s="58"/>
      <c r="O297" s="58"/>
      <c r="P297" s="60"/>
      <c r="Q297" s="58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1141</v>
      </c>
      <c r="B298" s="40" t="s">
        <v>1201</v>
      </c>
      <c r="C298" s="40" t="str">
        <f>IF(B298="","",(VLOOKUP(B298,'Dados de PN'!$A:$B,2,0)))</f>
        <v>BOMBA DE COMBUSTÍVEL</v>
      </c>
      <c r="D298" s="150" t="s">
        <v>1202</v>
      </c>
      <c r="E298" s="130" t="s">
        <v>99</v>
      </c>
      <c r="F298" s="150" t="s">
        <v>35</v>
      </c>
      <c r="G298" s="50">
        <f t="shared" si="7"/>
        <v>1</v>
      </c>
      <c r="H298" s="40" t="s">
        <v>1203</v>
      </c>
      <c r="I298" s="132" t="s">
        <v>1204</v>
      </c>
      <c r="J298" s="130" t="s">
        <v>37</v>
      </c>
      <c r="K298" s="56">
        <v>46192.0</v>
      </c>
      <c r="L298" s="150" t="s">
        <v>557</v>
      </c>
      <c r="M298" s="130" t="s">
        <v>558</v>
      </c>
      <c r="N298" s="58"/>
      <c r="O298" s="58"/>
      <c r="P298" s="60"/>
      <c r="Q298" s="58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1142</v>
      </c>
      <c r="B299" s="150" t="s">
        <v>1205</v>
      </c>
      <c r="C299" s="40" t="str">
        <f>IF(B299="","",(VLOOKUP(B299,'Dados de PN'!$A:$B,2,0)))</f>
        <v>COUPLING,PUMP</v>
      </c>
      <c r="D299" s="150"/>
      <c r="E299" s="130" t="s">
        <v>34</v>
      </c>
      <c r="F299" s="150" t="s">
        <v>35</v>
      </c>
      <c r="G299" s="50">
        <f t="shared" si="7"/>
        <v>1</v>
      </c>
      <c r="H299" s="150" t="s">
        <v>1206</v>
      </c>
      <c r="I299" s="132" t="s">
        <v>1204</v>
      </c>
      <c r="J299" s="130" t="s">
        <v>37</v>
      </c>
      <c r="K299" s="56">
        <v>46192.0</v>
      </c>
      <c r="L299" s="150" t="s">
        <v>557</v>
      </c>
      <c r="M299" s="130" t="s">
        <v>558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0"/>
      <c r="X299" s="150"/>
      <c r="Y299" s="150"/>
      <c r="Z299" s="150"/>
      <c r="AA299" s="150"/>
      <c r="AB299" s="150"/>
      <c r="AC299" s="150"/>
      <c r="AD299" s="150"/>
    </row>
    <row r="300">
      <c r="A300" s="39" t="s">
        <v>1207</v>
      </c>
      <c r="B300" s="150" t="s">
        <v>1208</v>
      </c>
      <c r="C300" s="40" t="str">
        <f>IF(B300="","",(VLOOKUP(B300,'Dados de PN'!$A:$B,2,0)))</f>
        <v>ANEL-O</v>
      </c>
      <c r="D300" s="150"/>
      <c r="E300" s="130" t="s">
        <v>34</v>
      </c>
      <c r="F300" s="150" t="s">
        <v>35</v>
      </c>
      <c r="G300" s="50">
        <f t="shared" si="7"/>
        <v>1</v>
      </c>
      <c r="H300" s="150" t="s">
        <v>1209</v>
      </c>
      <c r="I300" s="132" t="s">
        <v>1204</v>
      </c>
      <c r="J300" s="150" t="s">
        <v>59</v>
      </c>
      <c r="K300" s="56">
        <v>46192.0</v>
      </c>
      <c r="L300" s="150" t="s">
        <v>557</v>
      </c>
      <c r="M300" s="130" t="s">
        <v>558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0"/>
      <c r="X300" s="150"/>
      <c r="Y300" s="150"/>
      <c r="Z300" s="150"/>
      <c r="AA300" s="150"/>
      <c r="AB300" s="150"/>
      <c r="AC300" s="150"/>
      <c r="AD300" s="150"/>
    </row>
    <row r="301">
      <c r="A301" s="39" t="s">
        <v>1210</v>
      </c>
      <c r="B301" s="150" t="s">
        <v>1211</v>
      </c>
      <c r="C301" s="40" t="str">
        <f>IF(B301="","",(VLOOKUP(B301,'Dados de PN'!$A:$B,2,0)))</f>
        <v>GASKET</v>
      </c>
      <c r="D301" s="150"/>
      <c r="E301" s="130" t="s">
        <v>34</v>
      </c>
      <c r="F301" s="150" t="s">
        <v>35</v>
      </c>
      <c r="G301" s="50">
        <f t="shared" si="7"/>
        <v>1</v>
      </c>
      <c r="H301" s="150" t="s">
        <v>1212</v>
      </c>
      <c r="I301" s="132" t="s">
        <v>1204</v>
      </c>
      <c r="J301" s="130" t="s">
        <v>37</v>
      </c>
      <c r="K301" s="56">
        <v>46192.0</v>
      </c>
      <c r="L301" s="150" t="s">
        <v>557</v>
      </c>
      <c r="M301" s="130" t="s">
        <v>558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0"/>
      <c r="X301" s="150"/>
      <c r="Y301" s="150"/>
      <c r="Z301" s="150"/>
      <c r="AA301" s="150"/>
      <c r="AB301" s="150"/>
      <c r="AC301" s="150"/>
      <c r="AD301" s="150"/>
    </row>
    <row r="302">
      <c r="A302" s="39" t="s">
        <v>1213</v>
      </c>
      <c r="B302" s="150" t="s">
        <v>1054</v>
      </c>
      <c r="C302" s="40" t="str">
        <f>IF(B302="","",(VLOOKUP(B302,'Dados de PN'!$A:$B,2,0)))</f>
        <v>ANEL-O</v>
      </c>
      <c r="D302" s="150"/>
      <c r="E302" s="130" t="s">
        <v>34</v>
      </c>
      <c r="F302" s="150" t="s">
        <v>35</v>
      </c>
      <c r="G302" s="50">
        <f t="shared" si="7"/>
        <v>1</v>
      </c>
      <c r="H302" s="150" t="s">
        <v>1214</v>
      </c>
      <c r="I302" s="132" t="s">
        <v>1204</v>
      </c>
      <c r="J302" s="130" t="s">
        <v>37</v>
      </c>
      <c r="K302" s="56">
        <v>46192.0</v>
      </c>
      <c r="L302" s="150" t="s">
        <v>557</v>
      </c>
      <c r="M302" s="130" t="s">
        <v>558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0"/>
      <c r="X302" s="150"/>
      <c r="Y302" s="150"/>
      <c r="Z302" s="150"/>
      <c r="AA302" s="150"/>
      <c r="AB302" s="150"/>
      <c r="AC302" s="150"/>
      <c r="AD302" s="150"/>
    </row>
    <row r="303">
      <c r="A303" s="39" t="s">
        <v>1215</v>
      </c>
      <c r="B303" s="150" t="s">
        <v>1067</v>
      </c>
      <c r="C303" s="40" t="str">
        <f>IF(B303="","",(VLOOKUP(B303,'Dados de PN'!$A:$B,2,0)))</f>
        <v>TRANSMITTER FUEL</v>
      </c>
      <c r="D303" s="150"/>
      <c r="E303" s="130" t="s">
        <v>34</v>
      </c>
      <c r="F303" s="150" t="s">
        <v>35</v>
      </c>
      <c r="G303" s="50">
        <f t="shared" si="7"/>
        <v>1</v>
      </c>
      <c r="H303" s="150" t="s">
        <v>1216</v>
      </c>
      <c r="I303" s="132" t="s">
        <v>1217</v>
      </c>
      <c r="J303" s="130" t="s">
        <v>37</v>
      </c>
      <c r="K303" s="150" t="s">
        <v>161</v>
      </c>
      <c r="L303" s="150" t="s">
        <v>363</v>
      </c>
      <c r="M303" s="150" t="s">
        <v>61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0"/>
      <c r="X303" s="150"/>
      <c r="Y303" s="150"/>
      <c r="Z303" s="150"/>
      <c r="AA303" s="150"/>
      <c r="AB303" s="150"/>
      <c r="AC303" s="150"/>
      <c r="AD303" s="150"/>
    </row>
    <row r="304">
      <c r="A304" s="39" t="s">
        <v>1218</v>
      </c>
      <c r="B304" s="150" t="s">
        <v>1219</v>
      </c>
      <c r="C304" s="40" t="str">
        <f>IF(B304="","",(VLOOKUP(B304,'Dados de PN'!$A:$B,2,0)))</f>
        <v>PLATE-INSULAT</v>
      </c>
      <c r="D304" s="150"/>
      <c r="E304" s="130" t="s">
        <v>34</v>
      </c>
      <c r="F304" s="150" t="s">
        <v>118</v>
      </c>
      <c r="G304" s="50">
        <f t="shared" si="7"/>
        <v>2</v>
      </c>
      <c r="H304" s="150" t="s">
        <v>1220</v>
      </c>
      <c r="I304" s="132" t="s">
        <v>1217</v>
      </c>
      <c r="J304" s="130" t="s">
        <v>37</v>
      </c>
      <c r="K304" s="150" t="s">
        <v>161</v>
      </c>
      <c r="L304" s="150" t="s">
        <v>363</v>
      </c>
      <c r="M304" s="150" t="s">
        <v>61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0"/>
      <c r="X304" s="150"/>
      <c r="Y304" s="150"/>
      <c r="Z304" s="150"/>
      <c r="AA304" s="150"/>
      <c r="AB304" s="150"/>
      <c r="AC304" s="150"/>
      <c r="AD304" s="150"/>
    </row>
    <row r="305">
      <c r="A305" s="39" t="s">
        <v>1221</v>
      </c>
      <c r="B305" s="150" t="s">
        <v>1222</v>
      </c>
      <c r="C305" s="40" t="str">
        <f>IF(B305="","",(VLOOKUP(B305,'Dados de PN'!$A:$B,2,0)))</f>
        <v>SWITCH,SPEC</v>
      </c>
      <c r="D305" s="150"/>
      <c r="E305" s="130" t="s">
        <v>34</v>
      </c>
      <c r="F305" s="150" t="s">
        <v>118</v>
      </c>
      <c r="G305" s="50">
        <f t="shared" si="7"/>
        <v>2</v>
      </c>
      <c r="H305" s="150" t="s">
        <v>1223</v>
      </c>
      <c r="I305" s="132" t="s">
        <v>1217</v>
      </c>
      <c r="J305" s="130" t="s">
        <v>37</v>
      </c>
      <c r="K305" s="150" t="s">
        <v>161</v>
      </c>
      <c r="L305" s="150" t="s">
        <v>363</v>
      </c>
      <c r="M305" s="150" t="s">
        <v>61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0"/>
      <c r="X305" s="150"/>
      <c r="Y305" s="150"/>
      <c r="Z305" s="150"/>
      <c r="AA305" s="150"/>
      <c r="AB305" s="150"/>
      <c r="AC305" s="150"/>
      <c r="AD305" s="150"/>
    </row>
    <row r="306">
      <c r="A306" s="39" t="s">
        <v>1224</v>
      </c>
      <c r="B306" s="150" t="s">
        <v>1225</v>
      </c>
      <c r="C306" s="40" t="str">
        <f>IF(B306="","",(VLOOKUP(B306,'Dados de PN'!$A:$B,2,0)))</f>
        <v>SEALING COMPOUND</v>
      </c>
      <c r="D306" s="150"/>
      <c r="E306" s="130" t="s">
        <v>34</v>
      </c>
      <c r="F306" s="150" t="s">
        <v>833</v>
      </c>
      <c r="G306" s="50">
        <f t="shared" si="7"/>
        <v>6</v>
      </c>
      <c r="H306" s="150" t="s">
        <v>1226</v>
      </c>
      <c r="I306" s="132" t="s">
        <v>1217</v>
      </c>
      <c r="J306" s="130" t="s">
        <v>37</v>
      </c>
      <c r="K306" s="150" t="s">
        <v>161</v>
      </c>
      <c r="L306" s="150" t="s">
        <v>363</v>
      </c>
      <c r="M306" s="150" t="s">
        <v>61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0"/>
      <c r="X306" s="150"/>
      <c r="Y306" s="150"/>
      <c r="Z306" s="150"/>
      <c r="AA306" s="150"/>
      <c r="AB306" s="150"/>
      <c r="AC306" s="150"/>
      <c r="AD306" s="150"/>
    </row>
    <row r="307">
      <c r="A307" s="39" t="s">
        <v>1227</v>
      </c>
      <c r="B307" s="150" t="s">
        <v>1228</v>
      </c>
      <c r="C307" s="40" t="str">
        <f>IF(B307="","",(VLOOKUP(B307,'Dados de PN'!$A:$B,2,0)))</f>
        <v>NUT,PLAIN,SLOTTED,HEXAGON</v>
      </c>
      <c r="D307" s="150"/>
      <c r="E307" s="130" t="s">
        <v>34</v>
      </c>
      <c r="F307" s="150" t="s">
        <v>205</v>
      </c>
      <c r="G307" s="50">
        <f t="shared" si="7"/>
        <v>4</v>
      </c>
      <c r="H307" s="150" t="s">
        <v>1229</v>
      </c>
      <c r="I307" s="132" t="s">
        <v>1230</v>
      </c>
      <c r="J307" s="150" t="s">
        <v>207</v>
      </c>
      <c r="K307" s="150" t="s">
        <v>161</v>
      </c>
      <c r="L307" s="150" t="s">
        <v>120</v>
      </c>
      <c r="M307" s="150" t="s">
        <v>122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0"/>
      <c r="X307" s="150"/>
      <c r="Y307" s="150"/>
      <c r="Z307" s="150"/>
      <c r="AA307" s="150"/>
      <c r="AB307" s="150"/>
      <c r="AC307" s="150"/>
      <c r="AD307" s="150"/>
    </row>
    <row r="308">
      <c r="A308" s="39" t="s">
        <v>1231</v>
      </c>
      <c r="B308" s="150" t="s">
        <v>1232</v>
      </c>
      <c r="C308" s="40" t="str">
        <f>IF(B308="","",(VLOOKUP(B308,'Dados de PN'!$A:$B,2,0)))</f>
        <v>BARREL FLAP</v>
      </c>
      <c r="D308" s="150"/>
      <c r="E308" s="130" t="s">
        <v>34</v>
      </c>
      <c r="F308" s="150" t="s">
        <v>35</v>
      </c>
      <c r="G308" s="50">
        <f t="shared" si="7"/>
        <v>1</v>
      </c>
      <c r="H308" s="150" t="s">
        <v>1233</v>
      </c>
      <c r="I308" s="132" t="s">
        <v>1230</v>
      </c>
      <c r="J308" s="150" t="s">
        <v>37</v>
      </c>
      <c r="K308" s="150" t="s">
        <v>161</v>
      </c>
      <c r="L308" s="150" t="s">
        <v>120</v>
      </c>
      <c r="M308" s="150" t="s">
        <v>122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0"/>
      <c r="X308" s="150"/>
      <c r="Y308" s="150"/>
      <c r="Z308" s="150"/>
      <c r="AA308" s="150"/>
      <c r="AB308" s="150"/>
      <c r="AC308" s="150"/>
      <c r="AD308" s="150"/>
    </row>
    <row r="309">
      <c r="A309" s="39" t="s">
        <v>1234</v>
      </c>
      <c r="B309" s="150" t="s">
        <v>1235</v>
      </c>
      <c r="C309" s="40" t="str">
        <f>IF(B309="","",(VLOOKUP(B309,'Dados de PN'!$A:$B,2,0)))</f>
        <v>SETSCREW</v>
      </c>
      <c r="D309" s="150"/>
      <c r="E309" s="130" t="s">
        <v>34</v>
      </c>
      <c r="F309" s="150" t="s">
        <v>118</v>
      </c>
      <c r="G309" s="50">
        <f t="shared" si="7"/>
        <v>2</v>
      </c>
      <c r="H309" s="150" t="s">
        <v>1236</v>
      </c>
      <c r="I309" s="132" t="s">
        <v>1230</v>
      </c>
      <c r="J309" s="150" t="s">
        <v>37</v>
      </c>
      <c r="K309" s="150" t="s">
        <v>161</v>
      </c>
      <c r="L309" s="150" t="s">
        <v>120</v>
      </c>
      <c r="M309" s="150" t="s">
        <v>122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0"/>
      <c r="X309" s="150"/>
      <c r="Y309" s="150"/>
      <c r="Z309" s="150"/>
      <c r="AA309" s="150"/>
      <c r="AB309" s="150"/>
      <c r="AC309" s="150"/>
      <c r="AD309" s="150"/>
    </row>
    <row r="310">
      <c r="A310" s="39" t="s">
        <v>1237</v>
      </c>
      <c r="B310" s="150" t="s">
        <v>1238</v>
      </c>
      <c r="C310" s="40" t="str">
        <f>IF(B310="","",(VLOOKUP(B310,'Dados de PN'!$A:$B,2,0)))</f>
        <v>STUD</v>
      </c>
      <c r="D310" s="150"/>
      <c r="E310" s="130" t="s">
        <v>34</v>
      </c>
      <c r="F310" s="150" t="s">
        <v>118</v>
      </c>
      <c r="G310" s="50">
        <f t="shared" si="7"/>
        <v>2</v>
      </c>
      <c r="H310" s="150" t="s">
        <v>1239</v>
      </c>
      <c r="I310" s="132" t="s">
        <v>1230</v>
      </c>
      <c r="J310" s="150" t="s">
        <v>37</v>
      </c>
      <c r="K310" s="150" t="s">
        <v>161</v>
      </c>
      <c r="L310" s="150" t="s">
        <v>120</v>
      </c>
      <c r="M310" s="150" t="s">
        <v>122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0"/>
      <c r="X310" s="150"/>
      <c r="Y310" s="150"/>
      <c r="Z310" s="150"/>
      <c r="AA310" s="150"/>
      <c r="AB310" s="150"/>
      <c r="AC310" s="150"/>
      <c r="AD310" s="150"/>
    </row>
    <row r="311">
      <c r="A311" s="39" t="s">
        <v>1240</v>
      </c>
      <c r="B311" s="150" t="s">
        <v>1241</v>
      </c>
      <c r="C311" s="40" t="str">
        <f>IF(B311="","",(VLOOKUP(B311,'Dados de PN'!$A:$B,2,0)))</f>
        <v>TUBE ASSY</v>
      </c>
      <c r="D311" s="150"/>
      <c r="E311" s="130" t="s">
        <v>34</v>
      </c>
      <c r="F311" s="150" t="s">
        <v>118</v>
      </c>
      <c r="G311" s="50">
        <f t="shared" si="7"/>
        <v>2</v>
      </c>
      <c r="H311" s="150" t="s">
        <v>1242</v>
      </c>
      <c r="I311" s="132" t="s">
        <v>1230</v>
      </c>
      <c r="J311" s="150" t="s">
        <v>37</v>
      </c>
      <c r="K311" s="150" t="s">
        <v>161</v>
      </c>
      <c r="L311" s="150" t="s">
        <v>120</v>
      </c>
      <c r="M311" s="150" t="s">
        <v>122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0"/>
      <c r="X311" s="150"/>
      <c r="Y311" s="150"/>
      <c r="Z311" s="150"/>
      <c r="AA311" s="150"/>
      <c r="AB311" s="150"/>
      <c r="AC311" s="150"/>
      <c r="AD311" s="150"/>
    </row>
    <row r="312">
      <c r="A312" s="39" t="s">
        <v>1243</v>
      </c>
      <c r="B312" s="150" t="s">
        <v>1244</v>
      </c>
      <c r="C312" s="40" t="str">
        <f>IF(B312="","",(VLOOKUP(B312,'Dados de PN'!$A:$B,2,0)))</f>
        <v>NUT,PLAIN,HEXAGON</v>
      </c>
      <c r="D312" s="150"/>
      <c r="E312" s="130" t="s">
        <v>34</v>
      </c>
      <c r="F312" s="150" t="s">
        <v>118</v>
      </c>
      <c r="G312" s="50">
        <f t="shared" si="7"/>
        <v>2</v>
      </c>
      <c r="H312" s="150" t="s">
        <v>1245</v>
      </c>
      <c r="I312" s="132" t="s">
        <v>1230</v>
      </c>
      <c r="J312" s="150" t="s">
        <v>37</v>
      </c>
      <c r="K312" s="150" t="s">
        <v>161</v>
      </c>
      <c r="L312" s="150" t="s">
        <v>120</v>
      </c>
      <c r="M312" s="150" t="s">
        <v>122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0"/>
      <c r="X312" s="150"/>
      <c r="Y312" s="150"/>
      <c r="Z312" s="150"/>
      <c r="AA312" s="150"/>
      <c r="AB312" s="150"/>
      <c r="AC312" s="150"/>
      <c r="AD312" s="150"/>
    </row>
    <row r="313">
      <c r="A313" s="39" t="s">
        <v>1246</v>
      </c>
      <c r="B313" s="150" t="s">
        <v>1247</v>
      </c>
      <c r="C313" s="40" t="str">
        <f>IF(B313="","",(VLOOKUP(B313,'Dados de PN'!$A:$B,2,0)))</f>
        <v>NUT STOP</v>
      </c>
      <c r="D313" s="150"/>
      <c r="E313" s="130" t="s">
        <v>34</v>
      </c>
      <c r="F313" s="150" t="s">
        <v>35</v>
      </c>
      <c r="G313" s="50">
        <f t="shared" si="7"/>
        <v>1</v>
      </c>
      <c r="H313" s="150" t="s">
        <v>1248</v>
      </c>
      <c r="I313" s="132" t="s">
        <v>1230</v>
      </c>
      <c r="J313" s="150" t="s">
        <v>37</v>
      </c>
      <c r="K313" s="150" t="s">
        <v>146</v>
      </c>
      <c r="L313" s="150" t="s">
        <v>120</v>
      </c>
      <c r="M313" s="150" t="s">
        <v>122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0"/>
      <c r="X313" s="150"/>
      <c r="Y313" s="150"/>
      <c r="Z313" s="150"/>
      <c r="AA313" s="150"/>
      <c r="AB313" s="150"/>
      <c r="AC313" s="150"/>
      <c r="AD313" s="150"/>
    </row>
    <row r="314">
      <c r="A314" s="39" t="s">
        <v>1249</v>
      </c>
      <c r="B314" s="201" t="s">
        <v>1250</v>
      </c>
      <c r="C314" s="40" t="str">
        <f>IF(B314="","",(VLOOKUP(B314,'Dados de PN'!$A:$B,2,0)))</f>
        <v>REDUCER, TUBE</v>
      </c>
      <c r="D314" s="150"/>
      <c r="E314" s="130" t="s">
        <v>34</v>
      </c>
      <c r="F314" s="150" t="s">
        <v>35</v>
      </c>
      <c r="G314" s="50">
        <f t="shared" si="7"/>
        <v>1</v>
      </c>
      <c r="H314" s="150" t="s">
        <v>1251</v>
      </c>
      <c r="I314" s="132" t="s">
        <v>1252</v>
      </c>
      <c r="J314" s="150" t="s">
        <v>37</v>
      </c>
      <c r="K314" s="150" t="s">
        <v>146</v>
      </c>
      <c r="L314" s="150" t="s">
        <v>219</v>
      </c>
      <c r="M314" s="150" t="s">
        <v>47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0"/>
      <c r="X314" s="150"/>
      <c r="Y314" s="150"/>
      <c r="Z314" s="150"/>
      <c r="AA314" s="150"/>
      <c r="AB314" s="150"/>
      <c r="AC314" s="150"/>
      <c r="AD314" s="150"/>
    </row>
    <row r="315">
      <c r="A315" s="39" t="s">
        <v>1253</v>
      </c>
      <c r="B315" s="150" t="s">
        <v>485</v>
      </c>
      <c r="C315" s="40" t="str">
        <f>IF(B315="","",(VLOOKUP(B315,'Dados de PN'!$A:$B,2,0)))</f>
        <v>NIPPLE,TUBE</v>
      </c>
      <c r="D315" s="150"/>
      <c r="E315" s="130" t="s">
        <v>34</v>
      </c>
      <c r="F315" s="150" t="s">
        <v>35</v>
      </c>
      <c r="G315" s="50">
        <f t="shared" si="7"/>
        <v>1</v>
      </c>
      <c r="H315" s="150" t="s">
        <v>1254</v>
      </c>
      <c r="I315" s="132" t="s">
        <v>1252</v>
      </c>
      <c r="J315" s="150" t="s">
        <v>37</v>
      </c>
      <c r="K315" s="150" t="s">
        <v>146</v>
      </c>
      <c r="L315" s="150" t="s">
        <v>219</v>
      </c>
      <c r="M315" s="150" t="s">
        <v>47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0"/>
      <c r="X315" s="150"/>
      <c r="Y315" s="150"/>
      <c r="Z315" s="150"/>
      <c r="AA315" s="150"/>
      <c r="AB315" s="150"/>
      <c r="AC315" s="150"/>
      <c r="AD315" s="150"/>
    </row>
    <row r="316">
      <c r="A316" s="39" t="s">
        <v>1255</v>
      </c>
      <c r="B316" s="150" t="s">
        <v>1256</v>
      </c>
      <c r="C316" s="40" t="str">
        <f>IF(B316="","",(VLOOKUP(B316,'Dados de PN'!$A:$B,2,0)))</f>
        <v>BOLT,MACHINE</v>
      </c>
      <c r="D316" s="150"/>
      <c r="E316" s="130" t="s">
        <v>34</v>
      </c>
      <c r="F316" s="150" t="s">
        <v>35</v>
      </c>
      <c r="G316" s="50">
        <f t="shared" si="7"/>
        <v>1</v>
      </c>
      <c r="H316" s="150" t="s">
        <v>1257</v>
      </c>
      <c r="I316" s="132" t="s">
        <v>1258</v>
      </c>
      <c r="J316" s="150" t="s">
        <v>37</v>
      </c>
      <c r="K316" s="150" t="s">
        <v>149</v>
      </c>
      <c r="L316" s="150" t="s">
        <v>170</v>
      </c>
      <c r="M316" s="150" t="s">
        <v>54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0"/>
      <c r="X316" s="150"/>
      <c r="Y316" s="150"/>
      <c r="Z316" s="150"/>
      <c r="AA316" s="150"/>
      <c r="AB316" s="150"/>
      <c r="AC316" s="150"/>
      <c r="AD316" s="150"/>
    </row>
    <row r="317">
      <c r="A317" s="39" t="s">
        <v>1259</v>
      </c>
      <c r="B317" s="150" t="s">
        <v>1260</v>
      </c>
      <c r="C317" s="40" t="str">
        <f>IF(B317="","",(VLOOKUP(B317,'Dados de PN'!$A:$B,2,0)))</f>
        <v>WASHER</v>
      </c>
      <c r="D317" s="150"/>
      <c r="E317" s="130" t="s">
        <v>34</v>
      </c>
      <c r="F317" s="150" t="s">
        <v>118</v>
      </c>
      <c r="G317" s="50">
        <f t="shared" si="7"/>
        <v>2</v>
      </c>
      <c r="H317" s="150" t="s">
        <v>1261</v>
      </c>
      <c r="I317" s="132" t="s">
        <v>1258</v>
      </c>
      <c r="J317" s="150" t="s">
        <v>37</v>
      </c>
      <c r="K317" s="150" t="s">
        <v>149</v>
      </c>
      <c r="L317" s="150" t="s">
        <v>170</v>
      </c>
      <c r="M317" s="150" t="s">
        <v>54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0"/>
      <c r="X317" s="150"/>
      <c r="Y317" s="150"/>
      <c r="Z317" s="150"/>
      <c r="AA317" s="150"/>
      <c r="AB317" s="150"/>
      <c r="AC317" s="150"/>
      <c r="AD317" s="150"/>
    </row>
    <row r="318">
      <c r="A318" s="39" t="s">
        <v>1262</v>
      </c>
      <c r="B318" s="150" t="s">
        <v>1263</v>
      </c>
      <c r="C318" s="40" t="str">
        <f>IF(B318="","",(VLOOKUP(B318,'Dados de PN'!$A:$B,2,0)))</f>
        <v>SERVO PITCH</v>
      </c>
      <c r="D318" s="150"/>
      <c r="E318" s="130" t="s">
        <v>34</v>
      </c>
      <c r="F318" s="150" t="s">
        <v>35</v>
      </c>
      <c r="G318" s="50">
        <f t="shared" si="7"/>
        <v>1</v>
      </c>
      <c r="H318" s="150" t="s">
        <v>1264</v>
      </c>
      <c r="I318" s="132" t="s">
        <v>1265</v>
      </c>
      <c r="J318" s="150" t="s">
        <v>37</v>
      </c>
      <c r="K318" s="150" t="s">
        <v>149</v>
      </c>
      <c r="L318" s="150" t="s">
        <v>110</v>
      </c>
      <c r="M318" s="150" t="s">
        <v>54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0"/>
      <c r="X318" s="150"/>
      <c r="Y318" s="150"/>
      <c r="Z318" s="150"/>
      <c r="AA318" s="150"/>
      <c r="AB318" s="150"/>
      <c r="AC318" s="150"/>
      <c r="AD318" s="150"/>
    </row>
    <row r="319">
      <c r="A319" s="39" t="s">
        <v>1266</v>
      </c>
      <c r="B319" s="150" t="s">
        <v>1263</v>
      </c>
      <c r="C319" s="40" t="str">
        <f>IF(B319="","",(VLOOKUP(B319,'Dados de PN'!$A:$B,2,0)))</f>
        <v>SERVO PITCH</v>
      </c>
      <c r="D319" s="150"/>
      <c r="E319" s="130" t="s">
        <v>34</v>
      </c>
      <c r="F319" s="150" t="s">
        <v>35</v>
      </c>
      <c r="G319" s="50">
        <f t="shared" si="7"/>
        <v>1</v>
      </c>
      <c r="H319" s="150" t="s">
        <v>1267</v>
      </c>
      <c r="I319" s="132" t="s">
        <v>1268</v>
      </c>
      <c r="J319" s="150" t="s">
        <v>37</v>
      </c>
      <c r="K319" s="150" t="s">
        <v>149</v>
      </c>
      <c r="L319" s="150" t="s">
        <v>196</v>
      </c>
      <c r="M319" s="150" t="s">
        <v>54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0"/>
      <c r="X319" s="150"/>
      <c r="Y319" s="150"/>
      <c r="Z319" s="150"/>
      <c r="AA319" s="150"/>
      <c r="AB319" s="150"/>
      <c r="AC319" s="150"/>
      <c r="AD319" s="150"/>
    </row>
    <row r="320">
      <c r="A320" s="39" t="s">
        <v>1269</v>
      </c>
      <c r="B320" s="150" t="s">
        <v>1270</v>
      </c>
      <c r="C320" s="40" t="str">
        <f>IF(B320="","",(VLOOKUP(B320,'Dados de PN'!$A:$B,2,0)))</f>
        <v>KIT CONNECTOR</v>
      </c>
      <c r="D320" s="150"/>
      <c r="E320" s="130" t="s">
        <v>34</v>
      </c>
      <c r="F320" s="150" t="s">
        <v>35</v>
      </c>
      <c r="G320" s="50">
        <f t="shared" si="7"/>
        <v>1</v>
      </c>
      <c r="H320" s="150" t="s">
        <v>1271</v>
      </c>
      <c r="I320" s="132" t="s">
        <v>1065</v>
      </c>
      <c r="J320" s="150" t="s">
        <v>37</v>
      </c>
      <c r="K320" s="150" t="s">
        <v>149</v>
      </c>
      <c r="L320" s="150" t="s">
        <v>53</v>
      </c>
      <c r="M320" s="150" t="s">
        <v>54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0"/>
      <c r="X320" s="150"/>
      <c r="Y320" s="150"/>
      <c r="Z320" s="150"/>
      <c r="AA320" s="150"/>
      <c r="AB320" s="150"/>
      <c r="AC320" s="150"/>
      <c r="AD320" s="150"/>
    </row>
    <row r="321">
      <c r="A321" s="39" t="s">
        <v>1272</v>
      </c>
      <c r="B321" s="150" t="s">
        <v>1273</v>
      </c>
      <c r="C321" s="40" t="str">
        <f>IF(B321="","",(VLOOKUP(B321,'Dados de PN'!$A:$B,2,0)))</f>
        <v>NUT,PLAIN,CASTELLATED,HEXAGON</v>
      </c>
      <c r="D321" s="150"/>
      <c r="E321" s="130" t="s">
        <v>34</v>
      </c>
      <c r="F321" s="150" t="s">
        <v>35</v>
      </c>
      <c r="G321" s="50">
        <f t="shared" si="7"/>
        <v>1</v>
      </c>
      <c r="H321" s="150" t="s">
        <v>1274</v>
      </c>
      <c r="I321" s="132" t="s">
        <v>1258</v>
      </c>
      <c r="J321" s="150" t="s">
        <v>37</v>
      </c>
      <c r="K321" s="150" t="s">
        <v>149</v>
      </c>
      <c r="L321" s="150" t="s">
        <v>170</v>
      </c>
      <c r="M321" s="150" t="s">
        <v>54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0"/>
      <c r="X321" s="150"/>
      <c r="Y321" s="150"/>
      <c r="Z321" s="150"/>
      <c r="AA321" s="150"/>
      <c r="AB321" s="150"/>
      <c r="AC321" s="150"/>
      <c r="AD321" s="150"/>
    </row>
    <row r="322">
      <c r="A322" s="39" t="s">
        <v>1275</v>
      </c>
      <c r="B322" s="150" t="s">
        <v>1276</v>
      </c>
      <c r="C322" s="40" t="str">
        <f>IF(B322="","",(VLOOKUP(B322,'Dados de PN'!$A:$B,2,0)))</f>
        <v>HOSE-OVERBOAD OIL BR</v>
      </c>
      <c r="D322" s="150"/>
      <c r="E322" s="130" t="s">
        <v>34</v>
      </c>
      <c r="F322" s="150" t="s">
        <v>35</v>
      </c>
      <c r="G322" s="50">
        <f t="shared" si="7"/>
        <v>1</v>
      </c>
      <c r="H322" s="150" t="s">
        <v>1277</v>
      </c>
      <c r="I322" s="132" t="s">
        <v>1278</v>
      </c>
      <c r="J322" s="150" t="s">
        <v>37</v>
      </c>
      <c r="K322" s="150" t="s">
        <v>149</v>
      </c>
      <c r="L322" s="150" t="s">
        <v>271</v>
      </c>
      <c r="M322" s="150" t="s">
        <v>54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0"/>
      <c r="X322" s="150"/>
      <c r="Y322" s="150"/>
      <c r="Z322" s="150"/>
      <c r="AA322" s="150"/>
      <c r="AB322" s="150"/>
      <c r="AC322" s="150"/>
      <c r="AD322" s="150"/>
    </row>
    <row r="323">
      <c r="A323" s="39" t="s">
        <v>1279</v>
      </c>
      <c r="B323" s="150" t="s">
        <v>121</v>
      </c>
      <c r="C323" s="40" t="str">
        <f>IF(B323="","",(VLOOKUP(B323,'Dados de PN'!$A:$B,2,0)))</f>
        <v>AUTOPILOT COMPUTER/FLIGHT DIRECTOT</v>
      </c>
      <c r="D323" s="150"/>
      <c r="E323" s="130" t="s">
        <v>34</v>
      </c>
      <c r="F323" s="150" t="s">
        <v>35</v>
      </c>
      <c r="G323" s="50">
        <f t="shared" si="7"/>
        <v>1</v>
      </c>
      <c r="H323" s="150" t="s">
        <v>1280</v>
      </c>
      <c r="I323" s="132" t="s">
        <v>1065</v>
      </c>
      <c r="J323" s="150" t="s">
        <v>37</v>
      </c>
      <c r="K323" s="150" t="s">
        <v>149</v>
      </c>
      <c r="L323" s="150" t="s">
        <v>53</v>
      </c>
      <c r="M323" s="150" t="s">
        <v>54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0"/>
      <c r="X323" s="150"/>
      <c r="Y323" s="150"/>
      <c r="Z323" s="150"/>
      <c r="AA323" s="150"/>
      <c r="AB323" s="150"/>
      <c r="AC323" s="150"/>
      <c r="AD323" s="150"/>
    </row>
    <row r="324">
      <c r="A324" s="39" t="s">
        <v>1281</v>
      </c>
      <c r="B324" s="150" t="s">
        <v>139</v>
      </c>
      <c r="C324" s="40" t="str">
        <f>IF(B324="","",(VLOOKUP(B324,'Dados de PN'!$A:$B,2,0)))</f>
        <v>NUT,SELF-LOCKING,HEXAGON</v>
      </c>
      <c r="D324" s="150"/>
      <c r="E324" s="130" t="s">
        <v>34</v>
      </c>
      <c r="F324" s="150" t="s">
        <v>168</v>
      </c>
      <c r="G324" s="50">
        <f t="shared" si="7"/>
        <v>8</v>
      </c>
      <c r="H324" s="150" t="s">
        <v>1282</v>
      </c>
      <c r="I324" s="132" t="s">
        <v>1283</v>
      </c>
      <c r="J324" s="150" t="s">
        <v>37</v>
      </c>
      <c r="K324" s="150" t="s">
        <v>150</v>
      </c>
      <c r="L324" s="150" t="s">
        <v>363</v>
      </c>
      <c r="M324" s="150" t="s">
        <v>364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0"/>
      <c r="X324" s="150"/>
      <c r="Y324" s="150"/>
      <c r="Z324" s="150"/>
      <c r="AA324" s="150"/>
      <c r="AB324" s="150"/>
      <c r="AC324" s="150"/>
      <c r="AD324" s="150"/>
    </row>
    <row r="325">
      <c r="A325" s="39" t="s">
        <v>1284</v>
      </c>
      <c r="B325" s="150" t="s">
        <v>1285</v>
      </c>
      <c r="C325" s="40" t="str">
        <f>IF(B325="","",(VLOOKUP(B325,'Dados de PN'!$A:$B,2,0)))</f>
        <v>SPACER,SLEEVE</v>
      </c>
      <c r="D325" s="150"/>
      <c r="E325" s="130" t="s">
        <v>34</v>
      </c>
      <c r="F325" s="150" t="s">
        <v>168</v>
      </c>
      <c r="G325" s="50">
        <f t="shared" si="7"/>
        <v>8</v>
      </c>
      <c r="H325" s="150" t="s">
        <v>1286</v>
      </c>
      <c r="I325" s="132" t="s">
        <v>1283</v>
      </c>
      <c r="J325" s="150" t="s">
        <v>37</v>
      </c>
      <c r="K325" s="150" t="s">
        <v>150</v>
      </c>
      <c r="L325" s="150" t="s">
        <v>363</v>
      </c>
      <c r="M325" s="150" t="s">
        <v>364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0"/>
      <c r="X325" s="150"/>
      <c r="Y325" s="150"/>
      <c r="Z325" s="150"/>
      <c r="AA325" s="150"/>
      <c r="AB325" s="150"/>
      <c r="AC325" s="150"/>
      <c r="AD325" s="150"/>
    </row>
    <row r="326">
      <c r="A326" s="39" t="s">
        <v>1287</v>
      </c>
      <c r="B326" s="150" t="s">
        <v>953</v>
      </c>
      <c r="C326" s="40" t="str">
        <f>IF(B326="","",(VLOOKUP(B326,'Dados de PN'!$A:$B,2,0)))</f>
        <v>ANEL-O</v>
      </c>
      <c r="D326" s="150"/>
      <c r="E326" s="130" t="s">
        <v>34</v>
      </c>
      <c r="F326" s="150" t="s">
        <v>118</v>
      </c>
      <c r="G326" s="50">
        <f t="shared" si="7"/>
        <v>2</v>
      </c>
      <c r="H326" s="150" t="s">
        <v>1288</v>
      </c>
      <c r="I326" s="132" t="s">
        <v>1283</v>
      </c>
      <c r="J326" s="150" t="s">
        <v>37</v>
      </c>
      <c r="K326" s="150" t="s">
        <v>150</v>
      </c>
      <c r="L326" s="150" t="s">
        <v>363</v>
      </c>
      <c r="M326" s="150" t="s">
        <v>364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0"/>
      <c r="X326" s="150"/>
      <c r="Y326" s="150"/>
      <c r="Z326" s="150"/>
      <c r="AA326" s="150"/>
      <c r="AB326" s="150"/>
      <c r="AC326" s="150"/>
      <c r="AD326" s="150"/>
    </row>
    <row r="327">
      <c r="A327" s="39" t="s">
        <v>1289</v>
      </c>
      <c r="B327" s="150" t="s">
        <v>1290</v>
      </c>
      <c r="C327" s="40" t="str">
        <f>IF(B327="","",(VLOOKUP(B327,'Dados de PN'!$A:$B,2,0)))</f>
        <v>INDICATOR, GYRO-HORIZON</v>
      </c>
      <c r="D327" s="150" t="s">
        <v>1291</v>
      </c>
      <c r="E327" s="150" t="s">
        <v>99</v>
      </c>
      <c r="F327" s="150" t="s">
        <v>35</v>
      </c>
      <c r="G327" s="50">
        <f t="shared" si="7"/>
        <v>1</v>
      </c>
      <c r="H327" s="150" t="s">
        <v>1292</v>
      </c>
      <c r="I327" s="150" t="s">
        <v>1293</v>
      </c>
      <c r="J327" s="150" t="s">
        <v>37</v>
      </c>
      <c r="K327" s="150" t="s">
        <v>151</v>
      </c>
      <c r="L327" s="150" t="s">
        <v>383</v>
      </c>
      <c r="M327" s="150" t="s">
        <v>384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0"/>
      <c r="X327" s="150"/>
      <c r="Y327" s="150"/>
      <c r="Z327" s="150"/>
      <c r="AA327" s="150"/>
      <c r="AB327" s="150"/>
      <c r="AC327" s="150"/>
      <c r="AD327" s="150"/>
    </row>
    <row r="328">
      <c r="A328" s="39" t="s">
        <v>1294</v>
      </c>
      <c r="B328" s="150" t="s">
        <v>1295</v>
      </c>
      <c r="C328" s="40" t="str">
        <f>IF(B328="","",(VLOOKUP(B328,'Dados de PN'!$A:$B,2,0)))</f>
        <v>TRANSDUCER</v>
      </c>
      <c r="D328" s="150" t="s">
        <v>1296</v>
      </c>
      <c r="E328" s="150" t="s">
        <v>99</v>
      </c>
      <c r="F328" s="150" t="s">
        <v>35</v>
      </c>
      <c r="G328" s="50">
        <f t="shared" si="7"/>
        <v>1</v>
      </c>
      <c r="H328" s="150" t="s">
        <v>1297</v>
      </c>
      <c r="I328" s="150" t="s">
        <v>1293</v>
      </c>
      <c r="J328" s="150" t="s">
        <v>37</v>
      </c>
      <c r="K328" s="150" t="s">
        <v>151</v>
      </c>
      <c r="L328" s="150" t="s">
        <v>383</v>
      </c>
      <c r="M328" s="150" t="s">
        <v>384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0"/>
      <c r="X328" s="150"/>
      <c r="Y328" s="150"/>
      <c r="Z328" s="150"/>
      <c r="AA328" s="150"/>
      <c r="AB328" s="150"/>
      <c r="AC328" s="150"/>
      <c r="AD328" s="150"/>
    </row>
    <row r="329">
      <c r="A329" s="39" t="s">
        <v>1298</v>
      </c>
      <c r="B329" s="150" t="s">
        <v>376</v>
      </c>
      <c r="C329" s="40" t="str">
        <f>IF(B329="","",(VLOOKUP(B329,'Dados de PN'!$A:$B,2,0)))</f>
        <v>IND DE COMANDO DE VOO</v>
      </c>
      <c r="D329" s="150" t="s">
        <v>1299</v>
      </c>
      <c r="E329" s="150" t="s">
        <v>99</v>
      </c>
      <c r="F329" s="150" t="s">
        <v>35</v>
      </c>
      <c r="G329" s="50">
        <f t="shared" si="7"/>
        <v>1</v>
      </c>
      <c r="H329" s="150"/>
      <c r="I329" s="150" t="s">
        <v>1300</v>
      </c>
      <c r="J329" s="150" t="s">
        <v>37</v>
      </c>
      <c r="K329" s="150" t="s">
        <v>151</v>
      </c>
      <c r="L329" s="150" t="s">
        <v>271</v>
      </c>
      <c r="M329" s="150" t="s">
        <v>54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0"/>
      <c r="X329" s="150"/>
      <c r="Y329" s="150"/>
      <c r="Z329" s="150"/>
      <c r="AA329" s="150"/>
      <c r="AB329" s="150"/>
      <c r="AC329" s="150"/>
      <c r="AD329" s="150"/>
    </row>
    <row r="330">
      <c r="A330" s="39" t="s">
        <v>1301</v>
      </c>
      <c r="B330" s="150" t="s">
        <v>376</v>
      </c>
      <c r="C330" s="40" t="str">
        <f>IF(B330="","",(VLOOKUP(B330,'Dados de PN'!$A:$B,2,0)))</f>
        <v>IND DE COMANDO DE VOO</v>
      </c>
      <c r="D330" s="150" t="s">
        <v>1302</v>
      </c>
      <c r="E330" s="150" t="s">
        <v>99</v>
      </c>
      <c r="F330" s="150" t="s">
        <v>35</v>
      </c>
      <c r="G330" s="50">
        <f t="shared" si="7"/>
        <v>1</v>
      </c>
      <c r="H330" s="150"/>
      <c r="I330" s="150" t="s">
        <v>1300</v>
      </c>
      <c r="J330" s="150" t="s">
        <v>37</v>
      </c>
      <c r="K330" s="150" t="s">
        <v>151</v>
      </c>
      <c r="L330" s="150" t="s">
        <v>196</v>
      </c>
      <c r="M330" s="150" t="s">
        <v>54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0"/>
      <c r="X330" s="150"/>
      <c r="Y330" s="150"/>
      <c r="Z330" s="150"/>
      <c r="AA330" s="150"/>
      <c r="AB330" s="150"/>
      <c r="AC330" s="150"/>
      <c r="AD330" s="150"/>
    </row>
    <row r="331">
      <c r="A331" s="39" t="s">
        <v>1303</v>
      </c>
      <c r="B331" s="150" t="s">
        <v>1304</v>
      </c>
      <c r="C331" s="40" t="str">
        <f>IF(B331="","",(VLOOKUP(B331,'Dados de PN'!$A:$B,2,0)))</f>
        <v>EYELET,TURNLOCK FASTENER</v>
      </c>
      <c r="D331" s="150"/>
      <c r="E331" s="150" t="s">
        <v>34</v>
      </c>
      <c r="F331" s="150" t="s">
        <v>308</v>
      </c>
      <c r="G331" s="50">
        <f t="shared" si="7"/>
        <v>10</v>
      </c>
      <c r="H331" s="150" t="s">
        <v>1305</v>
      </c>
      <c r="I331" s="150" t="s">
        <v>1306</v>
      </c>
      <c r="J331" s="150" t="s">
        <v>37</v>
      </c>
      <c r="K331" s="150" t="s">
        <v>151</v>
      </c>
      <c r="L331" s="150" t="s">
        <v>120</v>
      </c>
      <c r="M331" s="150" t="s">
        <v>122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0"/>
      <c r="X331" s="150"/>
      <c r="Y331" s="150"/>
      <c r="Z331" s="150"/>
      <c r="AA331" s="150"/>
      <c r="AB331" s="150"/>
      <c r="AC331" s="150"/>
      <c r="AD331" s="150"/>
    </row>
    <row r="332">
      <c r="A332" s="39" t="s">
        <v>1307</v>
      </c>
      <c r="B332" s="150" t="s">
        <v>1308</v>
      </c>
      <c r="C332" s="40" t="str">
        <f>IF(B332="","",(VLOOKUP(B332,'Dados de PN'!$A:$B,2,0)))</f>
        <v>RESISTOR</v>
      </c>
      <c r="D332" s="150"/>
      <c r="E332" s="150" t="s">
        <v>34</v>
      </c>
      <c r="F332" s="150" t="s">
        <v>35</v>
      </c>
      <c r="G332" s="50">
        <f t="shared" si="7"/>
        <v>1</v>
      </c>
      <c r="H332" s="150" t="s">
        <v>1309</v>
      </c>
      <c r="I332" s="132" t="s">
        <v>1310</v>
      </c>
      <c r="J332" s="150" t="s">
        <v>37</v>
      </c>
      <c r="K332" s="150" t="s">
        <v>152</v>
      </c>
      <c r="L332" s="150" t="s">
        <v>476</v>
      </c>
      <c r="M332" s="150" t="s">
        <v>477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0"/>
      <c r="X332" s="150"/>
      <c r="Y332" s="150"/>
      <c r="Z332" s="150"/>
      <c r="AA332" s="150"/>
      <c r="AB332" s="150"/>
      <c r="AC332" s="150"/>
      <c r="AD332" s="150"/>
    </row>
    <row r="333">
      <c r="A333" s="39" t="s">
        <v>1311</v>
      </c>
      <c r="B333" s="40" t="s">
        <v>277</v>
      </c>
      <c r="C333" s="40" t="str">
        <f>IF(B333="","",(VLOOKUP(B333,'Dados de PN'!$A:$B,2,0)))</f>
        <v>CONTROL,DIRECTIONAL,AUTOMATIC PILOT</v>
      </c>
      <c r="D333" s="39"/>
      <c r="E333" s="150" t="s">
        <v>34</v>
      </c>
      <c r="F333" s="150" t="s">
        <v>35</v>
      </c>
      <c r="G333" s="50">
        <f t="shared" si="7"/>
        <v>1</v>
      </c>
      <c r="H333" s="40" t="s">
        <v>1312</v>
      </c>
      <c r="I333" s="132" t="s">
        <v>1313</v>
      </c>
      <c r="J333" s="150" t="s">
        <v>37</v>
      </c>
      <c r="K333" s="40" t="s">
        <v>153</v>
      </c>
      <c r="L333" s="40" t="s">
        <v>170</v>
      </c>
      <c r="M333" s="150" t="s">
        <v>54</v>
      </c>
      <c r="N333" s="39"/>
      <c r="O333" s="150"/>
      <c r="P333" s="150"/>
      <c r="Q333" s="150"/>
      <c r="R333" s="150"/>
      <c r="S333" s="150"/>
      <c r="T333" s="150"/>
      <c r="U333" s="150"/>
      <c r="V333" s="150"/>
      <c r="W333" s="60"/>
      <c r="X333" s="150"/>
      <c r="Y333" s="150"/>
      <c r="Z333" s="150"/>
      <c r="AA333" s="150"/>
      <c r="AB333" s="150"/>
      <c r="AC333" s="150"/>
      <c r="AD333" s="150"/>
    </row>
    <row r="334">
      <c r="A334" s="39" t="s">
        <v>1314</v>
      </c>
      <c r="B334" s="40" t="s">
        <v>166</v>
      </c>
      <c r="C334" s="40" t="str">
        <f>IF(B334="","",(VLOOKUP(B334,'Dados de PN'!$A:$B,2,0)))</f>
        <v>COMPUTADOR DO PILOTO AUTOMÁTICO</v>
      </c>
      <c r="D334" s="39"/>
      <c r="E334" s="150" t="s">
        <v>34</v>
      </c>
      <c r="F334" s="150" t="s">
        <v>35</v>
      </c>
      <c r="G334" s="50">
        <f t="shared" si="7"/>
        <v>1</v>
      </c>
      <c r="H334" s="40" t="s">
        <v>1315</v>
      </c>
      <c r="I334" s="132" t="s">
        <v>1316</v>
      </c>
      <c r="J334" s="150" t="s">
        <v>37</v>
      </c>
      <c r="K334" s="40" t="s">
        <v>153</v>
      </c>
      <c r="L334" s="40" t="s">
        <v>886</v>
      </c>
      <c r="M334" s="150" t="s">
        <v>54</v>
      </c>
      <c r="N334" s="39"/>
      <c r="O334" s="150"/>
      <c r="P334" s="150"/>
      <c r="Q334" s="150"/>
      <c r="R334" s="150"/>
      <c r="S334" s="150"/>
      <c r="T334" s="150"/>
      <c r="U334" s="150"/>
      <c r="V334" s="150"/>
      <c r="W334" s="60"/>
      <c r="X334" s="150"/>
      <c r="Y334" s="150"/>
      <c r="Z334" s="150"/>
      <c r="AA334" s="150"/>
      <c r="AB334" s="150"/>
      <c r="AC334" s="150"/>
      <c r="AD334" s="150"/>
    </row>
    <row r="335">
      <c r="A335" s="39" t="s">
        <v>1317</v>
      </c>
      <c r="B335" s="40" t="s">
        <v>1318</v>
      </c>
      <c r="C335" s="40" t="str">
        <f>IF(B335="","",(VLOOKUP(B335,'Dados de PN'!$A:$B,2,0)))</f>
        <v>SWITCH NAV</v>
      </c>
      <c r="D335" s="39"/>
      <c r="E335" s="150" t="s">
        <v>34</v>
      </c>
      <c r="F335" s="150" t="s">
        <v>35</v>
      </c>
      <c r="G335" s="50">
        <f t="shared" si="7"/>
        <v>1</v>
      </c>
      <c r="H335" s="40" t="s">
        <v>1319</v>
      </c>
      <c r="I335" s="132" t="s">
        <v>1316</v>
      </c>
      <c r="J335" s="150" t="s">
        <v>37</v>
      </c>
      <c r="K335" s="40" t="s">
        <v>153</v>
      </c>
      <c r="L335" s="40" t="s">
        <v>886</v>
      </c>
      <c r="M335" s="150" t="s">
        <v>54</v>
      </c>
      <c r="N335" s="39"/>
      <c r="O335" s="150"/>
      <c r="P335" s="150"/>
      <c r="Q335" s="150"/>
      <c r="R335" s="150"/>
      <c r="S335" s="150"/>
      <c r="T335" s="150"/>
      <c r="U335" s="150"/>
      <c r="V335" s="150"/>
      <c r="W335" s="60"/>
      <c r="X335" s="150"/>
      <c r="Y335" s="150"/>
      <c r="Z335" s="150"/>
      <c r="AA335" s="150"/>
      <c r="AB335" s="150"/>
      <c r="AC335" s="150"/>
      <c r="AD335" s="150"/>
    </row>
    <row r="336">
      <c r="A336" s="39" t="s">
        <v>1320</v>
      </c>
      <c r="B336" s="40" t="s">
        <v>166</v>
      </c>
      <c r="C336" s="40" t="str">
        <f>IF(B336="","",(VLOOKUP(B336,'Dados de PN'!$A:$B,2,0)))</f>
        <v>COMPUTADOR DO PILOTO AUTOMÁTICO</v>
      </c>
      <c r="D336" s="39"/>
      <c r="E336" s="150" t="s">
        <v>34</v>
      </c>
      <c r="F336" s="150" t="s">
        <v>35</v>
      </c>
      <c r="G336" s="50">
        <f t="shared" si="7"/>
        <v>1</v>
      </c>
      <c r="H336" s="40" t="s">
        <v>1321</v>
      </c>
      <c r="I336" s="132" t="s">
        <v>1322</v>
      </c>
      <c r="J336" s="150" t="s">
        <v>37</v>
      </c>
      <c r="K336" s="40" t="s">
        <v>153</v>
      </c>
      <c r="L336" s="40" t="s">
        <v>271</v>
      </c>
      <c r="M336" s="150" t="s">
        <v>54</v>
      </c>
      <c r="N336" s="39"/>
      <c r="O336" s="150"/>
      <c r="P336" s="150"/>
      <c r="Q336" s="150"/>
      <c r="R336" s="150"/>
      <c r="S336" s="150"/>
      <c r="T336" s="150"/>
      <c r="U336" s="150"/>
      <c r="V336" s="150"/>
      <c r="W336" s="60"/>
      <c r="X336" s="150"/>
      <c r="Y336" s="150"/>
      <c r="Z336" s="150"/>
      <c r="AA336" s="150"/>
      <c r="AB336" s="150"/>
      <c r="AC336" s="150"/>
      <c r="AD336" s="150"/>
    </row>
    <row r="337">
      <c r="A337" s="39" t="s">
        <v>1323</v>
      </c>
      <c r="B337" s="40" t="s">
        <v>1324</v>
      </c>
      <c r="C337" s="40" t="str">
        <f>IF(B337="","",(VLOOKUP(B337,'Dados de PN'!$A:$B,2,0)))</f>
        <v>PAN ASSY OIL DRIP</v>
      </c>
      <c r="D337" s="39"/>
      <c r="E337" s="150" t="s">
        <v>34</v>
      </c>
      <c r="F337" s="150" t="s">
        <v>35</v>
      </c>
      <c r="G337" s="50">
        <f t="shared" si="7"/>
        <v>1</v>
      </c>
      <c r="H337" s="40" t="s">
        <v>1325</v>
      </c>
      <c r="I337" s="132" t="s">
        <v>1326</v>
      </c>
      <c r="J337" s="150" t="s">
        <v>37</v>
      </c>
      <c r="K337" s="40" t="s">
        <v>153</v>
      </c>
      <c r="L337" s="40" t="s">
        <v>53</v>
      </c>
      <c r="M337" s="150" t="s">
        <v>54</v>
      </c>
      <c r="N337" s="39"/>
      <c r="O337" s="150"/>
      <c r="P337" s="150"/>
      <c r="Q337" s="150"/>
      <c r="R337" s="150"/>
      <c r="S337" s="150"/>
      <c r="T337" s="150"/>
      <c r="U337" s="150"/>
      <c r="V337" s="150"/>
      <c r="W337" s="60"/>
      <c r="X337" s="150"/>
      <c r="Y337" s="150"/>
      <c r="Z337" s="150"/>
      <c r="AA337" s="150"/>
      <c r="AB337" s="150"/>
      <c r="AC337" s="150"/>
      <c r="AD337" s="150"/>
    </row>
    <row r="338">
      <c r="A338" s="39" t="s">
        <v>1327</v>
      </c>
      <c r="B338" s="40" t="s">
        <v>1328</v>
      </c>
      <c r="C338" s="40" t="str">
        <f>IF(B338="","",(VLOOKUP(B338,'Dados de PN'!$A:$B,2,0)))</f>
        <v>BOLT,SHEAR</v>
      </c>
      <c r="D338" s="39"/>
      <c r="E338" s="150" t="s">
        <v>34</v>
      </c>
      <c r="F338" s="40" t="s">
        <v>865</v>
      </c>
      <c r="G338" s="50">
        <f t="shared" si="7"/>
        <v>5</v>
      </c>
      <c r="H338" s="40" t="s">
        <v>1329</v>
      </c>
      <c r="I338" s="132" t="s">
        <v>1326</v>
      </c>
      <c r="J338" s="150" t="s">
        <v>37</v>
      </c>
      <c r="K338" s="40" t="s">
        <v>153</v>
      </c>
      <c r="L338" s="40" t="s">
        <v>53</v>
      </c>
      <c r="M338" s="150" t="s">
        <v>54</v>
      </c>
      <c r="N338" s="39"/>
      <c r="O338" s="150"/>
      <c r="P338" s="150"/>
      <c r="Q338" s="150"/>
      <c r="R338" s="150"/>
      <c r="S338" s="150"/>
      <c r="T338" s="150"/>
      <c r="U338" s="150"/>
      <c r="V338" s="150"/>
      <c r="W338" s="60"/>
      <c r="X338" s="150"/>
      <c r="Y338" s="150"/>
      <c r="Z338" s="150"/>
      <c r="AA338" s="150"/>
      <c r="AB338" s="150"/>
      <c r="AC338" s="150"/>
      <c r="AD338" s="150"/>
    </row>
    <row r="339">
      <c r="A339" s="39" t="s">
        <v>1330</v>
      </c>
      <c r="B339" s="40" t="s">
        <v>1331</v>
      </c>
      <c r="C339" s="40" t="str">
        <f>IF(B339="","",(VLOOKUP(B339,'Dados de PN'!$A:$B,2,0)))</f>
        <v>LENS CLEAR</v>
      </c>
      <c r="D339" s="39"/>
      <c r="E339" s="150" t="s">
        <v>34</v>
      </c>
      <c r="F339" s="150" t="s">
        <v>35</v>
      </c>
      <c r="G339" s="50">
        <f t="shared" si="7"/>
        <v>1</v>
      </c>
      <c r="H339" s="40" t="s">
        <v>1332</v>
      </c>
      <c r="I339" s="132" t="s">
        <v>1313</v>
      </c>
      <c r="J339" s="150" t="s">
        <v>37</v>
      </c>
      <c r="K339" s="40" t="s">
        <v>153</v>
      </c>
      <c r="L339" s="40" t="s">
        <v>170</v>
      </c>
      <c r="M339" s="150" t="s">
        <v>54</v>
      </c>
      <c r="N339" s="39"/>
      <c r="O339" s="150"/>
      <c r="P339" s="150"/>
      <c r="Q339" s="150"/>
      <c r="R339" s="150"/>
      <c r="S339" s="150"/>
      <c r="T339" s="150"/>
      <c r="U339" s="150"/>
      <c r="V339" s="150"/>
      <c r="W339" s="60"/>
      <c r="X339" s="150"/>
      <c r="Y339" s="150"/>
      <c r="Z339" s="150"/>
      <c r="AA339" s="150"/>
      <c r="AB339" s="150"/>
      <c r="AC339" s="150"/>
      <c r="AD339" s="150"/>
    </row>
    <row r="340">
      <c r="A340" s="39" t="s">
        <v>1333</v>
      </c>
      <c r="B340" s="40" t="s">
        <v>1334</v>
      </c>
      <c r="C340" s="40" t="str">
        <f>IF(B340="","",(VLOOKUP(B340,'Dados de PN'!$A:$B,2,0)))</f>
        <v> BEARING,PLAIN,ROD END</v>
      </c>
      <c r="D340" s="39"/>
      <c r="E340" s="150" t="s">
        <v>34</v>
      </c>
      <c r="F340" s="150" t="s">
        <v>35</v>
      </c>
      <c r="G340" s="50">
        <f t="shared" si="7"/>
        <v>1</v>
      </c>
      <c r="H340" s="40" t="s">
        <v>1335</v>
      </c>
      <c r="I340" s="132" t="s">
        <v>1326</v>
      </c>
      <c r="J340" s="150" t="s">
        <v>37</v>
      </c>
      <c r="K340" s="40" t="s">
        <v>153</v>
      </c>
      <c r="L340" s="40" t="s">
        <v>53</v>
      </c>
      <c r="M340" s="150" t="s">
        <v>54</v>
      </c>
      <c r="N340" s="39"/>
      <c r="O340" s="150"/>
      <c r="P340" s="150"/>
      <c r="Q340" s="150"/>
      <c r="R340" s="150"/>
      <c r="S340" s="150"/>
      <c r="T340" s="150"/>
      <c r="U340" s="150"/>
      <c r="V340" s="150"/>
      <c r="W340" s="60"/>
      <c r="X340" s="150"/>
      <c r="Y340" s="150"/>
      <c r="Z340" s="150"/>
      <c r="AA340" s="150"/>
      <c r="AB340" s="150"/>
      <c r="AC340" s="150"/>
      <c r="AD340" s="150"/>
    </row>
    <row r="341">
      <c r="A341" s="39" t="s">
        <v>1336</v>
      </c>
      <c r="B341" s="40" t="s">
        <v>1337</v>
      </c>
      <c r="C341" s="40" t="str">
        <f>IF(B341="","",(VLOOKUP(B341,'Dados de PN'!$A:$B,2,0)))</f>
        <v>MAGNETOMETER GMU 44 </v>
      </c>
      <c r="D341" s="39"/>
      <c r="E341" s="40" t="s">
        <v>99</v>
      </c>
      <c r="F341" s="150" t="s">
        <v>35</v>
      </c>
      <c r="G341" s="50">
        <f t="shared" si="7"/>
        <v>1</v>
      </c>
      <c r="H341" s="40" t="s">
        <v>1338</v>
      </c>
      <c r="I341" s="132" t="s">
        <v>1339</v>
      </c>
      <c r="J341" s="150" t="s">
        <v>37</v>
      </c>
      <c r="K341" s="40" t="s">
        <v>154</v>
      </c>
      <c r="L341" s="40" t="s">
        <v>895</v>
      </c>
      <c r="M341" s="40" t="s">
        <v>47</v>
      </c>
      <c r="N341" s="39"/>
      <c r="O341" s="150"/>
      <c r="P341" s="150"/>
      <c r="Q341" s="150"/>
      <c r="R341" s="150"/>
      <c r="S341" s="150"/>
      <c r="T341" s="150"/>
      <c r="U341" s="150"/>
      <c r="V341" s="150"/>
      <c r="W341" s="60"/>
      <c r="X341" s="150"/>
      <c r="Y341" s="150"/>
      <c r="Z341" s="150"/>
      <c r="AA341" s="150"/>
      <c r="AB341" s="150"/>
      <c r="AC341" s="150"/>
      <c r="AD341" s="150"/>
    </row>
    <row r="342">
      <c r="A342" s="39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50" t="s">
        <v>34</v>
      </c>
      <c r="F342" s="150" t="s">
        <v>35</v>
      </c>
      <c r="G342" s="50">
        <f t="shared" si="7"/>
        <v>1</v>
      </c>
      <c r="H342" s="40" t="s">
        <v>1342</v>
      </c>
      <c r="I342" s="132" t="s">
        <v>1258</v>
      </c>
      <c r="J342" s="40" t="s">
        <v>207</v>
      </c>
      <c r="K342" s="40" t="s">
        <v>154</v>
      </c>
      <c r="L342" s="40" t="s">
        <v>170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8"/>
      <c r="X342" s="40"/>
      <c r="Y342" s="40"/>
      <c r="Z342" s="40"/>
      <c r="AA342" s="40"/>
      <c r="AB342" s="40"/>
      <c r="AC342" s="40"/>
      <c r="AD342" s="40"/>
    </row>
    <row r="343">
      <c r="A343" s="39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50" t="s">
        <v>34</v>
      </c>
      <c r="F343" s="150" t="s">
        <v>118</v>
      </c>
      <c r="G343" s="50">
        <f t="shared" si="7"/>
        <v>2</v>
      </c>
      <c r="H343" s="40" t="s">
        <v>1345</v>
      </c>
      <c r="I343" s="132" t="s">
        <v>1278</v>
      </c>
      <c r="J343" s="150" t="s">
        <v>37</v>
      </c>
      <c r="K343" s="40" t="s">
        <v>157</v>
      </c>
      <c r="L343" s="40" t="s">
        <v>271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8"/>
      <c r="X343" s="40"/>
      <c r="Y343" s="40"/>
      <c r="Z343" s="40"/>
      <c r="AA343" s="40"/>
      <c r="AB343" s="40"/>
      <c r="AC343" s="40"/>
      <c r="AD343" s="40"/>
    </row>
    <row r="344">
      <c r="A344" s="39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50" t="s">
        <v>34</v>
      </c>
      <c r="F344" s="150" t="s">
        <v>118</v>
      </c>
      <c r="G344" s="50">
        <f t="shared" si="7"/>
        <v>2</v>
      </c>
      <c r="H344" s="40" t="s">
        <v>1348</v>
      </c>
      <c r="I344" s="132" t="s">
        <v>1349</v>
      </c>
      <c r="J344" s="40" t="s">
        <v>37</v>
      </c>
      <c r="K344" s="40" t="s">
        <v>157</v>
      </c>
      <c r="L344" s="40" t="s">
        <v>383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8"/>
      <c r="X344" s="40"/>
      <c r="Y344" s="40"/>
      <c r="Z344" s="40"/>
      <c r="AA344" s="40"/>
      <c r="AB344" s="40"/>
      <c r="AC344" s="40"/>
      <c r="AD344" s="40"/>
    </row>
    <row r="345">
      <c r="A345" s="39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50" t="s">
        <v>34</v>
      </c>
      <c r="F345" s="150" t="s">
        <v>302</v>
      </c>
      <c r="G345" s="50">
        <f t="shared" si="7"/>
        <v>3</v>
      </c>
      <c r="H345" s="40" t="s">
        <v>1353</v>
      </c>
      <c r="I345" s="132" t="s">
        <v>1349</v>
      </c>
      <c r="J345" s="150" t="s">
        <v>37</v>
      </c>
      <c r="K345" s="40" t="s">
        <v>157</v>
      </c>
      <c r="L345" s="40" t="s">
        <v>383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8"/>
      <c r="X345" s="40"/>
      <c r="Y345" s="40"/>
      <c r="Z345" s="40"/>
      <c r="AA345" s="40"/>
      <c r="AB345" s="40"/>
      <c r="AC345" s="40"/>
      <c r="AD345" s="40"/>
    </row>
    <row r="346">
      <c r="A346" s="39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50" t="s">
        <v>34</v>
      </c>
      <c r="F346" s="150" t="s">
        <v>35</v>
      </c>
      <c r="G346" s="50">
        <f t="shared" si="7"/>
        <v>1</v>
      </c>
      <c r="H346" s="40" t="s">
        <v>1356</v>
      </c>
      <c r="I346" s="132" t="s">
        <v>1349</v>
      </c>
      <c r="J346" s="40" t="s">
        <v>207</v>
      </c>
      <c r="K346" s="40" t="s">
        <v>157</v>
      </c>
      <c r="L346" s="40" t="s">
        <v>383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8"/>
      <c r="X346" s="40"/>
      <c r="Y346" s="40"/>
      <c r="Z346" s="40"/>
      <c r="AA346" s="40"/>
      <c r="AB346" s="40"/>
      <c r="AC346" s="40"/>
      <c r="AD346" s="40"/>
    </row>
    <row r="347">
      <c r="A347" s="39" t="s">
        <v>1357</v>
      </c>
      <c r="B347" s="40" t="s">
        <v>1337</v>
      </c>
      <c r="C347" s="40" t="str">
        <f>IF(B347="","",(VLOOKUP(B347,'Dados de PN'!$A:$B,2,0)))</f>
        <v>MAGNETOMETER GMU 44 </v>
      </c>
      <c r="D347" s="40"/>
      <c r="E347" s="40" t="s">
        <v>99</v>
      </c>
      <c r="F347" s="150" t="s">
        <v>35</v>
      </c>
      <c r="G347" s="50">
        <f t="shared" si="7"/>
        <v>1</v>
      </c>
      <c r="H347" s="40" t="s">
        <v>1358</v>
      </c>
      <c r="I347" s="40" t="s">
        <v>1359</v>
      </c>
      <c r="J347" s="150" t="s">
        <v>37</v>
      </c>
      <c r="K347" s="40" t="s">
        <v>160</v>
      </c>
      <c r="L347" s="40" t="s">
        <v>989</v>
      </c>
      <c r="M347" s="40" t="s">
        <v>122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8"/>
      <c r="X347" s="40"/>
      <c r="Y347" s="40"/>
      <c r="Z347" s="40"/>
      <c r="AA347" s="40"/>
      <c r="AB347" s="40"/>
      <c r="AC347" s="40"/>
      <c r="AD347" s="40"/>
    </row>
    <row r="348">
      <c r="A348" s="39" t="s">
        <v>1360</v>
      </c>
      <c r="B348" s="40"/>
      <c r="C348" s="44" t="str">
        <f>IF(B348="","",(VLOOKUP(B348,'Dados de PN'!$A:$B,2,0)))</f>
        <v/>
      </c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88"/>
      <c r="X348" s="40"/>
      <c r="Y348" s="40"/>
      <c r="Z348" s="40"/>
      <c r="AA348" s="40"/>
      <c r="AB348" s="40"/>
      <c r="AC348" s="40"/>
      <c r="AD348" s="40"/>
    </row>
    <row r="349">
      <c r="A349" s="39" t="s">
        <v>1361</v>
      </c>
      <c r="B349" s="40"/>
      <c r="C349" s="44" t="str">
        <f>IF(B349="","",(VLOOKUP(B349,'Dados de PN'!$A:$B,2,0)))</f>
        <v/>
      </c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88"/>
      <c r="X349" s="40"/>
      <c r="Y349" s="40"/>
      <c r="Z349" s="40"/>
      <c r="AA349" s="40"/>
      <c r="AB349" s="40"/>
      <c r="AC349" s="40"/>
      <c r="AD349" s="40"/>
    </row>
    <row r="350">
      <c r="A350" s="39" t="s">
        <v>1362</v>
      </c>
      <c r="B350" s="40"/>
      <c r="C350" s="44" t="str">
        <f>IF(B350="","",(VLOOKUP(B350,'Dados de PN'!$A:$B,2,0)))</f>
        <v/>
      </c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88"/>
      <c r="X350" s="40"/>
      <c r="Y350" s="40"/>
      <c r="Z350" s="40"/>
      <c r="AA350" s="40"/>
      <c r="AB350" s="40"/>
      <c r="AC350" s="40"/>
      <c r="AD350" s="40"/>
    </row>
    <row r="351">
      <c r="A351" s="39" t="s">
        <v>1363</v>
      </c>
      <c r="B351" s="40"/>
      <c r="C351" s="44" t="str">
        <f>IF(B351="","",(VLOOKUP(B351,'Dados de PN'!$A:$B,2,0)))</f>
        <v/>
      </c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88"/>
      <c r="X351" s="40"/>
      <c r="Y351" s="40"/>
      <c r="Z351" s="40"/>
      <c r="AA351" s="40"/>
      <c r="AB351" s="40"/>
      <c r="AC351" s="40"/>
      <c r="AD351" s="40"/>
    </row>
    <row r="352">
      <c r="A352" s="39" t="s">
        <v>1364</v>
      </c>
      <c r="B352" s="40"/>
      <c r="C352" s="44" t="str">
        <f>IF(B352="","",(VLOOKUP(B352,'Dados de PN'!$A:$B,2,0)))</f>
        <v/>
      </c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88"/>
      <c r="X352" s="40"/>
      <c r="Y352" s="40"/>
      <c r="Z352" s="40"/>
      <c r="AA352" s="40"/>
      <c r="AB352" s="40"/>
      <c r="AC352" s="40"/>
      <c r="AD352" s="40"/>
    </row>
    <row r="353">
      <c r="A353" s="39" t="s">
        <v>1365</v>
      </c>
      <c r="B353" s="40"/>
      <c r="C353" s="44" t="str">
        <f>IF(B353="","",(VLOOKUP(B353,'Dados de PN'!$A:$B,2,0)))</f>
        <v/>
      </c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88"/>
      <c r="X353" s="40"/>
      <c r="Y353" s="40"/>
      <c r="Z353" s="40"/>
      <c r="AA353" s="40"/>
      <c r="AB353" s="40"/>
      <c r="AC353" s="40"/>
      <c r="AD353" s="40"/>
    </row>
    <row r="354">
      <c r="A354" s="39" t="s">
        <v>1366</v>
      </c>
      <c r="B354" s="40"/>
      <c r="C354" s="44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8"/>
      <c r="X354" s="40"/>
      <c r="Y354" s="40"/>
      <c r="Z354" s="40"/>
      <c r="AA354" s="40"/>
      <c r="AB354" s="40"/>
      <c r="AC354" s="40"/>
      <c r="AD354" s="40"/>
    </row>
    <row r="355">
      <c r="A355" s="39" t="s">
        <v>1367</v>
      </c>
      <c r="B355" s="40"/>
      <c r="C355" s="44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8"/>
      <c r="X355" s="40"/>
      <c r="Y355" s="40"/>
      <c r="Z355" s="40"/>
      <c r="AA355" s="40"/>
      <c r="AB355" s="40"/>
      <c r="AC355" s="40"/>
      <c r="AD355" s="40"/>
    </row>
    <row r="356">
      <c r="A356" s="39" t="s">
        <v>1368</v>
      </c>
      <c r="B356" s="40"/>
      <c r="C356" s="44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8"/>
      <c r="X356" s="40"/>
      <c r="Y356" s="40"/>
      <c r="Z356" s="40"/>
      <c r="AA356" s="40"/>
      <c r="AB356" s="40"/>
      <c r="AC356" s="40"/>
      <c r="AD356" s="40"/>
    </row>
    <row r="357">
      <c r="A357" s="39" t="s">
        <v>1369</v>
      </c>
      <c r="B357" s="40"/>
      <c r="C357" s="44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8"/>
      <c r="X357" s="40"/>
      <c r="Y357" s="40"/>
      <c r="Z357" s="40"/>
      <c r="AA357" s="40"/>
      <c r="AB357" s="40"/>
      <c r="AC357" s="40"/>
      <c r="AD357" s="40"/>
    </row>
    <row r="358">
      <c r="A358" s="39" t="s">
        <v>1370</v>
      </c>
      <c r="B358" s="40"/>
      <c r="C358" s="44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8"/>
      <c r="X358" s="40"/>
      <c r="Y358" s="40"/>
      <c r="Z358" s="40"/>
      <c r="AA358" s="40"/>
      <c r="AB358" s="40"/>
      <c r="AC358" s="40"/>
      <c r="AD358" s="40"/>
    </row>
    <row r="359">
      <c r="A359" s="39" t="s">
        <v>1371</v>
      </c>
      <c r="B359" s="40"/>
      <c r="C359" s="44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8"/>
      <c r="X359" s="40"/>
      <c r="Y359" s="40"/>
      <c r="Z359" s="40"/>
      <c r="AA359" s="40"/>
      <c r="AB359" s="40"/>
      <c r="AC359" s="40"/>
      <c r="AD359" s="40"/>
    </row>
    <row r="360">
      <c r="A360" s="39" t="s">
        <v>1372</v>
      </c>
      <c r="B360" s="40"/>
      <c r="C360" s="44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8"/>
      <c r="X360" s="40"/>
      <c r="Y360" s="40"/>
      <c r="Z360" s="40"/>
      <c r="AA360" s="40"/>
      <c r="AB360" s="40"/>
      <c r="AC360" s="40"/>
      <c r="AD360" s="40"/>
    </row>
    <row r="361">
      <c r="A361" s="39" t="s">
        <v>1373</v>
      </c>
      <c r="B361" s="40"/>
      <c r="C361" s="44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8"/>
      <c r="X361" s="40"/>
      <c r="Y361" s="40"/>
      <c r="Z361" s="40"/>
      <c r="AA361" s="40"/>
      <c r="AB361" s="40"/>
      <c r="AC361" s="40"/>
      <c r="AD361" s="40"/>
    </row>
    <row r="362">
      <c r="A362" s="39" t="s">
        <v>1374</v>
      </c>
      <c r="B362" s="40"/>
      <c r="C362" s="44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8"/>
      <c r="X362" s="40"/>
      <c r="Y362" s="40"/>
      <c r="Z362" s="40"/>
      <c r="AA362" s="40"/>
      <c r="AB362" s="40"/>
      <c r="AC362" s="40"/>
      <c r="AD362" s="40"/>
    </row>
    <row r="363">
      <c r="A363" s="39" t="s">
        <v>1375</v>
      </c>
      <c r="B363" s="40"/>
      <c r="C363" s="44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8"/>
      <c r="X363" s="40"/>
      <c r="Y363" s="40"/>
      <c r="Z363" s="40"/>
      <c r="AA363" s="40"/>
      <c r="AB363" s="40"/>
      <c r="AC363" s="40"/>
      <c r="AD363" s="40"/>
    </row>
    <row r="364">
      <c r="A364" s="39" t="s">
        <v>1376</v>
      </c>
      <c r="B364" s="40"/>
      <c r="C364" s="44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8"/>
      <c r="X364" s="40"/>
      <c r="Y364" s="40"/>
      <c r="Z364" s="40"/>
      <c r="AA364" s="40"/>
      <c r="AB364" s="40"/>
      <c r="AC364" s="40"/>
      <c r="AD364" s="40"/>
    </row>
    <row r="365">
      <c r="A365" s="39" t="s">
        <v>1377</v>
      </c>
      <c r="B365" s="40"/>
      <c r="C365" s="44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8"/>
      <c r="X365" s="40"/>
      <c r="Y365" s="40"/>
      <c r="Z365" s="40"/>
      <c r="AA365" s="40"/>
      <c r="AB365" s="40"/>
      <c r="AC365" s="40"/>
      <c r="AD365" s="40"/>
    </row>
    <row r="366">
      <c r="A366" s="39" t="s">
        <v>1378</v>
      </c>
      <c r="B366" s="40"/>
      <c r="C366" s="44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8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8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8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8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8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8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8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8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8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8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8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8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8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8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8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8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8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8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8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8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8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8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8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8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8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8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8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8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8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8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8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8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8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8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8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8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8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8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8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8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8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8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8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8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8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8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8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8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8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8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8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8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8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8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8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8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8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8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8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8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8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8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8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8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8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8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8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8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8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8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8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8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8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8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8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8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8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8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8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8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8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8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8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8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8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8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8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8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8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8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8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8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8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8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8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8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8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8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8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8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8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8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8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8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8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8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8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8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8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8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8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8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8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8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8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8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8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8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8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8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8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8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8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8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8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8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8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8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8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8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8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8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8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8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8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8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8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8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8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8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8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8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8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8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8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8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8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8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8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8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8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8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8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8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8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8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8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8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8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8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8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8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8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8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8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8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8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8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8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8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8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8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8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8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8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8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8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8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8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8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8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8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8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8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8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8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8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8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8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8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8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8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8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8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8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8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8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8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8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8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8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8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8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8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8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8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8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8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8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8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8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8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8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8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8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8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8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8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8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8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8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8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8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8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8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8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8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8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8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8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8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8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8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8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8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8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8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8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8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8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8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8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8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8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8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8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8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8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8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8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8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8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8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8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8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8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8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8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8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8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8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8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8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8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8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8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8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8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8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8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8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8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8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8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8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8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8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8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8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8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8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8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8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8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8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8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8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8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8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8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8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8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8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8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8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8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8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8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8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8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8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8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8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8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8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8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8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8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8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8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8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8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8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8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8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8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8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8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8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8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8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8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8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8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8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8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8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8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8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8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8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8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8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8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8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8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8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8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8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8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8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8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8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8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8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8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8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8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8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8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8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8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8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8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8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8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8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8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8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8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8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8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8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8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8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8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8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8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8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8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8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8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8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8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8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8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8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8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8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8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8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8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8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8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8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8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8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8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8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8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8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8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8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8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8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8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8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8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8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8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8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8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8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8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8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8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8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8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8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8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8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8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8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8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8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8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8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8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8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8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8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8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8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8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8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8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8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8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8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8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8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8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8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8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8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8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8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8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8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8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8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8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8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8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8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8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8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8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8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8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8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8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8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8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8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8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8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8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8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8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8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8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8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8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8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8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8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8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8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8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8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8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8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8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8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8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8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8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8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8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8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8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8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8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8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8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8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8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8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8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8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8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8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8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8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8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8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8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8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8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8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8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8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8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8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8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8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8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8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8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8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8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8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8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8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8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8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8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8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8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8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8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8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8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8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8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8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8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8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8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8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8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8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8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8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8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8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8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8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8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8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8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8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8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8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8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8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8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8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8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8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8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8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8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8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8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8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8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8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8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8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8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8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8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8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8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8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8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8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8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8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8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8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8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8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8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8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8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8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8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8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8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8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8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8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8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8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8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8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8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8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8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8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8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8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8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8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8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8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8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8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8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8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8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8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8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8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8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8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8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8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8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8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8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8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8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8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8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8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8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8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8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8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8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8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8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8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8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8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8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8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8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8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8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8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8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8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8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8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8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8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8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8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8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8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8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8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8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8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8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8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8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8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8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8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8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8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8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8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8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8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8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8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8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8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8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8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8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8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8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8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8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8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8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8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8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8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8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8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8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8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8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8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8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8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8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8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8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8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8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8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8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8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8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8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8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8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8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8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8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8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8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8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8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8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8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8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8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8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8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8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8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8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8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8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8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8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8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8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8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8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8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8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8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8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8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8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8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8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8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8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8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8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8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8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8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8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8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8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8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8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8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8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8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8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8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8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8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8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8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8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8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8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8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8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8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8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8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8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8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8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8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8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8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8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8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8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8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8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8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8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8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8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8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8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8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8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8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8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8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8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8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8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8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8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8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8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8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8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8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8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8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8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8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8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8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8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8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8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8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8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8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8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8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8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8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8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8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8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8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8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8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8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8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8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8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8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8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8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8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22" t="s">
        <v>11</v>
      </c>
      <c r="H2" s="26" t="s">
        <v>12</v>
      </c>
      <c r="I2" s="28" t="s">
        <v>14</v>
      </c>
      <c r="J2" s="22" t="s">
        <v>15</v>
      </c>
      <c r="K2" s="22" t="s">
        <v>16</v>
      </c>
      <c r="L2" s="18" t="s">
        <v>17</v>
      </c>
      <c r="M2" s="22" t="s">
        <v>19</v>
      </c>
      <c r="N2" s="28" t="s">
        <v>20</v>
      </c>
      <c r="O2" s="28" t="s">
        <v>21</v>
      </c>
      <c r="P2" s="22" t="s">
        <v>22</v>
      </c>
      <c r="Q2" s="28" t="s">
        <v>23</v>
      </c>
      <c r="R2" s="22" t="s">
        <v>24</v>
      </c>
      <c r="S2" s="22" t="s">
        <v>25</v>
      </c>
      <c r="T2" s="22" t="s">
        <v>26</v>
      </c>
      <c r="U2" s="30" t="s">
        <v>27</v>
      </c>
      <c r="V2" s="12" t="s">
        <v>28</v>
      </c>
      <c r="W2" s="22" t="s">
        <v>23</v>
      </c>
      <c r="X2" s="32"/>
      <c r="Y2" s="32"/>
      <c r="Z2" s="32"/>
      <c r="AA2" s="32"/>
      <c r="AB2" s="32"/>
      <c r="AC2" s="32"/>
      <c r="AD2" s="32"/>
    </row>
    <row r="3">
      <c r="A3" s="36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3" t="s">
        <v>36</v>
      </c>
      <c r="J3" s="42" t="s">
        <v>37</v>
      </c>
      <c r="K3" s="45">
        <v>45730.0</v>
      </c>
      <c r="L3" s="38" t="s">
        <v>38</v>
      </c>
      <c r="M3" s="42" t="s">
        <v>39</v>
      </c>
      <c r="N3" s="47"/>
      <c r="O3" s="47"/>
      <c r="P3" s="49"/>
      <c r="Q3" s="51"/>
      <c r="R3" s="53"/>
      <c r="S3" s="53"/>
      <c r="T3" s="53"/>
      <c r="U3" s="55"/>
      <c r="V3" s="57"/>
      <c r="W3" s="57"/>
    </row>
    <row r="4">
      <c r="A4" s="36" t="s">
        <v>42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3" t="s">
        <v>36</v>
      </c>
      <c r="J4" s="42" t="s">
        <v>37</v>
      </c>
      <c r="K4" s="45">
        <v>45735.0</v>
      </c>
      <c r="L4" s="38" t="s">
        <v>46</v>
      </c>
      <c r="M4" s="42" t="s">
        <v>47</v>
      </c>
      <c r="N4" s="47"/>
      <c r="O4" s="47"/>
      <c r="P4" s="61"/>
      <c r="Q4" s="51"/>
      <c r="R4" s="63"/>
      <c r="S4" s="65"/>
      <c r="T4" s="65"/>
      <c r="U4" s="55"/>
      <c r="V4" s="57"/>
      <c r="W4" s="57"/>
    </row>
    <row r="5">
      <c r="A5" s="36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3" t="s">
        <v>52</v>
      </c>
      <c r="J5" s="42" t="s">
        <v>37</v>
      </c>
      <c r="K5" s="45">
        <v>45737.0</v>
      </c>
      <c r="L5" s="38" t="s">
        <v>53</v>
      </c>
      <c r="M5" s="42" t="s">
        <v>54</v>
      </c>
      <c r="N5" s="47"/>
      <c r="O5" s="47"/>
      <c r="P5" s="63"/>
      <c r="Q5" s="70"/>
      <c r="R5" s="63"/>
      <c r="S5" s="65"/>
      <c r="T5" s="65"/>
      <c r="U5" s="55"/>
      <c r="V5" s="57"/>
      <c r="W5" s="57"/>
    </row>
    <row r="6">
      <c r="A6" s="36" t="s">
        <v>55</v>
      </c>
      <c r="B6" s="71" t="s">
        <v>56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2" t="s">
        <v>58</v>
      </c>
      <c r="G6" s="42">
        <v>100.0</v>
      </c>
      <c r="H6" s="72">
        <v>1.4119927E7</v>
      </c>
      <c r="I6" s="43"/>
      <c r="J6" s="42" t="s">
        <v>59</v>
      </c>
      <c r="K6" s="45">
        <v>45747.0</v>
      </c>
      <c r="L6" s="38" t="s">
        <v>60</v>
      </c>
      <c r="M6" s="42" t="s">
        <v>61</v>
      </c>
      <c r="N6" s="47"/>
      <c r="O6" s="47"/>
      <c r="P6" s="63"/>
      <c r="Q6" s="70"/>
      <c r="R6" s="63"/>
      <c r="S6" s="65"/>
      <c r="T6" s="65"/>
      <c r="U6" s="73" t="s">
        <v>63</v>
      </c>
      <c r="V6" s="74" t="s">
        <v>64</v>
      </c>
      <c r="W6" s="75" t="s">
        <v>66</v>
      </c>
    </row>
    <row r="7">
      <c r="A7" s="36" t="s">
        <v>67</v>
      </c>
      <c r="B7" s="71" t="s">
        <v>68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2" t="s">
        <v>58</v>
      </c>
      <c r="G7" s="42">
        <v>100.0</v>
      </c>
      <c r="H7" s="72">
        <v>1.4119761E7</v>
      </c>
      <c r="I7" s="43" t="s">
        <v>62</v>
      </c>
      <c r="J7" s="42" t="s">
        <v>37</v>
      </c>
      <c r="K7" s="45">
        <v>45747.0</v>
      </c>
      <c r="L7" s="38" t="s">
        <v>60</v>
      </c>
      <c r="M7" s="42" t="s">
        <v>61</v>
      </c>
      <c r="N7" s="47"/>
      <c r="O7" s="47"/>
      <c r="P7" s="63"/>
      <c r="Q7" s="70"/>
      <c r="R7" s="63"/>
      <c r="S7" s="65"/>
      <c r="T7" s="65"/>
      <c r="U7" s="73" t="s">
        <v>71</v>
      </c>
      <c r="V7" s="78"/>
      <c r="W7" s="75" t="s">
        <v>66</v>
      </c>
    </row>
    <row r="8">
      <c r="A8" s="36" t="s">
        <v>72</v>
      </c>
      <c r="B8" s="71" t="s">
        <v>73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2" t="s">
        <v>74</v>
      </c>
      <c r="G8" s="42">
        <v>500.0</v>
      </c>
      <c r="H8" s="72">
        <v>1.4119172E7</v>
      </c>
      <c r="I8" s="43" t="s">
        <v>62</v>
      </c>
      <c r="J8" s="42" t="s">
        <v>37</v>
      </c>
      <c r="K8" s="45">
        <v>45747.0</v>
      </c>
      <c r="L8" s="38" t="s">
        <v>60</v>
      </c>
      <c r="M8" s="42" t="s">
        <v>61</v>
      </c>
      <c r="N8" s="47"/>
      <c r="O8" s="47"/>
      <c r="P8" s="63"/>
      <c r="Q8" s="70"/>
      <c r="R8" s="63"/>
      <c r="S8" s="65"/>
      <c r="T8" s="65"/>
      <c r="U8" s="73" t="s">
        <v>71</v>
      </c>
      <c r="V8" s="78"/>
      <c r="W8" s="75" t="s">
        <v>66</v>
      </c>
    </row>
    <row r="9">
      <c r="A9" s="36" t="s">
        <v>76</v>
      </c>
      <c r="B9" s="71" t="s">
        <v>77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2" t="s">
        <v>58</v>
      </c>
      <c r="G9" s="42">
        <v>100.0</v>
      </c>
      <c r="H9" s="72">
        <v>1.4118815E7</v>
      </c>
      <c r="I9" s="43" t="s">
        <v>62</v>
      </c>
      <c r="J9" s="42" t="s">
        <v>37</v>
      </c>
      <c r="K9" s="45">
        <v>45747.0</v>
      </c>
      <c r="L9" s="38" t="s">
        <v>60</v>
      </c>
      <c r="M9" s="42" t="s">
        <v>61</v>
      </c>
      <c r="N9" s="47"/>
      <c r="O9" s="47"/>
      <c r="P9" s="63"/>
      <c r="Q9" s="70"/>
      <c r="R9" s="63"/>
      <c r="S9" s="65"/>
      <c r="T9" s="65"/>
      <c r="U9" s="73" t="s">
        <v>71</v>
      </c>
      <c r="V9" s="78"/>
      <c r="W9" s="75" t="s">
        <v>66</v>
      </c>
    </row>
    <row r="10">
      <c r="A10" s="36" t="s">
        <v>79</v>
      </c>
      <c r="B10" s="71" t="s">
        <v>80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2" t="s">
        <v>81</v>
      </c>
      <c r="G10" s="42">
        <v>1.0</v>
      </c>
      <c r="H10" s="72">
        <v>1.4118717E7</v>
      </c>
      <c r="I10" s="43" t="s">
        <v>62</v>
      </c>
      <c r="J10" s="42" t="s">
        <v>37</v>
      </c>
      <c r="K10" s="45">
        <v>45747.0</v>
      </c>
      <c r="L10" s="38" t="s">
        <v>60</v>
      </c>
      <c r="M10" s="42" t="s">
        <v>61</v>
      </c>
      <c r="N10" s="47"/>
      <c r="O10" s="47"/>
      <c r="P10" s="63"/>
      <c r="Q10" s="70"/>
      <c r="R10" s="63"/>
      <c r="S10" s="65"/>
      <c r="T10" s="65"/>
      <c r="U10" s="73" t="s">
        <v>71</v>
      </c>
      <c r="V10" s="78"/>
      <c r="W10" s="75" t="s">
        <v>66</v>
      </c>
    </row>
    <row r="11">
      <c r="A11" s="36" t="s">
        <v>82</v>
      </c>
      <c r="B11" s="71" t="s">
        <v>83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2" t="s">
        <v>81</v>
      </c>
      <c r="G11" s="42">
        <v>1.0</v>
      </c>
      <c r="H11" s="72">
        <v>1.4118631E7</v>
      </c>
      <c r="I11" s="43" t="s">
        <v>62</v>
      </c>
      <c r="J11" s="42" t="s">
        <v>37</v>
      </c>
      <c r="K11" s="45">
        <v>45747.0</v>
      </c>
      <c r="L11" s="38" t="s">
        <v>60</v>
      </c>
      <c r="M11" s="42" t="s">
        <v>61</v>
      </c>
      <c r="N11" s="47"/>
      <c r="O11" s="47"/>
      <c r="P11" s="63"/>
      <c r="Q11" s="70"/>
      <c r="R11" s="63"/>
      <c r="S11" s="65"/>
      <c r="T11" s="65"/>
      <c r="U11" s="73" t="s">
        <v>71</v>
      </c>
      <c r="V11" s="78"/>
      <c r="W11" s="75" t="s">
        <v>66</v>
      </c>
    </row>
    <row r="12">
      <c r="A12" s="36" t="s">
        <v>85</v>
      </c>
      <c r="B12" s="71" t="s">
        <v>87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2" t="s">
        <v>81</v>
      </c>
      <c r="G12" s="42">
        <v>1.0</v>
      </c>
      <c r="H12" s="72">
        <v>1.4118223E7</v>
      </c>
      <c r="I12" s="43" t="s">
        <v>62</v>
      </c>
      <c r="J12" s="42" t="s">
        <v>37</v>
      </c>
      <c r="K12" s="45">
        <v>45747.0</v>
      </c>
      <c r="L12" s="38" t="s">
        <v>60</v>
      </c>
      <c r="M12" s="42" t="s">
        <v>61</v>
      </c>
      <c r="N12" s="47"/>
      <c r="O12" s="47"/>
      <c r="P12" s="63"/>
      <c r="Q12" s="70"/>
      <c r="R12" s="63"/>
      <c r="S12" s="65"/>
      <c r="T12" s="65"/>
      <c r="U12" s="73" t="s">
        <v>71</v>
      </c>
      <c r="V12" s="78"/>
      <c r="W12" s="75" t="s">
        <v>66</v>
      </c>
    </row>
    <row r="13">
      <c r="A13" s="36" t="s">
        <v>90</v>
      </c>
      <c r="B13" s="71" t="s">
        <v>91</v>
      </c>
      <c r="C13" s="38" t="str">
        <f>IF(B13="","",(VLOOKUP(B13,'Dados de PN'!$A:$B,2,0)))</f>
        <v>RIVET SOLID</v>
      </c>
      <c r="D13" s="38" t="s">
        <v>33</v>
      </c>
      <c r="E13" s="42" t="s">
        <v>34</v>
      </c>
      <c r="F13" s="72" t="s">
        <v>93</v>
      </c>
      <c r="G13" s="42">
        <v>50.0</v>
      </c>
      <c r="H13" s="72">
        <v>1.4117687E7</v>
      </c>
      <c r="I13" s="43" t="s">
        <v>62</v>
      </c>
      <c r="J13" s="42" t="s">
        <v>37</v>
      </c>
      <c r="K13" s="45">
        <v>45747.0</v>
      </c>
      <c r="L13" s="38" t="s">
        <v>60</v>
      </c>
      <c r="M13" s="42" t="s">
        <v>61</v>
      </c>
      <c r="N13" s="47"/>
      <c r="O13" s="47"/>
      <c r="P13" s="63"/>
      <c r="Q13" s="70"/>
      <c r="R13" s="63"/>
      <c r="S13" s="65"/>
      <c r="T13" s="65"/>
      <c r="U13" s="55"/>
      <c r="V13" s="85"/>
      <c r="W13" s="57"/>
    </row>
    <row r="14">
      <c r="A14" s="36" t="s">
        <v>95</v>
      </c>
      <c r="B14" s="38" t="s">
        <v>96</v>
      </c>
      <c r="C14" s="38" t="str">
        <f>IF(B14="","",(VLOOKUP(B14,'Dados de PN'!$A:$B,2,0)))</f>
        <v>ALTIMETER</v>
      </c>
      <c r="D14" s="38" t="s">
        <v>33</v>
      </c>
      <c r="E14" s="42" t="s">
        <v>99</v>
      </c>
      <c r="F14" s="42" t="s">
        <v>35</v>
      </c>
      <c r="G14" s="42">
        <v>1.0</v>
      </c>
      <c r="H14" s="42">
        <v>1.4305088E7</v>
      </c>
      <c r="I14" s="43" t="s">
        <v>100</v>
      </c>
      <c r="J14" s="42" t="s">
        <v>37</v>
      </c>
      <c r="K14" s="45">
        <v>45762.0</v>
      </c>
      <c r="L14" s="38" t="s">
        <v>101</v>
      </c>
      <c r="M14" s="42" t="s">
        <v>61</v>
      </c>
      <c r="N14" s="47"/>
      <c r="O14" s="47"/>
      <c r="P14" s="53"/>
      <c r="Q14" s="86"/>
      <c r="R14" s="53"/>
      <c r="S14" s="65"/>
      <c r="T14" s="65"/>
      <c r="U14" s="55"/>
      <c r="V14" s="57"/>
      <c r="W14" s="57"/>
    </row>
    <row r="15">
      <c r="A15" s="36" t="s">
        <v>105</v>
      </c>
      <c r="B15" s="38" t="s">
        <v>103</v>
      </c>
      <c r="C15" s="38" t="str">
        <f>IF(B15="","",(VLOOKUP(B15,'Dados de PN'!$A:$B,2,0)))</f>
        <v>INSULATOR</v>
      </c>
      <c r="D15" s="38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3" t="s">
        <v>107</v>
      </c>
      <c r="J15" s="42" t="s">
        <v>37</v>
      </c>
      <c r="K15" s="45">
        <v>45763.0</v>
      </c>
      <c r="L15" s="38" t="s">
        <v>110</v>
      </c>
      <c r="M15" s="42" t="s">
        <v>54</v>
      </c>
      <c r="N15" s="47"/>
      <c r="O15" s="47"/>
      <c r="P15" s="63"/>
      <c r="Q15" s="70"/>
      <c r="R15" s="63"/>
      <c r="S15" s="65"/>
      <c r="T15" s="65"/>
      <c r="U15" s="55"/>
      <c r="V15" s="57"/>
      <c r="W15" s="57"/>
    </row>
    <row r="16">
      <c r="A16" s="36" t="s">
        <v>111</v>
      </c>
      <c r="B16" s="38" t="s">
        <v>108</v>
      </c>
      <c r="C16" s="38" t="str">
        <f>IF(B16="","",(VLOOKUP(B16,'Dados de PN'!$A:$B,2,0)))</f>
        <v>INSULATOR</v>
      </c>
      <c r="D16" s="38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3" t="s">
        <v>107</v>
      </c>
      <c r="J16" s="42" t="s">
        <v>37</v>
      </c>
      <c r="K16" s="45">
        <v>45763.0</v>
      </c>
      <c r="L16" s="38" t="s">
        <v>110</v>
      </c>
      <c r="M16" s="42" t="s">
        <v>54</v>
      </c>
      <c r="N16" s="47"/>
      <c r="O16" s="47"/>
      <c r="P16" s="63"/>
      <c r="Q16" s="70"/>
      <c r="R16" s="63"/>
      <c r="S16" s="65"/>
      <c r="T16" s="65"/>
      <c r="U16" s="55"/>
      <c r="V16" s="57"/>
      <c r="W16" s="57"/>
    </row>
    <row r="17">
      <c r="A17" s="36" t="s">
        <v>115</v>
      </c>
      <c r="B17" s="38" t="s">
        <v>113</v>
      </c>
      <c r="C17" s="38" t="str">
        <f>IF(B17="","",(VLOOKUP(B17,'Dados de PN'!$A:$B,2,0)))</f>
        <v>BEARING,ROLLER,NEEDLE</v>
      </c>
      <c r="D17" s="38" t="s">
        <v>33</v>
      </c>
      <c r="E17" s="42" t="s">
        <v>34</v>
      </c>
      <c r="F17" s="42" t="s">
        <v>118</v>
      </c>
      <c r="G17" s="42">
        <v>2.0</v>
      </c>
      <c r="H17" s="42">
        <v>1.4478457E7</v>
      </c>
      <c r="I17" s="43" t="s">
        <v>119</v>
      </c>
      <c r="J17" s="42" t="s">
        <v>37</v>
      </c>
      <c r="K17" s="45">
        <v>45783.0</v>
      </c>
      <c r="L17" s="38" t="s">
        <v>120</v>
      </c>
      <c r="M17" s="42" t="s">
        <v>122</v>
      </c>
      <c r="N17" s="47"/>
      <c r="O17" s="47"/>
      <c r="P17" s="63"/>
      <c r="Q17" s="70"/>
      <c r="R17" s="63"/>
      <c r="S17" s="65"/>
      <c r="T17" s="65"/>
      <c r="U17" s="55"/>
      <c r="V17" s="57"/>
      <c r="W17" s="57"/>
    </row>
    <row r="18">
      <c r="A18" s="36" t="s">
        <v>125</v>
      </c>
      <c r="B18" s="38" t="s">
        <v>127</v>
      </c>
      <c r="C18" s="38" t="str">
        <f>IF(B18="","",(VLOOKUP(B18,'Dados de PN'!$A:$B,2,0)))</f>
        <v>BUSHING,SLEEVE</v>
      </c>
      <c r="D18" s="38" t="s">
        <v>33</v>
      </c>
      <c r="E18" s="42" t="s">
        <v>34</v>
      </c>
      <c r="F18" s="42" t="s">
        <v>118</v>
      </c>
      <c r="G18" s="42">
        <v>2.0</v>
      </c>
      <c r="H18" s="42">
        <v>1.4478396E7</v>
      </c>
      <c r="I18" s="43" t="s">
        <v>119</v>
      </c>
      <c r="J18" s="42" t="s">
        <v>37</v>
      </c>
      <c r="K18" s="45">
        <v>45783.0</v>
      </c>
      <c r="L18" s="38" t="s">
        <v>120</v>
      </c>
      <c r="M18" s="42" t="s">
        <v>122</v>
      </c>
      <c r="N18" s="47"/>
      <c r="O18" s="47"/>
      <c r="P18" s="63"/>
      <c r="Q18" s="70"/>
      <c r="R18" s="63"/>
      <c r="S18" s="65"/>
      <c r="T18" s="65"/>
      <c r="U18" s="55"/>
      <c r="V18" s="57"/>
      <c r="W18" s="57"/>
    </row>
    <row r="19">
      <c r="A19" s="36" t="s">
        <v>131</v>
      </c>
      <c r="B19" s="38" t="s">
        <v>121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99</v>
      </c>
      <c r="F19" s="42" t="s">
        <v>35</v>
      </c>
      <c r="G19" s="42">
        <v>1.0</v>
      </c>
      <c r="H19" s="42">
        <v>6.85240004653E11</v>
      </c>
      <c r="I19" s="43" t="s">
        <v>134</v>
      </c>
      <c r="J19" s="42" t="s">
        <v>37</v>
      </c>
      <c r="K19" s="45">
        <v>45784.0</v>
      </c>
      <c r="L19" s="38" t="s">
        <v>110</v>
      </c>
      <c r="M19" s="42" t="s">
        <v>54</v>
      </c>
      <c r="N19" s="47"/>
      <c r="O19" s="47"/>
      <c r="P19" s="92" t="s">
        <v>121</v>
      </c>
      <c r="Q19" s="93" t="s">
        <v>124</v>
      </c>
      <c r="R19" s="93" t="s">
        <v>136</v>
      </c>
      <c r="S19" s="65"/>
      <c r="T19" s="94">
        <v>45845.0</v>
      </c>
      <c r="U19" s="95" t="s">
        <v>137</v>
      </c>
      <c r="V19" s="75"/>
      <c r="W19" s="75" t="s">
        <v>66</v>
      </c>
    </row>
    <row r="20">
      <c r="A20" s="36" t="s">
        <v>138</v>
      </c>
      <c r="B20" s="38" t="s">
        <v>129</v>
      </c>
      <c r="C20" s="38" t="str">
        <f>IF(B20="","",(VLOOKUP(B20,'Dados de PN'!$A:$B,2,0)))</f>
        <v>HOSE ASSY</v>
      </c>
      <c r="D20" s="38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3" t="s">
        <v>134</v>
      </c>
      <c r="J20" s="42" t="s">
        <v>37</v>
      </c>
      <c r="K20" s="45">
        <v>45784.0</v>
      </c>
      <c r="L20" s="38" t="s">
        <v>142</v>
      </c>
      <c r="M20" s="42" t="s">
        <v>54</v>
      </c>
      <c r="N20" s="47"/>
      <c r="O20" s="47"/>
      <c r="P20" s="63"/>
      <c r="Q20" s="70"/>
      <c r="R20" s="63"/>
      <c r="S20" s="65"/>
      <c r="T20" s="65"/>
      <c r="U20" s="55"/>
      <c r="V20" s="57"/>
      <c r="W20" s="57"/>
    </row>
    <row r="21">
      <c r="A21" s="36" t="s">
        <v>145</v>
      </c>
      <c r="B21" s="38" t="s">
        <v>132</v>
      </c>
      <c r="C21" s="38" t="str">
        <f>IF(B21="","",(VLOOKUP(B21,'Dados de PN'!$A:$B,2,0)))</f>
        <v>NUT,SELF-LOCKING,HEXAGON</v>
      </c>
      <c r="D21" s="38" t="s">
        <v>33</v>
      </c>
      <c r="E21" s="42" t="s">
        <v>34</v>
      </c>
      <c r="F21" s="42" t="s">
        <v>155</v>
      </c>
      <c r="G21" s="42">
        <v>16.0</v>
      </c>
      <c r="H21" s="42">
        <v>1.4481761E7</v>
      </c>
      <c r="I21" s="43" t="s">
        <v>159</v>
      </c>
      <c r="J21" s="42" t="s">
        <v>37</v>
      </c>
      <c r="K21" s="45">
        <v>45784.0</v>
      </c>
      <c r="L21" s="38" t="s">
        <v>135</v>
      </c>
      <c r="M21" s="42" t="s">
        <v>54</v>
      </c>
      <c r="N21" s="47"/>
      <c r="O21" s="47"/>
      <c r="P21" s="63"/>
      <c r="Q21" s="70"/>
      <c r="R21" s="63"/>
      <c r="S21" s="65"/>
      <c r="T21" s="65"/>
      <c r="U21" s="55"/>
      <c r="V21" s="57"/>
      <c r="W21" s="57"/>
    </row>
    <row r="22">
      <c r="A22" s="36" t="s">
        <v>165</v>
      </c>
      <c r="B22" s="38" t="s">
        <v>132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168</v>
      </c>
      <c r="G22" s="42">
        <v>8.0</v>
      </c>
      <c r="H22" s="42">
        <v>1.4482166E7</v>
      </c>
      <c r="I22" s="43" t="s">
        <v>169</v>
      </c>
      <c r="J22" s="42" t="s">
        <v>37</v>
      </c>
      <c r="K22" s="45">
        <v>45784.0</v>
      </c>
      <c r="L22" s="38" t="s">
        <v>170</v>
      </c>
      <c r="M22" s="42" t="s">
        <v>54</v>
      </c>
      <c r="N22" s="47"/>
      <c r="O22" s="47"/>
      <c r="P22" s="92" t="s">
        <v>139</v>
      </c>
      <c r="Q22" s="93" t="s">
        <v>140</v>
      </c>
      <c r="R22" s="93" t="s">
        <v>141</v>
      </c>
      <c r="S22" s="65"/>
      <c r="T22" s="94">
        <v>45938.0</v>
      </c>
      <c r="U22" s="95" t="s">
        <v>171</v>
      </c>
      <c r="V22" s="57"/>
      <c r="W22" s="75" t="s">
        <v>66</v>
      </c>
    </row>
    <row r="23">
      <c r="A23" s="36" t="s">
        <v>175</v>
      </c>
      <c r="B23" s="38" t="s">
        <v>143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3" t="s">
        <v>177</v>
      </c>
      <c r="J23" s="42" t="s">
        <v>37</v>
      </c>
      <c r="K23" s="45">
        <v>45789.0</v>
      </c>
      <c r="L23" s="38" t="s">
        <v>120</v>
      </c>
      <c r="M23" s="42" t="s">
        <v>122</v>
      </c>
      <c r="N23" s="47"/>
      <c r="O23" s="47"/>
      <c r="P23" s="97" t="s">
        <v>143</v>
      </c>
      <c r="Q23" s="93" t="s">
        <v>180</v>
      </c>
      <c r="R23" s="97" t="s">
        <v>148</v>
      </c>
      <c r="S23" s="65"/>
      <c r="T23" s="98">
        <v>45868.0</v>
      </c>
      <c r="U23" s="95" t="s">
        <v>181</v>
      </c>
      <c r="V23" s="57"/>
      <c r="W23" s="75" t="s">
        <v>66</v>
      </c>
    </row>
    <row r="24">
      <c r="A24" s="36" t="s">
        <v>182</v>
      </c>
      <c r="B24" s="38" t="s">
        <v>156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3" t="s">
        <v>185</v>
      </c>
      <c r="J24" s="42" t="s">
        <v>37</v>
      </c>
      <c r="K24" s="45">
        <v>45789.0</v>
      </c>
      <c r="L24" s="38" t="s">
        <v>120</v>
      </c>
      <c r="M24" s="42" t="s">
        <v>122</v>
      </c>
      <c r="N24" s="47"/>
      <c r="O24" s="47"/>
      <c r="P24" s="97" t="s">
        <v>156</v>
      </c>
      <c r="Q24" s="93" t="s">
        <v>163</v>
      </c>
      <c r="R24" s="97" t="s">
        <v>188</v>
      </c>
      <c r="S24" s="65"/>
      <c r="T24" s="98">
        <v>45982.0</v>
      </c>
      <c r="U24" s="99" t="s">
        <v>190</v>
      </c>
      <c r="V24" s="57"/>
      <c r="W24" s="75" t="s">
        <v>66</v>
      </c>
    </row>
    <row r="25">
      <c r="A25" s="36" t="s">
        <v>191</v>
      </c>
      <c r="B25" s="38" t="s">
        <v>166</v>
      </c>
      <c r="C25" s="38" t="str">
        <f>IF(B25="","",(VLOOKUP(B25,'Dados de PN'!$A:$B,2,0)))</f>
        <v>COMPUTADOR DO PILOTO AUTOMÁTICO</v>
      </c>
      <c r="D25" s="38" t="s">
        <v>194</v>
      </c>
      <c r="E25" s="42" t="s">
        <v>99</v>
      </c>
      <c r="F25" s="42" t="s">
        <v>35</v>
      </c>
      <c r="G25" s="42">
        <v>1.0</v>
      </c>
      <c r="H25" s="42">
        <v>6.9425000186E11</v>
      </c>
      <c r="I25" s="43" t="s">
        <v>195</v>
      </c>
      <c r="J25" s="42" t="s">
        <v>37</v>
      </c>
      <c r="K25" s="45">
        <v>45791.0</v>
      </c>
      <c r="L25" s="38" t="s">
        <v>196</v>
      </c>
      <c r="M25" s="42" t="s">
        <v>197</v>
      </c>
      <c r="N25" s="47"/>
      <c r="O25" s="47"/>
      <c r="P25" s="53"/>
      <c r="Q25" s="86"/>
      <c r="R25" s="53"/>
      <c r="S25" s="65"/>
      <c r="T25" s="65"/>
      <c r="U25" s="55"/>
      <c r="V25" s="57"/>
      <c r="W25" s="57"/>
    </row>
    <row r="26">
      <c r="A26" s="36" t="s">
        <v>200</v>
      </c>
      <c r="B26" s="38" t="s">
        <v>172</v>
      </c>
      <c r="C26" s="38" t="str">
        <f>IF(B26="","",(VLOOKUP(B26,'Dados de PN'!$A:$B,2,0)))</f>
        <v>INDICATOR,HORIZONTAL SITUATION</v>
      </c>
      <c r="D26" s="38" t="s">
        <v>174</v>
      </c>
      <c r="E26" s="42" t="s">
        <v>99</v>
      </c>
      <c r="F26" s="42" t="s">
        <v>35</v>
      </c>
      <c r="G26" s="42">
        <v>1.0</v>
      </c>
      <c r="H26" s="42">
        <v>1.4741958E7</v>
      </c>
      <c r="I26" s="43" t="s">
        <v>201</v>
      </c>
      <c r="J26" s="42" t="s">
        <v>37</v>
      </c>
      <c r="K26" s="45">
        <v>45814.0</v>
      </c>
      <c r="L26" s="38" t="s">
        <v>176</v>
      </c>
      <c r="M26" s="42" t="s">
        <v>47</v>
      </c>
      <c r="N26" s="47"/>
      <c r="O26" s="47"/>
      <c r="P26" s="63"/>
      <c r="Q26" s="70"/>
      <c r="R26" s="63"/>
      <c r="S26" s="65"/>
      <c r="T26" s="65"/>
      <c r="U26" s="55"/>
      <c r="V26" s="57"/>
      <c r="W26" s="57"/>
    </row>
    <row r="27">
      <c r="A27" s="36" t="s">
        <v>204</v>
      </c>
      <c r="B27" s="38" t="s">
        <v>178</v>
      </c>
      <c r="C27" s="38" t="str">
        <f>IF(B27="","",(VLOOKUP(B27,'Dados de PN'!$A:$B,2,0)))</f>
        <v>ANEL-O</v>
      </c>
      <c r="D27" s="71"/>
      <c r="E27" s="42" t="s">
        <v>34</v>
      </c>
      <c r="F27" s="42" t="s">
        <v>205</v>
      </c>
      <c r="G27" s="42">
        <v>4.0</v>
      </c>
      <c r="H27" s="42">
        <v>6.8525000789E11</v>
      </c>
      <c r="I27" s="43" t="s">
        <v>206</v>
      </c>
      <c r="J27" s="42" t="s">
        <v>207</v>
      </c>
      <c r="K27" s="45">
        <v>45819.0</v>
      </c>
      <c r="L27" s="38" t="s">
        <v>53</v>
      </c>
      <c r="M27" s="42" t="s">
        <v>54</v>
      </c>
      <c r="N27" s="47"/>
      <c r="O27" s="47"/>
      <c r="P27" s="63"/>
      <c r="Q27" s="70"/>
      <c r="R27" s="63"/>
      <c r="S27" s="65"/>
      <c r="T27" s="65"/>
      <c r="U27" s="55"/>
      <c r="V27" s="57"/>
      <c r="W27" s="57"/>
    </row>
    <row r="28">
      <c r="A28" s="36" t="s">
        <v>213</v>
      </c>
      <c r="B28" s="38" t="s">
        <v>183</v>
      </c>
      <c r="C28" s="38" t="str">
        <f>IF(B28="","",(VLOOKUP(B28,'Dados de PN'!$A:$B,2,0)))</f>
        <v>CONJUNTO DE FREIO</v>
      </c>
      <c r="D28" s="71"/>
      <c r="E28" s="42" t="s">
        <v>99</v>
      </c>
      <c r="F28" s="42" t="s">
        <v>35</v>
      </c>
      <c r="G28" s="42">
        <v>1.0</v>
      </c>
      <c r="H28" s="42">
        <v>6.93250000848E11</v>
      </c>
      <c r="I28" s="43" t="s">
        <v>218</v>
      </c>
      <c r="J28" s="42" t="s">
        <v>37</v>
      </c>
      <c r="K28" s="45">
        <v>45821.0</v>
      </c>
      <c r="L28" s="38" t="s">
        <v>219</v>
      </c>
      <c r="M28" s="42" t="s">
        <v>47</v>
      </c>
      <c r="N28" s="47"/>
      <c r="O28" s="47"/>
      <c r="P28" s="113" t="s">
        <v>186</v>
      </c>
      <c r="Q28" s="93" t="s">
        <v>187</v>
      </c>
      <c r="R28" s="97" t="s">
        <v>221</v>
      </c>
      <c r="S28" s="65"/>
      <c r="T28" s="94">
        <v>45876.0</v>
      </c>
      <c r="U28" s="95" t="s">
        <v>223</v>
      </c>
      <c r="V28" s="57"/>
      <c r="W28" s="75" t="s">
        <v>66</v>
      </c>
    </row>
    <row r="29">
      <c r="A29" s="36" t="s">
        <v>225</v>
      </c>
      <c r="B29" s="38" t="s">
        <v>192</v>
      </c>
      <c r="C29" s="38" t="str">
        <f>IF(B29="","",(VLOOKUP(B29,'Dados de PN'!$A:$B,2,0)))</f>
        <v>CABLE ASSY-FLAP INDICATOR</v>
      </c>
      <c r="D29" s="38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3" t="s">
        <v>229</v>
      </c>
      <c r="J29" s="42" t="s">
        <v>37</v>
      </c>
      <c r="K29" s="45">
        <v>45824.0</v>
      </c>
      <c r="L29" s="38" t="s">
        <v>46</v>
      </c>
      <c r="M29" s="42" t="s">
        <v>47</v>
      </c>
      <c r="N29" s="47"/>
      <c r="O29" s="47"/>
      <c r="P29" s="63"/>
      <c r="Q29" s="70"/>
      <c r="R29" s="63"/>
      <c r="S29" s="65"/>
      <c r="T29" s="65"/>
      <c r="U29" s="55"/>
      <c r="V29" s="57"/>
      <c r="W29" s="57"/>
    </row>
    <row r="30">
      <c r="A30" s="36" t="s">
        <v>234</v>
      </c>
      <c r="B30" s="119" t="s">
        <v>198</v>
      </c>
      <c r="C30" s="38" t="str">
        <f>IF(B30="","",(VLOOKUP(B30,'Dados de PN'!$A:$B,2,0)))</f>
        <v>IND OIL TEMP/P</v>
      </c>
      <c r="D30" s="120">
        <v>890716.0</v>
      </c>
      <c r="E30" s="42" t="s">
        <v>99</v>
      </c>
      <c r="F30" s="42" t="s">
        <v>35</v>
      </c>
      <c r="G30" s="42">
        <v>1.0</v>
      </c>
      <c r="H30" s="42">
        <v>1.4791313E7</v>
      </c>
      <c r="I30" s="43" t="s">
        <v>235</v>
      </c>
      <c r="J30" s="42" t="s">
        <v>37</v>
      </c>
      <c r="K30" s="45">
        <v>45825.0</v>
      </c>
      <c r="L30" s="38" t="s">
        <v>238</v>
      </c>
      <c r="M30" s="42" t="s">
        <v>122</v>
      </c>
      <c r="N30" s="47"/>
      <c r="O30" s="47"/>
      <c r="P30" s="63"/>
      <c r="Q30" s="70"/>
      <c r="R30" s="63"/>
      <c r="S30" s="65"/>
      <c r="T30" s="65"/>
      <c r="U30" s="55"/>
      <c r="V30" s="57"/>
      <c r="W30" s="57"/>
    </row>
    <row r="31">
      <c r="A31" s="36" t="s">
        <v>241</v>
      </c>
      <c r="B31" s="38" t="s">
        <v>202</v>
      </c>
      <c r="C31" s="38" t="str">
        <f>IF(B31="","",(VLOOKUP(B31,'Dados de PN'!$A:$B,2,0)))</f>
        <v>SENSOR, FUEL LEVEL SHORT</v>
      </c>
      <c r="D31" s="38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3" t="s">
        <v>244</v>
      </c>
      <c r="J31" s="42" t="s">
        <v>37</v>
      </c>
      <c r="K31" s="45">
        <v>45836.0</v>
      </c>
      <c r="L31" s="38" t="s">
        <v>46</v>
      </c>
      <c r="M31" s="42" t="s">
        <v>47</v>
      </c>
      <c r="N31" s="47"/>
      <c r="O31" s="47"/>
      <c r="P31" s="63"/>
      <c r="Q31" s="70"/>
      <c r="R31" s="63"/>
      <c r="S31" s="65"/>
      <c r="T31" s="65"/>
      <c r="U31" s="55"/>
      <c r="V31" s="57"/>
      <c r="W31" s="57"/>
    </row>
    <row r="32">
      <c r="A32" s="36" t="s">
        <v>247</v>
      </c>
      <c r="B32" s="38" t="s">
        <v>210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118</v>
      </c>
      <c r="G32" s="42">
        <v>2.0</v>
      </c>
      <c r="H32" s="42">
        <v>3.96250014839E11</v>
      </c>
      <c r="I32" s="43" t="s">
        <v>251</v>
      </c>
      <c r="J32" s="42" t="s">
        <v>37</v>
      </c>
      <c r="K32" s="45">
        <v>45839.0</v>
      </c>
      <c r="L32" s="38" t="s">
        <v>252</v>
      </c>
      <c r="M32" s="42" t="s">
        <v>61</v>
      </c>
      <c r="N32" s="47"/>
      <c r="O32" s="47"/>
      <c r="P32" s="92" t="s">
        <v>215</v>
      </c>
      <c r="Q32" s="93" t="s">
        <v>216</v>
      </c>
      <c r="R32" s="93" t="s">
        <v>254</v>
      </c>
      <c r="S32" s="65"/>
      <c r="T32" s="94">
        <v>45912.0</v>
      </c>
      <c r="U32" s="95" t="s">
        <v>255</v>
      </c>
      <c r="V32" s="57"/>
      <c r="W32" s="75" t="s">
        <v>66</v>
      </c>
    </row>
    <row r="33">
      <c r="A33" s="36" t="s">
        <v>257</v>
      </c>
      <c r="B33" s="38" t="s">
        <v>220</v>
      </c>
      <c r="C33" s="38" t="str">
        <f>IF(B33="","",(VLOOKUP(B33,'Dados de PN'!$A:$B,2,0)))</f>
        <v>BOLT,INTERNAL WRENCHING</v>
      </c>
      <c r="D33" s="38" t="s">
        <v>33</v>
      </c>
      <c r="E33" s="42" t="s">
        <v>34</v>
      </c>
      <c r="F33" s="42" t="s">
        <v>118</v>
      </c>
      <c r="G33" s="42">
        <v>2.0</v>
      </c>
      <c r="H33" s="42">
        <v>3.9625001484E11</v>
      </c>
      <c r="I33" s="43" t="s">
        <v>251</v>
      </c>
      <c r="J33" s="42" t="s">
        <v>37</v>
      </c>
      <c r="K33" s="45">
        <v>45839.0</v>
      </c>
      <c r="L33" s="38" t="s">
        <v>252</v>
      </c>
      <c r="M33" s="42" t="s">
        <v>61</v>
      </c>
      <c r="N33" s="47"/>
      <c r="O33" s="47"/>
      <c r="P33" s="63"/>
      <c r="Q33" s="70"/>
      <c r="R33" s="63"/>
      <c r="S33" s="65"/>
      <c r="T33" s="65"/>
      <c r="U33" s="55"/>
      <c r="V33" s="57"/>
      <c r="W33" s="57"/>
    </row>
    <row r="34">
      <c r="A34" s="36" t="s">
        <v>265</v>
      </c>
      <c r="B34" s="38" t="s">
        <v>227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3" t="s">
        <v>270</v>
      </c>
      <c r="J34" s="42" t="s">
        <v>37</v>
      </c>
      <c r="K34" s="45">
        <v>45845.0</v>
      </c>
      <c r="L34" s="38" t="s">
        <v>271</v>
      </c>
      <c r="M34" s="42" t="s">
        <v>272</v>
      </c>
      <c r="N34" s="47"/>
      <c r="O34" s="47"/>
      <c r="P34" s="92" t="s">
        <v>227</v>
      </c>
      <c r="Q34" s="93" t="s">
        <v>230</v>
      </c>
      <c r="R34" s="93" t="s">
        <v>231</v>
      </c>
      <c r="S34" s="65"/>
      <c r="T34" s="94">
        <v>45912.0</v>
      </c>
      <c r="U34" s="95" t="s">
        <v>275</v>
      </c>
      <c r="V34" s="57"/>
      <c r="W34" s="75" t="s">
        <v>66</v>
      </c>
    </row>
    <row r="35">
      <c r="A35" s="36" t="s">
        <v>276</v>
      </c>
      <c r="B35" s="38" t="s">
        <v>232</v>
      </c>
      <c r="C35" s="38" t="str">
        <f>IF(B35="","",(VLOOKUP(B35,'Dados de PN'!$A:$B,2,0)))</f>
        <v>TRANSMITER FUEL</v>
      </c>
      <c r="D35" s="38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3" t="s">
        <v>280</v>
      </c>
      <c r="J35" s="42" t="s">
        <v>37</v>
      </c>
      <c r="K35" s="45">
        <v>45856.0</v>
      </c>
      <c r="L35" s="38" t="s">
        <v>120</v>
      </c>
      <c r="M35" s="42" t="s">
        <v>122</v>
      </c>
      <c r="N35" s="47"/>
      <c r="O35" s="47"/>
      <c r="P35" s="63"/>
      <c r="Q35" s="70"/>
      <c r="R35" s="63"/>
      <c r="S35" s="65"/>
      <c r="T35" s="65"/>
      <c r="U35" s="55"/>
      <c r="V35" s="57"/>
      <c r="W35" s="57"/>
    </row>
    <row r="36">
      <c r="A36" s="36" t="s">
        <v>284</v>
      </c>
      <c r="B36" s="38" t="s">
        <v>236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3" t="s">
        <v>280</v>
      </c>
      <c r="J36" s="42" t="s">
        <v>37</v>
      </c>
      <c r="K36" s="45">
        <v>45856.0</v>
      </c>
      <c r="L36" s="38" t="s">
        <v>120</v>
      </c>
      <c r="M36" s="42" t="s">
        <v>122</v>
      </c>
      <c r="N36" s="47"/>
      <c r="O36" s="47"/>
      <c r="P36" s="92" t="s">
        <v>236</v>
      </c>
      <c r="Q36" s="93" t="s">
        <v>239</v>
      </c>
      <c r="R36" s="93" t="s">
        <v>240</v>
      </c>
      <c r="S36" s="65"/>
      <c r="T36" s="94">
        <v>45912.0</v>
      </c>
      <c r="U36" s="95" t="s">
        <v>292</v>
      </c>
      <c r="V36" s="57"/>
      <c r="W36" s="75" t="s">
        <v>66</v>
      </c>
    </row>
    <row r="37">
      <c r="A37" s="36" t="s">
        <v>294</v>
      </c>
      <c r="B37" s="38" t="s">
        <v>242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118</v>
      </c>
      <c r="G37" s="42">
        <v>2.0</v>
      </c>
      <c r="H37" s="42">
        <v>1.5062865E7</v>
      </c>
      <c r="I37" s="43" t="s">
        <v>280</v>
      </c>
      <c r="J37" s="42" t="s">
        <v>37</v>
      </c>
      <c r="K37" s="45">
        <v>45856.0</v>
      </c>
      <c r="L37" s="38" t="s">
        <v>120</v>
      </c>
      <c r="M37" s="42" t="s">
        <v>122</v>
      </c>
      <c r="N37" s="47"/>
      <c r="O37" s="47"/>
      <c r="P37" s="92" t="s">
        <v>242</v>
      </c>
      <c r="Q37" s="93" t="s">
        <v>245</v>
      </c>
      <c r="R37" s="93" t="s">
        <v>240</v>
      </c>
      <c r="S37" s="65"/>
      <c r="T37" s="94">
        <v>45912.0</v>
      </c>
      <c r="U37" s="95" t="s">
        <v>292</v>
      </c>
      <c r="V37" s="57"/>
      <c r="W37" s="75" t="s">
        <v>66</v>
      </c>
    </row>
    <row r="38">
      <c r="A38" s="36" t="s">
        <v>300</v>
      </c>
      <c r="B38" s="38" t="s">
        <v>246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302</v>
      </c>
      <c r="G38" s="42">
        <v>3.0</v>
      </c>
      <c r="H38" s="42">
        <v>1.5062866E7</v>
      </c>
      <c r="I38" s="43" t="s">
        <v>280</v>
      </c>
      <c r="J38" s="42" t="s">
        <v>37</v>
      </c>
      <c r="K38" s="45">
        <v>45856.0</v>
      </c>
      <c r="L38" s="38" t="s">
        <v>120</v>
      </c>
      <c r="M38" s="42" t="s">
        <v>122</v>
      </c>
      <c r="N38" s="47"/>
      <c r="O38" s="47"/>
      <c r="P38" s="92" t="s">
        <v>246</v>
      </c>
      <c r="Q38" s="93" t="s">
        <v>248</v>
      </c>
      <c r="R38" s="93" t="s">
        <v>240</v>
      </c>
      <c r="S38" s="65"/>
      <c r="T38" s="94">
        <v>45912.0</v>
      </c>
      <c r="U38" s="95" t="s">
        <v>292</v>
      </c>
      <c r="V38" s="57"/>
      <c r="W38" s="75" t="s">
        <v>66</v>
      </c>
    </row>
    <row r="39">
      <c r="A39" s="36" t="s">
        <v>305</v>
      </c>
      <c r="B39" s="38" t="s">
        <v>249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308</v>
      </c>
      <c r="G39" s="42">
        <v>10.0</v>
      </c>
      <c r="H39" s="42" t="s">
        <v>309</v>
      </c>
      <c r="I39" s="43" t="s">
        <v>280</v>
      </c>
      <c r="J39" s="42" t="s">
        <v>37</v>
      </c>
      <c r="K39" s="45">
        <v>45856.0</v>
      </c>
      <c r="L39" s="38" t="s">
        <v>120</v>
      </c>
      <c r="M39" s="42" t="s">
        <v>122</v>
      </c>
      <c r="N39" s="47"/>
      <c r="O39" s="47"/>
      <c r="P39" s="92" t="s">
        <v>249</v>
      </c>
      <c r="Q39" s="93" t="s">
        <v>253</v>
      </c>
      <c r="R39" s="93" t="s">
        <v>240</v>
      </c>
      <c r="S39" s="65"/>
      <c r="T39" s="94">
        <v>45912.0</v>
      </c>
      <c r="U39" s="95" t="s">
        <v>292</v>
      </c>
      <c r="V39" s="57"/>
      <c r="W39" s="75" t="s">
        <v>66</v>
      </c>
    </row>
    <row r="40">
      <c r="A40" s="36" t="s">
        <v>313</v>
      </c>
      <c r="B40" s="38" t="s">
        <v>256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302</v>
      </c>
      <c r="G40" s="42">
        <v>3.0</v>
      </c>
      <c r="H40" s="42" t="s">
        <v>314</v>
      </c>
      <c r="I40" s="43" t="s">
        <v>280</v>
      </c>
      <c r="J40" s="42" t="s">
        <v>37</v>
      </c>
      <c r="K40" s="45">
        <v>45856.0</v>
      </c>
      <c r="L40" s="38" t="s">
        <v>120</v>
      </c>
      <c r="M40" s="42" t="s">
        <v>122</v>
      </c>
      <c r="N40" s="47"/>
      <c r="O40" s="47"/>
      <c r="P40" s="92" t="s">
        <v>256</v>
      </c>
      <c r="Q40" s="93" t="s">
        <v>239</v>
      </c>
      <c r="R40" s="93" t="s">
        <v>240</v>
      </c>
      <c r="S40" s="65"/>
      <c r="T40" s="94">
        <v>45912.0</v>
      </c>
      <c r="U40" s="95" t="s">
        <v>292</v>
      </c>
      <c r="V40" s="57"/>
      <c r="W40" s="75" t="s">
        <v>66</v>
      </c>
    </row>
    <row r="41">
      <c r="A41" s="36" t="s">
        <v>317</v>
      </c>
      <c r="B41" s="38" t="s">
        <v>262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308</v>
      </c>
      <c r="G41" s="42">
        <v>10.0</v>
      </c>
      <c r="H41" s="42" t="s">
        <v>321</v>
      </c>
      <c r="I41" s="43" t="s">
        <v>280</v>
      </c>
      <c r="J41" s="42" t="s">
        <v>37</v>
      </c>
      <c r="K41" s="45">
        <v>45866.0</v>
      </c>
      <c r="L41" s="38" t="s">
        <v>120</v>
      </c>
      <c r="M41" s="42" t="s">
        <v>122</v>
      </c>
      <c r="N41" s="47"/>
      <c r="O41" s="47"/>
      <c r="P41" s="92" t="s">
        <v>262</v>
      </c>
      <c r="Q41" s="93" t="s">
        <v>264</v>
      </c>
      <c r="R41" s="93" t="s">
        <v>266</v>
      </c>
      <c r="S41" s="65"/>
      <c r="T41" s="94">
        <v>45916.0</v>
      </c>
      <c r="U41" s="95" t="s">
        <v>322</v>
      </c>
      <c r="V41" s="57"/>
      <c r="W41" s="75" t="s">
        <v>66</v>
      </c>
    </row>
    <row r="42">
      <c r="A42" s="36" t="s">
        <v>325</v>
      </c>
      <c r="B42" s="38" t="s">
        <v>103</v>
      </c>
      <c r="C42" s="38" t="str">
        <f>IF(B42="","",(VLOOKUP(B42,'Dados de PN'!$A:$B,2,0)))</f>
        <v>INSULATOR</v>
      </c>
      <c r="D42" s="38" t="s">
        <v>33</v>
      </c>
      <c r="E42" s="42" t="s">
        <v>34</v>
      </c>
      <c r="F42" s="42" t="s">
        <v>118</v>
      </c>
      <c r="G42" s="42">
        <v>2.0</v>
      </c>
      <c r="H42" s="42" t="s">
        <v>326</v>
      </c>
      <c r="I42" s="43" t="s">
        <v>280</v>
      </c>
      <c r="J42" s="42" t="s">
        <v>37</v>
      </c>
      <c r="K42" s="45">
        <v>45866.0</v>
      </c>
      <c r="L42" s="38" t="s">
        <v>120</v>
      </c>
      <c r="M42" s="42" t="s">
        <v>122</v>
      </c>
      <c r="N42" s="47"/>
      <c r="O42" s="47"/>
      <c r="P42" s="63"/>
      <c r="Q42" s="70"/>
      <c r="R42" s="63"/>
      <c r="S42" s="65"/>
      <c r="T42" s="65"/>
      <c r="U42" s="55"/>
      <c r="V42" s="57"/>
      <c r="W42" s="57"/>
    </row>
    <row r="43">
      <c r="A43" s="36" t="s">
        <v>329</v>
      </c>
      <c r="B43" s="38" t="s">
        <v>256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118</v>
      </c>
      <c r="G43" s="42">
        <v>2.0</v>
      </c>
      <c r="H43" s="42" t="s">
        <v>332</v>
      </c>
      <c r="I43" s="43" t="s">
        <v>280</v>
      </c>
      <c r="J43" s="42" t="s">
        <v>37</v>
      </c>
      <c r="K43" s="45">
        <v>45866.0</v>
      </c>
      <c r="L43" s="38" t="s">
        <v>120</v>
      </c>
      <c r="M43" s="42" t="s">
        <v>122</v>
      </c>
      <c r="N43" s="47"/>
      <c r="O43" s="47"/>
      <c r="P43" s="92" t="s">
        <v>256</v>
      </c>
      <c r="Q43" s="93" t="s">
        <v>239</v>
      </c>
      <c r="R43" s="93" t="s">
        <v>240</v>
      </c>
      <c r="S43" s="65"/>
      <c r="T43" s="94">
        <v>45912.0</v>
      </c>
      <c r="U43" s="95" t="s">
        <v>334</v>
      </c>
      <c r="V43" s="57"/>
      <c r="W43" s="75" t="s">
        <v>66</v>
      </c>
    </row>
    <row r="44">
      <c r="A44" s="36" t="s">
        <v>336</v>
      </c>
      <c r="B44" s="38" t="s">
        <v>277</v>
      </c>
      <c r="C44" s="38" t="str">
        <f>IF(B44="","",(VLOOKUP(B44,'Dados de PN'!$A:$B,2,0)))</f>
        <v>CONTROL,DIRECTIONAL,AUTOMATIC PILOT</v>
      </c>
      <c r="D44" s="38" t="s">
        <v>337</v>
      </c>
      <c r="E44" s="42" t="s">
        <v>99</v>
      </c>
      <c r="F44" s="42" t="s">
        <v>35</v>
      </c>
      <c r="G44" s="42">
        <v>1.0</v>
      </c>
      <c r="H44" s="42" t="s">
        <v>338</v>
      </c>
      <c r="I44" s="43" t="s">
        <v>280</v>
      </c>
      <c r="J44" s="42" t="s">
        <v>37</v>
      </c>
      <c r="K44" s="45">
        <v>45866.0</v>
      </c>
      <c r="L44" s="38" t="s">
        <v>120</v>
      </c>
      <c r="M44" s="42" t="s">
        <v>122</v>
      </c>
      <c r="N44" s="47"/>
      <c r="O44" s="47"/>
      <c r="P44" s="63"/>
      <c r="Q44" s="70"/>
      <c r="R44" s="63"/>
      <c r="S44" s="65"/>
      <c r="T44" s="65"/>
      <c r="U44" s="55"/>
      <c r="V44" s="57"/>
      <c r="W44" s="57"/>
    </row>
    <row r="45">
      <c r="A45" s="36" t="s">
        <v>340</v>
      </c>
      <c r="B45" s="38" t="s">
        <v>285</v>
      </c>
      <c r="C45" s="38" t="str">
        <f>IF(B45="","",(VLOOKUP(B45,'Dados de PN'!$A:$B,2,0)))</f>
        <v>RECEPTOR</v>
      </c>
      <c r="D45" s="38" t="s">
        <v>343</v>
      </c>
      <c r="E45" s="42" t="s">
        <v>99</v>
      </c>
      <c r="F45" s="42" t="s">
        <v>35</v>
      </c>
      <c r="G45" s="42">
        <v>1.0</v>
      </c>
      <c r="H45" s="42" t="s">
        <v>344</v>
      </c>
      <c r="I45" s="43" t="s">
        <v>280</v>
      </c>
      <c r="J45" s="42" t="s">
        <v>37</v>
      </c>
      <c r="K45" s="45">
        <v>45866.0</v>
      </c>
      <c r="L45" s="38" t="s">
        <v>120</v>
      </c>
      <c r="M45" s="42" t="s">
        <v>122</v>
      </c>
      <c r="N45" s="47"/>
      <c r="O45" s="47"/>
      <c r="P45" s="92" t="s">
        <v>287</v>
      </c>
      <c r="Q45" s="93" t="s">
        <v>288</v>
      </c>
      <c r="R45" s="93" t="s">
        <v>289</v>
      </c>
      <c r="S45" s="65"/>
      <c r="T45" s="94">
        <v>46002.0</v>
      </c>
      <c r="U45" s="99" t="s">
        <v>347</v>
      </c>
      <c r="V45" s="57"/>
      <c r="W45" s="75" t="s">
        <v>66</v>
      </c>
    </row>
    <row r="46">
      <c r="A46" s="36" t="s">
        <v>349</v>
      </c>
      <c r="B46" s="38" t="s">
        <v>290</v>
      </c>
      <c r="C46" s="38" t="str">
        <f>IF(B46="","",(VLOOKUP(B46,'Dados de PN'!$A:$B,2,0)))</f>
        <v>AFCS MODE CONTROLLER GMC 710</v>
      </c>
      <c r="D46" s="38" t="s">
        <v>352</v>
      </c>
      <c r="E46" s="42" t="s">
        <v>99</v>
      </c>
      <c r="F46" s="42" t="s">
        <v>35</v>
      </c>
      <c r="G46" s="42">
        <v>1.0</v>
      </c>
      <c r="H46" s="42">
        <v>3.13250016954E11</v>
      </c>
      <c r="I46" s="43" t="s">
        <v>353</v>
      </c>
      <c r="J46" s="42" t="s">
        <v>37</v>
      </c>
      <c r="K46" s="45">
        <v>45882.0</v>
      </c>
      <c r="L46" s="38" t="s">
        <v>46</v>
      </c>
      <c r="M46" s="42" t="s">
        <v>47</v>
      </c>
      <c r="N46" s="47"/>
      <c r="O46" s="47"/>
      <c r="P46" s="63"/>
      <c r="Q46" s="70"/>
      <c r="R46" s="63"/>
      <c r="S46" s="65"/>
      <c r="T46" s="65"/>
      <c r="U46" s="55"/>
      <c r="V46" s="57"/>
      <c r="W46" s="57"/>
    </row>
    <row r="47">
      <c r="A47" s="36" t="s">
        <v>355</v>
      </c>
      <c r="B47" s="38" t="s">
        <v>295</v>
      </c>
      <c r="C47" s="38" t="str">
        <f>IF(B47="","",(VLOOKUP(B47,'Dados de PN'!$A:$B,2,0)))</f>
        <v>POST LIGHT</v>
      </c>
      <c r="D47" s="38" t="s">
        <v>33</v>
      </c>
      <c r="E47" s="120" t="s">
        <v>34</v>
      </c>
      <c r="F47" s="42" t="s">
        <v>205</v>
      </c>
      <c r="G47" s="42">
        <v>4.0</v>
      </c>
      <c r="H47" s="42">
        <v>1.5274927E7</v>
      </c>
      <c r="I47" s="43" t="s">
        <v>358</v>
      </c>
      <c r="J47" s="42" t="s">
        <v>37</v>
      </c>
      <c r="K47" s="45">
        <v>45882.0</v>
      </c>
      <c r="L47" s="38" t="s">
        <v>120</v>
      </c>
      <c r="M47" s="42" t="s">
        <v>122</v>
      </c>
      <c r="N47" s="47"/>
      <c r="O47" s="47"/>
      <c r="P47" s="63"/>
      <c r="Q47" s="70"/>
      <c r="R47" s="63"/>
      <c r="S47" s="65"/>
      <c r="T47" s="65"/>
      <c r="U47" s="55"/>
      <c r="V47" s="57"/>
      <c r="W47" s="57"/>
    </row>
    <row r="48">
      <c r="A48" s="36" t="s">
        <v>361</v>
      </c>
      <c r="B48" s="38" t="s">
        <v>297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118</v>
      </c>
      <c r="G48" s="42">
        <v>2.0</v>
      </c>
      <c r="H48" s="42">
        <v>1.5329914E7</v>
      </c>
      <c r="I48" s="43" t="s">
        <v>362</v>
      </c>
      <c r="J48" s="42" t="s">
        <v>37</v>
      </c>
      <c r="K48" s="45">
        <v>45890.0</v>
      </c>
      <c r="L48" s="38" t="s">
        <v>363</v>
      </c>
      <c r="M48" s="42" t="s">
        <v>364</v>
      </c>
      <c r="N48" s="47"/>
      <c r="O48" s="47"/>
      <c r="P48" s="92" t="s">
        <v>279</v>
      </c>
      <c r="Q48" s="93" t="s">
        <v>163</v>
      </c>
      <c r="R48" s="93" t="s">
        <v>301</v>
      </c>
      <c r="S48" s="65"/>
      <c r="T48" s="94">
        <v>45944.0</v>
      </c>
      <c r="U48" s="95" t="s">
        <v>365</v>
      </c>
      <c r="V48" s="57"/>
      <c r="W48" s="75" t="s">
        <v>66</v>
      </c>
    </row>
    <row r="49">
      <c r="A49" s="36" t="s">
        <v>366</v>
      </c>
      <c r="B49" s="38" t="s">
        <v>303</v>
      </c>
      <c r="C49" s="38" t="str">
        <f>IF(B49="","",(VLOOKUP(B49,'Dados de PN'!$A:$B,2,0)))</f>
        <v>VALVE ASSY FUEL VENT</v>
      </c>
      <c r="D49" s="38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3" t="s">
        <v>369</v>
      </c>
      <c r="J49" s="42" t="s">
        <v>37</v>
      </c>
      <c r="K49" s="45">
        <v>45903.0</v>
      </c>
      <c r="L49" s="38" t="s">
        <v>370</v>
      </c>
      <c r="M49" s="42" t="s">
        <v>47</v>
      </c>
      <c r="N49" s="47"/>
      <c r="O49" s="47"/>
      <c r="P49" s="63"/>
      <c r="Q49" s="70"/>
      <c r="R49" s="63"/>
      <c r="S49" s="65"/>
      <c r="T49" s="65"/>
      <c r="U49" s="55"/>
      <c r="V49" s="57"/>
      <c r="W49" s="57"/>
    </row>
    <row r="50">
      <c r="A50" s="36" t="s">
        <v>371</v>
      </c>
      <c r="B50" s="38" t="s">
        <v>306</v>
      </c>
      <c r="C50" s="38" t="str">
        <f>IF(B50="","",(VLOOKUP(B50,'Dados de PN'!$A:$B,2,0)))</f>
        <v>TIE DOWM ASSY</v>
      </c>
      <c r="D50" s="38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3" t="s">
        <v>374</v>
      </c>
      <c r="J50" s="42" t="s">
        <v>37</v>
      </c>
      <c r="K50" s="45">
        <v>45904.0</v>
      </c>
      <c r="L50" s="38" t="s">
        <v>110</v>
      </c>
      <c r="M50" s="42" t="s">
        <v>54</v>
      </c>
      <c r="N50" s="47"/>
      <c r="O50" s="47"/>
      <c r="P50" s="63"/>
      <c r="Q50" s="70"/>
      <c r="R50" s="63"/>
      <c r="S50" s="65"/>
      <c r="T50" s="65"/>
      <c r="U50" s="55"/>
      <c r="V50" s="57"/>
      <c r="W50" s="57"/>
    </row>
    <row r="51">
      <c r="A51" s="36" t="s">
        <v>375</v>
      </c>
      <c r="B51" s="38" t="s">
        <v>310</v>
      </c>
      <c r="C51" s="38" t="str">
        <f>IF(B51="","",(VLOOKUP(B51,'Dados de PN'!$A:$B,2,0)))</f>
        <v>TRUNNION ASSY GEAR LH</v>
      </c>
      <c r="D51" s="38" t="s">
        <v>312</v>
      </c>
      <c r="E51" s="42" t="s">
        <v>99</v>
      </c>
      <c r="F51" s="42" t="s">
        <v>35</v>
      </c>
      <c r="G51" s="42">
        <v>1.0</v>
      </c>
      <c r="H51" s="42">
        <v>1.5576074E7</v>
      </c>
      <c r="I51" s="43" t="s">
        <v>378</v>
      </c>
      <c r="J51" s="42" t="s">
        <v>37</v>
      </c>
      <c r="K51" s="45">
        <v>45912.0</v>
      </c>
      <c r="L51" s="38" t="s">
        <v>142</v>
      </c>
      <c r="M51" s="42" t="s">
        <v>54</v>
      </c>
      <c r="N51" s="47"/>
      <c r="O51" s="47"/>
      <c r="P51" s="63"/>
      <c r="Q51" s="70"/>
      <c r="R51" s="63"/>
      <c r="S51" s="65"/>
      <c r="T51" s="65"/>
      <c r="U51" s="55"/>
      <c r="V51" s="57"/>
      <c r="W51" s="57"/>
    </row>
    <row r="52">
      <c r="A52" s="36" t="s">
        <v>380</v>
      </c>
      <c r="B52" s="38" t="s">
        <v>315</v>
      </c>
      <c r="C52" s="38" t="str">
        <f>IF(B52="","",(VLOOKUP(B52,'Dados de PN'!$A:$B,2,0)))</f>
        <v>STATIC WICK</v>
      </c>
      <c r="D52" s="38" t="s">
        <v>33</v>
      </c>
      <c r="E52" s="42" t="s">
        <v>34</v>
      </c>
      <c r="F52" s="42" t="s">
        <v>308</v>
      </c>
      <c r="G52" s="42">
        <v>10.0</v>
      </c>
      <c r="H52" s="42">
        <v>3.86250012764E11</v>
      </c>
      <c r="I52" s="43" t="s">
        <v>382</v>
      </c>
      <c r="J52" s="42" t="s">
        <v>37</v>
      </c>
      <c r="K52" s="45">
        <v>45925.0</v>
      </c>
      <c r="L52" s="38" t="s">
        <v>383</v>
      </c>
      <c r="M52" s="42" t="s">
        <v>384</v>
      </c>
      <c r="N52" s="47"/>
      <c r="O52" s="47"/>
      <c r="P52" s="63"/>
      <c r="Q52" s="70"/>
      <c r="R52" s="63"/>
      <c r="S52" s="65"/>
      <c r="T52" s="65"/>
      <c r="U52" s="99" t="s">
        <v>387</v>
      </c>
      <c r="V52" s="75"/>
      <c r="W52" s="57"/>
    </row>
    <row r="53">
      <c r="A53" s="36" t="s">
        <v>388</v>
      </c>
      <c r="B53" s="38" t="s">
        <v>318</v>
      </c>
      <c r="C53" s="38" t="str">
        <f>IF(B53="","",(VLOOKUP(B53,'Dados de PN'!$A:$B,2,0)))</f>
        <v>SENSOR, FUEL LEVEL</v>
      </c>
      <c r="D53" s="38" t="s">
        <v>320</v>
      </c>
      <c r="E53" s="42" t="s">
        <v>34</v>
      </c>
      <c r="F53" s="42" t="s">
        <v>35</v>
      </c>
      <c r="G53" s="42">
        <v>1.0</v>
      </c>
      <c r="H53" s="42">
        <v>3.1325001706E11</v>
      </c>
      <c r="I53" s="43" t="s">
        <v>391</v>
      </c>
      <c r="J53" s="42" t="s">
        <v>37</v>
      </c>
      <c r="K53" s="45">
        <v>45924.0</v>
      </c>
      <c r="L53" s="38" t="s">
        <v>370</v>
      </c>
      <c r="M53" s="42" t="s">
        <v>47</v>
      </c>
      <c r="N53" s="47"/>
      <c r="O53" s="47"/>
      <c r="P53" s="63"/>
      <c r="Q53" s="70"/>
      <c r="R53" s="63"/>
      <c r="S53" s="65"/>
      <c r="T53" s="65"/>
      <c r="U53" s="55"/>
      <c r="V53" s="57"/>
      <c r="W53" s="57"/>
    </row>
    <row r="54">
      <c r="A54" s="36" t="s">
        <v>392</v>
      </c>
      <c r="B54" s="38" t="s">
        <v>323</v>
      </c>
      <c r="C54" s="38" t="str">
        <f>IF(B54="","",(VLOOKUP(B54,'Dados de PN'!$A:$B,2,0)))</f>
        <v>LOW L SWITCH</v>
      </c>
      <c r="D54" s="38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3" t="s">
        <v>382</v>
      </c>
      <c r="J54" s="42" t="s">
        <v>37</v>
      </c>
      <c r="K54" s="45">
        <v>45930.0</v>
      </c>
      <c r="L54" s="38" t="s">
        <v>395</v>
      </c>
      <c r="M54" s="42" t="s">
        <v>47</v>
      </c>
      <c r="N54" s="47"/>
      <c r="O54" s="47"/>
      <c r="P54" s="63"/>
      <c r="Q54" s="70"/>
      <c r="R54" s="63"/>
      <c r="S54" s="65"/>
      <c r="T54" s="65"/>
      <c r="U54" s="55"/>
      <c r="V54" s="57"/>
      <c r="W54" s="57"/>
    </row>
    <row r="55">
      <c r="A55" s="36" t="s">
        <v>398</v>
      </c>
      <c r="B55" s="38" t="s">
        <v>327</v>
      </c>
      <c r="C55" s="38" t="str">
        <f>IF(B55="","",(VLOOKUP(B55,'Dados de PN'!$A:$B,2,0)))</f>
        <v>CAP</v>
      </c>
      <c r="D55" s="38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3" t="s">
        <v>401</v>
      </c>
      <c r="J55" s="42" t="s">
        <v>37</v>
      </c>
      <c r="K55" s="45">
        <v>45930.0</v>
      </c>
      <c r="L55" s="38" t="s">
        <v>142</v>
      </c>
      <c r="M55" s="42" t="s">
        <v>54</v>
      </c>
      <c r="N55" s="47"/>
      <c r="O55" s="47"/>
      <c r="P55" s="63"/>
      <c r="Q55" s="70"/>
      <c r="R55" s="63"/>
      <c r="S55" s="65"/>
      <c r="T55" s="65"/>
      <c r="U55" s="55"/>
      <c r="V55" s="57"/>
      <c r="W55" s="57"/>
    </row>
    <row r="56">
      <c r="A56" s="36" t="s">
        <v>402</v>
      </c>
      <c r="B56" s="38" t="s">
        <v>330</v>
      </c>
      <c r="C56" s="38" t="str">
        <f>IF(B56="","",(VLOOKUP(B56,'Dados de PN'!$A:$B,2,0)))</f>
        <v>TRUNION ASSY-RH-MAIN GEAR</v>
      </c>
      <c r="D56" s="38" t="s">
        <v>405</v>
      </c>
      <c r="E56" s="42" t="s">
        <v>99</v>
      </c>
      <c r="F56" s="42" t="s">
        <v>35</v>
      </c>
      <c r="G56" s="42">
        <v>1.0</v>
      </c>
      <c r="H56" s="42">
        <v>1.5737266E7</v>
      </c>
      <c r="I56" s="43" t="s">
        <v>406</v>
      </c>
      <c r="J56" s="42" t="s">
        <v>37</v>
      </c>
      <c r="K56" s="45">
        <v>45931.0</v>
      </c>
      <c r="L56" s="38" t="s">
        <v>53</v>
      </c>
      <c r="M56" s="42" t="s">
        <v>54</v>
      </c>
      <c r="N56" s="128">
        <v>2.02567113026298E14</v>
      </c>
      <c r="O56" s="128" t="s">
        <v>407</v>
      </c>
      <c r="P56" s="129"/>
      <c r="Q56" s="70"/>
      <c r="R56" s="63"/>
      <c r="S56" s="65"/>
      <c r="T56" s="65"/>
      <c r="U56" s="55"/>
      <c r="V56" s="57"/>
      <c r="W56" s="57"/>
    </row>
    <row r="57">
      <c r="A57" s="36" t="s">
        <v>409</v>
      </c>
      <c r="B57" s="38" t="s">
        <v>333</v>
      </c>
      <c r="C57" s="38" t="str">
        <f>IF(B57="","",(VLOOKUP(B57,'Dados de PN'!$A:$B,2,0)))</f>
        <v>TRUNNION ASSY</v>
      </c>
      <c r="D57" s="38" t="s">
        <v>85</v>
      </c>
      <c r="E57" s="42" t="s">
        <v>99</v>
      </c>
      <c r="F57" s="42" t="s">
        <v>35</v>
      </c>
      <c r="G57" s="42">
        <v>1.0</v>
      </c>
      <c r="H57" s="42">
        <v>1.5737271E7</v>
      </c>
      <c r="I57" s="43" t="s">
        <v>406</v>
      </c>
      <c r="J57" s="42" t="s">
        <v>37</v>
      </c>
      <c r="K57" s="45">
        <v>45931.0</v>
      </c>
      <c r="L57" s="38" t="s">
        <v>53</v>
      </c>
      <c r="M57" s="42" t="s">
        <v>54</v>
      </c>
      <c r="N57" s="128">
        <v>2.02567113026298E14</v>
      </c>
      <c r="O57" s="128" t="s">
        <v>407</v>
      </c>
      <c r="P57" s="63"/>
      <c r="Q57" s="70"/>
      <c r="R57" s="63"/>
      <c r="S57" s="65"/>
      <c r="T57" s="65"/>
      <c r="U57" s="99" t="s">
        <v>412</v>
      </c>
      <c r="V57" s="75"/>
      <c r="W57" s="57"/>
    </row>
    <row r="58">
      <c r="A58" s="36" t="s">
        <v>413</v>
      </c>
      <c r="B58" s="38" t="s">
        <v>414</v>
      </c>
      <c r="C58" s="38" t="str">
        <f>IF(B58="","",(VLOOKUP(B58,'Dados de PN'!$A:$B,2,0)))</f>
        <v>WASHER,FLAT</v>
      </c>
      <c r="D58" s="38" t="s">
        <v>33</v>
      </c>
      <c r="E58" s="42" t="s">
        <v>34</v>
      </c>
      <c r="F58" s="42" t="s">
        <v>118</v>
      </c>
      <c r="G58" s="42">
        <v>2.0</v>
      </c>
      <c r="H58" s="42">
        <v>1.5735958E7</v>
      </c>
      <c r="I58" s="43" t="s">
        <v>406</v>
      </c>
      <c r="J58" s="42" t="s">
        <v>37</v>
      </c>
      <c r="K58" s="45">
        <v>45931.0</v>
      </c>
      <c r="L58" s="38" t="s">
        <v>53</v>
      </c>
      <c r="M58" s="42" t="s">
        <v>54</v>
      </c>
      <c r="N58" s="128">
        <v>2.02567113026298E14</v>
      </c>
      <c r="O58" s="128" t="s">
        <v>407</v>
      </c>
      <c r="P58" s="63"/>
      <c r="Q58" s="70"/>
      <c r="R58" s="63"/>
      <c r="S58" s="65"/>
      <c r="T58" s="65"/>
      <c r="U58" s="55"/>
      <c r="V58" s="57"/>
      <c r="W58" s="57"/>
    </row>
    <row r="59">
      <c r="A59" s="36" t="s">
        <v>419</v>
      </c>
      <c r="B59" s="38" t="s">
        <v>341</v>
      </c>
      <c r="C59" s="38" t="str">
        <f>IF(B59="","",(VLOOKUP(B59,'Dados de PN'!$A:$B,2,0)))</f>
        <v>HOSE ASSEMBLY,NONMETALLIC</v>
      </c>
      <c r="D59" s="38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3" t="s">
        <v>420</v>
      </c>
      <c r="J59" s="42" t="s">
        <v>37</v>
      </c>
      <c r="K59" s="45">
        <v>45931.0</v>
      </c>
      <c r="L59" s="38" t="s">
        <v>363</v>
      </c>
      <c r="M59" s="42" t="s">
        <v>54</v>
      </c>
      <c r="N59" s="128">
        <v>2.02567113026365E14</v>
      </c>
      <c r="O59" s="128" t="s">
        <v>421</v>
      </c>
      <c r="P59" s="63"/>
      <c r="Q59" s="70"/>
      <c r="R59" s="63"/>
      <c r="S59" s="65"/>
      <c r="T59" s="65"/>
      <c r="U59" s="55"/>
      <c r="V59" s="57"/>
      <c r="W59" s="57"/>
    </row>
    <row r="60">
      <c r="A60" s="36" t="s">
        <v>423</v>
      </c>
      <c r="B60" s="38" t="s">
        <v>345</v>
      </c>
      <c r="C60" s="38" t="str">
        <f>IF(B60="","",(VLOOKUP(B60,'Dados de PN'!$A:$B,2,0)))</f>
        <v>AIRSPEED INDICATOR</v>
      </c>
      <c r="D60" s="38" t="s">
        <v>348</v>
      </c>
      <c r="E60" s="42" t="s">
        <v>99</v>
      </c>
      <c r="F60" s="42" t="s">
        <v>35</v>
      </c>
      <c r="G60" s="42">
        <v>1.0</v>
      </c>
      <c r="H60" s="42">
        <v>1.5787463E7</v>
      </c>
      <c r="I60" s="43" t="s">
        <v>425</v>
      </c>
      <c r="J60" s="42" t="s">
        <v>37</v>
      </c>
      <c r="K60" s="45">
        <v>45937.0</v>
      </c>
      <c r="L60" s="38" t="s">
        <v>142</v>
      </c>
      <c r="M60" s="42" t="s">
        <v>54</v>
      </c>
      <c r="N60" s="47"/>
      <c r="O60" s="47"/>
      <c r="P60" s="92" t="s">
        <v>345</v>
      </c>
      <c r="Q60" s="93" t="s">
        <v>350</v>
      </c>
      <c r="R60" s="93" t="s">
        <v>351</v>
      </c>
      <c r="S60" s="65"/>
      <c r="T60" s="94">
        <v>45965.0</v>
      </c>
      <c r="U60" s="99" t="s">
        <v>426</v>
      </c>
      <c r="V60" s="57"/>
      <c r="W60" s="75" t="s">
        <v>66</v>
      </c>
    </row>
    <row r="61">
      <c r="A61" s="36" t="s">
        <v>427</v>
      </c>
      <c r="B61" s="38" t="s">
        <v>354</v>
      </c>
      <c r="C61" s="38" t="str">
        <f>IF(B61="","",(VLOOKUP(B61,'Dados de PN'!$A:$B,2,0)))</f>
        <v>SENSOR, FUEL LEVEL</v>
      </c>
      <c r="D61" s="38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3" t="s">
        <v>430</v>
      </c>
      <c r="J61" s="42" t="s">
        <v>37</v>
      </c>
      <c r="K61" s="45">
        <v>45938.0</v>
      </c>
      <c r="L61" s="38" t="s">
        <v>370</v>
      </c>
      <c r="M61" s="42" t="s">
        <v>47</v>
      </c>
      <c r="N61" s="47"/>
      <c r="O61" s="47"/>
      <c r="P61" s="57"/>
      <c r="Q61" s="47"/>
      <c r="R61" s="57"/>
      <c r="S61" s="57"/>
      <c r="T61" s="57"/>
      <c r="U61" s="55"/>
      <c r="V61" s="57"/>
      <c r="W61" s="57"/>
    </row>
    <row r="62">
      <c r="A62" s="36" t="s">
        <v>433</v>
      </c>
      <c r="B62" s="38" t="s">
        <v>356</v>
      </c>
      <c r="C62" s="38" t="str">
        <f>IF(B62="","",(VLOOKUP(B62,'Dados de PN'!$A:$B,2,0)))</f>
        <v>CABLE ASSY-RUDDER LEFT AFT</v>
      </c>
      <c r="D62" s="38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3" t="s">
        <v>436</v>
      </c>
      <c r="J62" s="42" t="s">
        <v>37</v>
      </c>
      <c r="K62" s="45">
        <v>45939.0</v>
      </c>
      <c r="L62" s="38" t="s">
        <v>53</v>
      </c>
      <c r="M62" s="42" t="s">
        <v>54</v>
      </c>
      <c r="N62" s="47"/>
      <c r="O62" s="47"/>
      <c r="P62" s="57"/>
      <c r="Q62" s="47"/>
      <c r="R62" s="57"/>
      <c r="S62" s="57"/>
      <c r="T62" s="57"/>
      <c r="U62" s="55"/>
      <c r="V62" s="57"/>
      <c r="W62" s="57"/>
    </row>
    <row r="63">
      <c r="A63" s="36" t="s">
        <v>437</v>
      </c>
      <c r="B63" s="38" t="s">
        <v>359</v>
      </c>
      <c r="C63" s="38" t="str">
        <f>IF(B63="","",(VLOOKUP(B63,'Dados de PN'!$A:$B,2,0)))</f>
        <v>SPACER</v>
      </c>
      <c r="D63" s="38" t="s">
        <v>33</v>
      </c>
      <c r="E63" s="42" t="s">
        <v>34</v>
      </c>
      <c r="F63" s="42" t="s">
        <v>118</v>
      </c>
      <c r="G63" s="42">
        <v>2.0</v>
      </c>
      <c r="H63" s="42">
        <v>1.5781491E7</v>
      </c>
      <c r="I63" s="43" t="s">
        <v>436</v>
      </c>
      <c r="J63" s="42" t="s">
        <v>37</v>
      </c>
      <c r="K63" s="45">
        <v>45939.0</v>
      </c>
      <c r="L63" s="38" t="s">
        <v>53</v>
      </c>
      <c r="M63" s="42" t="s">
        <v>54</v>
      </c>
      <c r="N63" s="47"/>
      <c r="O63" s="47"/>
      <c r="P63" s="57"/>
      <c r="Q63" s="47"/>
      <c r="R63" s="57"/>
      <c r="S63" s="57"/>
      <c r="T63" s="57"/>
      <c r="U63" s="55"/>
      <c r="V63" s="57"/>
      <c r="W63" s="57"/>
    </row>
    <row r="64">
      <c r="A64" s="36" t="s">
        <v>442</v>
      </c>
      <c r="B64" s="38" t="s">
        <v>359</v>
      </c>
      <c r="C64" s="38" t="str">
        <f>IF(B64="","",(VLOOKUP(B64,'Dados de PN'!$A:$B,2,0)))</f>
        <v>SPACER</v>
      </c>
      <c r="D64" s="38" t="s">
        <v>33</v>
      </c>
      <c r="E64" s="42" t="s">
        <v>34</v>
      </c>
      <c r="F64" s="42" t="s">
        <v>118</v>
      </c>
      <c r="G64" s="42">
        <v>2.0</v>
      </c>
      <c r="H64" s="42">
        <v>1.5781465E7</v>
      </c>
      <c r="I64" s="43" t="s">
        <v>436</v>
      </c>
      <c r="J64" s="42" t="s">
        <v>37</v>
      </c>
      <c r="K64" s="45">
        <v>45939.0</v>
      </c>
      <c r="L64" s="38" t="s">
        <v>142</v>
      </c>
      <c r="M64" s="42" t="s">
        <v>54</v>
      </c>
      <c r="N64" s="47"/>
      <c r="O64" s="47"/>
      <c r="P64" s="57"/>
      <c r="Q64" s="47"/>
      <c r="R64" s="57"/>
      <c r="S64" s="57"/>
      <c r="T64" s="57"/>
      <c r="U64" s="55"/>
      <c r="V64" s="57"/>
      <c r="W64" s="57"/>
    </row>
    <row r="65">
      <c r="A65" s="36" t="s">
        <v>445</v>
      </c>
      <c r="B65" s="38" t="s">
        <v>367</v>
      </c>
      <c r="C65" s="38" t="str">
        <f>IF(B65="","",(VLOOKUP(B65,'Dados de PN'!$A:$B,2,0)))</f>
        <v>PIN,LOCK</v>
      </c>
      <c r="D65" s="38" t="s">
        <v>33</v>
      </c>
      <c r="E65" s="42" t="s">
        <v>34</v>
      </c>
      <c r="F65" s="42" t="s">
        <v>168</v>
      </c>
      <c r="G65" s="42">
        <v>8.0</v>
      </c>
      <c r="H65" s="42">
        <v>1.5815693E7</v>
      </c>
      <c r="I65" s="43" t="s">
        <v>448</v>
      </c>
      <c r="J65" s="42" t="s">
        <v>37</v>
      </c>
      <c r="K65" s="131">
        <v>45940.0</v>
      </c>
      <c r="L65" s="38" t="s">
        <v>53</v>
      </c>
      <c r="M65" s="42" t="s">
        <v>54</v>
      </c>
      <c r="N65" s="47"/>
      <c r="O65" s="47"/>
      <c r="P65" s="57"/>
      <c r="Q65" s="47"/>
      <c r="R65" s="57"/>
      <c r="S65" s="57"/>
      <c r="T65" s="57"/>
      <c r="U65" s="55"/>
      <c r="V65" s="57"/>
      <c r="W65" s="57"/>
    </row>
    <row r="66">
      <c r="A66" s="36" t="s">
        <v>451</v>
      </c>
      <c r="B66" s="38" t="s">
        <v>372</v>
      </c>
      <c r="C66" s="38" t="str">
        <f>IF(B66="","",(VLOOKUP(B66,'Dados de PN'!$A:$B,2,0)))</f>
        <v>GROMMET</v>
      </c>
      <c r="D66" s="38" t="s">
        <v>33</v>
      </c>
      <c r="E66" s="42" t="s">
        <v>34</v>
      </c>
      <c r="F66" s="42" t="s">
        <v>452</v>
      </c>
      <c r="G66" s="120">
        <v>40.0</v>
      </c>
      <c r="H66" s="120">
        <v>3.86250012806E11</v>
      </c>
      <c r="I66" s="43" t="s">
        <v>382</v>
      </c>
      <c r="J66" s="42" t="s">
        <v>37</v>
      </c>
      <c r="K66" s="131">
        <v>45943.0</v>
      </c>
      <c r="L66" s="38" t="s">
        <v>383</v>
      </c>
      <c r="M66" s="42" t="s">
        <v>384</v>
      </c>
      <c r="N66" s="47"/>
      <c r="O66" s="47"/>
      <c r="P66" s="57"/>
      <c r="Q66" s="47"/>
      <c r="R66" s="57"/>
      <c r="S66" s="57"/>
      <c r="T66" s="57"/>
      <c r="U66" s="99" t="s">
        <v>454</v>
      </c>
      <c r="V66" s="75"/>
      <c r="W66" s="57"/>
    </row>
    <row r="67">
      <c r="A67" s="36" t="s">
        <v>455</v>
      </c>
      <c r="B67" s="38" t="s">
        <v>376</v>
      </c>
      <c r="C67" s="38" t="str">
        <f>IF(B67="","",(VLOOKUP(B67,'Dados de PN'!$A:$B,2,0)))</f>
        <v>IND DE COMANDO DE VOO</v>
      </c>
      <c r="D67" s="38" t="s">
        <v>33</v>
      </c>
      <c r="E67" s="42" t="s">
        <v>99</v>
      </c>
      <c r="F67" s="42" t="s">
        <v>35</v>
      </c>
      <c r="G67" s="42">
        <v>1.0</v>
      </c>
      <c r="H67" s="42">
        <v>1.5832582E7</v>
      </c>
      <c r="I67" s="43" t="s">
        <v>457</v>
      </c>
      <c r="J67" s="42" t="s">
        <v>37</v>
      </c>
      <c r="K67" s="131">
        <v>45943.0</v>
      </c>
      <c r="L67" s="38" t="s">
        <v>196</v>
      </c>
      <c r="M67" s="42" t="s">
        <v>54</v>
      </c>
      <c r="N67" s="47"/>
      <c r="O67" s="47"/>
      <c r="P67" s="57"/>
      <c r="Q67" s="47"/>
      <c r="R67" s="57"/>
      <c r="S67" s="57"/>
      <c r="T67" s="57"/>
      <c r="U67" s="55"/>
      <c r="V67" s="57"/>
      <c r="W67" s="57"/>
    </row>
    <row r="68">
      <c r="A68" s="36" t="s">
        <v>459</v>
      </c>
      <c r="B68" s="38" t="s">
        <v>379</v>
      </c>
      <c r="C68" s="38" t="str">
        <f>IF(B68="","",(VLOOKUP(B68,'Dados de PN'!$A:$B,2,0)))</f>
        <v>CONNECTOR,PLUG,ELECTRICAL</v>
      </c>
      <c r="D68" s="38" t="s">
        <v>33</v>
      </c>
      <c r="E68" s="42" t="s">
        <v>34</v>
      </c>
      <c r="F68" s="42" t="s">
        <v>118</v>
      </c>
      <c r="G68" s="42">
        <v>2.0</v>
      </c>
      <c r="H68" s="42">
        <v>1.5820993E7</v>
      </c>
      <c r="I68" s="43" t="s">
        <v>460</v>
      </c>
      <c r="J68" s="42" t="s">
        <v>37</v>
      </c>
      <c r="K68" s="131">
        <v>45943.0</v>
      </c>
      <c r="L68" s="38" t="s">
        <v>120</v>
      </c>
      <c r="M68" s="42" t="s">
        <v>122</v>
      </c>
      <c r="N68" s="47"/>
      <c r="O68" s="47"/>
      <c r="P68" s="57"/>
      <c r="Q68" s="47"/>
      <c r="R68" s="57"/>
      <c r="S68" s="57"/>
      <c r="T68" s="57"/>
      <c r="U68" s="55"/>
      <c r="V68" s="57"/>
      <c r="W68" s="57"/>
    </row>
    <row r="69">
      <c r="A69" s="36" t="s">
        <v>462</v>
      </c>
      <c r="B69" s="38" t="s">
        <v>385</v>
      </c>
      <c r="C69" s="38" t="str">
        <f>IF(B69="","",(VLOOKUP(B69,'Dados de PN'!$A:$B,2,0)))</f>
        <v>CILINDRO DE FREIO</v>
      </c>
      <c r="D69" s="38" t="s">
        <v>463</v>
      </c>
      <c r="E69" s="42" t="s">
        <v>51</v>
      </c>
      <c r="F69" s="42" t="s">
        <v>35</v>
      </c>
      <c r="G69" s="42">
        <v>1.0</v>
      </c>
      <c r="H69" s="42">
        <v>1.5983589E7</v>
      </c>
      <c r="I69" s="43" t="s">
        <v>464</v>
      </c>
      <c r="J69" s="42" t="s">
        <v>37</v>
      </c>
      <c r="K69" s="131">
        <v>45961.0</v>
      </c>
      <c r="L69" s="38" t="s">
        <v>101</v>
      </c>
      <c r="M69" s="42" t="s">
        <v>467</v>
      </c>
      <c r="N69" s="128">
        <v>2.02567113029541E14</v>
      </c>
      <c r="O69" s="128" t="s">
        <v>469</v>
      </c>
      <c r="P69" s="57"/>
      <c r="Q69" s="47"/>
      <c r="R69" s="57"/>
      <c r="S69" s="57"/>
      <c r="T69" s="57"/>
      <c r="U69" s="55"/>
      <c r="V69" s="57"/>
      <c r="W69" s="57"/>
    </row>
    <row r="70">
      <c r="A70" s="36" t="s">
        <v>472</v>
      </c>
      <c r="B70" s="38" t="s">
        <v>389</v>
      </c>
      <c r="C70" s="38" t="str">
        <f>IF(B70="","",(VLOOKUP(B70,'Dados de PN'!$A:$B,2,0)))</f>
        <v>CONNECTOR,RECEPTACLE,ELECTRICAL</v>
      </c>
      <c r="D70" s="38" t="s">
        <v>33</v>
      </c>
      <c r="E70" s="42" t="s">
        <v>34</v>
      </c>
      <c r="F70" s="42" t="s">
        <v>118</v>
      </c>
      <c r="G70" s="42">
        <v>2.0</v>
      </c>
      <c r="H70" s="42">
        <v>1.5996602E7</v>
      </c>
      <c r="I70" s="43" t="s">
        <v>475</v>
      </c>
      <c r="J70" s="42" t="s">
        <v>207</v>
      </c>
      <c r="K70" s="45">
        <v>45965.0</v>
      </c>
      <c r="L70" s="38" t="s">
        <v>476</v>
      </c>
      <c r="M70" s="42" t="s">
        <v>477</v>
      </c>
      <c r="N70" s="47"/>
      <c r="O70" s="47"/>
      <c r="P70" s="57"/>
      <c r="Q70" s="47"/>
      <c r="R70" s="57"/>
      <c r="S70" s="57"/>
      <c r="T70" s="57"/>
      <c r="U70" s="55"/>
      <c r="V70" s="57"/>
      <c r="W70" s="57"/>
    </row>
    <row r="71">
      <c r="A71" s="36" t="s">
        <v>478</v>
      </c>
      <c r="B71" s="38" t="s">
        <v>393</v>
      </c>
      <c r="C71" s="38" t="str">
        <f>IF(B71="","",(VLOOKUP(B71,'Dados de PN'!$A:$B,2,0)))</f>
        <v>CIRCUIT BREAKE</v>
      </c>
      <c r="D71" s="38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3" t="s">
        <v>481</v>
      </c>
      <c r="J71" s="42" t="s">
        <v>37</v>
      </c>
      <c r="K71" s="45">
        <v>45965.0</v>
      </c>
      <c r="L71" s="38" t="s">
        <v>476</v>
      </c>
      <c r="M71" s="42" t="s">
        <v>477</v>
      </c>
      <c r="N71" s="47"/>
      <c r="O71" s="47"/>
      <c r="P71" s="57"/>
      <c r="Q71" s="47"/>
      <c r="R71" s="57"/>
      <c r="S71" s="57"/>
      <c r="T71" s="57"/>
      <c r="U71" s="55"/>
      <c r="V71" s="57"/>
      <c r="W71" s="57"/>
    </row>
    <row r="72">
      <c r="A72" s="36" t="s">
        <v>484</v>
      </c>
      <c r="B72" s="38" t="s">
        <v>396</v>
      </c>
      <c r="C72" s="38" t="str">
        <f>IF(B72="","",(VLOOKUP(B72,'Dados de PN'!$A:$B,2,0)))</f>
        <v>HORIZ. GYRO-STADBY</v>
      </c>
      <c r="D72" s="38" t="s">
        <v>33</v>
      </c>
      <c r="E72" s="42" t="s">
        <v>99</v>
      </c>
      <c r="F72" s="42" t="s">
        <v>35</v>
      </c>
      <c r="G72" s="42">
        <v>1.0</v>
      </c>
      <c r="H72" s="42">
        <v>3.86250012861E11</v>
      </c>
      <c r="I72" s="43" t="s">
        <v>481</v>
      </c>
      <c r="J72" s="42" t="s">
        <v>37</v>
      </c>
      <c r="K72" s="45">
        <v>45965.0</v>
      </c>
      <c r="L72" s="38" t="s">
        <v>383</v>
      </c>
      <c r="M72" s="42" t="s">
        <v>384</v>
      </c>
      <c r="N72" s="47"/>
      <c r="O72" s="47"/>
      <c r="P72" s="57"/>
      <c r="Q72" s="47"/>
      <c r="R72" s="57"/>
      <c r="S72" s="57"/>
      <c r="T72" s="57"/>
      <c r="U72" s="55"/>
      <c r="V72" s="57"/>
      <c r="W72" s="57"/>
    </row>
    <row r="73">
      <c r="A73" s="36" t="s">
        <v>487</v>
      </c>
      <c r="B73" s="38" t="s">
        <v>399</v>
      </c>
      <c r="C73" s="38" t="str">
        <f>IF(B73="","",(VLOOKUP(B73,'Dados de PN'!$A:$B,2,0)))</f>
        <v>LOCKNUT,TUBE FITTING</v>
      </c>
      <c r="D73" s="38" t="s">
        <v>33</v>
      </c>
      <c r="E73" s="42" t="s">
        <v>34</v>
      </c>
      <c r="F73" s="42" t="s">
        <v>118</v>
      </c>
      <c r="G73" s="42">
        <v>2.0</v>
      </c>
      <c r="H73" s="42">
        <v>1.6026728E7</v>
      </c>
      <c r="I73" s="43" t="s">
        <v>491</v>
      </c>
      <c r="J73" s="42" t="s">
        <v>37</v>
      </c>
      <c r="K73" s="45">
        <v>45967.0</v>
      </c>
      <c r="L73" s="38" t="s">
        <v>120</v>
      </c>
      <c r="M73" s="42" t="s">
        <v>122</v>
      </c>
      <c r="N73" s="47"/>
      <c r="O73" s="47"/>
      <c r="P73" s="57"/>
      <c r="Q73" s="47"/>
      <c r="R73" s="57"/>
      <c r="S73" s="57"/>
      <c r="T73" s="57"/>
      <c r="U73" s="55"/>
      <c r="V73" s="57"/>
      <c r="W73" s="57"/>
    </row>
    <row r="74">
      <c r="A74" s="36" t="s">
        <v>494</v>
      </c>
      <c r="B74" s="38" t="s">
        <v>403</v>
      </c>
      <c r="C74" s="38" t="str">
        <f>IF(B74="","",(VLOOKUP(B74,'Dados de PN'!$A:$B,2,0)))</f>
        <v>NUT,SELF-LOCKING,SLOTTED,HEXAGON</v>
      </c>
      <c r="D74" s="38" t="s">
        <v>33</v>
      </c>
      <c r="E74" s="42" t="s">
        <v>34</v>
      </c>
      <c r="F74" s="42" t="s">
        <v>118</v>
      </c>
      <c r="G74" s="42">
        <v>2.0</v>
      </c>
      <c r="H74" s="42">
        <v>6.85250010171E11</v>
      </c>
      <c r="I74" s="43" t="s">
        <v>497</v>
      </c>
      <c r="J74" s="42" t="s">
        <v>37</v>
      </c>
      <c r="K74" s="45">
        <v>45967.0</v>
      </c>
      <c r="L74" s="38" t="s">
        <v>142</v>
      </c>
      <c r="M74" s="42" t="s">
        <v>54</v>
      </c>
      <c r="N74" s="47"/>
      <c r="O74" s="47"/>
      <c r="P74" s="57"/>
      <c r="Q74" s="47"/>
      <c r="R74" s="57"/>
      <c r="S74" s="57"/>
      <c r="T74" s="57"/>
      <c r="U74" s="55"/>
      <c r="V74" s="57"/>
      <c r="W74" s="57"/>
    </row>
    <row r="75">
      <c r="A75" s="36" t="s">
        <v>500</v>
      </c>
      <c r="B75" s="38" t="s">
        <v>408</v>
      </c>
      <c r="C75" s="38" t="str">
        <f>IF(B75="","",(VLOOKUP(B75,'Dados de PN'!$A:$B,2,0)))</f>
        <v>NUT,SELF-LOCKING,SLOTTED,HEXAGON</v>
      </c>
      <c r="D75" s="38" t="s">
        <v>33</v>
      </c>
      <c r="E75" s="42" t="s">
        <v>34</v>
      </c>
      <c r="F75" s="42" t="s">
        <v>118</v>
      </c>
      <c r="G75" s="42">
        <v>2.0</v>
      </c>
      <c r="H75" s="42">
        <v>1.6016631E7</v>
      </c>
      <c r="I75" s="43" t="s">
        <v>497</v>
      </c>
      <c r="J75" s="42" t="s">
        <v>37</v>
      </c>
      <c r="K75" s="45">
        <v>45967.0</v>
      </c>
      <c r="L75" s="38" t="s">
        <v>142</v>
      </c>
      <c r="M75" s="42" t="s">
        <v>54</v>
      </c>
      <c r="N75" s="47"/>
      <c r="O75" s="47"/>
      <c r="P75" s="57"/>
      <c r="Q75" s="47"/>
      <c r="R75" s="57"/>
      <c r="S75" s="57"/>
      <c r="T75" s="57"/>
      <c r="U75" s="55"/>
      <c r="V75" s="57"/>
      <c r="W75" s="57"/>
    </row>
    <row r="76">
      <c r="A76" s="36" t="s">
        <v>504</v>
      </c>
      <c r="B76" s="38" t="s">
        <v>410</v>
      </c>
      <c r="C76" s="38" t="str">
        <f>IF(B76="","",(VLOOKUP(B76,'Dados de PN'!$A:$B,2,0)))</f>
        <v>SWITCH-ELEC TR</v>
      </c>
      <c r="D76" s="38" t="s">
        <v>33</v>
      </c>
      <c r="E76" s="42" t="s">
        <v>34</v>
      </c>
      <c r="F76" s="42" t="s">
        <v>118</v>
      </c>
      <c r="G76" s="42">
        <v>2.0</v>
      </c>
      <c r="H76" s="42">
        <v>3.13250017133E11</v>
      </c>
      <c r="I76" s="43" t="s">
        <v>507</v>
      </c>
      <c r="J76" s="42" t="s">
        <v>37</v>
      </c>
      <c r="K76" s="45">
        <v>45967.0</v>
      </c>
      <c r="L76" s="38" t="s">
        <v>395</v>
      </c>
      <c r="M76" s="42" t="s">
        <v>47</v>
      </c>
      <c r="N76" s="47"/>
      <c r="O76" s="47"/>
      <c r="P76" s="57"/>
      <c r="Q76" s="47"/>
      <c r="R76" s="57"/>
      <c r="S76" s="57"/>
      <c r="T76" s="57"/>
      <c r="U76" s="55"/>
      <c r="V76" s="57"/>
      <c r="W76" s="57"/>
    </row>
    <row r="77">
      <c r="A77" s="36" t="s">
        <v>509</v>
      </c>
      <c r="B77" s="38" t="s">
        <v>415</v>
      </c>
      <c r="C77" s="38" t="str">
        <f>IF(B77="","",(VLOOKUP(B77,'Dados de PN'!$A:$B,2,0)))</f>
        <v>WHEEL HALF ASSY</v>
      </c>
      <c r="D77" s="38" t="s">
        <v>33</v>
      </c>
      <c r="E77" s="42" t="s">
        <v>99</v>
      </c>
      <c r="F77" s="42" t="s">
        <v>35</v>
      </c>
      <c r="G77" s="42">
        <v>1.0</v>
      </c>
      <c r="H77" s="38" t="s">
        <v>511</v>
      </c>
      <c r="I77" s="43" t="s">
        <v>512</v>
      </c>
      <c r="J77" s="42" t="s">
        <v>37</v>
      </c>
      <c r="K77" s="45">
        <v>45968.0</v>
      </c>
      <c r="L77" s="38" t="s">
        <v>417</v>
      </c>
      <c r="M77" s="42" t="s">
        <v>54</v>
      </c>
      <c r="N77" s="47"/>
      <c r="O77" s="47"/>
      <c r="P77" s="57"/>
      <c r="Q77" s="47"/>
      <c r="R77" s="57"/>
      <c r="S77" s="57"/>
      <c r="T77" s="57"/>
      <c r="U77" s="55"/>
      <c r="V77" s="57"/>
      <c r="W77" s="57"/>
    </row>
    <row r="78">
      <c r="A78" s="36" t="s">
        <v>513</v>
      </c>
      <c r="B78" s="38" t="s">
        <v>418</v>
      </c>
      <c r="C78" s="38" t="str">
        <f>IF(B78="","",(VLOOKUP(B78,'Dados de PN'!$A:$B,2,0)))</f>
        <v>WHEEL HALF ASSY</v>
      </c>
      <c r="D78" s="38" t="s">
        <v>33</v>
      </c>
      <c r="E78" s="42" t="s">
        <v>99</v>
      </c>
      <c r="F78" s="42" t="s">
        <v>302</v>
      </c>
      <c r="G78" s="42">
        <v>3.0</v>
      </c>
      <c r="H78" s="38" t="s">
        <v>516</v>
      </c>
      <c r="I78" s="43" t="s">
        <v>512</v>
      </c>
      <c r="J78" s="42" t="s">
        <v>37</v>
      </c>
      <c r="K78" s="45">
        <v>45968.0</v>
      </c>
      <c r="L78" s="38" t="s">
        <v>417</v>
      </c>
      <c r="M78" s="42" t="s">
        <v>54</v>
      </c>
      <c r="N78" s="47"/>
      <c r="O78" s="47"/>
      <c r="P78" s="57"/>
      <c r="Q78" s="47"/>
      <c r="R78" s="57"/>
      <c r="S78" s="57"/>
      <c r="T78" s="57"/>
      <c r="U78" s="55"/>
      <c r="V78" s="57"/>
      <c r="W78" s="57"/>
    </row>
    <row r="79">
      <c r="A79" s="36" t="s">
        <v>517</v>
      </c>
      <c r="B79" s="38" t="s">
        <v>422</v>
      </c>
      <c r="C79" s="38" t="str">
        <f>IF(B79="","",(VLOOKUP(B79,'Dados de PN'!$A:$B,2,0)))</f>
        <v>WHEEL HALF ASSY</v>
      </c>
      <c r="D79" s="38" t="s">
        <v>33</v>
      </c>
      <c r="E79" s="42" t="s">
        <v>99</v>
      </c>
      <c r="F79" s="42" t="s">
        <v>35</v>
      </c>
      <c r="G79" s="42">
        <v>1.0</v>
      </c>
      <c r="H79" s="38" t="s">
        <v>520</v>
      </c>
      <c r="I79" s="43" t="s">
        <v>512</v>
      </c>
      <c r="J79" s="42" t="s">
        <v>37</v>
      </c>
      <c r="K79" s="45">
        <v>45968.0</v>
      </c>
      <c r="L79" s="38" t="s">
        <v>417</v>
      </c>
      <c r="M79" s="42" t="s">
        <v>54</v>
      </c>
      <c r="N79" s="47"/>
      <c r="O79" s="47"/>
      <c r="P79" s="57"/>
      <c r="Q79" s="47"/>
      <c r="R79" s="57"/>
      <c r="S79" s="57"/>
      <c r="T79" s="57"/>
      <c r="U79" s="55"/>
      <c r="V79" s="57"/>
      <c r="W79" s="57"/>
    </row>
    <row r="80">
      <c r="A80" s="36" t="s">
        <v>523</v>
      </c>
      <c r="B80" s="38" t="s">
        <v>424</v>
      </c>
      <c r="C80" s="38" t="str">
        <f>IF(B80="","",(VLOOKUP(B80,'Dados de PN'!$A:$B,2,0)))</f>
        <v>WHEEL HALF ASSY</v>
      </c>
      <c r="D80" s="38" t="s">
        <v>33</v>
      </c>
      <c r="E80" s="42" t="s">
        <v>99</v>
      </c>
      <c r="F80" s="42" t="s">
        <v>35</v>
      </c>
      <c r="G80" s="42">
        <v>1.0</v>
      </c>
      <c r="H80" s="38" t="s">
        <v>527</v>
      </c>
      <c r="I80" s="43" t="s">
        <v>512</v>
      </c>
      <c r="J80" s="42" t="s">
        <v>37</v>
      </c>
      <c r="K80" s="45">
        <v>45968.0</v>
      </c>
      <c r="L80" s="38" t="s">
        <v>417</v>
      </c>
      <c r="M80" s="42" t="s">
        <v>54</v>
      </c>
      <c r="N80" s="47"/>
      <c r="O80" s="47"/>
      <c r="P80" s="57"/>
      <c r="Q80" s="47"/>
      <c r="R80" s="57"/>
      <c r="S80" s="57"/>
      <c r="T80" s="57"/>
      <c r="U80" s="55"/>
      <c r="V80" s="57"/>
      <c r="W80" s="57"/>
    </row>
    <row r="81">
      <c r="A81" s="36" t="s">
        <v>535</v>
      </c>
      <c r="B81" s="38" t="s">
        <v>428</v>
      </c>
      <c r="C81" s="38" t="str">
        <f>IF(B81="","",(VLOOKUP(B81,'Dados de PN'!$A:$B,2,0)))</f>
        <v>ANTENNA KIT-DME/TRANSPONDER FOR USE WITH A CARGO POD.</v>
      </c>
      <c r="D81" s="38" t="s">
        <v>33</v>
      </c>
      <c r="E81" s="42" t="s">
        <v>34</v>
      </c>
      <c r="F81" s="42" t="s">
        <v>35</v>
      </c>
      <c r="G81" s="42">
        <v>1.0</v>
      </c>
      <c r="H81" s="38" t="s">
        <v>541</v>
      </c>
      <c r="I81" s="43" t="s">
        <v>512</v>
      </c>
      <c r="J81" s="42" t="s">
        <v>37</v>
      </c>
      <c r="K81" s="45">
        <v>45968.0</v>
      </c>
      <c r="L81" s="38" t="s">
        <v>417</v>
      </c>
      <c r="M81" s="42" t="s">
        <v>54</v>
      </c>
      <c r="N81" s="47"/>
      <c r="O81" s="47"/>
      <c r="P81" s="57"/>
      <c r="Q81" s="47"/>
      <c r="R81" s="57"/>
      <c r="S81" s="57"/>
      <c r="T81" s="57"/>
      <c r="U81" s="55"/>
      <c r="V81" s="57"/>
      <c r="W81" s="57"/>
    </row>
    <row r="82">
      <c r="A82" s="36" t="s">
        <v>544</v>
      </c>
      <c r="B82" s="38" t="s">
        <v>431</v>
      </c>
      <c r="C82" s="38" t="str">
        <f>IF(B82="","",(VLOOKUP(B82,'Dados de PN'!$A:$B,2,0)))</f>
        <v>VALVE OIL DRAI</v>
      </c>
      <c r="D82" s="38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3" t="s">
        <v>547</v>
      </c>
      <c r="J82" s="42" t="s">
        <v>37</v>
      </c>
      <c r="K82" s="131">
        <v>45973.0</v>
      </c>
      <c r="L82" s="38" t="s">
        <v>548</v>
      </c>
      <c r="M82" s="42" t="s">
        <v>47</v>
      </c>
      <c r="N82" s="47"/>
      <c r="O82" s="47"/>
      <c r="P82" s="57"/>
      <c r="Q82" s="47"/>
      <c r="R82" s="57"/>
      <c r="S82" s="57"/>
      <c r="T82" s="57"/>
      <c r="U82" s="55"/>
      <c r="V82" s="57"/>
      <c r="W82" s="57"/>
    </row>
    <row r="83">
      <c r="A83" s="36" t="s">
        <v>551</v>
      </c>
      <c r="B83" s="38" t="s">
        <v>434</v>
      </c>
      <c r="C83" s="38" t="str">
        <f>IF(B83="","",(VLOOKUP(B83,'Dados de PN'!$A:$B,2,0)))</f>
        <v>SCREW,MACHINE</v>
      </c>
      <c r="D83" s="38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3" t="s">
        <v>556</v>
      </c>
      <c r="J83" s="42" t="s">
        <v>37</v>
      </c>
      <c r="K83" s="131">
        <v>45974.0</v>
      </c>
      <c r="L83" s="38" t="s">
        <v>557</v>
      </c>
      <c r="M83" s="42" t="s">
        <v>558</v>
      </c>
      <c r="N83" s="47"/>
      <c r="O83" s="47"/>
      <c r="P83" s="57"/>
      <c r="Q83" s="47"/>
      <c r="R83" s="57"/>
      <c r="S83" s="57"/>
      <c r="T83" s="57"/>
      <c r="U83" s="55"/>
      <c r="V83" s="57"/>
      <c r="W83" s="57"/>
    </row>
    <row r="84">
      <c r="A84" s="36" t="s">
        <v>561</v>
      </c>
      <c r="B84" s="38" t="s">
        <v>438</v>
      </c>
      <c r="C84" s="38" t="str">
        <f>IF(B84="","",(VLOOKUP(B84,'Dados de PN'!$A:$B,2,0)))</f>
        <v>SCREW</v>
      </c>
      <c r="D84" s="38" t="s">
        <v>33</v>
      </c>
      <c r="E84" s="42" t="s">
        <v>34</v>
      </c>
      <c r="F84" s="42" t="s">
        <v>308</v>
      </c>
      <c r="G84" s="42">
        <v>10.0</v>
      </c>
      <c r="H84" s="42">
        <v>1.6026082E7</v>
      </c>
      <c r="I84" s="43" t="s">
        <v>564</v>
      </c>
      <c r="J84" s="42" t="s">
        <v>37</v>
      </c>
      <c r="K84" s="131">
        <v>45975.0</v>
      </c>
      <c r="L84" s="38" t="s">
        <v>110</v>
      </c>
      <c r="M84" s="42" t="s">
        <v>54</v>
      </c>
      <c r="N84" s="47"/>
      <c r="O84" s="47"/>
      <c r="P84" s="57"/>
      <c r="Q84" s="47"/>
      <c r="R84" s="57"/>
      <c r="S84" s="57"/>
      <c r="T84" s="57"/>
      <c r="U84" s="55"/>
      <c r="V84" s="57"/>
      <c r="W84" s="57"/>
    </row>
    <row r="85">
      <c r="A85" s="36" t="s">
        <v>565</v>
      </c>
      <c r="B85" s="38" t="s">
        <v>440</v>
      </c>
      <c r="C85" s="38" t="str">
        <f>IF(B85="","",(VLOOKUP(B85,'Dados de PN'!$A:$B,2,0)))</f>
        <v>SCREW MACHINE</v>
      </c>
      <c r="D85" s="38" t="s">
        <v>33</v>
      </c>
      <c r="E85" s="42" t="s">
        <v>34</v>
      </c>
      <c r="F85" s="42" t="s">
        <v>93</v>
      </c>
      <c r="G85" s="42">
        <v>50.0</v>
      </c>
      <c r="H85" s="42">
        <v>1.6089349E7</v>
      </c>
      <c r="I85" s="43" t="s">
        <v>564</v>
      </c>
      <c r="J85" s="42" t="s">
        <v>37</v>
      </c>
      <c r="K85" s="131">
        <v>45975.0</v>
      </c>
      <c r="L85" s="38" t="s">
        <v>110</v>
      </c>
      <c r="M85" s="42" t="s">
        <v>54</v>
      </c>
      <c r="N85" s="47"/>
      <c r="O85" s="47"/>
      <c r="P85" s="57"/>
      <c r="Q85" s="47"/>
      <c r="R85" s="57"/>
      <c r="S85" s="57"/>
      <c r="T85" s="57"/>
      <c r="U85" s="55"/>
      <c r="V85" s="57"/>
      <c r="W85" s="57"/>
    </row>
    <row r="86">
      <c r="A86" s="36" t="s">
        <v>568</v>
      </c>
      <c r="B86" s="38" t="s">
        <v>443</v>
      </c>
      <c r="C86" s="38" t="str">
        <f>IF(B86="","",(VLOOKUP(B86,'Dados de PN'!$A:$B,2,0)))</f>
        <v>SLAVING ACCESS,SPEC</v>
      </c>
      <c r="D86" s="38" t="s">
        <v>572</v>
      </c>
      <c r="E86" s="42" t="s">
        <v>99</v>
      </c>
      <c r="F86" s="42" t="s">
        <v>35</v>
      </c>
      <c r="G86" s="42">
        <v>1.0</v>
      </c>
      <c r="H86" s="42">
        <v>1.6134646E7</v>
      </c>
      <c r="I86" s="43" t="s">
        <v>573</v>
      </c>
      <c r="J86" s="42" t="s">
        <v>37</v>
      </c>
      <c r="K86" s="131">
        <v>45982.0</v>
      </c>
      <c r="L86" s="38" t="s">
        <v>363</v>
      </c>
      <c r="M86" s="42" t="s">
        <v>364</v>
      </c>
      <c r="N86" s="47"/>
      <c r="O86" s="47"/>
      <c r="P86" s="57"/>
      <c r="Q86" s="47"/>
      <c r="R86" s="57"/>
      <c r="S86" s="57"/>
      <c r="T86" s="57"/>
      <c r="U86" s="55"/>
      <c r="V86" s="57"/>
      <c r="W86" s="57"/>
    </row>
    <row r="87">
      <c r="A87" s="36" t="s">
        <v>577</v>
      </c>
      <c r="B87" s="38" t="s">
        <v>446</v>
      </c>
      <c r="C87" s="38" t="str">
        <f>IF(B87="","",(VLOOKUP(B87,'Dados de PN'!$A:$B,2,0)))</f>
        <v>CONTROL INDICATOR</v>
      </c>
      <c r="D87" s="38" t="s">
        <v>580</v>
      </c>
      <c r="E87" s="42" t="s">
        <v>99</v>
      </c>
      <c r="F87" s="42" t="s">
        <v>35</v>
      </c>
      <c r="G87" s="42">
        <v>1.0</v>
      </c>
      <c r="H87" s="42">
        <v>1.6134346E7</v>
      </c>
      <c r="I87" s="43" t="s">
        <v>573</v>
      </c>
      <c r="J87" s="42" t="s">
        <v>37</v>
      </c>
      <c r="K87" s="131">
        <v>45982.0</v>
      </c>
      <c r="L87" s="38" t="s">
        <v>363</v>
      </c>
      <c r="M87" s="42" t="s">
        <v>364</v>
      </c>
      <c r="N87" s="47"/>
      <c r="O87" s="47"/>
      <c r="P87" s="57"/>
      <c r="Q87" s="47"/>
      <c r="R87" s="57"/>
      <c r="S87" s="57"/>
      <c r="T87" s="57"/>
      <c r="U87" s="55"/>
      <c r="V87" s="57"/>
      <c r="W87" s="57"/>
    </row>
    <row r="88">
      <c r="A88" s="36" t="s">
        <v>584</v>
      </c>
      <c r="B88" s="38" t="s">
        <v>449</v>
      </c>
      <c r="C88" s="38" t="str">
        <f>IF(B88="","",(VLOOKUP(B88,'Dados de PN'!$A:$B,2,0)))</f>
        <v>AIRSPEED INDICATOR</v>
      </c>
      <c r="D88" s="38" t="s">
        <v>450</v>
      </c>
      <c r="E88" s="42" t="s">
        <v>99</v>
      </c>
      <c r="F88" s="42" t="s">
        <v>35</v>
      </c>
      <c r="G88" s="42">
        <v>1.0</v>
      </c>
      <c r="H88" s="42">
        <v>1.6146341E7</v>
      </c>
      <c r="I88" s="43" t="s">
        <v>585</v>
      </c>
      <c r="J88" s="42" t="s">
        <v>37</v>
      </c>
      <c r="K88" s="131">
        <v>45985.0</v>
      </c>
      <c r="L88" s="38" t="s">
        <v>120</v>
      </c>
      <c r="M88" s="42" t="s">
        <v>122</v>
      </c>
      <c r="N88" s="47"/>
      <c r="O88" s="47"/>
      <c r="P88" s="57"/>
      <c r="Q88" s="47"/>
      <c r="R88" s="57"/>
      <c r="S88" s="57"/>
      <c r="T88" s="57"/>
      <c r="U88" s="55"/>
      <c r="V88" s="57"/>
      <c r="W88" s="57"/>
    </row>
    <row r="89">
      <c r="A89" s="36" t="s">
        <v>586</v>
      </c>
      <c r="B89" s="38" t="s">
        <v>202</v>
      </c>
      <c r="C89" s="38" t="str">
        <f>IF(B89="","",(VLOOKUP(B89,'Dados de PN'!$A:$B,2,0)))</f>
        <v>SENSOR, FUEL LEVEL SHORT</v>
      </c>
      <c r="D89" s="38" t="s">
        <v>453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3" t="s">
        <v>588</v>
      </c>
      <c r="J89" s="42" t="s">
        <v>37</v>
      </c>
      <c r="K89" s="131">
        <v>45985.0</v>
      </c>
      <c r="L89" s="38" t="s">
        <v>252</v>
      </c>
      <c r="M89" s="42" t="s">
        <v>61</v>
      </c>
      <c r="N89" s="47"/>
      <c r="O89" s="47"/>
      <c r="P89" s="57"/>
      <c r="Q89" s="47"/>
      <c r="R89" s="57"/>
      <c r="S89" s="57"/>
      <c r="T89" s="57"/>
      <c r="U89" s="55"/>
      <c r="V89" s="57"/>
      <c r="W89" s="57"/>
    </row>
    <row r="90">
      <c r="A90" s="36" t="s">
        <v>591</v>
      </c>
      <c r="B90" s="38" t="s">
        <v>443</v>
      </c>
      <c r="C90" s="38" t="str">
        <f>IF(B90="","",(VLOOKUP(B90,'Dados de PN'!$A:$B,2,0)))</f>
        <v>SLAVING ACCESS,SPEC</v>
      </c>
      <c r="D90" s="38" t="s">
        <v>592</v>
      </c>
      <c r="E90" s="42" t="s">
        <v>99</v>
      </c>
      <c r="F90" s="42" t="s">
        <v>35</v>
      </c>
      <c r="G90" s="42">
        <v>1.0</v>
      </c>
      <c r="H90" s="42">
        <v>1.615863E7</v>
      </c>
      <c r="I90" s="43" t="s">
        <v>585</v>
      </c>
      <c r="J90" s="42" t="s">
        <v>37</v>
      </c>
      <c r="K90" s="131">
        <v>45986.0</v>
      </c>
      <c r="L90" s="38" t="s">
        <v>120</v>
      </c>
      <c r="M90" s="42" t="s">
        <v>122</v>
      </c>
      <c r="N90" s="47"/>
      <c r="O90" s="47"/>
      <c r="P90" s="57"/>
      <c r="Q90" s="47"/>
      <c r="R90" s="57"/>
      <c r="S90" s="57"/>
      <c r="T90" s="57"/>
      <c r="U90" s="55"/>
      <c r="V90" s="57"/>
      <c r="W90" s="57"/>
    </row>
    <row r="91">
      <c r="A91" s="36" t="s">
        <v>597</v>
      </c>
      <c r="B91" s="140" t="s">
        <v>598</v>
      </c>
      <c r="C91" s="38" t="str">
        <f>IF(B91="","",(VLOOKUP(B91,'Dados de PN'!$A:$B,2,0)))</f>
        <v>CONTROL SERVO</v>
      </c>
      <c r="D91" s="141"/>
      <c r="E91" s="75" t="s">
        <v>99</v>
      </c>
      <c r="F91" s="42" t="s">
        <v>35</v>
      </c>
      <c r="G91" s="42">
        <v>1.0</v>
      </c>
      <c r="H91" s="42">
        <v>6.85250010243E11</v>
      </c>
      <c r="I91" s="128" t="s">
        <v>599</v>
      </c>
      <c r="J91" s="75" t="s">
        <v>37</v>
      </c>
      <c r="K91" s="131">
        <v>45992.0</v>
      </c>
      <c r="L91" s="140" t="s">
        <v>110</v>
      </c>
      <c r="M91" s="75" t="s">
        <v>54</v>
      </c>
      <c r="N91" s="47"/>
      <c r="O91" s="47"/>
      <c r="P91" s="57"/>
      <c r="Q91" s="47"/>
      <c r="R91" s="57"/>
      <c r="S91" s="57"/>
      <c r="T91" s="57"/>
      <c r="U91" s="99"/>
      <c r="V91" s="57"/>
      <c r="W91" s="57"/>
    </row>
    <row r="92">
      <c r="A92" s="36" t="s">
        <v>601</v>
      </c>
      <c r="B92" s="140" t="s">
        <v>532</v>
      </c>
      <c r="C92" s="38" t="str">
        <f>IF(B92="","",(VLOOKUP(B92,'Dados de PN'!$A:$B,2,0)))</f>
        <v>RECEIVER TRANSMITTER</v>
      </c>
      <c r="D92" s="141"/>
      <c r="E92" s="75" t="s">
        <v>99</v>
      </c>
      <c r="F92" s="42" t="s">
        <v>35</v>
      </c>
      <c r="G92" s="42">
        <v>1.0</v>
      </c>
      <c r="H92" s="42">
        <v>6.90250002095E11</v>
      </c>
      <c r="I92" s="128" t="s">
        <v>599</v>
      </c>
      <c r="J92" s="75" t="s">
        <v>37</v>
      </c>
      <c r="K92" s="131">
        <v>45992.0</v>
      </c>
      <c r="L92" s="140" t="s">
        <v>476</v>
      </c>
      <c r="M92" s="75" t="s">
        <v>477</v>
      </c>
      <c r="N92" s="47"/>
      <c r="O92" s="47"/>
      <c r="P92" s="57"/>
      <c r="Q92" s="47"/>
      <c r="R92" s="57"/>
      <c r="S92" s="57"/>
      <c r="T92" s="57"/>
      <c r="U92" s="99"/>
      <c r="V92" s="57"/>
      <c r="W92" s="57"/>
    </row>
    <row r="93">
      <c r="A93" s="36" t="s">
        <v>605</v>
      </c>
      <c r="B93" s="140" t="s">
        <v>465</v>
      </c>
      <c r="C93" s="38" t="str">
        <f>IF(B93="","",(VLOOKUP(B93,'Dados de PN'!$A:$B,2,0)))</f>
        <v>IND RDR 200 IN</v>
      </c>
      <c r="D93" s="140" t="s">
        <v>609</v>
      </c>
      <c r="E93" s="75" t="s">
        <v>99</v>
      </c>
      <c r="F93" s="42" t="s">
        <v>35</v>
      </c>
      <c r="G93" s="42">
        <v>1.0</v>
      </c>
      <c r="H93" s="42">
        <v>1.6243997E7</v>
      </c>
      <c r="I93" s="43" t="s">
        <v>611</v>
      </c>
      <c r="J93" s="42" t="s">
        <v>37</v>
      </c>
      <c r="K93" s="131">
        <v>45996.0</v>
      </c>
      <c r="L93" s="140" t="s">
        <v>120</v>
      </c>
      <c r="M93" s="75" t="s">
        <v>122</v>
      </c>
      <c r="N93" s="47"/>
      <c r="O93" s="128" t="s">
        <v>613</v>
      </c>
      <c r="P93" s="142" t="s">
        <v>465</v>
      </c>
      <c r="Q93" s="143" t="s">
        <v>468</v>
      </c>
      <c r="R93" s="143" t="s">
        <v>188</v>
      </c>
      <c r="S93" s="144"/>
      <c r="T93" s="145">
        <v>45979.0</v>
      </c>
      <c r="U93" s="99" t="s">
        <v>616</v>
      </c>
      <c r="V93" s="57"/>
      <c r="W93" s="75" t="s">
        <v>66</v>
      </c>
    </row>
    <row r="94">
      <c r="A94" s="36" t="s">
        <v>617</v>
      </c>
      <c r="B94" s="140" t="s">
        <v>470</v>
      </c>
      <c r="C94" s="38" t="str">
        <f>IF(B94="","",(VLOOKUP(B94,'Dados de PN'!$A:$B,2,0)))</f>
        <v>AIR COMPRESSOR</v>
      </c>
      <c r="D94" s="140" t="s">
        <v>619</v>
      </c>
      <c r="E94" s="75" t="s">
        <v>99</v>
      </c>
      <c r="F94" s="42" t="s">
        <v>35</v>
      </c>
      <c r="G94" s="42">
        <v>1.0</v>
      </c>
      <c r="H94" s="42">
        <v>1.6275401E7</v>
      </c>
      <c r="I94" s="128" t="s">
        <v>620</v>
      </c>
      <c r="J94" s="42" t="s">
        <v>37</v>
      </c>
      <c r="K94" s="131">
        <v>46002.0</v>
      </c>
      <c r="L94" s="140" t="s">
        <v>557</v>
      </c>
      <c r="M94" s="75" t="s">
        <v>558</v>
      </c>
      <c r="N94" s="47"/>
      <c r="O94" s="47"/>
      <c r="P94" s="135"/>
      <c r="Q94" s="146"/>
      <c r="R94" s="135"/>
      <c r="S94" s="144"/>
      <c r="T94" s="144"/>
      <c r="U94" s="55"/>
      <c r="V94" s="57"/>
      <c r="W94" s="57"/>
    </row>
    <row r="95">
      <c r="A95" s="36" t="s">
        <v>622</v>
      </c>
      <c r="B95" s="140" t="s">
        <v>473</v>
      </c>
      <c r="C95" s="38" t="str">
        <f>IF(B95="","",(VLOOKUP(B95,'Dados de PN'!$A:$B,2,0)))</f>
        <v>BOLT, MACHINE</v>
      </c>
      <c r="E95" s="75" t="s">
        <v>34</v>
      </c>
      <c r="F95" s="75" t="s">
        <v>35</v>
      </c>
      <c r="G95" s="42">
        <v>2.0</v>
      </c>
      <c r="H95" s="42">
        <v>3.86250012959E11</v>
      </c>
      <c r="I95" s="128" t="s">
        <v>625</v>
      </c>
      <c r="J95" s="42" t="s">
        <v>37</v>
      </c>
      <c r="K95" s="131">
        <v>46007.0</v>
      </c>
      <c r="L95" s="140" t="s">
        <v>383</v>
      </c>
      <c r="M95" s="75" t="s">
        <v>384</v>
      </c>
      <c r="N95" s="47"/>
      <c r="O95" s="47"/>
      <c r="P95" s="135"/>
      <c r="Q95" s="146"/>
      <c r="R95" s="135"/>
      <c r="S95" s="144"/>
      <c r="T95" s="144"/>
      <c r="U95" s="55"/>
      <c r="V95" s="57"/>
      <c r="W95" s="57"/>
    </row>
    <row r="96">
      <c r="A96" s="36" t="s">
        <v>626</v>
      </c>
      <c r="B96" s="140" t="s">
        <v>479</v>
      </c>
      <c r="C96" s="38" t="str">
        <f>IF(B96="","",(VLOOKUP(B96,'Dados de PN'!$A:$B,2,0)))</f>
        <v>SPRING ASSY GAS</v>
      </c>
      <c r="D96" s="140" t="s">
        <v>33</v>
      </c>
      <c r="E96" s="75" t="s">
        <v>34</v>
      </c>
      <c r="F96" s="42" t="s">
        <v>35</v>
      </c>
      <c r="G96" s="42">
        <v>1.0</v>
      </c>
      <c r="H96" s="42">
        <v>3.86250012963E11</v>
      </c>
      <c r="I96" s="128" t="s">
        <v>631</v>
      </c>
      <c r="J96" s="42" t="s">
        <v>37</v>
      </c>
      <c r="K96" s="131">
        <v>46007.0</v>
      </c>
      <c r="L96" s="140" t="s">
        <v>383</v>
      </c>
      <c r="M96" s="75" t="s">
        <v>384</v>
      </c>
      <c r="N96" s="47"/>
      <c r="O96" s="47"/>
      <c r="P96" s="135"/>
      <c r="Q96" s="146"/>
      <c r="R96" s="135"/>
      <c r="S96" s="144"/>
      <c r="T96" s="144"/>
      <c r="U96" s="55"/>
      <c r="V96" s="57"/>
      <c r="W96" s="57"/>
    </row>
    <row r="97">
      <c r="A97" s="36" t="s">
        <v>634</v>
      </c>
      <c r="B97" s="140" t="s">
        <v>482</v>
      </c>
      <c r="C97" s="38" t="str">
        <f>IF(B97="","",(VLOOKUP(B97,'Dados de PN'!$A:$B,2,0)))</f>
        <v>HDG KNOB</v>
      </c>
      <c r="D97" s="140" t="s">
        <v>33</v>
      </c>
      <c r="E97" s="75" t="s">
        <v>34</v>
      </c>
      <c r="F97" s="42" t="s">
        <v>35</v>
      </c>
      <c r="G97" s="42">
        <v>1.0</v>
      </c>
      <c r="H97" s="42">
        <v>1.6326465E7</v>
      </c>
      <c r="I97" s="128" t="s">
        <v>635</v>
      </c>
      <c r="J97" s="42" t="s">
        <v>37</v>
      </c>
      <c r="K97" s="131">
        <v>46008.0</v>
      </c>
      <c r="L97" s="140" t="s">
        <v>238</v>
      </c>
      <c r="M97" s="75" t="s">
        <v>122</v>
      </c>
      <c r="N97" s="47"/>
      <c r="O97" s="128" t="s">
        <v>613</v>
      </c>
      <c r="P97" s="135"/>
      <c r="Q97" s="146"/>
      <c r="R97" s="135"/>
      <c r="S97" s="144"/>
      <c r="T97" s="144"/>
      <c r="U97" s="55"/>
      <c r="V97" s="57"/>
      <c r="W97" s="57"/>
    </row>
    <row r="98">
      <c r="A98" s="36" t="s">
        <v>636</v>
      </c>
      <c r="B98" s="140" t="s">
        <v>485</v>
      </c>
      <c r="C98" s="38" t="str">
        <f>IF(B98="","",(VLOOKUP(B98,'Dados de PN'!$A:$B,2,0)))</f>
        <v>NIPPLE,TUBE</v>
      </c>
      <c r="D98" s="140" t="s">
        <v>33</v>
      </c>
      <c r="E98" s="75" t="s">
        <v>34</v>
      </c>
      <c r="F98" s="42" t="s">
        <v>640</v>
      </c>
      <c r="G98" s="42">
        <v>1.0</v>
      </c>
      <c r="H98" s="42">
        <v>3.13250017311E11</v>
      </c>
      <c r="I98" s="128" t="s">
        <v>642</v>
      </c>
      <c r="J98" s="42" t="s">
        <v>37</v>
      </c>
      <c r="K98" s="131">
        <v>46029.0</v>
      </c>
      <c r="L98" s="140" t="s">
        <v>38</v>
      </c>
      <c r="M98" s="75" t="s">
        <v>47</v>
      </c>
      <c r="N98" s="47"/>
      <c r="O98" s="47"/>
      <c r="P98" s="147" t="s">
        <v>485</v>
      </c>
      <c r="Q98" s="146"/>
      <c r="R98" s="143" t="s">
        <v>488</v>
      </c>
      <c r="S98" s="144"/>
      <c r="T98" s="145">
        <v>46030.0</v>
      </c>
      <c r="U98" s="99" t="s">
        <v>646</v>
      </c>
      <c r="V98" s="57"/>
      <c r="W98" s="75" t="s">
        <v>66</v>
      </c>
    </row>
    <row r="99">
      <c r="A99" s="36" t="s">
        <v>647</v>
      </c>
      <c r="B99" s="140" t="s">
        <v>489</v>
      </c>
      <c r="C99" s="38" t="str">
        <f>IF(B99="","",(VLOOKUP(B99,'Dados de PN'!$A:$B,2,0)))</f>
        <v>CONJUNTO DE MOTOR E ATUADOR DE FLAP</v>
      </c>
      <c r="D99" s="140" t="s">
        <v>33</v>
      </c>
      <c r="E99" s="75" t="s">
        <v>99</v>
      </c>
      <c r="F99" s="42" t="s">
        <v>35</v>
      </c>
      <c r="G99" s="42">
        <v>1.0</v>
      </c>
      <c r="H99" s="42" t="s">
        <v>651</v>
      </c>
      <c r="I99" s="128" t="s">
        <v>652</v>
      </c>
      <c r="J99" s="42" t="s">
        <v>37</v>
      </c>
      <c r="K99" s="131">
        <v>46029.0</v>
      </c>
      <c r="L99" s="140" t="s">
        <v>46</v>
      </c>
      <c r="M99" s="75" t="s">
        <v>47</v>
      </c>
      <c r="N99" s="47"/>
      <c r="O99" s="47"/>
      <c r="P99" s="135"/>
      <c r="Q99" s="146"/>
      <c r="R99" s="135"/>
      <c r="S99" s="144"/>
      <c r="T99" s="144"/>
      <c r="U99" s="55"/>
      <c r="V99" s="57"/>
      <c r="W99" s="57"/>
    </row>
    <row r="100">
      <c r="A100" s="36" t="s">
        <v>655</v>
      </c>
      <c r="B100" s="140" t="s">
        <v>492</v>
      </c>
      <c r="C100" s="38" t="str">
        <f>IF(B100="","",(VLOOKUP(B100,'Dados de PN'!$A:$B,2,0)))</f>
        <v>BOMBA DE COMBUSTÍVEL</v>
      </c>
      <c r="D100" s="140" t="s">
        <v>33</v>
      </c>
      <c r="E100" s="75" t="s">
        <v>99</v>
      </c>
      <c r="F100" s="42" t="s">
        <v>35</v>
      </c>
      <c r="G100" s="42">
        <v>1.0</v>
      </c>
      <c r="H100" s="42">
        <v>1.642849E7</v>
      </c>
      <c r="I100" s="128" t="s">
        <v>658</v>
      </c>
      <c r="J100" s="42" t="s">
        <v>37</v>
      </c>
      <c r="K100" s="131">
        <v>46034.0</v>
      </c>
      <c r="L100" s="140" t="s">
        <v>238</v>
      </c>
      <c r="M100" s="75" t="s">
        <v>122</v>
      </c>
      <c r="N100" s="47"/>
      <c r="O100" s="47"/>
      <c r="P100" s="135"/>
      <c r="Q100" s="146"/>
      <c r="R100" s="135"/>
      <c r="S100" s="144"/>
      <c r="T100" s="144"/>
      <c r="U100" s="55"/>
      <c r="V100" s="57"/>
      <c r="W100" s="57"/>
    </row>
    <row r="101">
      <c r="A101" s="36" t="s">
        <v>661</v>
      </c>
      <c r="B101" s="140" t="s">
        <v>495</v>
      </c>
      <c r="C101" s="38" t="str">
        <f>IF(B101="","",(VLOOKUP(B101,'Dados de PN'!$A:$B,2,0)))</f>
        <v>DISPLAY UNIT GDU</v>
      </c>
      <c r="D101" s="140" t="s">
        <v>33</v>
      </c>
      <c r="E101" s="75" t="s">
        <v>99</v>
      </c>
      <c r="F101" s="42" t="s">
        <v>663</v>
      </c>
      <c r="G101" s="42">
        <v>1.0</v>
      </c>
      <c r="H101" s="42">
        <v>1.6428515E7</v>
      </c>
      <c r="I101" s="128" t="s">
        <v>665</v>
      </c>
      <c r="J101" s="42" t="s">
        <v>37</v>
      </c>
      <c r="K101" s="131">
        <v>46034.0</v>
      </c>
      <c r="L101" s="140" t="s">
        <v>101</v>
      </c>
      <c r="M101" s="75" t="s">
        <v>61</v>
      </c>
      <c r="N101" s="47"/>
      <c r="O101" s="47"/>
      <c r="P101" s="69"/>
      <c r="Q101" s="149"/>
      <c r="R101" s="135"/>
      <c r="S101" s="144"/>
      <c r="T101" s="144"/>
      <c r="U101" s="55"/>
      <c r="V101" s="57"/>
      <c r="W101" s="57"/>
    </row>
    <row r="102">
      <c r="A102" s="36" t="s">
        <v>669</v>
      </c>
      <c r="B102" s="140" t="s">
        <v>498</v>
      </c>
      <c r="C102" s="38" t="str">
        <f>IF(B102="","",(VLOOKUP(B102,'Dados de PN'!$A:$B,2,0)))</f>
        <v>HOSE,AIR DUCT</v>
      </c>
      <c r="D102" s="140"/>
      <c r="E102" s="75" t="s">
        <v>34</v>
      </c>
      <c r="F102" s="42" t="s">
        <v>35</v>
      </c>
      <c r="G102" s="42">
        <v>1.0</v>
      </c>
      <c r="H102" s="42">
        <v>1.6436319E7</v>
      </c>
      <c r="I102" s="128" t="s">
        <v>673</v>
      </c>
      <c r="J102" s="42" t="s">
        <v>37</v>
      </c>
      <c r="K102" s="131">
        <v>46035.0</v>
      </c>
      <c r="L102" s="140" t="s">
        <v>238</v>
      </c>
      <c r="M102" s="75" t="s">
        <v>122</v>
      </c>
      <c r="N102" s="47"/>
      <c r="O102" s="47"/>
      <c r="P102" s="135"/>
      <c r="Q102" s="146"/>
      <c r="R102" s="135"/>
      <c r="S102" s="144"/>
      <c r="T102" s="144"/>
      <c r="U102" s="55"/>
      <c r="V102" s="57"/>
      <c r="W102" s="57"/>
    </row>
    <row r="103">
      <c r="A103" s="36" t="s">
        <v>674</v>
      </c>
      <c r="B103" s="140" t="s">
        <v>676</v>
      </c>
      <c r="C103" s="38" t="str">
        <f>IF(B103="","",(VLOOKUP(B103,'Dados de PN'!$A:$B,2,0)))</f>
        <v>LAMP, INCANDESCENT</v>
      </c>
      <c r="D103" s="140"/>
      <c r="E103" s="75" t="s">
        <v>34</v>
      </c>
      <c r="F103" s="42" t="s">
        <v>35</v>
      </c>
      <c r="G103" s="42">
        <v>1.0</v>
      </c>
      <c r="H103" s="42">
        <v>6.9026E11</v>
      </c>
      <c r="I103" s="128" t="s">
        <v>680</v>
      </c>
      <c r="J103" s="42" t="s">
        <v>37</v>
      </c>
      <c r="K103" s="131">
        <v>46036.0</v>
      </c>
      <c r="L103" s="140">
        <v>2727.0</v>
      </c>
      <c r="M103" s="75" t="s">
        <v>477</v>
      </c>
      <c r="N103" s="47"/>
      <c r="O103" s="47"/>
      <c r="P103" s="135"/>
      <c r="Q103" s="146"/>
      <c r="R103" s="135"/>
      <c r="S103" s="144"/>
      <c r="T103" s="144"/>
      <c r="U103" s="55"/>
      <c r="V103" s="57"/>
      <c r="W103" s="57"/>
    </row>
    <row r="104">
      <c r="A104" s="36" t="s">
        <v>683</v>
      </c>
      <c r="B104" s="140" t="s">
        <v>502</v>
      </c>
      <c r="C104" s="38" t="str">
        <f>IF(B104="","",(VLOOKUP(B104,'Dados de PN'!$A:$B,2,0)))</f>
        <v>VENT BLOWER ASSY</v>
      </c>
      <c r="D104" s="140"/>
      <c r="E104" s="75" t="s">
        <v>34</v>
      </c>
      <c r="F104" s="42" t="s">
        <v>35</v>
      </c>
      <c r="G104" s="42">
        <v>1.0</v>
      </c>
      <c r="H104" s="42">
        <v>6.9026E11</v>
      </c>
      <c r="I104" s="128" t="s">
        <v>680</v>
      </c>
      <c r="J104" s="42" t="s">
        <v>37</v>
      </c>
      <c r="K104" s="131">
        <v>46036.0</v>
      </c>
      <c r="L104" s="140">
        <v>2727.0</v>
      </c>
      <c r="M104" s="75" t="s">
        <v>477</v>
      </c>
      <c r="N104" s="47"/>
      <c r="O104" s="47"/>
      <c r="P104" s="135"/>
      <c r="Q104" s="146"/>
      <c r="R104" s="135"/>
      <c r="S104" s="144"/>
      <c r="T104" s="144"/>
      <c r="U104" s="55"/>
      <c r="V104" s="57"/>
      <c r="W104" s="57"/>
    </row>
    <row r="105">
      <c r="A105" s="36" t="s">
        <v>687</v>
      </c>
      <c r="B105" s="140" t="s">
        <v>505</v>
      </c>
      <c r="C105" s="38" t="str">
        <f>IF(B105="","",(VLOOKUP(B105,'Dados de PN'!$A:$B,2,0)))</f>
        <v>SWITCH, REMOTE</v>
      </c>
      <c r="D105" s="140"/>
      <c r="E105" s="75" t="s">
        <v>34</v>
      </c>
      <c r="F105" s="42" t="s">
        <v>35</v>
      </c>
      <c r="G105" s="42">
        <v>1.0</v>
      </c>
      <c r="H105" s="42">
        <v>3.9626E11</v>
      </c>
      <c r="I105" s="128" t="s">
        <v>689</v>
      </c>
      <c r="J105" s="42" t="s">
        <v>37</v>
      </c>
      <c r="K105" s="131">
        <v>46036.0</v>
      </c>
      <c r="L105" s="140">
        <v>2733.0</v>
      </c>
      <c r="M105" s="75" t="s">
        <v>61</v>
      </c>
      <c r="N105" s="47"/>
      <c r="O105" s="47"/>
      <c r="P105" s="135"/>
      <c r="Q105" s="146"/>
      <c r="R105" s="135"/>
      <c r="S105" s="144"/>
      <c r="T105" s="144"/>
      <c r="U105" s="55"/>
      <c r="V105" s="57"/>
      <c r="W105" s="57"/>
    </row>
    <row r="106">
      <c r="A106" s="36" t="s">
        <v>694</v>
      </c>
      <c r="B106" s="140" t="s">
        <v>508</v>
      </c>
      <c r="C106" s="38" t="str">
        <f>IF(B106="","",(VLOOKUP(B106,'Dados de PN'!$A:$B,2,0)))</f>
        <v>SWITCH-ELEC TR</v>
      </c>
      <c r="D106" s="140"/>
      <c r="E106" s="75" t="s">
        <v>34</v>
      </c>
      <c r="F106" s="42" t="s">
        <v>35</v>
      </c>
      <c r="G106" s="42">
        <v>1.0</v>
      </c>
      <c r="H106" s="42" t="s">
        <v>510</v>
      </c>
      <c r="I106" s="128" t="s">
        <v>698</v>
      </c>
      <c r="J106" s="42" t="s">
        <v>37</v>
      </c>
      <c r="K106" s="131">
        <v>46036.0</v>
      </c>
      <c r="L106" s="140" t="s">
        <v>548</v>
      </c>
      <c r="M106" s="75" t="s">
        <v>47</v>
      </c>
      <c r="N106" s="47"/>
      <c r="O106" s="47"/>
      <c r="P106" s="135"/>
      <c r="Q106" s="146"/>
      <c r="R106" s="135"/>
      <c r="S106" s="144"/>
      <c r="T106" s="144"/>
      <c r="U106" s="55"/>
      <c r="V106" s="57"/>
      <c r="W106" s="57"/>
    </row>
    <row r="107">
      <c r="A107" s="36" t="s">
        <v>700</v>
      </c>
      <c r="B107" s="140" t="s">
        <v>192</v>
      </c>
      <c r="C107" s="38" t="str">
        <f>IF(B107="","",(VLOOKUP(B107,'Dados de PN'!$A:$B,2,0)))</f>
        <v>CABLE ASSY-FLAP INDICATOR</v>
      </c>
      <c r="D107" s="140"/>
      <c r="E107" s="75" t="s">
        <v>34</v>
      </c>
      <c r="F107" s="42" t="s">
        <v>35</v>
      </c>
      <c r="G107" s="42">
        <v>1.0</v>
      </c>
      <c r="H107" s="42">
        <v>1.6455693E7</v>
      </c>
      <c r="I107" s="128" t="s">
        <v>698</v>
      </c>
      <c r="J107" s="42" t="s">
        <v>37</v>
      </c>
      <c r="K107" s="131">
        <v>46036.0</v>
      </c>
      <c r="L107" s="140" t="s">
        <v>548</v>
      </c>
      <c r="M107" s="75" t="s">
        <v>47</v>
      </c>
      <c r="N107" s="47"/>
      <c r="O107" s="47"/>
      <c r="P107" s="135"/>
      <c r="Q107" s="146"/>
      <c r="R107" s="135"/>
      <c r="S107" s="144"/>
      <c r="T107" s="144"/>
      <c r="U107" s="55"/>
      <c r="V107" s="57"/>
      <c r="W107" s="57"/>
    </row>
    <row r="108">
      <c r="A108" s="36" t="s">
        <v>706</v>
      </c>
      <c r="B108" s="140" t="s">
        <v>514</v>
      </c>
      <c r="C108" s="38" t="str">
        <f>IF(B108="","",(VLOOKUP(B108,'Dados de PN'!$A:$B,2,0)))</f>
        <v>RETAINER,PACKING</v>
      </c>
      <c r="D108" s="140"/>
      <c r="E108" s="75" t="s">
        <v>34</v>
      </c>
      <c r="F108" s="42" t="s">
        <v>35</v>
      </c>
      <c r="G108" s="42">
        <v>1.0</v>
      </c>
      <c r="H108" s="42">
        <v>1.6463749E7</v>
      </c>
      <c r="I108" s="128" t="s">
        <v>635</v>
      </c>
      <c r="J108" s="42" t="s">
        <v>37</v>
      </c>
      <c r="K108" s="131">
        <v>46036.0</v>
      </c>
      <c r="L108" s="140" t="s">
        <v>238</v>
      </c>
      <c r="M108" s="75" t="s">
        <v>122</v>
      </c>
      <c r="N108" s="47"/>
      <c r="O108" s="47"/>
      <c r="P108" s="135"/>
      <c r="Q108" s="146"/>
      <c r="R108" s="135"/>
      <c r="S108" s="144"/>
      <c r="T108" s="144"/>
      <c r="U108" s="55"/>
      <c r="V108" s="57"/>
      <c r="W108" s="57"/>
    </row>
    <row r="109">
      <c r="A109" s="36" t="s">
        <v>716</v>
      </c>
      <c r="B109" s="140" t="s">
        <v>514</v>
      </c>
      <c r="C109" s="38" t="str">
        <f>IF(B109="","",(VLOOKUP(B109,'Dados de PN'!$A:$B,2,0)))</f>
        <v>RETAINER,PACKING</v>
      </c>
      <c r="D109" s="140"/>
      <c r="E109" s="75" t="s">
        <v>34</v>
      </c>
      <c r="F109" s="42" t="s">
        <v>35</v>
      </c>
      <c r="G109" s="42">
        <v>1.0</v>
      </c>
      <c r="H109" s="42">
        <v>1.6479594E7</v>
      </c>
      <c r="I109" s="128" t="s">
        <v>720</v>
      </c>
      <c r="J109" s="42" t="s">
        <v>37</v>
      </c>
      <c r="K109" s="131">
        <v>46043.0</v>
      </c>
      <c r="L109" s="140" t="s">
        <v>252</v>
      </c>
      <c r="M109" s="75" t="s">
        <v>61</v>
      </c>
      <c r="N109" s="47"/>
      <c r="O109" s="47"/>
      <c r="P109" s="135"/>
      <c r="Q109" s="146"/>
      <c r="R109" s="135"/>
      <c r="S109" s="144"/>
      <c r="T109" s="144"/>
      <c r="U109" s="55"/>
      <c r="V109" s="57"/>
      <c r="W109" s="57"/>
    </row>
    <row r="110">
      <c r="A110" s="36" t="s">
        <v>723</v>
      </c>
      <c r="B110" s="140" t="s">
        <v>518</v>
      </c>
      <c r="C110" s="38" t="str">
        <f>IF(B110="","",(VLOOKUP(B110,'Dados de PN'!$A:$B,2,0)))</f>
        <v>INDICATOR - OIL TEMP</v>
      </c>
      <c r="D110" s="140"/>
      <c r="E110" s="75" t="s">
        <v>99</v>
      </c>
      <c r="F110" s="42" t="s">
        <v>663</v>
      </c>
      <c r="G110" s="42">
        <v>1.0</v>
      </c>
      <c r="H110" s="42">
        <v>3.29260018825E11</v>
      </c>
      <c r="I110" s="128" t="s">
        <v>726</v>
      </c>
      <c r="J110" s="42" t="s">
        <v>37</v>
      </c>
      <c r="K110" s="131">
        <v>46043.0</v>
      </c>
      <c r="L110" s="140" t="s">
        <v>238</v>
      </c>
      <c r="M110" s="75" t="s">
        <v>122</v>
      </c>
      <c r="N110" s="47"/>
      <c r="O110" s="47"/>
      <c r="P110" s="135"/>
      <c r="Q110" s="146"/>
      <c r="R110" s="135"/>
      <c r="S110" s="144"/>
      <c r="T110" s="144"/>
      <c r="U110" s="55"/>
      <c r="V110" s="57"/>
      <c r="W110" s="57"/>
    </row>
    <row r="111">
      <c r="A111" s="36" t="s">
        <v>731</v>
      </c>
      <c r="B111" s="140" t="s">
        <v>521</v>
      </c>
      <c r="C111" s="38" t="str">
        <f>IF(B111="","",(VLOOKUP(B111,'Dados de PN'!$A:$B,2,0)))</f>
        <v>INDICATOR FUEL</v>
      </c>
      <c r="D111" s="140"/>
      <c r="E111" s="75" t="s">
        <v>99</v>
      </c>
      <c r="F111" s="42" t="s">
        <v>663</v>
      </c>
      <c r="G111" s="42">
        <v>1.0</v>
      </c>
      <c r="H111" s="42">
        <v>3.29260018826E11</v>
      </c>
      <c r="I111" s="128" t="s">
        <v>736</v>
      </c>
      <c r="J111" s="42" t="s">
        <v>37</v>
      </c>
      <c r="K111" s="131">
        <v>46043.0</v>
      </c>
      <c r="L111" s="140" t="s">
        <v>238</v>
      </c>
      <c r="M111" s="75" t="s">
        <v>122</v>
      </c>
      <c r="N111" s="47"/>
      <c r="O111" s="47"/>
      <c r="P111" s="147" t="s">
        <v>521</v>
      </c>
      <c r="Q111" s="143" t="s">
        <v>524</v>
      </c>
      <c r="R111" s="143" t="s">
        <v>525</v>
      </c>
      <c r="S111" s="144"/>
      <c r="T111" s="156">
        <v>45805.0</v>
      </c>
      <c r="U111" s="99" t="s">
        <v>739</v>
      </c>
      <c r="V111" s="75"/>
      <c r="W111" s="57"/>
    </row>
    <row r="112">
      <c r="A112" s="36" t="s">
        <v>741</v>
      </c>
      <c r="B112" s="140" t="s">
        <v>528</v>
      </c>
      <c r="C112" s="38" t="str">
        <f>IF(B112="","",(VLOOKUP(B112,'Dados de PN'!$A:$B,2,0)))</f>
        <v>TRANSCEIVER</v>
      </c>
      <c r="D112" s="140"/>
      <c r="E112" s="75" t="s">
        <v>99</v>
      </c>
      <c r="F112" s="42" t="s">
        <v>663</v>
      </c>
      <c r="G112" s="42">
        <v>1.0</v>
      </c>
      <c r="H112" s="42">
        <v>1.6494618E7</v>
      </c>
      <c r="I112" s="128" t="s">
        <v>745</v>
      </c>
      <c r="J112" s="42" t="s">
        <v>37</v>
      </c>
      <c r="K112" s="131">
        <v>46043.0</v>
      </c>
      <c r="L112" s="140" t="s">
        <v>110</v>
      </c>
      <c r="M112" s="75" t="s">
        <v>54</v>
      </c>
      <c r="N112" s="47"/>
      <c r="O112" s="47"/>
      <c r="P112" s="147" t="s">
        <v>532</v>
      </c>
      <c r="Q112" s="143" t="s">
        <v>533</v>
      </c>
      <c r="R112" s="147" t="s">
        <v>534</v>
      </c>
      <c r="S112" s="144"/>
      <c r="T112" s="145">
        <v>45959.0</v>
      </c>
      <c r="U112" s="99" t="s">
        <v>748</v>
      </c>
      <c r="V112" s="75"/>
      <c r="W112" s="75" t="s">
        <v>66</v>
      </c>
    </row>
    <row r="113">
      <c r="A113" s="36" t="s">
        <v>749</v>
      </c>
      <c r="B113" s="140" t="s">
        <v>536</v>
      </c>
      <c r="C113" s="38" t="str">
        <f>IF(B113="","",(VLOOKUP(B113,'Dados de PN'!$A:$B,2,0)))</f>
        <v>CONTROL UNIT ASSY-GENERATOR</v>
      </c>
      <c r="D113" s="140"/>
      <c r="E113" s="75" t="s">
        <v>99</v>
      </c>
      <c r="F113" s="42" t="s">
        <v>35</v>
      </c>
      <c r="G113" s="42">
        <v>1.0</v>
      </c>
      <c r="H113" s="42" t="s">
        <v>752</v>
      </c>
      <c r="I113" s="128" t="s">
        <v>745</v>
      </c>
      <c r="J113" s="42" t="s">
        <v>37</v>
      </c>
      <c r="K113" s="131">
        <v>46044.0</v>
      </c>
      <c r="L113" s="140">
        <v>2719.0</v>
      </c>
      <c r="M113" s="75" t="s">
        <v>54</v>
      </c>
      <c r="N113" s="47"/>
      <c r="O113" s="47"/>
      <c r="P113" s="147" t="s">
        <v>538</v>
      </c>
      <c r="Q113" s="143" t="s">
        <v>539</v>
      </c>
      <c r="R113" s="143" t="s">
        <v>540</v>
      </c>
      <c r="S113" s="144"/>
      <c r="T113" s="145">
        <v>46052.0</v>
      </c>
      <c r="U113" s="99" t="s">
        <v>756</v>
      </c>
      <c r="V113" s="75"/>
      <c r="W113" s="57"/>
      <c r="X113" s="57"/>
      <c r="Y113" s="57"/>
      <c r="Z113" s="57"/>
      <c r="AA113" s="57"/>
      <c r="AB113" s="57"/>
      <c r="AC113" s="57"/>
      <c r="AD113" s="57"/>
    </row>
    <row r="114">
      <c r="A114" s="36" t="s">
        <v>758</v>
      </c>
      <c r="B114" s="140" t="s">
        <v>542</v>
      </c>
      <c r="C114" s="38" t="str">
        <f>IF(B114="","",(VLOOKUP(B114,'Dados de PN'!$A:$B,2,0)))</f>
        <v>CABLE ASSY</v>
      </c>
      <c r="D114" s="140" t="s">
        <v>33</v>
      </c>
      <c r="E114" s="75" t="s">
        <v>34</v>
      </c>
      <c r="F114" s="42" t="s">
        <v>35</v>
      </c>
      <c r="G114" s="42">
        <v>1.0</v>
      </c>
      <c r="H114" s="42">
        <v>1.6525969E7</v>
      </c>
      <c r="I114" s="128" t="s">
        <v>475</v>
      </c>
      <c r="J114" s="42" t="s">
        <v>37</v>
      </c>
      <c r="K114" s="131">
        <v>46049.0</v>
      </c>
      <c r="L114" s="140" t="s">
        <v>476</v>
      </c>
      <c r="M114" s="75" t="s">
        <v>477</v>
      </c>
      <c r="N114" s="47"/>
      <c r="O114" s="47"/>
      <c r="P114" s="135"/>
      <c r="Q114" s="146"/>
      <c r="R114" s="135"/>
      <c r="S114" s="144"/>
      <c r="T114" s="144"/>
      <c r="U114" s="55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6" t="s">
        <v>764</v>
      </c>
      <c r="B115" s="140" t="s">
        <v>545</v>
      </c>
      <c r="C115" s="38" t="str">
        <f>IF(B115="","",(VLOOKUP(B115,'Dados de PN'!$A:$B,2,0)))</f>
        <v>CONTROL ASSY</v>
      </c>
      <c r="D115" s="140" t="s">
        <v>33</v>
      </c>
      <c r="E115" s="75" t="s">
        <v>34</v>
      </c>
      <c r="F115" s="42" t="s">
        <v>35</v>
      </c>
      <c r="G115" s="42">
        <v>1.0</v>
      </c>
      <c r="H115" s="42">
        <v>1.6525969E7</v>
      </c>
      <c r="I115" s="128" t="s">
        <v>768</v>
      </c>
      <c r="J115" s="42" t="s">
        <v>37</v>
      </c>
      <c r="K115" s="131">
        <v>46049.0</v>
      </c>
      <c r="L115" s="38" t="s">
        <v>383</v>
      </c>
      <c r="M115" s="42" t="s">
        <v>384</v>
      </c>
      <c r="N115" s="47"/>
      <c r="O115" s="47"/>
      <c r="P115" s="69"/>
      <c r="Q115" s="149"/>
      <c r="R115" s="69"/>
      <c r="S115" s="144"/>
      <c r="T115" s="144"/>
      <c r="U115" s="55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6" t="s">
        <v>771</v>
      </c>
      <c r="B116" s="140" t="s">
        <v>549</v>
      </c>
      <c r="C116" s="38" t="str">
        <f>IF(B116="","",(VLOOKUP(B116,'Dados de PN'!$A:$B,2,0)))</f>
        <v>TUBE-DRAIN</v>
      </c>
      <c r="D116" s="140" t="s">
        <v>33</v>
      </c>
      <c r="E116" s="75" t="s">
        <v>34</v>
      </c>
      <c r="F116" s="42" t="s">
        <v>35</v>
      </c>
      <c r="G116" s="42">
        <v>1.0</v>
      </c>
      <c r="H116" s="140" t="s">
        <v>772</v>
      </c>
      <c r="I116" s="128" t="s">
        <v>773</v>
      </c>
      <c r="J116" s="42" t="s">
        <v>37</v>
      </c>
      <c r="K116" s="131">
        <v>46050.0</v>
      </c>
      <c r="L116" s="38" t="s">
        <v>383</v>
      </c>
      <c r="M116" s="42" t="s">
        <v>384</v>
      </c>
      <c r="N116" s="47"/>
      <c r="O116" s="47"/>
      <c r="P116" s="69"/>
      <c r="Q116" s="149"/>
      <c r="R116" s="69"/>
      <c r="S116" s="144"/>
      <c r="T116" s="144"/>
      <c r="U116" s="55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6" t="s">
        <v>776</v>
      </c>
      <c r="B117" s="140" t="s">
        <v>552</v>
      </c>
      <c r="C117" s="38" t="str">
        <f>IF(B117="","",(VLOOKUP(B117,'Dados de PN'!$A:$B,2,0)))</f>
        <v>BOLT U</v>
      </c>
      <c r="D117" s="140" t="s">
        <v>33</v>
      </c>
      <c r="E117" s="75" t="s">
        <v>34</v>
      </c>
      <c r="F117" s="42" t="s">
        <v>118</v>
      </c>
      <c r="G117" s="42">
        <v>2.0</v>
      </c>
      <c r="H117" s="140" t="s">
        <v>780</v>
      </c>
      <c r="I117" s="128" t="s">
        <v>773</v>
      </c>
      <c r="J117" s="42" t="s">
        <v>37</v>
      </c>
      <c r="K117" s="131">
        <v>46050.0</v>
      </c>
      <c r="L117" s="38" t="s">
        <v>383</v>
      </c>
      <c r="M117" s="42" t="s">
        <v>384</v>
      </c>
      <c r="N117" s="47"/>
      <c r="O117" s="47"/>
      <c r="P117" s="147" t="s">
        <v>552</v>
      </c>
      <c r="Q117" s="143" t="s">
        <v>554</v>
      </c>
      <c r="R117" s="143" t="s">
        <v>555</v>
      </c>
      <c r="S117" s="144"/>
      <c r="T117" s="145">
        <v>46048.0</v>
      </c>
      <c r="U117" s="99" t="s">
        <v>781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6" t="s">
        <v>785</v>
      </c>
      <c r="B118" s="140" t="s">
        <v>559</v>
      </c>
      <c r="C118" s="38" t="str">
        <f>IF(B118="","",(VLOOKUP(B118,'Dados de PN'!$A:$B,2,0)))</f>
        <v>SPRING</v>
      </c>
      <c r="D118" s="140" t="s">
        <v>33</v>
      </c>
      <c r="E118" s="75" t="s">
        <v>34</v>
      </c>
      <c r="F118" s="42" t="s">
        <v>118</v>
      </c>
      <c r="G118" s="42">
        <v>2.0</v>
      </c>
      <c r="H118" s="140" t="s">
        <v>786</v>
      </c>
      <c r="I118" s="128" t="s">
        <v>773</v>
      </c>
      <c r="J118" s="42" t="s">
        <v>37</v>
      </c>
      <c r="K118" s="131">
        <v>46050.0</v>
      </c>
      <c r="L118" s="38" t="s">
        <v>383</v>
      </c>
      <c r="M118" s="42" t="s">
        <v>384</v>
      </c>
      <c r="N118" s="47"/>
      <c r="O118" s="47"/>
      <c r="P118" s="57"/>
      <c r="Q118" s="47"/>
      <c r="R118" s="57"/>
      <c r="S118" s="57"/>
      <c r="T118" s="57"/>
      <c r="U118" s="55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6" t="s">
        <v>788</v>
      </c>
      <c r="B119" s="140" t="s">
        <v>562</v>
      </c>
      <c r="C119" s="38" t="str">
        <f>IF(B119="","",(VLOOKUP(B119,'Dados de PN'!$A:$B,2,0)))</f>
        <v>CABLE NIPPLE,ELECTRICAL</v>
      </c>
      <c r="D119" s="140" t="s">
        <v>33</v>
      </c>
      <c r="E119" s="75" t="s">
        <v>34</v>
      </c>
      <c r="F119" s="75" t="s">
        <v>308</v>
      </c>
      <c r="G119" s="42">
        <v>10.0</v>
      </c>
      <c r="H119" s="42">
        <v>3.86260013052E11</v>
      </c>
      <c r="I119" s="128" t="s">
        <v>790</v>
      </c>
      <c r="J119" s="75" t="s">
        <v>37</v>
      </c>
      <c r="K119" s="131">
        <v>46063.0</v>
      </c>
      <c r="L119" s="38" t="s">
        <v>383</v>
      </c>
      <c r="M119" s="42" t="s">
        <v>384</v>
      </c>
      <c r="N119" s="128">
        <v>2.02667113005149E14</v>
      </c>
      <c r="O119" s="47"/>
      <c r="P119" s="57"/>
      <c r="Q119" s="47"/>
      <c r="R119" s="57"/>
      <c r="S119" s="57"/>
      <c r="T119" s="57"/>
      <c r="U119" s="55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6" t="s">
        <v>792</v>
      </c>
      <c r="B120" s="140" t="s">
        <v>566</v>
      </c>
      <c r="C120" s="38" t="str">
        <f>IF(B120="","",(VLOOKUP(B120,'Dados de PN'!$A:$B,2,0)))</f>
        <v>MOTOR,DIRECT CURRENT</v>
      </c>
      <c r="D120" s="140" t="s">
        <v>33</v>
      </c>
      <c r="E120" s="75" t="s">
        <v>34</v>
      </c>
      <c r="F120" s="75" t="s">
        <v>35</v>
      </c>
      <c r="G120" s="42">
        <v>1.0</v>
      </c>
      <c r="H120" s="42">
        <v>3.1325001755E11</v>
      </c>
      <c r="I120" s="128" t="s">
        <v>794</v>
      </c>
      <c r="J120" s="75" t="s">
        <v>37</v>
      </c>
      <c r="K120" s="131">
        <v>46028.0</v>
      </c>
      <c r="L120" s="140" t="s">
        <v>219</v>
      </c>
      <c r="M120" s="75" t="s">
        <v>47</v>
      </c>
      <c r="N120" s="47"/>
      <c r="O120" s="47"/>
      <c r="P120" s="57"/>
      <c r="Q120" s="47"/>
      <c r="R120" s="57"/>
      <c r="S120" s="57"/>
      <c r="T120" s="57"/>
      <c r="U120" s="55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6" t="s">
        <v>798</v>
      </c>
      <c r="B121" s="140" t="s">
        <v>569</v>
      </c>
      <c r="C121" s="38" t="str">
        <f>IF(B121="","",(VLOOKUP(B121,'Dados de PN'!$A:$B,2,0)))</f>
        <v>OIL COOLER-LARGE</v>
      </c>
      <c r="D121" s="140" t="s">
        <v>802</v>
      </c>
      <c r="E121" s="75" t="s">
        <v>99</v>
      </c>
      <c r="F121" s="75" t="s">
        <v>35</v>
      </c>
      <c r="G121" s="42">
        <v>1.0</v>
      </c>
      <c r="H121" s="42">
        <v>1.6693774E7</v>
      </c>
      <c r="I121" s="128" t="s">
        <v>804</v>
      </c>
      <c r="J121" s="75" t="s">
        <v>37</v>
      </c>
      <c r="K121" s="131">
        <v>46065.0</v>
      </c>
      <c r="L121" s="140" t="s">
        <v>142</v>
      </c>
      <c r="M121" s="75" t="s">
        <v>54</v>
      </c>
      <c r="N121" s="47"/>
      <c r="O121" s="47"/>
      <c r="P121" s="57"/>
      <c r="Q121" s="47"/>
      <c r="R121" s="57"/>
      <c r="S121" s="57"/>
      <c r="T121" s="57"/>
      <c r="U121" s="55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6" t="s">
        <v>808</v>
      </c>
      <c r="B122" s="158" t="s">
        <v>574</v>
      </c>
      <c r="C122" s="38" t="str">
        <f>IF(B122="","",(VLOOKUP(B122,'Dados de PN'!$A:$B,2,0)))</f>
        <v>GOVERNOR,OVERSPEED</v>
      </c>
      <c r="D122" s="140" t="s">
        <v>576</v>
      </c>
      <c r="E122" s="75" t="s">
        <v>99</v>
      </c>
      <c r="F122" s="75" t="s">
        <v>35</v>
      </c>
      <c r="G122" s="42">
        <v>1.0</v>
      </c>
      <c r="H122" s="42">
        <v>1.6693775E7</v>
      </c>
      <c r="I122" s="128" t="s">
        <v>804</v>
      </c>
      <c r="J122" s="75" t="s">
        <v>37</v>
      </c>
      <c r="K122" s="131">
        <v>46065.0</v>
      </c>
      <c r="L122" s="140" t="s">
        <v>142</v>
      </c>
      <c r="M122" s="75" t="s">
        <v>54</v>
      </c>
      <c r="N122" s="47"/>
      <c r="O122" s="47"/>
      <c r="P122" s="57" t="s">
        <v>574</v>
      </c>
      <c r="Q122" s="47" t="s">
        <v>579</v>
      </c>
      <c r="R122" s="159" t="s">
        <v>581</v>
      </c>
      <c r="S122" s="57"/>
      <c r="T122" s="57"/>
      <c r="U122" s="55"/>
      <c r="V122" s="160"/>
      <c r="W122" s="57"/>
      <c r="X122" s="57"/>
      <c r="Y122" s="57"/>
      <c r="Z122" s="57"/>
      <c r="AA122" s="161"/>
      <c r="AB122" s="161"/>
      <c r="AC122" s="161"/>
      <c r="AD122" s="161"/>
    </row>
    <row r="123">
      <c r="A123" s="36" t="s">
        <v>814</v>
      </c>
      <c r="B123" s="140" t="s">
        <v>582</v>
      </c>
      <c r="C123" s="38" t="str">
        <f>IF(B123="","",(VLOOKUP(B123,'Dados de PN'!$A:$B,2,0)))</f>
        <v>VALVE,SAFETY RELIEF</v>
      </c>
      <c r="D123" s="140" t="s">
        <v>33</v>
      </c>
      <c r="E123" s="75" t="s">
        <v>34</v>
      </c>
      <c r="F123" s="75" t="s">
        <v>35</v>
      </c>
      <c r="G123" s="42">
        <v>1.0</v>
      </c>
      <c r="H123" s="42">
        <v>6.8526001085E11</v>
      </c>
      <c r="I123" s="128" t="s">
        <v>818</v>
      </c>
      <c r="J123" s="75" t="s">
        <v>37</v>
      </c>
      <c r="K123" s="131">
        <v>46065.0</v>
      </c>
      <c r="L123" s="140" t="s">
        <v>53</v>
      </c>
      <c r="M123" s="75" t="s">
        <v>54</v>
      </c>
      <c r="N123" s="47"/>
      <c r="O123" s="47"/>
      <c r="P123" s="57"/>
      <c r="Q123" s="47"/>
      <c r="R123" s="57"/>
      <c r="S123" s="57"/>
      <c r="T123" s="57"/>
      <c r="U123" s="55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6" t="s">
        <v>823</v>
      </c>
      <c r="B124" s="140" t="s">
        <v>582</v>
      </c>
      <c r="C124" s="38" t="str">
        <f>IF(B124="","",(VLOOKUP(B124,'Dados de PN'!$A:$B,2,0)))</f>
        <v>VALVE,SAFETY RELIEF</v>
      </c>
      <c r="D124" s="140" t="s">
        <v>33</v>
      </c>
      <c r="E124" s="75" t="s">
        <v>34</v>
      </c>
      <c r="F124" s="75" t="s">
        <v>35</v>
      </c>
      <c r="G124" s="42">
        <v>1.0</v>
      </c>
      <c r="H124" s="42">
        <v>6.85260010851E11</v>
      </c>
      <c r="I124" s="128" t="s">
        <v>826</v>
      </c>
      <c r="J124" s="75" t="s">
        <v>37</v>
      </c>
      <c r="K124" s="131">
        <v>46065.0</v>
      </c>
      <c r="L124" s="140" t="s">
        <v>142</v>
      </c>
      <c r="M124" s="75" t="s">
        <v>54</v>
      </c>
      <c r="N124" s="47"/>
      <c r="O124" s="47"/>
      <c r="P124" s="57"/>
      <c r="Q124" s="47"/>
      <c r="R124" s="57"/>
      <c r="S124" s="57"/>
      <c r="T124" s="57"/>
      <c r="U124" s="55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6" t="s">
        <v>832</v>
      </c>
      <c r="B125" s="140" t="s">
        <v>834</v>
      </c>
      <c r="C125" s="38" t="str">
        <f>IF(B125="","",(VLOOKUP(B125,'Dados de PN'!$A:$B,2,0)))</f>
        <v>GYRO HORIZON</v>
      </c>
      <c r="D125" s="140" t="s">
        <v>835</v>
      </c>
      <c r="E125" s="75" t="s">
        <v>99</v>
      </c>
      <c r="F125" s="75" t="s">
        <v>35</v>
      </c>
      <c r="G125" s="42">
        <v>1.0</v>
      </c>
      <c r="H125" s="42">
        <v>1.6694288E7</v>
      </c>
      <c r="I125" s="43" t="s">
        <v>838</v>
      </c>
      <c r="J125" s="75" t="s">
        <v>37</v>
      </c>
      <c r="K125" s="45">
        <v>46066.0</v>
      </c>
      <c r="L125" s="140" t="s">
        <v>120</v>
      </c>
      <c r="M125" s="75" t="s">
        <v>122</v>
      </c>
      <c r="N125" s="47"/>
      <c r="O125" s="47"/>
      <c r="P125" s="57"/>
      <c r="Q125" s="47"/>
      <c r="R125" s="57"/>
      <c r="S125" s="57"/>
      <c r="T125" s="57"/>
      <c r="U125" s="55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6" t="s">
        <v>842</v>
      </c>
      <c r="B126" s="140" t="s">
        <v>589</v>
      </c>
      <c r="C126" s="38" t="str">
        <f>IF(B126="","",(VLOOKUP(B126,'Dados de PN'!$A:$B,2,0)))</f>
        <v>THERMOSTAT</v>
      </c>
      <c r="D126" s="140"/>
      <c r="E126" s="75" t="s">
        <v>34</v>
      </c>
      <c r="F126" s="75" t="s">
        <v>35</v>
      </c>
      <c r="G126" s="42">
        <v>1.0</v>
      </c>
      <c r="H126" s="42">
        <v>3.84260009358E11</v>
      </c>
      <c r="I126" s="128" t="s">
        <v>843</v>
      </c>
      <c r="J126" s="75" t="s">
        <v>37</v>
      </c>
      <c r="K126" s="45">
        <v>46073.0</v>
      </c>
      <c r="L126" s="140" t="s">
        <v>557</v>
      </c>
      <c r="M126" s="75" t="s">
        <v>558</v>
      </c>
      <c r="N126" s="47"/>
      <c r="O126" s="47"/>
      <c r="P126" s="57"/>
      <c r="Q126" s="47"/>
      <c r="R126" s="57"/>
      <c r="S126" s="57"/>
      <c r="T126" s="57"/>
      <c r="U126" s="55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6" t="s">
        <v>845</v>
      </c>
      <c r="B127" s="38" t="s">
        <v>415</v>
      </c>
      <c r="C127" s="38" t="str">
        <f>IF(B127="","",(VLOOKUP(B127,'Dados de PN'!$A:$B,2,0)))</f>
        <v>WHEEL HALF ASSY</v>
      </c>
      <c r="D127" s="140"/>
      <c r="E127" s="75" t="s">
        <v>99</v>
      </c>
      <c r="F127" s="75" t="s">
        <v>35</v>
      </c>
      <c r="G127" s="42">
        <v>1.0</v>
      </c>
      <c r="H127" s="38" t="s">
        <v>850</v>
      </c>
      <c r="I127" s="128" t="s">
        <v>851</v>
      </c>
      <c r="J127" s="75" t="s">
        <v>37</v>
      </c>
      <c r="K127" s="45">
        <v>46073.0</v>
      </c>
      <c r="L127" s="140" t="s">
        <v>120</v>
      </c>
      <c r="M127" s="75" t="s">
        <v>122</v>
      </c>
      <c r="N127" s="47"/>
      <c r="O127" s="47"/>
      <c r="P127" s="162" t="s">
        <v>415</v>
      </c>
      <c r="Q127" s="128" t="s">
        <v>853</v>
      </c>
      <c r="R127" s="75" t="s">
        <v>595</v>
      </c>
      <c r="S127" s="57"/>
      <c r="T127" s="163">
        <v>45889.0</v>
      </c>
      <c r="U127" s="99" t="s">
        <v>855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6" t="s">
        <v>857</v>
      </c>
      <c r="B128" s="38" t="s">
        <v>418</v>
      </c>
      <c r="C128" s="38" t="str">
        <f>IF(B128="","",(VLOOKUP(B128,'Dados de PN'!$A:$B,2,0)))</f>
        <v>WHEEL HALF ASSY</v>
      </c>
      <c r="D128" s="140"/>
      <c r="E128" s="75" t="s">
        <v>99</v>
      </c>
      <c r="F128" s="75" t="s">
        <v>35</v>
      </c>
      <c r="G128" s="42">
        <v>1.0</v>
      </c>
      <c r="H128" s="38" t="s">
        <v>861</v>
      </c>
      <c r="I128" s="128" t="s">
        <v>851</v>
      </c>
      <c r="J128" s="75" t="s">
        <v>37</v>
      </c>
      <c r="K128" s="45">
        <v>46073.0</v>
      </c>
      <c r="L128" s="140" t="s">
        <v>120</v>
      </c>
      <c r="M128" s="75" t="s">
        <v>122</v>
      </c>
      <c r="N128" s="47"/>
      <c r="O128" s="47"/>
      <c r="P128" s="57"/>
      <c r="Q128" s="47"/>
      <c r="R128" s="57"/>
      <c r="S128" s="57"/>
      <c r="T128" s="57"/>
      <c r="U128" s="55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6" t="s">
        <v>867</v>
      </c>
      <c r="B129" s="38" t="s">
        <v>279</v>
      </c>
      <c r="C129" s="38" t="str">
        <f>IF(B129="","",(VLOOKUP(B129,'Dados de PN'!$A:$B,2,0)))</f>
        <v>INNER TUBE,PNEUMATIC TIRE,AIRCRAFT</v>
      </c>
      <c r="D129" s="140"/>
      <c r="E129" s="75" t="s">
        <v>34</v>
      </c>
      <c r="F129" s="75" t="s">
        <v>35</v>
      </c>
      <c r="G129" s="42">
        <v>1.0</v>
      </c>
      <c r="H129" s="38" t="s">
        <v>870</v>
      </c>
      <c r="I129" s="128" t="s">
        <v>851</v>
      </c>
      <c r="J129" s="75" t="s">
        <v>37</v>
      </c>
      <c r="K129" s="45">
        <v>46073.0</v>
      </c>
      <c r="L129" s="140" t="s">
        <v>120</v>
      </c>
      <c r="M129" s="75" t="s">
        <v>122</v>
      </c>
      <c r="N129" s="47"/>
      <c r="O129" s="47"/>
      <c r="P129" s="57"/>
      <c r="Q129" s="47"/>
      <c r="R129" s="57"/>
      <c r="S129" s="57"/>
      <c r="T129" s="57"/>
      <c r="U129" s="55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6" t="s">
        <v>872</v>
      </c>
      <c r="B130" s="38" t="s">
        <v>222</v>
      </c>
      <c r="C130" s="38" t="str">
        <f>IF(B130="","",(VLOOKUP(B130,'Dados de PN'!$A:$B,2,0)))</f>
        <v>PNEU PRINCIPAL 8.50-10 08PR TT FCIII MLG</v>
      </c>
      <c r="D130" s="140"/>
      <c r="E130" s="75" t="s">
        <v>34</v>
      </c>
      <c r="F130" s="75" t="s">
        <v>35</v>
      </c>
      <c r="G130" s="42">
        <v>1.0</v>
      </c>
      <c r="H130" s="38" t="s">
        <v>873</v>
      </c>
      <c r="I130" s="128" t="s">
        <v>851</v>
      </c>
      <c r="J130" s="75" t="s">
        <v>37</v>
      </c>
      <c r="K130" s="45">
        <v>46073.0</v>
      </c>
      <c r="L130" s="140" t="s">
        <v>120</v>
      </c>
      <c r="M130" s="75" t="s">
        <v>122</v>
      </c>
      <c r="N130" s="47"/>
      <c r="O130" s="47"/>
      <c r="P130" s="57"/>
      <c r="Q130" s="47"/>
      <c r="R130" s="57"/>
      <c r="S130" s="57"/>
      <c r="T130" s="57"/>
      <c r="U130" s="55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6" t="s">
        <v>877</v>
      </c>
      <c r="B131" s="38" t="s">
        <v>603</v>
      </c>
      <c r="C131" s="38" t="str">
        <f>IF(B131="","",(VLOOKUP(B131,'Dados de PN'!$A:$B,2,0)))</f>
        <v>NUT,PLAIN,HEXAGON</v>
      </c>
      <c r="D131" s="140"/>
      <c r="E131" s="75" t="s">
        <v>34</v>
      </c>
      <c r="F131" s="75" t="s">
        <v>833</v>
      </c>
      <c r="G131" s="42">
        <v>6.0</v>
      </c>
      <c r="H131" s="38" t="s">
        <v>879</v>
      </c>
      <c r="I131" s="128" t="s">
        <v>851</v>
      </c>
      <c r="J131" s="75" t="s">
        <v>37</v>
      </c>
      <c r="K131" s="45">
        <v>46073.0</v>
      </c>
      <c r="L131" s="140" t="s">
        <v>120</v>
      </c>
      <c r="M131" s="75" t="s">
        <v>122</v>
      </c>
      <c r="N131" s="47"/>
      <c r="O131" s="47"/>
      <c r="P131" s="57"/>
      <c r="Q131" s="47"/>
      <c r="R131" s="57"/>
      <c r="S131" s="57"/>
      <c r="T131" s="57"/>
      <c r="U131" s="55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6" t="s">
        <v>881</v>
      </c>
      <c r="B132" s="140" t="s">
        <v>606</v>
      </c>
      <c r="C132" s="38" t="str">
        <f>IF(B132="","",(VLOOKUP(B132,'Dados de PN'!$A:$B,2,0)))</f>
        <v>SUCTION GAGE</v>
      </c>
      <c r="D132" s="140" t="s">
        <v>608</v>
      </c>
      <c r="E132" s="75" t="s">
        <v>34</v>
      </c>
      <c r="F132" s="75" t="s">
        <v>35</v>
      </c>
      <c r="G132" s="42">
        <v>1.0</v>
      </c>
      <c r="H132" s="42">
        <v>1.6783067E7</v>
      </c>
      <c r="I132" s="128" t="s">
        <v>885</v>
      </c>
      <c r="J132" s="75" t="s">
        <v>37</v>
      </c>
      <c r="K132" s="45">
        <v>46077.0</v>
      </c>
      <c r="L132" s="140" t="s">
        <v>886</v>
      </c>
      <c r="M132" s="75" t="s">
        <v>612</v>
      </c>
      <c r="N132" s="47"/>
      <c r="O132" s="47"/>
      <c r="P132" s="57"/>
      <c r="Q132" s="47"/>
      <c r="R132" s="57"/>
      <c r="S132" s="57"/>
      <c r="T132" s="57"/>
      <c r="U132" s="55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6" t="s">
        <v>890</v>
      </c>
      <c r="B133" s="140" t="s">
        <v>614</v>
      </c>
      <c r="C133" s="38" t="str">
        <f>IF(B133="","",(VLOOKUP(B133,'Dados de PN'!$A:$B,2,0)))</f>
        <v>PIN,STRAIGHT,HEADED</v>
      </c>
      <c r="D133" s="140"/>
      <c r="E133" s="75" t="s">
        <v>34</v>
      </c>
      <c r="F133" s="75" t="s">
        <v>35</v>
      </c>
      <c r="G133" s="42">
        <v>1.0</v>
      </c>
      <c r="H133" s="42">
        <v>3.13260017745E11</v>
      </c>
      <c r="I133" s="128" t="s">
        <v>894</v>
      </c>
      <c r="J133" s="75" t="s">
        <v>37</v>
      </c>
      <c r="K133" s="45">
        <v>46079.0</v>
      </c>
      <c r="L133" s="140" t="s">
        <v>895</v>
      </c>
      <c r="M133" s="75" t="s">
        <v>47</v>
      </c>
      <c r="N133" s="47"/>
      <c r="O133" s="47"/>
      <c r="P133" s="57"/>
      <c r="Q133" s="47"/>
      <c r="R133" s="57"/>
      <c r="S133" s="57"/>
      <c r="T133" s="57"/>
      <c r="U133" s="55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6" t="s">
        <v>897</v>
      </c>
      <c r="B134" s="140" t="s">
        <v>422</v>
      </c>
      <c r="C134" s="38" t="str">
        <f>IF(B134="","",(VLOOKUP(B134,'Dados de PN'!$A:$B,2,0)))</f>
        <v>WHEEL HALF ASSY</v>
      </c>
      <c r="D134" s="140"/>
      <c r="E134" s="75" t="s">
        <v>99</v>
      </c>
      <c r="F134" s="75" t="s">
        <v>35</v>
      </c>
      <c r="G134" s="42">
        <v>1.0</v>
      </c>
      <c r="H134" s="38" t="s">
        <v>900</v>
      </c>
      <c r="I134" s="128" t="s">
        <v>697</v>
      </c>
      <c r="J134" s="75" t="s">
        <v>37</v>
      </c>
      <c r="K134" s="45">
        <v>46080.0</v>
      </c>
      <c r="L134" s="140" t="s">
        <v>557</v>
      </c>
      <c r="M134" s="75" t="s">
        <v>558</v>
      </c>
      <c r="N134" s="47"/>
      <c r="O134" s="47"/>
      <c r="P134" s="57"/>
      <c r="Q134" s="47"/>
      <c r="R134" s="57"/>
      <c r="S134" s="57"/>
      <c r="T134" s="57"/>
      <c r="U134" s="55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6" t="s">
        <v>905</v>
      </c>
      <c r="B135" s="140" t="s">
        <v>424</v>
      </c>
      <c r="C135" s="38" t="str">
        <f>IF(B135="","",(VLOOKUP(B135,'Dados de PN'!$A:$B,2,0)))</f>
        <v>WHEEL HALF ASSY</v>
      </c>
      <c r="D135" s="140"/>
      <c r="E135" s="75" t="s">
        <v>99</v>
      </c>
      <c r="F135" s="75" t="s">
        <v>35</v>
      </c>
      <c r="G135" s="42">
        <v>1.0</v>
      </c>
      <c r="H135" s="42">
        <v>1.6843795E7</v>
      </c>
      <c r="I135" s="168" t="s">
        <v>697</v>
      </c>
      <c r="J135" s="159" t="s">
        <v>37</v>
      </c>
      <c r="K135" s="169">
        <v>46080.0</v>
      </c>
      <c r="L135" s="141" t="s">
        <v>557</v>
      </c>
      <c r="M135" s="57" t="s">
        <v>558</v>
      </c>
      <c r="N135" s="47"/>
      <c r="O135" s="47"/>
      <c r="P135" s="57"/>
      <c r="Q135" s="47"/>
      <c r="R135" s="57"/>
      <c r="S135" s="57"/>
      <c r="T135" s="57"/>
      <c r="U135" s="55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6" t="s">
        <v>909</v>
      </c>
      <c r="B136" s="140" t="s">
        <v>624</v>
      </c>
      <c r="C136" s="38" t="str">
        <f>IF(B136="","",(VLOOKUP(B136,'Dados de PN'!$A:$B,2,0)))</f>
        <v>HOSE ASSY</v>
      </c>
      <c r="D136" s="140"/>
      <c r="E136" s="75" t="s">
        <v>34</v>
      </c>
      <c r="F136" s="75" t="s">
        <v>35</v>
      </c>
      <c r="G136" s="42">
        <v>1.0</v>
      </c>
      <c r="H136" s="38" t="s">
        <v>912</v>
      </c>
      <c r="I136" s="168" t="s">
        <v>697</v>
      </c>
      <c r="J136" s="159" t="s">
        <v>37</v>
      </c>
      <c r="K136" s="169">
        <v>46080.0</v>
      </c>
      <c r="L136" s="141" t="s">
        <v>557</v>
      </c>
      <c r="M136" s="57" t="s">
        <v>558</v>
      </c>
      <c r="N136" s="47"/>
      <c r="O136" s="47"/>
      <c r="P136" s="57"/>
      <c r="Q136" s="47"/>
      <c r="R136" s="57"/>
      <c r="S136" s="57"/>
      <c r="T136" s="57"/>
      <c r="U136" s="55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6" t="s">
        <v>915</v>
      </c>
      <c r="B137" s="140" t="s">
        <v>627</v>
      </c>
      <c r="C137" s="38" t="str">
        <f>IF(B137="","",(VLOOKUP(B137,'Dados de PN'!$A:$B,2,0)))</f>
        <v>CLAMP,LOOP</v>
      </c>
      <c r="D137" s="140"/>
      <c r="E137" s="75" t="s">
        <v>34</v>
      </c>
      <c r="F137" s="75" t="s">
        <v>308</v>
      </c>
      <c r="G137" s="42">
        <v>10.0</v>
      </c>
      <c r="H137" s="42">
        <v>1.6844147E7</v>
      </c>
      <c r="I137" s="128" t="s">
        <v>918</v>
      </c>
      <c r="J137" s="159" t="s">
        <v>37</v>
      </c>
      <c r="K137" s="169">
        <v>46080.0</v>
      </c>
      <c r="L137" s="140" t="s">
        <v>630</v>
      </c>
      <c r="M137" s="75" t="s">
        <v>54</v>
      </c>
      <c r="N137" s="47"/>
      <c r="O137" s="47"/>
      <c r="P137" s="57"/>
      <c r="Q137" s="47"/>
      <c r="R137" s="57"/>
      <c r="S137" s="57"/>
      <c r="T137" s="57"/>
      <c r="U137" s="55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6" t="s">
        <v>923</v>
      </c>
      <c r="B138" s="140" t="s">
        <v>632</v>
      </c>
      <c r="C138" s="38" t="str">
        <f>IF(B138="","",(VLOOKUP(B138,'Dados de PN'!$A:$B,2,0)))</f>
        <v>PIN,SPRING</v>
      </c>
      <c r="D138" s="140"/>
      <c r="E138" s="75" t="s">
        <v>34</v>
      </c>
      <c r="F138" s="42" t="s">
        <v>118</v>
      </c>
      <c r="G138" s="42">
        <v>2.0</v>
      </c>
      <c r="H138" s="38" t="s">
        <v>924</v>
      </c>
      <c r="I138" s="128" t="s">
        <v>918</v>
      </c>
      <c r="J138" s="159" t="s">
        <v>37</v>
      </c>
      <c r="K138" s="169">
        <v>46080.0</v>
      </c>
      <c r="L138" s="140" t="s">
        <v>630</v>
      </c>
      <c r="M138" s="75" t="s">
        <v>54</v>
      </c>
      <c r="N138" s="47"/>
      <c r="O138" s="47"/>
      <c r="P138" s="57"/>
      <c r="Q138" s="47"/>
      <c r="R138" s="57"/>
      <c r="S138" s="57"/>
      <c r="T138" s="57"/>
      <c r="U138" s="55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6" t="s">
        <v>929</v>
      </c>
      <c r="B139" s="140" t="s">
        <v>614</v>
      </c>
      <c r="C139" s="38" t="str">
        <f>IF(B139="","",(VLOOKUP(B139,'Dados de PN'!$A:$B,2,0)))</f>
        <v>PIN,STRAIGHT,HEADED</v>
      </c>
      <c r="D139" s="140"/>
      <c r="E139" s="75" t="s">
        <v>34</v>
      </c>
      <c r="F139" s="75" t="s">
        <v>35</v>
      </c>
      <c r="G139" s="42">
        <v>1.0</v>
      </c>
      <c r="H139" s="42">
        <v>3.13260017745E11</v>
      </c>
      <c r="I139" s="128" t="s">
        <v>894</v>
      </c>
      <c r="J139" s="159" t="s">
        <v>37</v>
      </c>
      <c r="K139" s="45">
        <v>46078.0</v>
      </c>
      <c r="L139" s="140" t="s">
        <v>895</v>
      </c>
      <c r="M139" s="75" t="s">
        <v>47</v>
      </c>
      <c r="N139" s="128">
        <v>2.02667113005464E14</v>
      </c>
      <c r="O139" s="47"/>
      <c r="P139" s="57"/>
      <c r="Q139" s="47"/>
      <c r="R139" s="57"/>
      <c r="S139" s="57"/>
      <c r="T139" s="57"/>
      <c r="U139" s="99" t="s">
        <v>932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6" t="s">
        <v>637</v>
      </c>
      <c r="B140" s="140" t="s">
        <v>638</v>
      </c>
      <c r="C140" s="38" t="str">
        <f>IF(B140="","",(VLOOKUP(B140,'Dados de PN'!$A:$B,2,0)))</f>
        <v>VENT WINDOK ASSY</v>
      </c>
      <c r="D140" s="140"/>
      <c r="E140" s="75" t="s">
        <v>34</v>
      </c>
      <c r="F140" s="42" t="s">
        <v>35</v>
      </c>
      <c r="G140" s="42">
        <v>1.0</v>
      </c>
      <c r="H140" s="42">
        <v>1.6907743E7</v>
      </c>
      <c r="I140" s="128" t="s">
        <v>641</v>
      </c>
      <c r="J140" s="159" t="s">
        <v>37</v>
      </c>
      <c r="K140" s="45">
        <v>46092.0</v>
      </c>
      <c r="L140" s="140" t="s">
        <v>101</v>
      </c>
      <c r="M140" s="75" t="s">
        <v>61</v>
      </c>
      <c r="N140" s="47"/>
      <c r="O140" s="47"/>
      <c r="P140" s="57"/>
      <c r="Q140" s="47"/>
      <c r="R140" s="57"/>
      <c r="S140" s="57"/>
      <c r="T140" s="57"/>
      <c r="U140" s="99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6" t="s">
        <v>643</v>
      </c>
      <c r="B141" s="140" t="s">
        <v>644</v>
      </c>
      <c r="C141" s="38" t="str">
        <f>IF(B141="","",(VLOOKUP(B141,'Dados de PN'!$A:$B,2,0)))</f>
        <v>SEAL</v>
      </c>
      <c r="D141" s="140"/>
      <c r="E141" s="75" t="s">
        <v>34</v>
      </c>
      <c r="F141" s="75" t="s">
        <v>35</v>
      </c>
      <c r="G141" s="42">
        <v>1.0</v>
      </c>
      <c r="H141" s="42">
        <v>1.690776E7</v>
      </c>
      <c r="I141" s="128" t="s">
        <v>641</v>
      </c>
      <c r="J141" s="159" t="s">
        <v>37</v>
      </c>
      <c r="K141" s="45">
        <v>46092.0</v>
      </c>
      <c r="L141" s="140" t="s">
        <v>101</v>
      </c>
      <c r="M141" s="75" t="s">
        <v>61</v>
      </c>
      <c r="N141" s="47"/>
      <c r="O141" s="47"/>
      <c r="P141" s="57"/>
      <c r="Q141" s="47"/>
      <c r="R141" s="57"/>
      <c r="S141" s="57"/>
      <c r="T141" s="57"/>
      <c r="U141" s="99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6" t="s">
        <v>648</v>
      </c>
      <c r="B142" s="140" t="s">
        <v>649</v>
      </c>
      <c r="C142" s="38" t="str">
        <f>IF(B142="","",(VLOOKUP(B142,'Dados de PN'!$A:$B,2,0)))</f>
        <v>DUCT-FLEX</v>
      </c>
      <c r="D142" s="140"/>
      <c r="E142" s="75" t="s">
        <v>34</v>
      </c>
      <c r="F142" s="75" t="s">
        <v>35</v>
      </c>
      <c r="G142" s="42">
        <v>1.0</v>
      </c>
      <c r="H142" s="42">
        <v>1.690778E7</v>
      </c>
      <c r="I142" s="128" t="s">
        <v>641</v>
      </c>
      <c r="J142" s="159" t="s">
        <v>37</v>
      </c>
      <c r="K142" s="45">
        <v>46092.0</v>
      </c>
      <c r="L142" s="140" t="s">
        <v>101</v>
      </c>
      <c r="M142" s="75" t="s">
        <v>61</v>
      </c>
      <c r="N142" s="47"/>
      <c r="O142" s="47"/>
      <c r="P142" s="57"/>
      <c r="Q142" s="47"/>
      <c r="R142" s="57"/>
      <c r="S142" s="57"/>
      <c r="T142" s="57"/>
      <c r="U142" s="5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6" t="s">
        <v>653</v>
      </c>
      <c r="B143" s="140" t="s">
        <v>654</v>
      </c>
      <c r="C143" s="38" t="str">
        <f>IF(B143="","",(VLOOKUP(B143,'Dados de PN'!$A:$B,2,0)))</f>
        <v>RING AY-ENGINE MOUNT</v>
      </c>
      <c r="D143" s="140" t="s">
        <v>656</v>
      </c>
      <c r="E143" s="75" t="s">
        <v>99</v>
      </c>
      <c r="F143" s="75" t="s">
        <v>35</v>
      </c>
      <c r="G143" s="42">
        <v>1.0</v>
      </c>
      <c r="H143" s="42">
        <v>1.6920585E7</v>
      </c>
      <c r="I143" s="128" t="s">
        <v>657</v>
      </c>
      <c r="J143" s="159" t="s">
        <v>37</v>
      </c>
      <c r="K143" s="45">
        <v>46092.0</v>
      </c>
      <c r="L143" s="140" t="s">
        <v>101</v>
      </c>
      <c r="M143" s="75" t="s">
        <v>61</v>
      </c>
      <c r="N143" s="47"/>
      <c r="O143" s="47"/>
      <c r="P143" s="57"/>
      <c r="Q143" s="47"/>
      <c r="R143" s="57"/>
      <c r="S143" s="57"/>
      <c r="T143" s="57"/>
      <c r="U143" s="55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6" t="s">
        <v>659</v>
      </c>
      <c r="B144" s="140" t="s">
        <v>129</v>
      </c>
      <c r="C144" s="38" t="str">
        <f>IF(B144="","",(VLOOKUP(B144,'Dados de PN'!$A:$B,2,0)))</f>
        <v>HOSE ASSY</v>
      </c>
      <c r="D144" s="140"/>
      <c r="E144" s="75" t="s">
        <v>34</v>
      </c>
      <c r="F144" s="75" t="s">
        <v>35</v>
      </c>
      <c r="G144" s="42">
        <v>1.0</v>
      </c>
      <c r="H144" s="42" t="s">
        <v>660</v>
      </c>
      <c r="I144" s="128" t="s">
        <v>662</v>
      </c>
      <c r="J144" s="159" t="s">
        <v>37</v>
      </c>
      <c r="K144" s="45">
        <v>46090.0</v>
      </c>
      <c r="L144" s="140">
        <v>2709.0</v>
      </c>
      <c r="M144" s="75" t="s">
        <v>122</v>
      </c>
      <c r="N144" s="47"/>
      <c r="O144" s="47"/>
      <c r="P144" s="57"/>
      <c r="Q144" s="47"/>
      <c r="R144" s="57"/>
      <c r="S144" s="57"/>
      <c r="T144" s="57"/>
      <c r="U144" s="99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6" t="s">
        <v>664</v>
      </c>
      <c r="B145" s="140" t="s">
        <v>422</v>
      </c>
      <c r="C145" s="38" t="str">
        <f>IF(B145="","",(VLOOKUP(B145,'Dados de PN'!$A:$B,2,0)))</f>
        <v>WHEEL HALF ASSY</v>
      </c>
      <c r="D145" s="140"/>
      <c r="E145" s="75" t="s">
        <v>99</v>
      </c>
      <c r="F145" s="75" t="s">
        <v>35</v>
      </c>
      <c r="G145" s="42">
        <v>1.0</v>
      </c>
      <c r="H145" s="42" t="s">
        <v>667</v>
      </c>
      <c r="I145" s="128" t="s">
        <v>668</v>
      </c>
      <c r="J145" s="159" t="s">
        <v>37</v>
      </c>
      <c r="K145" s="45">
        <v>46094.0</v>
      </c>
      <c r="L145" s="140" t="s">
        <v>383</v>
      </c>
      <c r="M145" s="75" t="s">
        <v>384</v>
      </c>
      <c r="N145" s="47"/>
      <c r="O145" s="47"/>
      <c r="P145" s="57"/>
      <c r="Q145" s="47"/>
      <c r="R145" s="57"/>
      <c r="S145" s="57"/>
      <c r="T145" s="57"/>
      <c r="U145" s="99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6" t="s">
        <v>670</v>
      </c>
      <c r="B146" s="140" t="s">
        <v>424</v>
      </c>
      <c r="C146" s="38" t="str">
        <f>IF(B146="","",(VLOOKUP(B146,'Dados de PN'!$A:$B,2,0)))</f>
        <v>WHEEL HALF ASSY</v>
      </c>
      <c r="D146" s="140"/>
      <c r="E146" s="75" t="s">
        <v>99</v>
      </c>
      <c r="F146" s="75" t="s">
        <v>35</v>
      </c>
      <c r="G146" s="42">
        <v>1.0</v>
      </c>
      <c r="H146" s="42" t="s">
        <v>672</v>
      </c>
      <c r="I146" s="128" t="s">
        <v>668</v>
      </c>
      <c r="J146" s="159" t="s">
        <v>37</v>
      </c>
      <c r="K146" s="45">
        <v>46094.0</v>
      </c>
      <c r="L146" s="140" t="s">
        <v>383</v>
      </c>
      <c r="M146" s="75" t="s">
        <v>384</v>
      </c>
      <c r="N146" s="47"/>
      <c r="O146" s="47"/>
      <c r="P146" s="57"/>
      <c r="Q146" s="47"/>
      <c r="R146" s="57"/>
      <c r="S146" s="57"/>
      <c r="T146" s="57"/>
      <c r="U146" s="99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6" t="s">
        <v>675</v>
      </c>
      <c r="B147" s="140" t="s">
        <v>677</v>
      </c>
      <c r="C147" s="38" t="str">
        <f>IF(B147="","",(VLOOKUP(B147,'Dados de PN'!$A:$B,2,0)))</f>
        <v>AXLE-MAIN GEAR</v>
      </c>
      <c r="D147" s="140"/>
      <c r="E147" s="75" t="s">
        <v>99</v>
      </c>
      <c r="F147" s="75" t="s">
        <v>118</v>
      </c>
      <c r="G147" s="42">
        <v>2.0</v>
      </c>
      <c r="H147" s="42" t="s">
        <v>679</v>
      </c>
      <c r="I147" s="128" t="s">
        <v>668</v>
      </c>
      <c r="J147" s="159" t="s">
        <v>37</v>
      </c>
      <c r="K147" s="45">
        <v>46094.0</v>
      </c>
      <c r="L147" s="140" t="s">
        <v>383</v>
      </c>
      <c r="M147" s="75" t="s">
        <v>384</v>
      </c>
      <c r="N147" s="47"/>
      <c r="O147" s="47"/>
      <c r="P147" s="57"/>
      <c r="Q147" s="47"/>
      <c r="R147" s="57"/>
      <c r="S147" s="57"/>
      <c r="T147" s="57"/>
      <c r="U147" s="99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6" t="s">
        <v>681</v>
      </c>
      <c r="B148" s="140" t="s">
        <v>521</v>
      </c>
      <c r="C148" s="38" t="str">
        <f>IF(B148="","",(VLOOKUP(B148,'Dados de PN'!$A:$B,2,0)))</f>
        <v>INDICATOR FUEL</v>
      </c>
      <c r="D148" s="140"/>
      <c r="E148" s="75" t="s">
        <v>99</v>
      </c>
      <c r="F148" s="75" t="s">
        <v>118</v>
      </c>
      <c r="G148" s="42">
        <v>2.0</v>
      </c>
      <c r="H148" s="42">
        <v>1.6908363E7</v>
      </c>
      <c r="I148" s="128" t="s">
        <v>684</v>
      </c>
      <c r="J148" s="171" t="s">
        <v>37</v>
      </c>
      <c r="K148" s="45">
        <v>46097.0</v>
      </c>
      <c r="L148" s="140" t="s">
        <v>238</v>
      </c>
      <c r="M148" s="75" t="s">
        <v>122</v>
      </c>
      <c r="N148" s="47"/>
      <c r="O148" s="47"/>
      <c r="P148" s="57"/>
      <c r="Q148" s="47"/>
      <c r="R148" s="57"/>
      <c r="S148" s="57"/>
      <c r="T148" s="57"/>
      <c r="U148" s="5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6" t="s">
        <v>685</v>
      </c>
      <c r="B149" s="140" t="s">
        <v>528</v>
      </c>
      <c r="C149" s="38" t="str">
        <f>IF(B149="","",(VLOOKUP(B149,'Dados de PN'!$A:$B,2,0)))</f>
        <v>TRANSCEIVER</v>
      </c>
      <c r="D149" s="140"/>
      <c r="E149" s="75" t="s">
        <v>99</v>
      </c>
      <c r="F149" s="75" t="s">
        <v>35</v>
      </c>
      <c r="G149" s="42">
        <v>1.0</v>
      </c>
      <c r="H149" s="42">
        <v>1.6953491E7</v>
      </c>
      <c r="I149" s="128" t="s">
        <v>688</v>
      </c>
      <c r="J149" s="171" t="s">
        <v>37</v>
      </c>
      <c r="K149" s="45">
        <v>46097.0</v>
      </c>
      <c r="L149" s="140" t="s">
        <v>238</v>
      </c>
      <c r="M149" s="75" t="s">
        <v>122</v>
      </c>
      <c r="N149" s="47"/>
      <c r="O149" s="47"/>
      <c r="P149" s="57"/>
      <c r="Q149" s="47"/>
      <c r="R149" s="57"/>
      <c r="S149" s="57"/>
      <c r="T149" s="57"/>
      <c r="U149" s="55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6" t="s">
        <v>690</v>
      </c>
      <c r="B150" s="140" t="s">
        <v>691</v>
      </c>
      <c r="C150" s="38" t="str">
        <f>IF(B150="","",(VLOOKUP(B150,'Dados de PN'!$A:$B,2,0)))</f>
        <v>KNOB</v>
      </c>
      <c r="D150" s="140"/>
      <c r="E150" s="75" t="s">
        <v>34</v>
      </c>
      <c r="F150" s="75" t="s">
        <v>35</v>
      </c>
      <c r="G150" s="42">
        <v>1.0</v>
      </c>
      <c r="H150" s="42">
        <v>1.6959989E7</v>
      </c>
      <c r="I150" s="128" t="s">
        <v>693</v>
      </c>
      <c r="J150" s="159" t="s">
        <v>37</v>
      </c>
      <c r="K150" s="45">
        <v>46098.0</v>
      </c>
      <c r="L150" s="140" t="s">
        <v>101</v>
      </c>
      <c r="M150" s="75" t="s">
        <v>61</v>
      </c>
      <c r="N150" s="47"/>
      <c r="O150" s="47"/>
      <c r="P150" s="57"/>
      <c r="Q150" s="47"/>
      <c r="R150" s="57"/>
      <c r="S150" s="57"/>
      <c r="T150" s="57"/>
      <c r="U150" s="55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6" t="s">
        <v>695</v>
      </c>
      <c r="B151" s="172" t="s">
        <v>422</v>
      </c>
      <c r="C151" s="38" t="str">
        <f>IF(B151="","",(VLOOKUP(B151,'Dados de PN'!$A:$B,2,0)))</f>
        <v>WHEEL HALF ASSY</v>
      </c>
      <c r="D151" s="140"/>
      <c r="E151" s="75" t="s">
        <v>99</v>
      </c>
      <c r="F151" s="75" t="s">
        <v>118</v>
      </c>
      <c r="G151" s="42">
        <v>2.0</v>
      </c>
      <c r="H151" s="140" t="s">
        <v>696</v>
      </c>
      <c r="I151" s="128" t="s">
        <v>697</v>
      </c>
      <c r="J151" s="159" t="s">
        <v>37</v>
      </c>
      <c r="K151" s="45">
        <v>46100.0</v>
      </c>
      <c r="L151" s="140" t="s">
        <v>630</v>
      </c>
      <c r="M151" s="75" t="s">
        <v>54</v>
      </c>
      <c r="N151" s="47"/>
      <c r="O151" s="47"/>
      <c r="P151" s="57"/>
      <c r="Q151" s="47"/>
      <c r="R151" s="57"/>
      <c r="S151" s="57"/>
      <c r="T151" s="57"/>
      <c r="U151" s="55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6" t="s">
        <v>699</v>
      </c>
      <c r="B152" s="172" t="s">
        <v>424</v>
      </c>
      <c r="C152" s="38" t="str">
        <f>IF(B152="","",(VLOOKUP(B152,'Dados de PN'!$A:$B,2,0)))</f>
        <v>WHEEL HALF ASSY</v>
      </c>
      <c r="D152" s="140"/>
      <c r="E152" s="75" t="s">
        <v>99</v>
      </c>
      <c r="F152" s="75" t="s">
        <v>118</v>
      </c>
      <c r="G152" s="42">
        <v>2.0</v>
      </c>
      <c r="H152" s="140" t="s">
        <v>701</v>
      </c>
      <c r="I152" s="128" t="s">
        <v>697</v>
      </c>
      <c r="J152" s="159" t="s">
        <v>37</v>
      </c>
      <c r="K152" s="45">
        <v>46100.0</v>
      </c>
      <c r="L152" s="140" t="s">
        <v>630</v>
      </c>
      <c r="M152" s="75" t="s">
        <v>54</v>
      </c>
      <c r="N152" s="47"/>
      <c r="O152" s="47"/>
      <c r="P152" s="57"/>
      <c r="Q152" s="47"/>
      <c r="R152" s="57"/>
      <c r="S152" s="57"/>
      <c r="T152" s="57"/>
      <c r="U152" s="55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6" t="s">
        <v>702</v>
      </c>
      <c r="B153" s="172" t="s">
        <v>703</v>
      </c>
      <c r="C153" s="38" t="str">
        <f>IF(B153="","",(VLOOKUP(B153,'Dados de PN'!$A:$B,2,0)))</f>
        <v>EXTINGUISHER,FIRE</v>
      </c>
      <c r="D153" s="140"/>
      <c r="E153" s="75" t="s">
        <v>51</v>
      </c>
      <c r="F153" s="75" t="s">
        <v>35</v>
      </c>
      <c r="G153" s="42">
        <v>1.0</v>
      </c>
      <c r="H153" s="140" t="s">
        <v>705</v>
      </c>
      <c r="I153" s="128" t="s">
        <v>697</v>
      </c>
      <c r="J153" s="159" t="s">
        <v>37</v>
      </c>
      <c r="K153" s="45">
        <v>46100.0</v>
      </c>
      <c r="L153" s="141" t="s">
        <v>557</v>
      </c>
      <c r="M153" s="57" t="s">
        <v>558</v>
      </c>
      <c r="N153" s="47"/>
      <c r="O153" s="47"/>
      <c r="P153" s="57"/>
      <c r="Q153" s="47"/>
      <c r="R153" s="57"/>
      <c r="S153" s="57"/>
      <c r="T153" s="57"/>
      <c r="U153" s="55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6" t="s">
        <v>707</v>
      </c>
      <c r="B154" s="140" t="s">
        <v>708</v>
      </c>
      <c r="C154" s="38" t="str">
        <f>IF(B154="","",(VLOOKUP(B154,'Dados de PN'!$A:$B,2,0)))</f>
        <v>CONTROL INDICATOR</v>
      </c>
      <c r="D154" s="140"/>
      <c r="E154" s="75" t="s">
        <v>99</v>
      </c>
      <c r="F154" s="75" t="s">
        <v>35</v>
      </c>
      <c r="G154" s="42">
        <v>1.0</v>
      </c>
      <c r="H154" s="140" t="s">
        <v>710</v>
      </c>
      <c r="I154" s="128" t="s">
        <v>711</v>
      </c>
      <c r="J154" s="159" t="s">
        <v>37</v>
      </c>
      <c r="K154" s="45">
        <v>46101.0</v>
      </c>
      <c r="L154" s="177" t="s">
        <v>363</v>
      </c>
      <c r="M154" s="75" t="s">
        <v>364</v>
      </c>
      <c r="N154" s="47"/>
      <c r="O154" s="47"/>
      <c r="P154" s="57"/>
      <c r="Q154" s="47"/>
      <c r="R154" s="57"/>
      <c r="S154" s="57"/>
      <c r="T154" s="57"/>
      <c r="U154" s="55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6" t="s">
        <v>712</v>
      </c>
      <c r="B155" s="140" t="s">
        <v>713</v>
      </c>
      <c r="C155" s="38" t="str">
        <f>IF(B155="","",(VLOOKUP(B155,'Dados de PN'!$A:$B,2,0)))</f>
        <v>AUDIO CONTROL PANEL</v>
      </c>
      <c r="D155" s="140"/>
      <c r="E155" s="75" t="s">
        <v>99</v>
      </c>
      <c r="F155" s="75" t="s">
        <v>35</v>
      </c>
      <c r="G155" s="42">
        <v>1.0</v>
      </c>
      <c r="H155" s="140" t="s">
        <v>715</v>
      </c>
      <c r="I155" s="178" t="s">
        <v>711</v>
      </c>
      <c r="J155" s="159" t="s">
        <v>37</v>
      </c>
      <c r="K155" s="45">
        <v>46101.0</v>
      </c>
      <c r="L155" s="177" t="s">
        <v>363</v>
      </c>
      <c r="M155" s="75" t="s">
        <v>364</v>
      </c>
      <c r="N155" s="47"/>
      <c r="O155" s="47"/>
      <c r="P155" s="57"/>
      <c r="Q155" s="47"/>
      <c r="R155" s="57"/>
      <c r="S155" s="57"/>
      <c r="T155" s="57"/>
      <c r="U155" s="55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6" t="s">
        <v>717</v>
      </c>
      <c r="B156" s="140" t="s">
        <v>718</v>
      </c>
      <c r="C156" s="38" t="str">
        <f>IF(B156="","",(VLOOKUP(B156,'Dados de PN'!$A:$B,2,0)))</f>
        <v>SERVO MOUNT</v>
      </c>
      <c r="D156" s="140"/>
      <c r="E156" s="75" t="s">
        <v>99</v>
      </c>
      <c r="F156" s="75" t="s">
        <v>35</v>
      </c>
      <c r="G156" s="42">
        <v>1.0</v>
      </c>
      <c r="H156" s="140" t="s">
        <v>721</v>
      </c>
      <c r="I156" s="128" t="s">
        <v>711</v>
      </c>
      <c r="J156" s="159" t="s">
        <v>37</v>
      </c>
      <c r="K156" s="45">
        <v>46101.0</v>
      </c>
      <c r="L156" s="177" t="s">
        <v>363</v>
      </c>
      <c r="M156" s="75" t="s">
        <v>364</v>
      </c>
      <c r="N156" s="47"/>
      <c r="O156" s="47"/>
      <c r="P156" s="57"/>
      <c r="Q156" s="47"/>
      <c r="R156" s="57"/>
      <c r="S156" s="57"/>
      <c r="T156" s="57"/>
      <c r="U156" s="55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6" t="s">
        <v>722</v>
      </c>
      <c r="B157" s="140" t="s">
        <v>508</v>
      </c>
      <c r="C157" s="38" t="str">
        <f>IF(B157="","",(VLOOKUP(B157,'Dados de PN'!$A:$B,2,0)))</f>
        <v>SWITCH-ELEC TR</v>
      </c>
      <c r="D157" s="140"/>
      <c r="E157" s="75" t="s">
        <v>34</v>
      </c>
      <c r="F157" s="75" t="s">
        <v>35</v>
      </c>
      <c r="G157" s="42">
        <v>1.0</v>
      </c>
      <c r="H157" s="42" t="s">
        <v>724</v>
      </c>
      <c r="I157" s="128" t="s">
        <v>725</v>
      </c>
      <c r="J157" s="159" t="s">
        <v>37</v>
      </c>
      <c r="K157" s="45">
        <v>46101.0</v>
      </c>
      <c r="L157" s="140" t="s">
        <v>60</v>
      </c>
      <c r="M157" s="75" t="s">
        <v>61</v>
      </c>
      <c r="N157" s="47"/>
      <c r="O157" s="47"/>
      <c r="P157" s="57"/>
      <c r="Q157" s="47"/>
      <c r="R157" s="57"/>
      <c r="S157" s="57"/>
      <c r="T157" s="57"/>
      <c r="U157" s="55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6" t="s">
        <v>727</v>
      </c>
      <c r="B158" s="140" t="s">
        <v>728</v>
      </c>
      <c r="C158" s="38" t="str">
        <f>IF(B158="","",(VLOOKUP(B158,'Dados de PN'!$A:$B,2,0)))</f>
        <v>NUT,PLAIN,HEXAGON</v>
      </c>
      <c r="D158" s="140"/>
      <c r="E158" s="75" t="s">
        <v>34</v>
      </c>
      <c r="F158" s="75" t="s">
        <v>118</v>
      </c>
      <c r="G158" s="42">
        <v>2.0</v>
      </c>
      <c r="H158" s="38" t="s">
        <v>729</v>
      </c>
      <c r="I158" s="128" t="s">
        <v>730</v>
      </c>
      <c r="J158" s="159" t="s">
        <v>37</v>
      </c>
      <c r="K158" s="45">
        <v>46101.0</v>
      </c>
      <c r="L158" s="140" t="s">
        <v>53</v>
      </c>
      <c r="M158" s="75" t="s">
        <v>54</v>
      </c>
      <c r="N158" s="47"/>
      <c r="O158" s="47"/>
      <c r="P158" s="57"/>
      <c r="Q158" s="47"/>
      <c r="R158" s="57"/>
      <c r="S158" s="57"/>
      <c r="T158" s="57"/>
      <c r="U158" s="55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6" t="s">
        <v>732</v>
      </c>
      <c r="B159" s="140" t="s">
        <v>733</v>
      </c>
      <c r="C159" s="38" t="str">
        <f>IF(B159="","",(VLOOKUP(B159,'Dados de PN'!$A:$B,2,0)))</f>
        <v>TUBE ASSY LH</v>
      </c>
      <c r="D159" s="140"/>
      <c r="E159" s="75" t="s">
        <v>34</v>
      </c>
      <c r="F159" s="75" t="s">
        <v>118</v>
      </c>
      <c r="G159" s="42">
        <v>2.0</v>
      </c>
      <c r="H159" s="38" t="s">
        <v>735</v>
      </c>
      <c r="I159" s="128" t="s">
        <v>730</v>
      </c>
      <c r="J159" s="159" t="s">
        <v>37</v>
      </c>
      <c r="K159" s="45">
        <v>46101.0</v>
      </c>
      <c r="L159" s="140" t="s">
        <v>53</v>
      </c>
      <c r="M159" s="75" t="s">
        <v>54</v>
      </c>
      <c r="N159" s="47"/>
      <c r="O159" s="47"/>
      <c r="P159" s="57"/>
      <c r="Q159" s="47"/>
      <c r="R159" s="57"/>
      <c r="S159" s="57"/>
      <c r="T159" s="57"/>
      <c r="U159" s="55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6" t="s">
        <v>737</v>
      </c>
      <c r="B160" s="140" t="s">
        <v>738</v>
      </c>
      <c r="C160" s="38" t="str">
        <f>IF(B160="","",(VLOOKUP(B160,'Dados de PN'!$A:$B,2,0)))</f>
        <v>066-3046-07</v>
      </c>
      <c r="D160" s="140"/>
      <c r="E160" s="75" t="s">
        <v>34</v>
      </c>
      <c r="F160" s="75" t="s">
        <v>35</v>
      </c>
      <c r="G160" s="42">
        <v>1.0</v>
      </c>
      <c r="H160" s="38" t="s">
        <v>740</v>
      </c>
      <c r="I160" s="128" t="s">
        <v>730</v>
      </c>
      <c r="J160" s="159" t="s">
        <v>37</v>
      </c>
      <c r="K160" s="45">
        <v>46101.0</v>
      </c>
      <c r="L160" s="140" t="s">
        <v>53</v>
      </c>
      <c r="M160" s="75" t="s">
        <v>54</v>
      </c>
      <c r="N160" s="47"/>
      <c r="O160" s="47"/>
      <c r="P160" s="57"/>
      <c r="Q160" s="47"/>
      <c r="R160" s="57"/>
      <c r="S160" s="57"/>
      <c r="T160" s="57"/>
      <c r="U160" s="55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6" t="s">
        <v>742</v>
      </c>
      <c r="B161" s="140" t="s">
        <v>743</v>
      </c>
      <c r="C161" s="38" t="str">
        <f>IF(B161="","",(VLOOKUP(B161,'Dados de PN'!$A:$B,2,0)))</f>
        <v>TRANSMITTER</v>
      </c>
      <c r="D161" s="140"/>
      <c r="E161" s="75" t="s">
        <v>99</v>
      </c>
      <c r="F161" s="75" t="s">
        <v>35</v>
      </c>
      <c r="G161" s="42">
        <v>1.0</v>
      </c>
      <c r="H161" s="38" t="s">
        <v>746</v>
      </c>
      <c r="I161" s="128" t="s">
        <v>747</v>
      </c>
      <c r="J161" s="159" t="s">
        <v>37</v>
      </c>
      <c r="K161" s="45">
        <v>46101.0</v>
      </c>
      <c r="L161" s="140" t="s">
        <v>142</v>
      </c>
      <c r="M161" s="75" t="s">
        <v>54</v>
      </c>
      <c r="N161" s="47"/>
      <c r="O161" s="47"/>
      <c r="P161" s="57"/>
      <c r="Q161" s="47"/>
      <c r="R161" s="57"/>
      <c r="S161" s="57"/>
      <c r="T161" s="57"/>
      <c r="U161" s="55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6" t="s">
        <v>753</v>
      </c>
      <c r="B162" s="140" t="s">
        <v>654</v>
      </c>
      <c r="C162" s="38" t="str">
        <f>IF(B162="","",(VLOOKUP(B162,'Dados de PN'!$A:$B,2,0)))</f>
        <v>RING AY-ENGINE MOUNT</v>
      </c>
      <c r="D162" s="140"/>
      <c r="E162" s="75" t="s">
        <v>99</v>
      </c>
      <c r="F162" s="75" t="s">
        <v>35</v>
      </c>
      <c r="G162" s="42">
        <v>1.0</v>
      </c>
      <c r="H162" s="42">
        <v>1.713128E7</v>
      </c>
      <c r="I162" s="128" t="s">
        <v>751</v>
      </c>
      <c r="J162" s="159" t="s">
        <v>37</v>
      </c>
      <c r="K162" s="45">
        <v>46113.0</v>
      </c>
      <c r="L162" s="140" t="s">
        <v>252</v>
      </c>
      <c r="M162" s="75" t="s">
        <v>61</v>
      </c>
      <c r="N162" s="47"/>
      <c r="O162" s="47"/>
      <c r="P162" s="57"/>
      <c r="Q162" s="47"/>
      <c r="R162" s="57"/>
      <c r="S162" s="57"/>
      <c r="T162" s="57"/>
      <c r="U162" s="55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6" t="s">
        <v>757</v>
      </c>
      <c r="B163" s="140" t="s">
        <v>443</v>
      </c>
      <c r="C163" s="38" t="str">
        <f>IF(B163="","",(VLOOKUP(B163,'Dados de PN'!$A:$B,2,0)))</f>
        <v>SLAVING ACCESS,SPEC</v>
      </c>
      <c r="D163" s="140"/>
      <c r="E163" s="75" t="s">
        <v>99</v>
      </c>
      <c r="F163" s="75" t="s">
        <v>35</v>
      </c>
      <c r="G163" s="42">
        <v>1.0</v>
      </c>
      <c r="H163" s="42">
        <v>6.8526001145E11</v>
      </c>
      <c r="I163" s="128" t="s">
        <v>849</v>
      </c>
      <c r="J163" s="159" t="s">
        <v>37</v>
      </c>
      <c r="K163" s="45">
        <v>46119.0</v>
      </c>
      <c r="L163" s="140" t="s">
        <v>142</v>
      </c>
      <c r="M163" s="75" t="s">
        <v>54</v>
      </c>
      <c r="N163" s="47"/>
      <c r="O163" s="47"/>
      <c r="P163" s="57"/>
      <c r="Q163" s="47"/>
      <c r="R163" s="57"/>
      <c r="S163" s="57"/>
      <c r="T163" s="57"/>
      <c r="U163" s="55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6" t="s">
        <v>761</v>
      </c>
      <c r="B164" s="140" t="s">
        <v>883</v>
      </c>
      <c r="C164" s="38" t="str">
        <f>IF(B164="","",(VLOOKUP(B164,'Dados de PN'!$A:$B,2,0)))</f>
        <v>INDICATOR TRUE</v>
      </c>
      <c r="D164" s="140"/>
      <c r="E164" s="75" t="s">
        <v>99</v>
      </c>
      <c r="F164" s="75" t="s">
        <v>35</v>
      </c>
      <c r="G164" s="42">
        <v>1.0</v>
      </c>
      <c r="H164" s="42">
        <v>6.85260011448E11</v>
      </c>
      <c r="I164" s="128" t="s">
        <v>849</v>
      </c>
      <c r="J164" s="159" t="s">
        <v>37</v>
      </c>
      <c r="K164" s="45">
        <v>46119.0</v>
      </c>
      <c r="L164" s="140" t="s">
        <v>53</v>
      </c>
      <c r="M164" s="75" t="s">
        <v>54</v>
      </c>
      <c r="N164" s="47"/>
      <c r="O164" s="47"/>
      <c r="P164" s="57"/>
      <c r="Q164" s="47"/>
      <c r="R164" s="57"/>
      <c r="S164" s="57"/>
      <c r="T164" s="57"/>
      <c r="U164" s="55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6" t="s">
        <v>765</v>
      </c>
      <c r="B165" s="140" t="s">
        <v>899</v>
      </c>
      <c r="C165" s="38" t="str">
        <f>IF(B165="","",(VLOOKUP(B165,'Dados de PN'!$A:$B,2,0)))</f>
        <v>ALTERNATOR CONTROL UNIT ASSY</v>
      </c>
      <c r="D165" s="140"/>
      <c r="E165" s="75" t="s">
        <v>51</v>
      </c>
      <c r="F165" s="75" t="s">
        <v>35</v>
      </c>
      <c r="G165" s="42">
        <v>1.0</v>
      </c>
      <c r="H165" s="42">
        <v>6.85260011449E11</v>
      </c>
      <c r="I165" s="128" t="s">
        <v>849</v>
      </c>
      <c r="J165" s="159" t="s">
        <v>37</v>
      </c>
      <c r="K165" s="45">
        <v>46119.0</v>
      </c>
      <c r="L165" s="140" t="s">
        <v>142</v>
      </c>
      <c r="M165" s="75" t="s">
        <v>54</v>
      </c>
      <c r="N165" s="47"/>
      <c r="O165" s="47"/>
      <c r="P165" s="57"/>
      <c r="Q165" s="47"/>
      <c r="R165" s="57"/>
      <c r="S165" s="57"/>
      <c r="T165" s="57"/>
      <c r="U165" s="55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6" t="s">
        <v>769</v>
      </c>
      <c r="B166" s="140" t="s">
        <v>443</v>
      </c>
      <c r="C166" s="38" t="str">
        <f>IF(B166="","",(VLOOKUP(B166,'Dados de PN'!$A:$B,2,0)))</f>
        <v>SLAVING ACCESS,SPEC</v>
      </c>
      <c r="D166" s="140"/>
      <c r="E166" s="75" t="s">
        <v>99</v>
      </c>
      <c r="F166" s="75" t="s">
        <v>35</v>
      </c>
      <c r="G166" s="42">
        <v>1.0</v>
      </c>
      <c r="H166" s="42">
        <v>6.85260011452E11</v>
      </c>
      <c r="I166" s="128" t="s">
        <v>849</v>
      </c>
      <c r="J166" s="159" t="s">
        <v>37</v>
      </c>
      <c r="K166" s="45">
        <v>46119.0</v>
      </c>
      <c r="L166" s="140" t="s">
        <v>53</v>
      </c>
      <c r="M166" s="75" t="s">
        <v>54</v>
      </c>
      <c r="N166" s="47"/>
      <c r="O166" s="47"/>
      <c r="P166" s="57"/>
      <c r="Q166" s="47"/>
      <c r="R166" s="57"/>
      <c r="S166" s="57"/>
      <c r="T166" s="57"/>
      <c r="U166" s="55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6" t="s">
        <v>774</v>
      </c>
      <c r="B167" s="140" t="s">
        <v>984</v>
      </c>
      <c r="C167" s="38" t="str">
        <f>IF(B167="","",(VLOOKUP(B167,'Dados de PN'!$A:$B,2,0)))</f>
        <v>TURN AND BANK</v>
      </c>
      <c r="D167" s="140"/>
      <c r="E167" s="75" t="s">
        <v>99</v>
      </c>
      <c r="F167" s="75" t="s">
        <v>35</v>
      </c>
      <c r="G167" s="42">
        <v>1.0</v>
      </c>
      <c r="H167" s="42">
        <v>6.85260011453E11</v>
      </c>
      <c r="I167" s="128" t="s">
        <v>849</v>
      </c>
      <c r="J167" s="159" t="s">
        <v>37</v>
      </c>
      <c r="K167" s="45">
        <v>46119.0</v>
      </c>
      <c r="L167" s="140" t="s">
        <v>53</v>
      </c>
      <c r="M167" s="75" t="s">
        <v>54</v>
      </c>
      <c r="N167" s="47"/>
      <c r="O167" s="47"/>
      <c r="P167" s="57"/>
      <c r="Q167" s="47"/>
      <c r="R167" s="57"/>
      <c r="S167" s="57"/>
      <c r="T167" s="57"/>
      <c r="U167" s="55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6" t="s">
        <v>777</v>
      </c>
      <c r="B168" s="140" t="s">
        <v>985</v>
      </c>
      <c r="C168" s="38" t="str">
        <f>IF(B168="","",(VLOOKUP(B168,'Dados de PN'!$A:$B,2,0)))</f>
        <v>ENGINE MOUNT WELD ASSEMBLY</v>
      </c>
      <c r="D168" s="140" t="s">
        <v>986</v>
      </c>
      <c r="E168" s="75" t="s">
        <v>51</v>
      </c>
      <c r="F168" s="140" t="s">
        <v>35</v>
      </c>
      <c r="G168" s="42">
        <v>1.0</v>
      </c>
      <c r="H168" s="42">
        <v>1.7153041E7</v>
      </c>
      <c r="I168" s="128" t="s">
        <v>755</v>
      </c>
      <c r="J168" s="159" t="s">
        <v>37</v>
      </c>
      <c r="K168" s="45">
        <v>46120.0</v>
      </c>
      <c r="L168" s="140" t="s">
        <v>886</v>
      </c>
      <c r="M168" s="75" t="s">
        <v>612</v>
      </c>
      <c r="N168" s="47"/>
      <c r="O168" s="47"/>
      <c r="P168" s="57"/>
      <c r="Q168" s="47"/>
      <c r="R168" s="57"/>
      <c r="S168" s="57"/>
      <c r="T168" s="57"/>
      <c r="U168" s="55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6" t="s">
        <v>782</v>
      </c>
      <c r="B169" s="140" t="s">
        <v>654</v>
      </c>
      <c r="C169" s="38" t="str">
        <f>IF(B169="","",(VLOOKUP(B169,'Dados de PN'!$A:$B,2,0)))</f>
        <v>RING AY-ENGINE MOUNT</v>
      </c>
      <c r="D169" s="140" t="s">
        <v>987</v>
      </c>
      <c r="E169" s="75" t="s">
        <v>51</v>
      </c>
      <c r="F169" s="140" t="s">
        <v>35</v>
      </c>
      <c r="G169" s="42">
        <v>1.0</v>
      </c>
      <c r="H169" s="42">
        <v>1.7153048E7</v>
      </c>
      <c r="I169" s="128" t="s">
        <v>755</v>
      </c>
      <c r="J169" s="159" t="s">
        <v>37</v>
      </c>
      <c r="K169" s="45">
        <v>46120.0</v>
      </c>
      <c r="L169" s="140" t="s">
        <v>886</v>
      </c>
      <c r="M169" s="75" t="s">
        <v>612</v>
      </c>
      <c r="N169" s="47"/>
      <c r="O169" s="47"/>
      <c r="P169" s="57"/>
      <c r="Q169" s="47"/>
      <c r="R169" s="57"/>
      <c r="S169" s="57"/>
      <c r="T169" s="57"/>
      <c r="U169" s="55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6" t="s">
        <v>787</v>
      </c>
      <c r="B170" s="140" t="s">
        <v>215</v>
      </c>
      <c r="C170" s="38" t="str">
        <f>IF(B170="","",(VLOOKUP(B170,'Dados de PN'!$A:$B,2,0)))</f>
        <v>BOLT</v>
      </c>
      <c r="D170" s="140"/>
      <c r="E170" s="75" t="s">
        <v>34</v>
      </c>
      <c r="F170" s="75" t="s">
        <v>118</v>
      </c>
      <c r="G170" s="42">
        <v>2.0</v>
      </c>
      <c r="H170" s="42">
        <v>1.7155047E7</v>
      </c>
      <c r="I170" s="128" t="s">
        <v>755</v>
      </c>
      <c r="J170" s="159" t="s">
        <v>37</v>
      </c>
      <c r="K170" s="45">
        <v>46120.0</v>
      </c>
      <c r="L170" s="140" t="s">
        <v>886</v>
      </c>
      <c r="M170" s="75" t="s">
        <v>612</v>
      </c>
      <c r="N170" s="47"/>
      <c r="O170" s="47"/>
      <c r="P170" s="57"/>
      <c r="Q170" s="47"/>
      <c r="R170" s="57"/>
      <c r="S170" s="57"/>
      <c r="T170" s="57"/>
      <c r="U170" s="55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6" t="s">
        <v>789</v>
      </c>
      <c r="B171" s="140" t="s">
        <v>759</v>
      </c>
      <c r="C171" s="38" t="str">
        <f>IF(B171="","",(VLOOKUP(B171,'Dados de PN'!$A:$B,2,0)))</f>
        <v>NUT, SELF-LOCKING, HEXAGON</v>
      </c>
      <c r="D171" s="140"/>
      <c r="E171" s="75" t="s">
        <v>34</v>
      </c>
      <c r="F171" s="75" t="s">
        <v>118</v>
      </c>
      <c r="G171" s="42">
        <v>2.0</v>
      </c>
      <c r="H171" s="42">
        <v>1.7154695E7</v>
      </c>
      <c r="I171" s="128" t="s">
        <v>755</v>
      </c>
      <c r="J171" s="159" t="s">
        <v>37</v>
      </c>
      <c r="K171" s="45">
        <v>46120.0</v>
      </c>
      <c r="L171" s="140" t="s">
        <v>886</v>
      </c>
      <c r="M171" s="75" t="s">
        <v>612</v>
      </c>
      <c r="N171" s="47"/>
      <c r="O171" s="47"/>
      <c r="P171" s="57"/>
      <c r="Q171" s="47"/>
      <c r="R171" s="57"/>
      <c r="S171" s="57"/>
      <c r="T171" s="57"/>
      <c r="U171" s="55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6" t="s">
        <v>791</v>
      </c>
      <c r="B172" s="140" t="s">
        <v>762</v>
      </c>
      <c r="C172" s="38" t="str">
        <f>IF(B172="","",(VLOOKUP(B172,'Dados de PN'!$A:$B,2,0)))</f>
        <v>WASHER, FLAT</v>
      </c>
      <c r="D172" s="140"/>
      <c r="E172" s="75" t="s">
        <v>34</v>
      </c>
      <c r="F172" s="75" t="s">
        <v>118</v>
      </c>
      <c r="G172" s="42">
        <v>2.0</v>
      </c>
      <c r="H172" s="42">
        <v>1.7154706E7</v>
      </c>
      <c r="I172" s="128" t="s">
        <v>755</v>
      </c>
      <c r="J172" s="159" t="s">
        <v>37</v>
      </c>
      <c r="K172" s="45">
        <v>46120.0</v>
      </c>
      <c r="L172" s="140" t="s">
        <v>886</v>
      </c>
      <c r="M172" s="75" t="s">
        <v>612</v>
      </c>
      <c r="N172" s="47"/>
      <c r="O172" s="47"/>
      <c r="P172" s="57"/>
      <c r="Q172" s="47"/>
      <c r="R172" s="57"/>
      <c r="S172" s="57"/>
      <c r="T172" s="57"/>
      <c r="U172" s="55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6" t="s">
        <v>795</v>
      </c>
      <c r="B173" s="140" t="s">
        <v>766</v>
      </c>
      <c r="C173" s="38" t="str">
        <f>IF(B173="","",(VLOOKUP(B173,'Dados de PN'!$A:$B,2,0)))</f>
        <v>WASHER, RECESSED</v>
      </c>
      <c r="D173" s="140"/>
      <c r="E173" s="75" t="s">
        <v>34</v>
      </c>
      <c r="F173" s="140" t="s">
        <v>205</v>
      </c>
      <c r="G173" s="42">
        <v>4.0</v>
      </c>
      <c r="H173" s="42">
        <v>1.715475E7</v>
      </c>
      <c r="I173" s="128" t="s">
        <v>755</v>
      </c>
      <c r="J173" s="159" t="s">
        <v>37</v>
      </c>
      <c r="K173" s="45">
        <v>46120.0</v>
      </c>
      <c r="L173" s="140" t="s">
        <v>886</v>
      </c>
      <c r="M173" s="75" t="s">
        <v>612</v>
      </c>
      <c r="N173" s="47"/>
      <c r="O173" s="47"/>
      <c r="P173" s="57"/>
      <c r="Q173" s="47"/>
      <c r="R173" s="57"/>
      <c r="S173" s="57"/>
      <c r="T173" s="57"/>
      <c r="U173" s="55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6" t="s">
        <v>799</v>
      </c>
      <c r="B174" s="140" t="s">
        <v>770</v>
      </c>
      <c r="C174" s="38" t="str">
        <f>IF(B174="","",(VLOOKUP(B174,'Dados de PN'!$A:$B,2,0)))</f>
        <v>BOLT, MACHINE</v>
      </c>
      <c r="D174" s="140"/>
      <c r="E174" s="75" t="s">
        <v>34</v>
      </c>
      <c r="F174" s="140" t="s">
        <v>35</v>
      </c>
      <c r="G174" s="42">
        <v>1.0</v>
      </c>
      <c r="H174" s="42">
        <v>1.7154753E7</v>
      </c>
      <c r="I174" s="128" t="s">
        <v>755</v>
      </c>
      <c r="J174" s="159" t="s">
        <v>37</v>
      </c>
      <c r="K174" s="45">
        <v>46120.0</v>
      </c>
      <c r="L174" s="140" t="s">
        <v>886</v>
      </c>
      <c r="M174" s="75" t="s">
        <v>612</v>
      </c>
      <c r="N174" s="47"/>
      <c r="O174" s="47"/>
      <c r="P174" s="57"/>
      <c r="Q174" s="47"/>
      <c r="R174" s="57"/>
      <c r="S174" s="57"/>
      <c r="T174" s="57"/>
      <c r="U174" s="55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6" t="s">
        <v>805</v>
      </c>
      <c r="B175" s="140" t="s">
        <v>775</v>
      </c>
      <c r="C175" s="38" t="str">
        <f>IF(B175="","",(VLOOKUP(B175,'Dados de PN'!$A:$B,2,0)))</f>
        <v>WASHER, FLAT</v>
      </c>
      <c r="D175" s="140"/>
      <c r="E175" s="75" t="s">
        <v>34</v>
      </c>
      <c r="F175" s="75" t="s">
        <v>118</v>
      </c>
      <c r="G175" s="42">
        <v>2.0</v>
      </c>
      <c r="H175" s="42">
        <v>1.7154695E7</v>
      </c>
      <c r="I175" s="128" t="s">
        <v>755</v>
      </c>
      <c r="J175" s="159" t="s">
        <v>37</v>
      </c>
      <c r="K175" s="45">
        <v>46120.0</v>
      </c>
      <c r="L175" s="140" t="s">
        <v>886</v>
      </c>
      <c r="M175" s="75" t="s">
        <v>612</v>
      </c>
      <c r="N175" s="47"/>
      <c r="O175" s="47"/>
      <c r="P175" s="57"/>
      <c r="Q175" s="47"/>
      <c r="R175" s="57"/>
      <c r="S175" s="57"/>
      <c r="T175" s="57"/>
      <c r="U175" s="55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6" t="s">
        <v>809</v>
      </c>
      <c r="B176" s="140" t="s">
        <v>778</v>
      </c>
      <c r="C176" s="38" t="str">
        <f>IF(B176="","",(VLOOKUP(B176,'Dados de PN'!$A:$B,2,0)))</f>
        <v>WASHER</v>
      </c>
      <c r="D176" s="140"/>
      <c r="E176" s="75" t="s">
        <v>34</v>
      </c>
      <c r="F176" s="140" t="s">
        <v>35</v>
      </c>
      <c r="G176" s="42">
        <v>1.0</v>
      </c>
      <c r="H176" s="42">
        <v>1.715499E7</v>
      </c>
      <c r="I176" s="128" t="s">
        <v>755</v>
      </c>
      <c r="J176" s="159" t="s">
        <v>37</v>
      </c>
      <c r="K176" s="45">
        <v>46120.0</v>
      </c>
      <c r="L176" s="140" t="s">
        <v>886</v>
      </c>
      <c r="M176" s="75" t="s">
        <v>612</v>
      </c>
      <c r="N176" s="47"/>
      <c r="O176" s="47"/>
      <c r="P176" s="57"/>
      <c r="Q176" s="47"/>
      <c r="R176" s="57"/>
      <c r="S176" s="57"/>
      <c r="T176" s="57"/>
      <c r="U176" s="55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6" t="s">
        <v>813</v>
      </c>
      <c r="B177" s="140" t="s">
        <v>783</v>
      </c>
      <c r="C177" s="38" t="str">
        <f>IF(B177="","",(VLOOKUP(B177,'Dados de PN'!$A:$B,2,0)))</f>
        <v>NUT, SELF-LOCKING</v>
      </c>
      <c r="D177" s="140"/>
      <c r="E177" s="75" t="s">
        <v>34</v>
      </c>
      <c r="F177" s="140" t="s">
        <v>35</v>
      </c>
      <c r="G177" s="42">
        <v>1.0</v>
      </c>
      <c r="H177" s="42">
        <v>1.7154998E7</v>
      </c>
      <c r="I177" s="128" t="s">
        <v>755</v>
      </c>
      <c r="J177" s="159" t="s">
        <v>37</v>
      </c>
      <c r="K177" s="45">
        <v>46120.0</v>
      </c>
      <c r="L177" s="140" t="s">
        <v>886</v>
      </c>
      <c r="M177" s="75" t="s">
        <v>612</v>
      </c>
      <c r="N177" s="47"/>
      <c r="O177" s="47"/>
      <c r="P177" s="57"/>
      <c r="Q177" s="47"/>
      <c r="R177" s="57"/>
      <c r="S177" s="57"/>
      <c r="T177" s="57"/>
      <c r="U177" s="55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6" t="s">
        <v>815</v>
      </c>
      <c r="B178" s="140" t="s">
        <v>220</v>
      </c>
      <c r="C178" s="38" t="str">
        <f>IF(B178="","",(VLOOKUP(B178,'Dados de PN'!$A:$B,2,0)))</f>
        <v>BOLT,INTERNAL WRENCHING</v>
      </c>
      <c r="D178" s="140"/>
      <c r="E178" s="75" t="s">
        <v>34</v>
      </c>
      <c r="F178" s="75" t="s">
        <v>118</v>
      </c>
      <c r="G178" s="42">
        <v>2.0</v>
      </c>
      <c r="H178" s="42">
        <v>1.7155038E7</v>
      </c>
      <c r="I178" s="128" t="s">
        <v>755</v>
      </c>
      <c r="J178" s="159" t="s">
        <v>37</v>
      </c>
      <c r="K178" s="45">
        <v>46120.0</v>
      </c>
      <c r="L178" s="140" t="s">
        <v>886</v>
      </c>
      <c r="M178" s="75" t="s">
        <v>612</v>
      </c>
      <c r="N178" s="47"/>
      <c r="O178" s="47"/>
      <c r="P178" s="57"/>
      <c r="Q178" s="47"/>
      <c r="R178" s="57"/>
      <c r="S178" s="57"/>
      <c r="T178" s="57"/>
      <c r="U178" s="55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6" t="s">
        <v>819</v>
      </c>
      <c r="B179" s="140" t="s">
        <v>703</v>
      </c>
      <c r="C179" s="38" t="str">
        <f>IF(B179="","",(VLOOKUP(B179,'Dados de PN'!$A:$B,2,0)))</f>
        <v>EXTINGUISHER,FIRE</v>
      </c>
      <c r="D179" s="140"/>
      <c r="E179" s="75" t="s">
        <v>51</v>
      </c>
      <c r="F179" s="75" t="s">
        <v>35</v>
      </c>
      <c r="G179" s="42">
        <v>1.0</v>
      </c>
      <c r="H179" s="42">
        <v>1.7183414E7</v>
      </c>
      <c r="I179" s="128" t="s">
        <v>697</v>
      </c>
      <c r="J179" s="75" t="s">
        <v>37</v>
      </c>
      <c r="K179" s="45">
        <v>46121.0</v>
      </c>
      <c r="L179" s="140" t="s">
        <v>383</v>
      </c>
      <c r="M179" s="75" t="s">
        <v>384</v>
      </c>
      <c r="N179" s="47"/>
      <c r="O179" s="47"/>
      <c r="P179" s="57"/>
      <c r="Q179" s="47"/>
      <c r="R179" s="57"/>
      <c r="S179" s="57"/>
      <c r="T179" s="57"/>
      <c r="U179" s="55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6" t="s">
        <v>821</v>
      </c>
      <c r="B180" s="38" t="s">
        <v>277</v>
      </c>
      <c r="C180" s="38" t="str">
        <f>IF(B180="","",(VLOOKUP(B180,'Dados de PN'!$A:$B,2,0)))</f>
        <v>CONTROL,DIRECTIONAL,AUTOMATIC PILOT</v>
      </c>
      <c r="D180" s="140"/>
      <c r="E180" s="75" t="s">
        <v>99</v>
      </c>
      <c r="F180" s="75" t="s">
        <v>35</v>
      </c>
      <c r="G180" s="42">
        <v>1.0</v>
      </c>
      <c r="H180" s="140" t="s">
        <v>988</v>
      </c>
      <c r="I180" s="128" t="s">
        <v>793</v>
      </c>
      <c r="J180" s="75" t="s">
        <v>37</v>
      </c>
      <c r="K180" s="45">
        <v>46121.0</v>
      </c>
      <c r="L180" s="140" t="s">
        <v>989</v>
      </c>
      <c r="M180" s="75" t="s">
        <v>54</v>
      </c>
      <c r="N180" s="47"/>
      <c r="O180" s="47"/>
      <c r="P180" s="57"/>
      <c r="Q180" s="47"/>
      <c r="R180" s="57"/>
      <c r="S180" s="57"/>
      <c r="T180" s="57"/>
      <c r="U180" s="55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6" t="s">
        <v>824</v>
      </c>
      <c r="B181" s="38" t="s">
        <v>796</v>
      </c>
      <c r="C181" s="38" t="str">
        <f>IF(B181="","",(VLOOKUP(B181,'Dados de PN'!$A:$B,2,0)))</f>
        <v>PLATE</v>
      </c>
      <c r="D181" s="140"/>
      <c r="E181" s="75" t="s">
        <v>99</v>
      </c>
      <c r="F181" s="75" t="s">
        <v>35</v>
      </c>
      <c r="G181" s="42">
        <v>1.0</v>
      </c>
      <c r="H181" s="140" t="s">
        <v>990</v>
      </c>
      <c r="I181" s="128" t="s">
        <v>793</v>
      </c>
      <c r="J181" s="75" t="s">
        <v>37</v>
      </c>
      <c r="K181" s="45">
        <v>46121.0</v>
      </c>
      <c r="L181" s="140" t="s">
        <v>142</v>
      </c>
      <c r="M181" s="75" t="s">
        <v>54</v>
      </c>
      <c r="N181" s="47"/>
      <c r="O181" s="47"/>
      <c r="P181" s="57"/>
      <c r="Q181" s="47"/>
      <c r="R181" s="57"/>
      <c r="S181" s="57"/>
      <c r="T181" s="57"/>
      <c r="U181" s="55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6" t="s">
        <v>827</v>
      </c>
      <c r="B182" s="38" t="s">
        <v>800</v>
      </c>
      <c r="C182" s="38" t="str">
        <f>IF(B182="","",(VLOOKUP(B182,'Dados de PN'!$A:$B,2,0)))</f>
        <v>INDICADOR RMI</v>
      </c>
      <c r="D182" s="140"/>
      <c r="E182" s="75" t="s">
        <v>99</v>
      </c>
      <c r="F182" s="75" t="s">
        <v>118</v>
      </c>
      <c r="G182" s="42">
        <v>2.0</v>
      </c>
      <c r="H182" s="140" t="s">
        <v>991</v>
      </c>
      <c r="I182" s="128" t="s">
        <v>793</v>
      </c>
      <c r="J182" s="75" t="s">
        <v>37</v>
      </c>
      <c r="K182" s="45">
        <v>46121.0</v>
      </c>
      <c r="L182" s="140" t="s">
        <v>803</v>
      </c>
      <c r="M182" s="75" t="s">
        <v>54</v>
      </c>
      <c r="N182" s="47"/>
      <c r="O182" s="47"/>
      <c r="P182" s="57"/>
      <c r="Q182" s="47"/>
      <c r="R182" s="57"/>
      <c r="S182" s="57"/>
      <c r="T182" s="57"/>
      <c r="U182" s="55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6" t="s">
        <v>829</v>
      </c>
      <c r="B183" s="38" t="s">
        <v>806</v>
      </c>
      <c r="C183" s="38" t="str">
        <f>IF(B183="","",(VLOOKUP(B183,'Dados de PN'!$A:$B,2,0)))</f>
        <v>ANTENA</v>
      </c>
      <c r="D183" s="140"/>
      <c r="E183" s="75" t="s">
        <v>99</v>
      </c>
      <c r="F183" s="75" t="s">
        <v>35</v>
      </c>
      <c r="G183" s="42">
        <v>1.0</v>
      </c>
      <c r="H183" s="140" t="s">
        <v>992</v>
      </c>
      <c r="I183" s="128" t="s">
        <v>793</v>
      </c>
      <c r="J183" s="75" t="s">
        <v>37</v>
      </c>
      <c r="K183" s="45">
        <v>46121.0</v>
      </c>
      <c r="L183" s="140" t="s">
        <v>142</v>
      </c>
      <c r="M183" s="75" t="s">
        <v>54</v>
      </c>
      <c r="N183" s="47"/>
      <c r="O183" s="47"/>
      <c r="P183" s="57"/>
      <c r="Q183" s="47"/>
      <c r="R183" s="57"/>
      <c r="S183" s="57"/>
      <c r="T183" s="57"/>
      <c r="U183" s="55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6" t="s">
        <v>836</v>
      </c>
      <c r="B184" s="140" t="s">
        <v>810</v>
      </c>
      <c r="C184" s="38" t="str">
        <f>IF(B184="","",(VLOOKUP(B184,'Dados de PN'!$A:$B,2,0)))</f>
        <v>LINE ASSY-INSTRUMENT TO TEE</v>
      </c>
      <c r="D184" s="140"/>
      <c r="E184" s="75" t="s">
        <v>34</v>
      </c>
      <c r="F184" s="75" t="s">
        <v>35</v>
      </c>
      <c r="G184" s="42">
        <v>1.0</v>
      </c>
      <c r="H184" s="140" t="s">
        <v>993</v>
      </c>
      <c r="I184" s="128" t="s">
        <v>812</v>
      </c>
      <c r="J184" s="75" t="s">
        <v>37</v>
      </c>
      <c r="K184" s="45">
        <v>46122.0</v>
      </c>
      <c r="L184" s="140" t="s">
        <v>238</v>
      </c>
      <c r="M184" s="75" t="s">
        <v>122</v>
      </c>
      <c r="N184" s="47"/>
      <c r="O184" s="47"/>
      <c r="P184" s="57"/>
      <c r="Q184" s="47"/>
      <c r="R184" s="57"/>
      <c r="S184" s="57"/>
      <c r="T184" s="57"/>
      <c r="U184" s="55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6" t="s">
        <v>839</v>
      </c>
      <c r="B185" s="140" t="s">
        <v>810</v>
      </c>
      <c r="C185" s="38" t="str">
        <f>IF(B185="","",(VLOOKUP(B185,'Dados de PN'!$A:$B,2,0)))</f>
        <v>LINE ASSY-INSTRUMENT TO TEE</v>
      </c>
      <c r="D185" s="140"/>
      <c r="E185" s="75" t="s">
        <v>34</v>
      </c>
      <c r="F185" s="75" t="s">
        <v>35</v>
      </c>
      <c r="G185" s="42">
        <v>1.0</v>
      </c>
      <c r="H185" s="140" t="s">
        <v>994</v>
      </c>
      <c r="I185" s="128" t="s">
        <v>812</v>
      </c>
      <c r="J185" s="75" t="s">
        <v>37</v>
      </c>
      <c r="K185" s="45">
        <v>46122.0</v>
      </c>
      <c r="L185" s="140" t="s">
        <v>238</v>
      </c>
      <c r="M185" s="75" t="s">
        <v>122</v>
      </c>
      <c r="N185" s="47"/>
      <c r="O185" s="47"/>
      <c r="P185" s="57"/>
      <c r="Q185" s="47"/>
      <c r="R185" s="57"/>
      <c r="S185" s="57"/>
      <c r="T185" s="57"/>
      <c r="U185" s="55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6" t="s">
        <v>844</v>
      </c>
      <c r="B186" s="140" t="s">
        <v>816</v>
      </c>
      <c r="C186" s="38" t="str">
        <f>IF(B186="","",(VLOOKUP(B186,'Dados de PN'!$A:$B,2,0)))</f>
        <v>PORCA FLUTUANTE</v>
      </c>
      <c r="D186" s="140"/>
      <c r="E186" s="75" t="s">
        <v>34</v>
      </c>
      <c r="F186" s="75" t="s">
        <v>93</v>
      </c>
      <c r="G186" s="42">
        <v>50.0</v>
      </c>
      <c r="H186" s="140" t="s">
        <v>995</v>
      </c>
      <c r="I186" s="128" t="s">
        <v>812</v>
      </c>
      <c r="J186" s="75" t="s">
        <v>37</v>
      </c>
      <c r="K186" s="45">
        <v>46122.0</v>
      </c>
      <c r="L186" s="140" t="s">
        <v>238</v>
      </c>
      <c r="M186" s="75" t="s">
        <v>122</v>
      </c>
      <c r="N186" s="47"/>
      <c r="O186" s="47"/>
      <c r="P186" s="57"/>
      <c r="Q186" s="47"/>
      <c r="R186" s="57"/>
      <c r="S186" s="57"/>
      <c r="T186" s="57"/>
      <c r="U186" s="55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6" t="s">
        <v>846</v>
      </c>
      <c r="B187" s="140" t="s">
        <v>820</v>
      </c>
      <c r="C187" s="38" t="str">
        <f>IF(B187="","",(VLOOKUP(B187,'Dados de PN'!$A:$B,2,0)))</f>
        <v>BOLT</v>
      </c>
      <c r="D187" s="140"/>
      <c r="E187" s="75" t="s">
        <v>34</v>
      </c>
      <c r="F187" s="75" t="s">
        <v>35</v>
      </c>
      <c r="G187" s="42">
        <v>1.0</v>
      </c>
      <c r="H187" s="42">
        <v>1.7187137E7</v>
      </c>
      <c r="I187" s="128" t="s">
        <v>812</v>
      </c>
      <c r="J187" s="75" t="s">
        <v>37</v>
      </c>
      <c r="K187" s="45">
        <v>46122.0</v>
      </c>
      <c r="L187" s="140" t="s">
        <v>886</v>
      </c>
      <c r="M187" s="75" t="s">
        <v>612</v>
      </c>
      <c r="N187" s="47"/>
      <c r="O187" s="47"/>
      <c r="P187" s="57"/>
      <c r="Q187" s="47"/>
      <c r="R187" s="57"/>
      <c r="S187" s="57"/>
      <c r="T187" s="57"/>
      <c r="U187" s="55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6" t="s">
        <v>852</v>
      </c>
      <c r="B188" s="140" t="s">
        <v>822</v>
      </c>
      <c r="C188" s="38" t="str">
        <f>IF(B188="","",(VLOOKUP(B188,'Dados de PN'!$A:$B,2,0)))</f>
        <v>BOLT,INTERNAL WRENCHING</v>
      </c>
      <c r="D188" s="140"/>
      <c r="E188" s="75" t="s">
        <v>34</v>
      </c>
      <c r="F188" s="75" t="s">
        <v>118</v>
      </c>
      <c r="G188" s="42">
        <v>2.0</v>
      </c>
      <c r="H188" s="42">
        <v>1.7187145E7</v>
      </c>
      <c r="I188" s="128" t="s">
        <v>812</v>
      </c>
      <c r="J188" s="75" t="s">
        <v>37</v>
      </c>
      <c r="K188" s="45">
        <v>46122.0</v>
      </c>
      <c r="L188" s="140" t="s">
        <v>886</v>
      </c>
      <c r="M188" s="75" t="s">
        <v>612</v>
      </c>
      <c r="N188" s="47"/>
      <c r="O188" s="47"/>
      <c r="P188" s="57"/>
      <c r="Q188" s="47"/>
      <c r="R188" s="57"/>
      <c r="S188" s="57"/>
      <c r="T188" s="57"/>
      <c r="U188" s="55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6" t="s">
        <v>858</v>
      </c>
      <c r="B189" s="140" t="s">
        <v>825</v>
      </c>
      <c r="C189" s="38" t="str">
        <f>IF(B189="","",(VLOOKUP(B189,'Dados de PN'!$A:$B,2,0)))</f>
        <v>NUT,SELF-LOCKING,HEXAGON</v>
      </c>
      <c r="D189" s="140"/>
      <c r="E189" s="75" t="s">
        <v>34</v>
      </c>
      <c r="F189" s="140" t="s">
        <v>205</v>
      </c>
      <c r="G189" s="42">
        <v>4.0</v>
      </c>
      <c r="H189" s="42">
        <v>1.7187148E7</v>
      </c>
      <c r="I189" s="128" t="s">
        <v>812</v>
      </c>
      <c r="J189" s="75" t="s">
        <v>37</v>
      </c>
      <c r="K189" s="45">
        <v>46122.0</v>
      </c>
      <c r="L189" s="140" t="s">
        <v>886</v>
      </c>
      <c r="M189" s="75" t="s">
        <v>612</v>
      </c>
      <c r="N189" s="47"/>
      <c r="O189" s="47"/>
      <c r="P189" s="57"/>
      <c r="Q189" s="47"/>
      <c r="R189" s="57"/>
      <c r="S189" s="57"/>
      <c r="T189" s="57"/>
      <c r="U189" s="55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6" t="s">
        <v>862</v>
      </c>
      <c r="B190" s="140" t="s">
        <v>828</v>
      </c>
      <c r="C190" s="38" t="str">
        <f>IF(B190="","",(VLOOKUP(B190,'Dados de PN'!$A:$B,2,0)))</f>
        <v>BOLT,INTERNAL WRENCHING</v>
      </c>
      <c r="D190" s="140"/>
      <c r="E190" s="75" t="s">
        <v>34</v>
      </c>
      <c r="F190" s="75" t="s">
        <v>35</v>
      </c>
      <c r="G190" s="42">
        <v>1.0</v>
      </c>
      <c r="H190" s="42">
        <v>1.7187154E7</v>
      </c>
      <c r="I190" s="128" t="s">
        <v>812</v>
      </c>
      <c r="J190" s="75" t="s">
        <v>37</v>
      </c>
      <c r="K190" s="45">
        <v>46122.0</v>
      </c>
      <c r="L190" s="140" t="s">
        <v>886</v>
      </c>
      <c r="M190" s="75" t="s">
        <v>612</v>
      </c>
      <c r="N190" s="47"/>
      <c r="O190" s="47"/>
      <c r="P190" s="57"/>
      <c r="Q190" s="47"/>
      <c r="R190" s="57"/>
      <c r="S190" s="57"/>
      <c r="T190" s="57"/>
      <c r="U190" s="55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6" t="s">
        <v>868</v>
      </c>
      <c r="B191" s="140" t="s">
        <v>830</v>
      </c>
      <c r="C191" s="38" t="str">
        <f>IF(B191="","",(VLOOKUP(B191,'Dados de PN'!$A:$B,2,0)))</f>
        <v>ENGINE MOUNT</v>
      </c>
      <c r="D191" s="140"/>
      <c r="E191" s="75" t="s">
        <v>34</v>
      </c>
      <c r="F191" s="75" t="s">
        <v>833</v>
      </c>
      <c r="G191" s="42">
        <v>6.0</v>
      </c>
      <c r="H191" s="42">
        <v>1.7187163E7</v>
      </c>
      <c r="I191" s="128" t="s">
        <v>812</v>
      </c>
      <c r="J191" s="75" t="s">
        <v>37</v>
      </c>
      <c r="K191" s="45">
        <v>46122.0</v>
      </c>
      <c r="L191" s="140" t="s">
        <v>886</v>
      </c>
      <c r="M191" s="75" t="s">
        <v>612</v>
      </c>
      <c r="N191" s="47"/>
      <c r="O191" s="47"/>
      <c r="P191" s="57"/>
      <c r="Q191" s="47"/>
      <c r="R191" s="57"/>
      <c r="S191" s="57"/>
      <c r="T191" s="57"/>
      <c r="U191" s="55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6" t="s">
        <v>871</v>
      </c>
      <c r="B192" s="140" t="s">
        <v>837</v>
      </c>
      <c r="C192" s="38" t="str">
        <f>IF(B192="","",(VLOOKUP(B192,'Dados de PN'!$A:$B,2,0)))</f>
        <v>BOLT</v>
      </c>
      <c r="D192" s="140"/>
      <c r="E192" s="75" t="s">
        <v>34</v>
      </c>
      <c r="F192" s="75" t="s">
        <v>35</v>
      </c>
      <c r="G192" s="42">
        <v>1.0</v>
      </c>
      <c r="H192" s="42">
        <v>1.7187176E7</v>
      </c>
      <c r="I192" s="128" t="s">
        <v>812</v>
      </c>
      <c r="J192" s="75" t="s">
        <v>37</v>
      </c>
      <c r="K192" s="45">
        <v>46122.0</v>
      </c>
      <c r="L192" s="140" t="s">
        <v>886</v>
      </c>
      <c r="M192" s="75" t="s">
        <v>612</v>
      </c>
      <c r="N192" s="47"/>
      <c r="O192" s="47"/>
      <c r="P192" s="57"/>
      <c r="Q192" s="47"/>
      <c r="R192" s="57"/>
      <c r="S192" s="57"/>
      <c r="T192" s="57"/>
      <c r="U192" s="55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6" t="s">
        <v>874</v>
      </c>
      <c r="B193" s="140" t="s">
        <v>840</v>
      </c>
      <c r="C193" s="38" t="str">
        <f>IF(B193="","",(VLOOKUP(B193,'Dados de PN'!$A:$B,2,0)))</f>
        <v>NUT,PLAIN,CASTELLATED,HEXAGON</v>
      </c>
      <c r="D193" s="140"/>
      <c r="E193" s="75" t="s">
        <v>34</v>
      </c>
      <c r="F193" s="75" t="s">
        <v>302</v>
      </c>
      <c r="G193" s="42">
        <v>3.0</v>
      </c>
      <c r="H193" s="42">
        <v>1.7187179E7</v>
      </c>
      <c r="I193" s="128" t="s">
        <v>812</v>
      </c>
      <c r="J193" s="75" t="s">
        <v>37</v>
      </c>
      <c r="K193" s="45">
        <v>46122.0</v>
      </c>
      <c r="L193" s="140" t="s">
        <v>886</v>
      </c>
      <c r="M193" s="75" t="s">
        <v>612</v>
      </c>
      <c r="N193" s="47"/>
      <c r="O193" s="47"/>
      <c r="P193" s="57"/>
      <c r="Q193" s="47"/>
      <c r="R193" s="57"/>
      <c r="S193" s="57"/>
      <c r="T193" s="57"/>
      <c r="U193" s="55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6" t="s">
        <v>878</v>
      </c>
      <c r="B194" s="140" t="s">
        <v>840</v>
      </c>
      <c r="C194" s="38" t="str">
        <f>IF(B194="","",(VLOOKUP(B194,'Dados de PN'!$A:$B,2,0)))</f>
        <v>NUT,PLAIN,CASTELLATED,HEXAGON</v>
      </c>
      <c r="D194" s="140"/>
      <c r="E194" s="75" t="s">
        <v>34</v>
      </c>
      <c r="F194" s="75" t="s">
        <v>302</v>
      </c>
      <c r="G194" s="42">
        <v>3.0</v>
      </c>
      <c r="H194" s="42">
        <v>1.7191995E7</v>
      </c>
      <c r="I194" s="128" t="s">
        <v>812</v>
      </c>
      <c r="J194" s="75" t="s">
        <v>37</v>
      </c>
      <c r="K194" s="45">
        <v>46122.0</v>
      </c>
      <c r="L194" s="140" t="s">
        <v>886</v>
      </c>
      <c r="M194" s="75" t="s">
        <v>612</v>
      </c>
      <c r="N194" s="47"/>
      <c r="O194" s="47"/>
      <c r="P194" s="57"/>
      <c r="Q194" s="47"/>
      <c r="R194" s="57"/>
      <c r="S194" s="57"/>
      <c r="T194" s="57"/>
      <c r="U194" s="55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6" t="s">
        <v>882</v>
      </c>
      <c r="B195" s="140" t="s">
        <v>847</v>
      </c>
      <c r="C195" s="38" t="str">
        <f>IF(B195="","",(VLOOKUP(B195,'Dados de PN'!$A:$B,2,0)))</f>
        <v>HOSE ASSY TEE</v>
      </c>
      <c r="D195" s="140"/>
      <c r="E195" s="75" t="s">
        <v>34</v>
      </c>
      <c r="F195" s="75" t="s">
        <v>35</v>
      </c>
      <c r="G195" s="42">
        <v>1.0</v>
      </c>
      <c r="H195" s="42">
        <v>3.13260018206E11</v>
      </c>
      <c r="I195" s="128" t="s">
        <v>849</v>
      </c>
      <c r="J195" s="75" t="s">
        <v>37</v>
      </c>
      <c r="K195" s="45">
        <v>46126.0</v>
      </c>
      <c r="L195" s="140" t="s">
        <v>370</v>
      </c>
      <c r="M195" s="75" t="s">
        <v>47</v>
      </c>
      <c r="N195" s="47"/>
      <c r="O195" s="47"/>
      <c r="P195" s="57"/>
      <c r="Q195" s="47"/>
      <c r="R195" s="57"/>
      <c r="S195" s="57"/>
      <c r="T195" s="57"/>
      <c r="U195" s="55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6" t="s">
        <v>887</v>
      </c>
      <c r="B196" s="140" t="s">
        <v>532</v>
      </c>
      <c r="C196" s="38" t="str">
        <f>IF(B196="","",(VLOOKUP(B196,'Dados de PN'!$A:$B,2,0)))</f>
        <v>RECEIVER TRANSMITTER</v>
      </c>
      <c r="D196" s="140" t="s">
        <v>996</v>
      </c>
      <c r="E196" s="75" t="s">
        <v>99</v>
      </c>
      <c r="F196" s="75" t="s">
        <v>35</v>
      </c>
      <c r="G196" s="42"/>
      <c r="H196" s="42">
        <v>1.7244405E7</v>
      </c>
      <c r="I196" s="128" t="s">
        <v>856</v>
      </c>
      <c r="J196" s="75" t="s">
        <v>37</v>
      </c>
      <c r="K196" s="45">
        <v>46128.0</v>
      </c>
      <c r="L196" s="140" t="s">
        <v>363</v>
      </c>
      <c r="M196" s="75" t="s">
        <v>364</v>
      </c>
      <c r="N196" s="47"/>
      <c r="O196" s="47"/>
      <c r="P196" s="57"/>
      <c r="Q196" s="47"/>
      <c r="R196" s="57"/>
      <c r="S196" s="57"/>
      <c r="T196" s="57"/>
      <c r="U196" s="55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6" t="s">
        <v>891</v>
      </c>
      <c r="B197" s="140" t="s">
        <v>528</v>
      </c>
      <c r="C197" s="38" t="str">
        <f>IF(B197="","",(VLOOKUP(B197,'Dados de PN'!$A:$B,2,0)))</f>
        <v>TRANSCEIVER</v>
      </c>
      <c r="D197" s="140" t="s">
        <v>997</v>
      </c>
      <c r="E197" s="75" t="s">
        <v>99</v>
      </c>
      <c r="F197" s="75" t="s">
        <v>35</v>
      </c>
      <c r="G197" s="72"/>
      <c r="H197" s="42">
        <v>3.29260019063E11</v>
      </c>
      <c r="I197" s="128" t="s">
        <v>860</v>
      </c>
      <c r="J197" s="75" t="s">
        <v>37</v>
      </c>
      <c r="K197" s="45">
        <v>46128.0</v>
      </c>
      <c r="L197" s="140" t="s">
        <v>238</v>
      </c>
      <c r="M197" s="75" t="s">
        <v>122</v>
      </c>
      <c r="N197" s="47"/>
      <c r="O197" s="47"/>
      <c r="P197" s="57"/>
      <c r="Q197" s="47"/>
      <c r="R197" s="57"/>
      <c r="S197" s="57"/>
      <c r="T197" s="57"/>
      <c r="U197" s="55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6" t="s">
        <v>898</v>
      </c>
      <c r="B198" s="140" t="s">
        <v>863</v>
      </c>
      <c r="C198" s="38" t="str">
        <f>IF(B198="","",(VLOOKUP(B198,'Dados de PN'!$A:$B,2,0)))</f>
        <v>PIN,COTTER</v>
      </c>
      <c r="D198" s="140"/>
      <c r="E198" s="75" t="s">
        <v>34</v>
      </c>
      <c r="F198" s="75" t="s">
        <v>865</v>
      </c>
      <c r="G198" s="72"/>
      <c r="H198" s="42">
        <v>1.7261012E7</v>
      </c>
      <c r="I198" s="128" t="s">
        <v>866</v>
      </c>
      <c r="J198" s="75" t="s">
        <v>207</v>
      </c>
      <c r="K198" s="45">
        <v>46128.0</v>
      </c>
      <c r="L198" s="140" t="s">
        <v>101</v>
      </c>
      <c r="M198" s="75" t="s">
        <v>61</v>
      </c>
      <c r="N198" s="47"/>
      <c r="O198" s="47"/>
      <c r="P198" s="57"/>
      <c r="Q198" s="47"/>
      <c r="R198" s="57"/>
      <c r="S198" s="57"/>
      <c r="T198" s="57"/>
      <c r="U198" s="55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6" t="s">
        <v>904</v>
      </c>
      <c r="B199" s="140" t="s">
        <v>998</v>
      </c>
      <c r="C199" s="38" t="str">
        <f>IF(B199="","",(VLOOKUP(B199,'Dados de PN'!$A:$B,2,0)))</f>
        <v>SPACER</v>
      </c>
      <c r="D199" s="140"/>
      <c r="E199" s="75" t="s">
        <v>34</v>
      </c>
      <c r="F199" s="75" t="s">
        <v>118</v>
      </c>
      <c r="G199" s="72"/>
      <c r="H199" s="42">
        <v>1.7276994E7</v>
      </c>
      <c r="I199" s="128" t="s">
        <v>869</v>
      </c>
      <c r="J199" s="75" t="s">
        <v>59</v>
      </c>
      <c r="K199" s="45">
        <v>46129.0</v>
      </c>
      <c r="L199" s="140" t="s">
        <v>101</v>
      </c>
      <c r="M199" s="75" t="s">
        <v>61</v>
      </c>
      <c r="N199" s="47"/>
      <c r="O199" s="47"/>
      <c r="P199" s="57"/>
      <c r="Q199" s="47"/>
      <c r="R199" s="57"/>
      <c r="S199" s="57"/>
      <c r="T199" s="57"/>
      <c r="U199" s="55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6" t="s">
        <v>907</v>
      </c>
      <c r="B200" s="140" t="s">
        <v>341</v>
      </c>
      <c r="C200" s="38" t="str">
        <f>IF(B200="","",(VLOOKUP(B200,'Dados de PN'!$A:$B,2,0)))</f>
        <v>HOSE ASSEMBLY,NONMETALLIC</v>
      </c>
      <c r="D200" s="140"/>
      <c r="E200" s="75" t="s">
        <v>34</v>
      </c>
      <c r="F200" s="75" t="s">
        <v>118</v>
      </c>
      <c r="G200" s="72"/>
      <c r="H200" s="42">
        <v>1.7254045E7</v>
      </c>
      <c r="I200" s="128" t="s">
        <v>793</v>
      </c>
      <c r="J200" s="75" t="s">
        <v>37</v>
      </c>
      <c r="K200" s="45">
        <v>46135.0</v>
      </c>
      <c r="L200" s="140" t="s">
        <v>271</v>
      </c>
      <c r="M200" s="75" t="s">
        <v>54</v>
      </c>
      <c r="N200" s="47"/>
      <c r="O200" s="47"/>
      <c r="P200" s="57"/>
      <c r="Q200" s="47"/>
      <c r="R200" s="57"/>
      <c r="S200" s="57"/>
      <c r="T200" s="57"/>
      <c r="U200" s="55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6" t="s">
        <v>910</v>
      </c>
      <c r="B201" s="140" t="s">
        <v>875</v>
      </c>
      <c r="C201" s="38" t="str">
        <f>IF(B201="","",(VLOOKUP(B201,'Dados de PN'!$A:$B,2,0)))</f>
        <v>NUT,PLAIN,HEXAGON</v>
      </c>
      <c r="D201" s="140"/>
      <c r="E201" s="75" t="s">
        <v>34</v>
      </c>
      <c r="F201" s="140" t="s">
        <v>205</v>
      </c>
      <c r="G201" s="72"/>
      <c r="H201" s="42">
        <v>1.7331826E7</v>
      </c>
      <c r="I201" s="128" t="s">
        <v>876</v>
      </c>
      <c r="J201" s="75" t="s">
        <v>37</v>
      </c>
      <c r="K201" s="45">
        <v>46139.0</v>
      </c>
      <c r="L201" s="140" t="s">
        <v>476</v>
      </c>
      <c r="M201" s="75" t="s">
        <v>477</v>
      </c>
      <c r="N201" s="47"/>
      <c r="O201" s="47"/>
      <c r="P201" s="57"/>
      <c r="Q201" s="47"/>
      <c r="R201" s="57"/>
      <c r="S201" s="57"/>
      <c r="T201" s="57"/>
      <c r="U201" s="55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6" t="s">
        <v>914</v>
      </c>
      <c r="B202" s="140" t="s">
        <v>880</v>
      </c>
      <c r="C202" s="38" t="str">
        <f>IF(B202="","",(VLOOKUP(B202,'Dados de PN'!$A:$B,2,0)))</f>
        <v>ANEL-O</v>
      </c>
      <c r="D202" s="140"/>
      <c r="E202" s="75" t="s">
        <v>34</v>
      </c>
      <c r="F202" s="75" t="s">
        <v>118</v>
      </c>
      <c r="G202" s="72"/>
      <c r="H202" s="42">
        <v>1.7331914E7</v>
      </c>
      <c r="I202" s="128" t="s">
        <v>876</v>
      </c>
      <c r="J202" s="75" t="s">
        <v>37</v>
      </c>
      <c r="K202" s="45">
        <v>46139.0</v>
      </c>
      <c r="L202" s="140" t="s">
        <v>476</v>
      </c>
      <c r="M202" s="75" t="s">
        <v>477</v>
      </c>
      <c r="N202" s="47"/>
      <c r="O202" s="47"/>
      <c r="P202" s="57"/>
      <c r="Q202" s="47"/>
      <c r="R202" s="57"/>
      <c r="S202" s="57"/>
      <c r="T202" s="57"/>
      <c r="U202" s="55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6" t="s">
        <v>919</v>
      </c>
      <c r="B203" s="140" t="s">
        <v>883</v>
      </c>
      <c r="C203" s="38" t="str">
        <f>IF(B203="","",(VLOOKUP(B203,'Dados de PN'!$A:$B,2,0)))</f>
        <v>INDICATOR TRUE</v>
      </c>
      <c r="D203" s="140"/>
      <c r="E203" s="75" t="s">
        <v>99</v>
      </c>
      <c r="F203" s="75" t="s">
        <v>35</v>
      </c>
      <c r="G203" s="72"/>
      <c r="H203" s="140" t="s">
        <v>999</v>
      </c>
      <c r="I203" s="128" t="s">
        <v>860</v>
      </c>
      <c r="J203" s="75" t="s">
        <v>37</v>
      </c>
      <c r="K203" s="45">
        <v>46139.0</v>
      </c>
      <c r="L203" s="140" t="s">
        <v>989</v>
      </c>
      <c r="M203" s="75" t="s">
        <v>122</v>
      </c>
      <c r="N203" s="47"/>
      <c r="O203" s="47"/>
      <c r="P203" s="57"/>
      <c r="Q203" s="47"/>
      <c r="R203" s="57"/>
      <c r="S203" s="57"/>
      <c r="T203" s="57"/>
      <c r="U203" s="55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6" t="s">
        <v>925</v>
      </c>
      <c r="B204" s="140" t="s">
        <v>888</v>
      </c>
      <c r="C204" s="38" t="str">
        <f>IF(B204="","",(VLOOKUP(B204,'Dados de PN'!$A:$B,2,0)))</f>
        <v>FUEL TOTALIZER</v>
      </c>
      <c r="D204" s="140"/>
      <c r="E204" s="75" t="s">
        <v>99</v>
      </c>
      <c r="F204" s="75" t="s">
        <v>35</v>
      </c>
      <c r="G204" s="72"/>
      <c r="H204" s="140" t="s">
        <v>1000</v>
      </c>
      <c r="I204" s="128" t="s">
        <v>860</v>
      </c>
      <c r="J204" s="75" t="s">
        <v>37</v>
      </c>
      <c r="K204" s="45">
        <v>46139.0</v>
      </c>
      <c r="L204" s="140" t="s">
        <v>989</v>
      </c>
      <c r="M204" s="75" t="s">
        <v>122</v>
      </c>
      <c r="N204" s="47"/>
      <c r="O204" s="47"/>
      <c r="P204" s="57"/>
      <c r="Q204" s="47"/>
      <c r="R204" s="57"/>
      <c r="S204" s="57"/>
      <c r="T204" s="57"/>
      <c r="U204" s="55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6" t="s">
        <v>930</v>
      </c>
      <c r="B205" s="140" t="s">
        <v>892</v>
      </c>
      <c r="C205" s="38" t="str">
        <f>IF(B205="","",(VLOOKUP(B205,'Dados de PN'!$A:$B,2,0)))</f>
        <v>NOSE GEAR STRUT ASSY - TALL FORK</v>
      </c>
      <c r="D205" s="140" t="s">
        <v>1001</v>
      </c>
      <c r="E205" s="75" t="s">
        <v>99</v>
      </c>
      <c r="F205" s="75" t="s">
        <v>35</v>
      </c>
      <c r="G205" s="72"/>
      <c r="H205" s="42">
        <v>1.7354192E7</v>
      </c>
      <c r="I205" s="128" t="s">
        <v>896</v>
      </c>
      <c r="J205" s="75" t="s">
        <v>37</v>
      </c>
      <c r="K205" s="45">
        <v>46139.0</v>
      </c>
      <c r="L205" s="140" t="s">
        <v>53</v>
      </c>
      <c r="M205" s="75" t="s">
        <v>54</v>
      </c>
      <c r="N205" s="47"/>
      <c r="O205" s="47"/>
      <c r="P205" s="57"/>
      <c r="Q205" s="47"/>
      <c r="R205" s="57"/>
      <c r="S205" s="57"/>
      <c r="T205" s="57"/>
      <c r="U205" s="55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6" t="s">
        <v>933</v>
      </c>
      <c r="B206" s="140" t="s">
        <v>899</v>
      </c>
      <c r="C206" s="38" t="str">
        <f>IF(B206="","",(VLOOKUP(B206,'Dados de PN'!$A:$B,2,0)))</f>
        <v>ALTERNATOR CONTROL UNIT ASSY</v>
      </c>
      <c r="D206" s="140" t="s">
        <v>1002</v>
      </c>
      <c r="E206" s="75" t="s">
        <v>51</v>
      </c>
      <c r="F206" s="140" t="s">
        <v>902</v>
      </c>
      <c r="G206" s="72"/>
      <c r="H206" s="38" t="s">
        <v>1003</v>
      </c>
      <c r="I206" s="128" t="s">
        <v>903</v>
      </c>
      <c r="J206" s="75" t="s">
        <v>37</v>
      </c>
      <c r="K206" s="45">
        <v>46141.0</v>
      </c>
      <c r="L206" s="140" t="s">
        <v>53</v>
      </c>
      <c r="M206" s="75" t="s">
        <v>54</v>
      </c>
      <c r="N206" s="47"/>
      <c r="O206" s="47"/>
      <c r="P206" s="57"/>
      <c r="Q206" s="47"/>
      <c r="R206" s="57"/>
      <c r="S206" s="57"/>
      <c r="T206" s="57"/>
      <c r="U206" s="55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6" t="s">
        <v>935</v>
      </c>
      <c r="B207" s="140" t="s">
        <v>465</v>
      </c>
      <c r="C207" s="38" t="str">
        <f>IF(B207="","",(VLOOKUP(B207,'Dados de PN'!$A:$B,2,0)))</f>
        <v>IND RDR 200 IN</v>
      </c>
      <c r="D207" s="140"/>
      <c r="E207" s="75" t="s">
        <v>99</v>
      </c>
      <c r="F207" s="140" t="s">
        <v>902</v>
      </c>
      <c r="G207" s="72"/>
      <c r="H207" s="38" t="s">
        <v>1004</v>
      </c>
      <c r="I207" s="128" t="s">
        <v>906</v>
      </c>
      <c r="J207" s="75" t="s">
        <v>37</v>
      </c>
      <c r="K207" s="45">
        <v>46141.0</v>
      </c>
      <c r="L207" s="140" t="s">
        <v>53</v>
      </c>
      <c r="M207" s="75" t="s">
        <v>54</v>
      </c>
      <c r="N207" s="47"/>
      <c r="O207" s="47"/>
      <c r="P207" s="57"/>
      <c r="Q207" s="47"/>
      <c r="R207" s="57"/>
      <c r="S207" s="57"/>
      <c r="T207" s="57"/>
      <c r="U207" s="55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6" t="s">
        <v>937</v>
      </c>
      <c r="B208" s="140" t="s">
        <v>1005</v>
      </c>
      <c r="C208" s="38" t="str">
        <f>IF(B208="","",(VLOOKUP(B208,'Dados de PN'!$A:$B,2,0)))</f>
        <v>PACKING,PREFORMED</v>
      </c>
      <c r="D208" s="140"/>
      <c r="E208" s="75" t="s">
        <v>34</v>
      </c>
      <c r="F208" s="140" t="s">
        <v>902</v>
      </c>
      <c r="G208" s="72"/>
      <c r="H208" s="38" t="s">
        <v>1006</v>
      </c>
      <c r="I208" s="128" t="s">
        <v>906</v>
      </c>
      <c r="J208" s="75" t="s">
        <v>37</v>
      </c>
      <c r="K208" s="45">
        <v>46141.0</v>
      </c>
      <c r="L208" s="140" t="s">
        <v>53</v>
      </c>
      <c r="M208" s="75" t="s">
        <v>54</v>
      </c>
      <c r="N208" s="47"/>
      <c r="O208" s="47"/>
      <c r="P208" s="57"/>
      <c r="Q208" s="47"/>
      <c r="R208" s="57"/>
      <c r="S208" s="57"/>
      <c r="T208" s="57"/>
      <c r="U208" s="55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6" t="s">
        <v>942</v>
      </c>
      <c r="B209" s="140" t="s">
        <v>911</v>
      </c>
      <c r="C209" s="38" t="str">
        <f>IF(B209="","",(VLOOKUP(B209,'Dados de PN'!$A:$B,2,0)))</f>
        <v>WASHER</v>
      </c>
      <c r="D209" s="140"/>
      <c r="E209" s="75" t="s">
        <v>34</v>
      </c>
      <c r="F209" s="140" t="s">
        <v>913</v>
      </c>
      <c r="G209" s="72"/>
      <c r="H209" s="38" t="s">
        <v>1007</v>
      </c>
      <c r="I209" s="128" t="s">
        <v>906</v>
      </c>
      <c r="J209" s="75" t="s">
        <v>37</v>
      </c>
      <c r="K209" s="45">
        <v>46141.0</v>
      </c>
      <c r="L209" s="140" t="s">
        <v>53</v>
      </c>
      <c r="M209" s="75" t="s">
        <v>54</v>
      </c>
      <c r="N209" s="47"/>
      <c r="O209" s="47"/>
      <c r="P209" s="57"/>
      <c r="Q209" s="47"/>
      <c r="R209" s="57"/>
      <c r="S209" s="57"/>
      <c r="T209" s="57"/>
      <c r="U209" s="55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6" t="s">
        <v>946</v>
      </c>
      <c r="B210" s="140" t="s">
        <v>916</v>
      </c>
      <c r="C210" s="38" t="str">
        <f>IF(B210="","",(VLOOKUP(B210,'Dados de PN'!$A:$B,2,0)))</f>
        <v>CLEVIS,ROD END</v>
      </c>
      <c r="D210" s="140"/>
      <c r="E210" s="75" t="s">
        <v>34</v>
      </c>
      <c r="F210" s="140" t="s">
        <v>913</v>
      </c>
      <c r="G210" s="72"/>
      <c r="H210" s="38" t="s">
        <v>1008</v>
      </c>
      <c r="I210" s="128" t="s">
        <v>906</v>
      </c>
      <c r="J210" s="75" t="s">
        <v>37</v>
      </c>
      <c r="K210" s="45">
        <v>46141.0</v>
      </c>
      <c r="L210" s="140" t="s">
        <v>53</v>
      </c>
      <c r="M210" s="75" t="s">
        <v>54</v>
      </c>
      <c r="N210" s="47"/>
      <c r="O210" s="47"/>
      <c r="P210" s="57"/>
      <c r="Q210" s="47"/>
      <c r="R210" s="57"/>
      <c r="S210" s="57"/>
      <c r="T210" s="57"/>
      <c r="U210" s="55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6" t="s">
        <v>949</v>
      </c>
      <c r="B211" s="140" t="s">
        <v>920</v>
      </c>
      <c r="C211" s="38" t="str">
        <f>IF(B211="","",(VLOOKUP(B211,'Dados de PN'!$A:$B,2,0)))</f>
        <v>SCREW,TAPPING</v>
      </c>
      <c r="D211" s="140"/>
      <c r="E211" s="75" t="s">
        <v>34</v>
      </c>
      <c r="F211" s="140" t="s">
        <v>922</v>
      </c>
      <c r="G211" s="72"/>
      <c r="H211" s="38" t="s">
        <v>1009</v>
      </c>
      <c r="I211" s="128" t="s">
        <v>906</v>
      </c>
      <c r="J211" s="75" t="s">
        <v>37</v>
      </c>
      <c r="K211" s="45">
        <v>46141.0</v>
      </c>
      <c r="L211" s="140" t="s">
        <v>53</v>
      </c>
      <c r="M211" s="75" t="s">
        <v>54</v>
      </c>
      <c r="N211" s="47"/>
      <c r="O211" s="47"/>
      <c r="P211" s="57"/>
      <c r="Q211" s="47"/>
      <c r="R211" s="57"/>
      <c r="S211" s="57"/>
      <c r="T211" s="57"/>
      <c r="U211" s="55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6" t="s">
        <v>952</v>
      </c>
      <c r="B212" s="140" t="s">
        <v>926</v>
      </c>
      <c r="C212" s="38" t="str">
        <f>IF(B212="","",(VLOOKUP(B212,'Dados de PN'!$A:$B,2,0)))</f>
        <v>SEAL,DOOR EMERGENCY EXIT</v>
      </c>
      <c r="D212" s="140"/>
      <c r="E212" s="75" t="s">
        <v>34</v>
      </c>
      <c r="F212" s="140" t="s">
        <v>913</v>
      </c>
      <c r="G212" s="72"/>
      <c r="H212" s="38" t="s">
        <v>1010</v>
      </c>
      <c r="I212" s="128" t="s">
        <v>928</v>
      </c>
      <c r="J212" s="75" t="s">
        <v>37</v>
      </c>
      <c r="K212" s="45">
        <v>46141.0</v>
      </c>
      <c r="L212" s="140" t="s">
        <v>53</v>
      </c>
      <c r="M212" s="75" t="s">
        <v>54</v>
      </c>
      <c r="N212" s="47"/>
      <c r="O212" s="47"/>
      <c r="P212" s="57"/>
      <c r="Q212" s="47"/>
      <c r="R212" s="57"/>
      <c r="S212" s="57"/>
      <c r="T212" s="57"/>
      <c r="U212" s="55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6" t="s">
        <v>955</v>
      </c>
      <c r="B213" s="140" t="s">
        <v>926</v>
      </c>
      <c r="C213" s="38" t="str">
        <f>IF(B213="","",(VLOOKUP(B213,'Dados de PN'!$A:$B,2,0)))</f>
        <v>SEAL,DOOR EMERGENCY EXIT</v>
      </c>
      <c r="D213" s="140"/>
      <c r="E213" s="75" t="s">
        <v>34</v>
      </c>
      <c r="F213" s="140" t="s">
        <v>663</v>
      </c>
      <c r="G213" s="72"/>
      <c r="H213" s="38" t="s">
        <v>1011</v>
      </c>
      <c r="I213" s="128" t="s">
        <v>931</v>
      </c>
      <c r="J213" s="75" t="s">
        <v>37</v>
      </c>
      <c r="K213" s="45">
        <v>46141.0</v>
      </c>
      <c r="L213" s="140" t="s">
        <v>53</v>
      </c>
      <c r="M213" s="75" t="s">
        <v>54</v>
      </c>
      <c r="N213" s="47"/>
      <c r="O213" s="47"/>
      <c r="P213" s="57"/>
      <c r="Q213" s="47"/>
      <c r="R213" s="57"/>
      <c r="S213" s="57"/>
      <c r="T213" s="57"/>
      <c r="U213" s="55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6" t="s">
        <v>957</v>
      </c>
      <c r="B214" s="140" t="s">
        <v>926</v>
      </c>
      <c r="C214" s="38" t="str">
        <f>IF(B214="","",(VLOOKUP(B214,'Dados de PN'!$A:$B,2,0)))</f>
        <v>SEAL,DOOR EMERGENCY EXIT</v>
      </c>
      <c r="D214" s="140"/>
      <c r="E214" s="75" t="s">
        <v>34</v>
      </c>
      <c r="F214" s="140" t="s">
        <v>663</v>
      </c>
      <c r="G214" s="72"/>
      <c r="H214" s="38" t="s">
        <v>1012</v>
      </c>
      <c r="I214" s="128" t="s">
        <v>934</v>
      </c>
      <c r="J214" s="75" t="s">
        <v>37</v>
      </c>
      <c r="K214" s="45">
        <v>46141.0</v>
      </c>
      <c r="L214" s="140" t="s">
        <v>53</v>
      </c>
      <c r="M214" s="75" t="s">
        <v>54</v>
      </c>
      <c r="N214" s="47"/>
      <c r="O214" s="47"/>
      <c r="P214" s="57"/>
      <c r="Q214" s="47"/>
      <c r="R214" s="57"/>
      <c r="S214" s="57"/>
      <c r="T214" s="57"/>
      <c r="U214" s="55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6" t="s">
        <v>960</v>
      </c>
      <c r="B215" s="140" t="s">
        <v>143</v>
      </c>
      <c r="C215" s="38" t="str">
        <f>IF(B215="","",(VLOOKUP(B215,'Dados de PN'!$A:$B,2,0)))</f>
        <v>TRANSMISSION ASSY</v>
      </c>
      <c r="D215" s="140"/>
      <c r="E215" s="75" t="s">
        <v>34</v>
      </c>
      <c r="F215" s="140" t="s">
        <v>663</v>
      </c>
      <c r="G215" s="72"/>
      <c r="H215" s="42">
        <v>1.7377917E7</v>
      </c>
      <c r="I215" s="128" t="s">
        <v>936</v>
      </c>
      <c r="J215" s="75" t="s">
        <v>37</v>
      </c>
      <c r="K215" s="45">
        <v>46142.0</v>
      </c>
      <c r="L215" s="140" t="s">
        <v>219</v>
      </c>
      <c r="M215" s="75" t="s">
        <v>47</v>
      </c>
      <c r="N215" s="47"/>
      <c r="O215" s="47"/>
      <c r="P215" s="57"/>
      <c r="Q215" s="47"/>
      <c r="R215" s="57"/>
      <c r="S215" s="57"/>
      <c r="T215" s="57"/>
      <c r="U215" s="55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6" t="s">
        <v>963</v>
      </c>
      <c r="B216" s="140" t="s">
        <v>938</v>
      </c>
      <c r="C216" s="38" t="str">
        <f>IF(B216="","",(VLOOKUP(B216,'Dados de PN'!$A:$B,2,0)))</f>
        <v>SELANT</v>
      </c>
      <c r="D216" s="140"/>
      <c r="E216" s="75" t="s">
        <v>34</v>
      </c>
      <c r="F216" s="75" t="s">
        <v>940</v>
      </c>
      <c r="G216" s="72"/>
      <c r="H216" s="42">
        <v>1.7401193E7</v>
      </c>
      <c r="I216" s="128" t="s">
        <v>941</v>
      </c>
      <c r="J216" s="75" t="s">
        <v>37</v>
      </c>
      <c r="K216" s="45">
        <v>46146.0</v>
      </c>
      <c r="L216" s="140" t="s">
        <v>101</v>
      </c>
      <c r="M216" s="75" t="s">
        <v>61</v>
      </c>
      <c r="N216" s="47"/>
      <c r="O216" s="47"/>
      <c r="P216" s="57"/>
      <c r="Q216" s="47"/>
      <c r="R216" s="57"/>
      <c r="S216" s="57"/>
      <c r="T216" s="57"/>
      <c r="U216" s="55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6" t="s">
        <v>966</v>
      </c>
      <c r="B217" s="140" t="s">
        <v>943</v>
      </c>
      <c r="C217" s="38" t="str">
        <f>IF(B217="","",(VLOOKUP(B217,'Dados de PN'!$A:$B,2,0)))</f>
        <v>LATCH-BATTERY</v>
      </c>
      <c r="D217" s="140"/>
      <c r="E217" s="75" t="s">
        <v>34</v>
      </c>
      <c r="F217" s="140" t="s">
        <v>35</v>
      </c>
      <c r="G217" s="72"/>
      <c r="H217" s="42">
        <v>1.7333541E7</v>
      </c>
      <c r="I217" s="128" t="s">
        <v>945</v>
      </c>
      <c r="J217" s="75" t="s">
        <v>37</v>
      </c>
      <c r="K217" s="45">
        <v>46148.0</v>
      </c>
      <c r="L217" s="140" t="s">
        <v>989</v>
      </c>
      <c r="M217" s="75" t="s">
        <v>122</v>
      </c>
      <c r="N217" s="47"/>
      <c r="O217" s="47"/>
      <c r="P217" s="57"/>
      <c r="Q217" s="47"/>
      <c r="R217" s="57"/>
      <c r="S217" s="57"/>
      <c r="T217" s="57"/>
      <c r="U217" s="55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6" t="s">
        <v>967</v>
      </c>
      <c r="B218" s="140" t="s">
        <v>947</v>
      </c>
      <c r="C218" s="38" t="str">
        <f>IF(B218="","",(VLOOKUP(B218,'Dados de PN'!$A:$B,2,0)))</f>
        <v>PORCA PLANA COM BORBOLETA</v>
      </c>
      <c r="D218" s="140"/>
      <c r="E218" s="75" t="s">
        <v>34</v>
      </c>
      <c r="F218" s="140" t="s">
        <v>205</v>
      </c>
      <c r="G218" s="72"/>
      <c r="H218" s="42">
        <v>1.742819E7</v>
      </c>
      <c r="I218" s="128" t="s">
        <v>945</v>
      </c>
      <c r="J218" s="75" t="s">
        <v>37</v>
      </c>
      <c r="K218" s="45">
        <v>46148.0</v>
      </c>
      <c r="L218" s="140" t="s">
        <v>989</v>
      </c>
      <c r="M218" s="75" t="s">
        <v>122</v>
      </c>
      <c r="N218" s="47"/>
      <c r="O218" s="47"/>
      <c r="P218" s="57"/>
      <c r="Q218" s="47"/>
      <c r="R218" s="57"/>
      <c r="S218" s="57"/>
      <c r="T218" s="57"/>
      <c r="U218" s="55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6" t="s">
        <v>968</v>
      </c>
      <c r="B219" s="140" t="s">
        <v>950</v>
      </c>
      <c r="C219" s="38" t="str">
        <f>IF(B219="","",(VLOOKUP(B219,'Dados de PN'!$A:$B,2,0)))</f>
        <v>ANCHOR</v>
      </c>
      <c r="D219" s="140"/>
      <c r="E219" s="75" t="s">
        <v>34</v>
      </c>
      <c r="F219" s="140" t="s">
        <v>205</v>
      </c>
      <c r="G219" s="72"/>
      <c r="H219" s="42">
        <v>1.7384283E7</v>
      </c>
      <c r="I219" s="128" t="s">
        <v>945</v>
      </c>
      <c r="J219" s="75" t="s">
        <v>37</v>
      </c>
      <c r="K219" s="45">
        <v>46148.0</v>
      </c>
      <c r="L219" s="140" t="s">
        <v>989</v>
      </c>
      <c r="M219" s="75" t="s">
        <v>122</v>
      </c>
      <c r="N219" s="47"/>
      <c r="O219" s="47"/>
      <c r="P219" s="57"/>
      <c r="Q219" s="47"/>
      <c r="R219" s="57"/>
      <c r="S219" s="57"/>
      <c r="T219" s="57"/>
      <c r="U219" s="55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6" t="s">
        <v>969</v>
      </c>
      <c r="B220" s="75" t="s">
        <v>953</v>
      </c>
      <c r="C220" s="38" t="str">
        <f>IF(B220="","",(VLOOKUP(B220,'Dados de PN'!$A:$B,2,0)))</f>
        <v>ANEL-O</v>
      </c>
      <c r="D220" s="140"/>
      <c r="E220" s="75" t="s">
        <v>34</v>
      </c>
      <c r="F220" s="141" t="s">
        <v>663</v>
      </c>
      <c r="G220" s="72"/>
      <c r="H220" s="38" t="s">
        <v>1013</v>
      </c>
      <c r="I220" s="128" t="s">
        <v>954</v>
      </c>
      <c r="J220" s="75" t="s">
        <v>37</v>
      </c>
      <c r="K220" s="45">
        <v>46148.0</v>
      </c>
      <c r="L220" s="140" t="s">
        <v>557</v>
      </c>
      <c r="M220" s="75" t="s">
        <v>384</v>
      </c>
      <c r="N220" s="47"/>
      <c r="O220" s="47"/>
      <c r="P220" s="57"/>
      <c r="Q220" s="47"/>
      <c r="R220" s="57"/>
      <c r="S220" s="57"/>
      <c r="T220" s="57"/>
      <c r="U220" s="55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6" t="s">
        <v>971</v>
      </c>
      <c r="B221" s="75" t="s">
        <v>139</v>
      </c>
      <c r="C221" s="38" t="str">
        <f>IF(B221="","",(VLOOKUP(B221,'Dados de PN'!$A:$B,2,0)))</f>
        <v>NUT,SELF-LOCKING,HEXAGON</v>
      </c>
      <c r="D221" s="140"/>
      <c r="E221" s="75" t="s">
        <v>34</v>
      </c>
      <c r="F221" s="141" t="s">
        <v>956</v>
      </c>
      <c r="G221" s="72"/>
      <c r="H221" s="38" t="s">
        <v>1014</v>
      </c>
      <c r="I221" s="128" t="s">
        <v>954</v>
      </c>
      <c r="J221" s="75" t="s">
        <v>37</v>
      </c>
      <c r="K221" s="45">
        <v>46148.0</v>
      </c>
      <c r="L221" s="140" t="s">
        <v>557</v>
      </c>
      <c r="M221" s="75" t="s">
        <v>384</v>
      </c>
      <c r="N221" s="47"/>
      <c r="O221" s="47"/>
      <c r="P221" s="57"/>
      <c r="Q221" s="47"/>
      <c r="R221" s="57"/>
      <c r="S221" s="57"/>
      <c r="T221" s="57"/>
      <c r="U221" s="55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6" t="s">
        <v>975</v>
      </c>
      <c r="B222" s="75" t="s">
        <v>825</v>
      </c>
      <c r="C222" s="38" t="str">
        <f>IF(B222="","",(VLOOKUP(B222,'Dados de PN'!$A:$B,2,0)))</f>
        <v>NUT,SELF-LOCKING,HEXAGON</v>
      </c>
      <c r="D222" s="140"/>
      <c r="E222" s="75" t="s">
        <v>34</v>
      </c>
      <c r="F222" s="141" t="s">
        <v>958</v>
      </c>
      <c r="G222" s="72"/>
      <c r="H222" s="38" t="s">
        <v>1015</v>
      </c>
      <c r="I222" s="128" t="s">
        <v>954</v>
      </c>
      <c r="J222" s="75" t="s">
        <v>37</v>
      </c>
      <c r="K222" s="45">
        <v>46148.0</v>
      </c>
      <c r="L222" s="140" t="s">
        <v>557</v>
      </c>
      <c r="M222" s="75" t="s">
        <v>384</v>
      </c>
      <c r="N222" s="47"/>
      <c r="O222" s="47"/>
      <c r="P222" s="57"/>
      <c r="Q222" s="47"/>
      <c r="R222" s="57"/>
      <c r="S222" s="57"/>
      <c r="T222" s="57"/>
      <c r="U222" s="55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6" t="s">
        <v>977</v>
      </c>
      <c r="B223" s="75" t="s">
        <v>961</v>
      </c>
      <c r="C223" s="38" t="str">
        <f>IF(B223="","",(VLOOKUP(B223,'Dados de PN'!$A:$B,2,0)))</f>
        <v>ANEL-O</v>
      </c>
      <c r="D223" s="140"/>
      <c r="E223" s="75" t="s">
        <v>34</v>
      </c>
      <c r="F223" s="141" t="s">
        <v>663</v>
      </c>
      <c r="G223" s="72"/>
      <c r="H223" s="38" t="s">
        <v>1016</v>
      </c>
      <c r="I223" s="128" t="s">
        <v>954</v>
      </c>
      <c r="J223" s="75" t="s">
        <v>37</v>
      </c>
      <c r="K223" s="45">
        <v>46148.0</v>
      </c>
      <c r="L223" s="140" t="s">
        <v>557</v>
      </c>
      <c r="M223" s="75" t="s">
        <v>384</v>
      </c>
      <c r="N223" s="47"/>
      <c r="O223" s="47"/>
      <c r="P223" s="57"/>
      <c r="Q223" s="47"/>
      <c r="R223" s="57"/>
      <c r="S223" s="57"/>
      <c r="T223" s="57"/>
      <c r="U223" s="55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6" t="s">
        <v>979</v>
      </c>
      <c r="B224" s="75" t="s">
        <v>964</v>
      </c>
      <c r="C224" s="38" t="str">
        <f>IF(B224="","",(VLOOKUP(B224,'Dados de PN'!$A:$B,2,0)))</f>
        <v>ANEL DE VEDAÇÃO</v>
      </c>
      <c r="D224" s="140"/>
      <c r="E224" s="75" t="s">
        <v>34</v>
      </c>
      <c r="F224" s="141" t="s">
        <v>663</v>
      </c>
      <c r="G224" s="72"/>
      <c r="H224" s="38" t="s">
        <v>1017</v>
      </c>
      <c r="I224" s="128" t="s">
        <v>954</v>
      </c>
      <c r="J224" s="75" t="s">
        <v>37</v>
      </c>
      <c r="K224" s="45">
        <v>46148.0</v>
      </c>
      <c r="L224" s="140" t="s">
        <v>557</v>
      </c>
      <c r="M224" s="75" t="s">
        <v>384</v>
      </c>
      <c r="N224" s="47"/>
      <c r="O224" s="47"/>
      <c r="P224" s="57"/>
      <c r="Q224" s="47"/>
      <c r="R224" s="57"/>
      <c r="S224" s="57"/>
      <c r="T224" s="57"/>
      <c r="U224" s="55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6" t="s">
        <v>981</v>
      </c>
      <c r="B225" s="75" t="s">
        <v>766</v>
      </c>
      <c r="C225" s="38" t="str">
        <f>IF(B225="","",(VLOOKUP(B225,'Dados de PN'!$A:$B,2,0)))</f>
        <v>WASHER, RECESSED</v>
      </c>
      <c r="D225" s="140"/>
      <c r="E225" s="75" t="s">
        <v>34</v>
      </c>
      <c r="F225" s="141" t="s">
        <v>958</v>
      </c>
      <c r="G225" s="72"/>
      <c r="H225" s="38" t="s">
        <v>1018</v>
      </c>
      <c r="I225" s="128" t="s">
        <v>954</v>
      </c>
      <c r="J225" s="75" t="s">
        <v>37</v>
      </c>
      <c r="K225" s="45">
        <v>46148.0</v>
      </c>
      <c r="L225" s="140" t="s">
        <v>557</v>
      </c>
      <c r="M225" s="75" t="s">
        <v>384</v>
      </c>
      <c r="N225" s="47"/>
      <c r="O225" s="47"/>
      <c r="P225" s="57"/>
      <c r="Q225" s="47"/>
      <c r="R225" s="57"/>
      <c r="S225" s="57"/>
      <c r="T225" s="57"/>
      <c r="U225" s="55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6" t="s">
        <v>1019</v>
      </c>
      <c r="B226" s="75" t="s">
        <v>828</v>
      </c>
      <c r="C226" s="38" t="str">
        <f>IF(B226="","",(VLOOKUP(B226,'Dados de PN'!$A:$B,2,0)))</f>
        <v>BOLT,INTERNAL WRENCHING</v>
      </c>
      <c r="D226" s="140"/>
      <c r="E226" s="75" t="s">
        <v>34</v>
      </c>
      <c r="F226" s="141" t="s">
        <v>663</v>
      </c>
      <c r="G226" s="72"/>
      <c r="H226" s="38" t="s">
        <v>1020</v>
      </c>
      <c r="I226" s="128" t="s">
        <v>954</v>
      </c>
      <c r="J226" s="75" t="s">
        <v>37</v>
      </c>
      <c r="K226" s="45">
        <v>46148.0</v>
      </c>
      <c r="L226" s="140" t="s">
        <v>557</v>
      </c>
      <c r="M226" s="75" t="s">
        <v>384</v>
      </c>
      <c r="N226" s="47"/>
      <c r="O226" s="47"/>
      <c r="P226" s="57"/>
      <c r="Q226" s="47"/>
      <c r="R226" s="57"/>
      <c r="S226" s="57"/>
      <c r="T226" s="57"/>
      <c r="U226" s="55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6" t="s">
        <v>1021</v>
      </c>
      <c r="B227" s="75" t="s">
        <v>514</v>
      </c>
      <c r="C227" s="38" t="str">
        <f>IF(B227="","",(VLOOKUP(B227,'Dados de PN'!$A:$B,2,0)))</f>
        <v>RETAINER,PACKING</v>
      </c>
      <c r="D227" s="140"/>
      <c r="E227" s="75" t="s">
        <v>34</v>
      </c>
      <c r="F227" s="141" t="s">
        <v>663</v>
      </c>
      <c r="G227" s="72"/>
      <c r="H227" s="38" t="s">
        <v>1022</v>
      </c>
      <c r="I227" s="128" t="s">
        <v>954</v>
      </c>
      <c r="J227" s="75" t="s">
        <v>37</v>
      </c>
      <c r="K227" s="45">
        <v>46148.0</v>
      </c>
      <c r="L227" s="140" t="s">
        <v>557</v>
      </c>
      <c r="M227" s="75" t="s">
        <v>384</v>
      </c>
      <c r="N227" s="47"/>
      <c r="O227" s="47"/>
      <c r="P227" s="57"/>
      <c r="Q227" s="47"/>
      <c r="R227" s="57"/>
      <c r="S227" s="57"/>
      <c r="T227" s="57"/>
      <c r="U227" s="55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6" t="s">
        <v>1023</v>
      </c>
      <c r="B228" s="75" t="s">
        <v>970</v>
      </c>
      <c r="C228" s="38" t="str">
        <f>IF(B228="","",(VLOOKUP(B228,'Dados de PN'!$A:$B,2,0)))</f>
        <v>ANEL-O</v>
      </c>
      <c r="D228" s="140"/>
      <c r="E228" s="75" t="s">
        <v>34</v>
      </c>
      <c r="F228" s="141" t="s">
        <v>663</v>
      </c>
      <c r="G228" s="72"/>
      <c r="H228" s="38" t="s">
        <v>1024</v>
      </c>
      <c r="I228" s="128" t="s">
        <v>954</v>
      </c>
      <c r="J228" s="75" t="s">
        <v>37</v>
      </c>
      <c r="K228" s="45">
        <v>46148.0</v>
      </c>
      <c r="L228" s="140" t="s">
        <v>557</v>
      </c>
      <c r="M228" s="75" t="s">
        <v>384</v>
      </c>
      <c r="N228" s="47"/>
      <c r="O228" s="47"/>
      <c r="P228" s="57"/>
      <c r="Q228" s="47"/>
      <c r="R228" s="57"/>
      <c r="S228" s="57"/>
      <c r="T228" s="57"/>
      <c r="U228" s="55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6" t="s">
        <v>1002</v>
      </c>
      <c r="B229" s="75" t="s">
        <v>973</v>
      </c>
      <c r="C229" s="38" t="str">
        <f>IF(B229="","",(VLOOKUP(B229,'Dados de PN'!$A:$B,2,0)))</f>
        <v>O-RING</v>
      </c>
      <c r="D229" s="140"/>
      <c r="E229" s="75" t="s">
        <v>34</v>
      </c>
      <c r="F229" s="141" t="s">
        <v>663</v>
      </c>
      <c r="G229" s="72"/>
      <c r="H229" s="38" t="s">
        <v>1025</v>
      </c>
      <c r="I229" s="128" t="s">
        <v>954</v>
      </c>
      <c r="J229" s="75" t="s">
        <v>37</v>
      </c>
      <c r="K229" s="45">
        <v>46148.0</v>
      </c>
      <c r="L229" s="140" t="s">
        <v>557</v>
      </c>
      <c r="M229" s="75" t="s">
        <v>384</v>
      </c>
      <c r="N229" s="47"/>
      <c r="O229" s="47"/>
      <c r="P229" s="57"/>
      <c r="Q229" s="47"/>
      <c r="R229" s="57"/>
      <c r="S229" s="57"/>
      <c r="T229" s="57"/>
      <c r="U229" s="55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6" t="s">
        <v>1026</v>
      </c>
      <c r="B230" s="75" t="s">
        <v>976</v>
      </c>
      <c r="C230" s="38" t="str">
        <f>IF(B230="","",(VLOOKUP(B230,'Dados de PN'!$A:$B,2,0)))</f>
        <v>ANEL-O</v>
      </c>
      <c r="D230" s="140"/>
      <c r="E230" s="75" t="s">
        <v>34</v>
      </c>
      <c r="F230" s="141" t="s">
        <v>663</v>
      </c>
      <c r="G230" s="72"/>
      <c r="H230" s="38" t="s">
        <v>1027</v>
      </c>
      <c r="I230" s="128" t="s">
        <v>954</v>
      </c>
      <c r="J230" s="75" t="s">
        <v>37</v>
      </c>
      <c r="K230" s="45">
        <v>46148.0</v>
      </c>
      <c r="L230" s="140" t="s">
        <v>557</v>
      </c>
      <c r="M230" s="75" t="s">
        <v>384</v>
      </c>
      <c r="N230" s="47"/>
      <c r="O230" s="47"/>
      <c r="P230" s="57"/>
      <c r="Q230" s="47"/>
      <c r="R230" s="57"/>
      <c r="S230" s="57"/>
      <c r="T230" s="57"/>
      <c r="U230" s="55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6" t="s">
        <v>1028</v>
      </c>
      <c r="B231" s="75" t="s">
        <v>978</v>
      </c>
      <c r="C231" s="38" t="str">
        <f>IF(B231="","",(VLOOKUP(B231,'Dados de PN'!$A:$B,2,0)))</f>
        <v>WASHER,FLAT</v>
      </c>
      <c r="D231" s="140"/>
      <c r="E231" s="75" t="s">
        <v>34</v>
      </c>
      <c r="F231" s="141" t="s">
        <v>958</v>
      </c>
      <c r="G231" s="72"/>
      <c r="H231" s="38" t="s">
        <v>1029</v>
      </c>
      <c r="I231" s="128" t="s">
        <v>954</v>
      </c>
      <c r="J231" s="75" t="s">
        <v>37</v>
      </c>
      <c r="K231" s="45">
        <v>46148.0</v>
      </c>
      <c r="L231" s="140" t="s">
        <v>557</v>
      </c>
      <c r="M231" s="75" t="s">
        <v>384</v>
      </c>
      <c r="N231" s="47"/>
      <c r="O231" s="47"/>
      <c r="P231" s="57"/>
      <c r="Q231" s="47"/>
      <c r="R231" s="57"/>
      <c r="S231" s="57"/>
      <c r="T231" s="57"/>
      <c r="U231" s="55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6" t="s">
        <v>1030</v>
      </c>
      <c r="B232" s="75" t="s">
        <v>822</v>
      </c>
      <c r="C232" s="38" t="str">
        <f>IF(B232="","",(VLOOKUP(B232,'Dados de PN'!$A:$B,2,0)))</f>
        <v>BOLT,INTERNAL WRENCHING</v>
      </c>
      <c r="D232" s="140"/>
      <c r="E232" s="75" t="s">
        <v>34</v>
      </c>
      <c r="F232" s="141" t="s">
        <v>980</v>
      </c>
      <c r="G232" s="72"/>
      <c r="H232" s="38" t="s">
        <v>1031</v>
      </c>
      <c r="I232" s="128" t="s">
        <v>954</v>
      </c>
      <c r="J232" s="75" t="s">
        <v>37</v>
      </c>
      <c r="K232" s="45">
        <v>46148.0</v>
      </c>
      <c r="L232" s="140" t="s">
        <v>557</v>
      </c>
      <c r="M232" s="75" t="s">
        <v>384</v>
      </c>
      <c r="N232" s="47"/>
      <c r="O232" s="47"/>
      <c r="P232" s="57"/>
      <c r="Q232" s="47"/>
      <c r="R232" s="57"/>
      <c r="S232" s="57"/>
      <c r="T232" s="57"/>
      <c r="U232" s="55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6" t="s">
        <v>1032</v>
      </c>
      <c r="B233" s="75" t="s">
        <v>820</v>
      </c>
      <c r="C233" s="38" t="str">
        <f>IF(B233="","",(VLOOKUP(B233,'Dados de PN'!$A:$B,2,0)))</f>
        <v>BOLT</v>
      </c>
      <c r="D233" s="140"/>
      <c r="E233" s="75" t="s">
        <v>34</v>
      </c>
      <c r="F233" s="141" t="s">
        <v>663</v>
      </c>
      <c r="G233" s="72"/>
      <c r="H233" s="38" t="s">
        <v>1033</v>
      </c>
      <c r="I233" s="128" t="s">
        <v>954</v>
      </c>
      <c r="J233" s="75" t="s">
        <v>37</v>
      </c>
      <c r="K233" s="45">
        <v>46148.0</v>
      </c>
      <c r="L233" s="140" t="s">
        <v>557</v>
      </c>
      <c r="M233" s="75" t="s">
        <v>384</v>
      </c>
      <c r="N233" s="47"/>
      <c r="O233" s="47"/>
      <c r="P233" s="57"/>
      <c r="Q233" s="47"/>
      <c r="R233" s="57"/>
      <c r="S233" s="57"/>
      <c r="T233" s="57"/>
      <c r="U233" s="55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6" t="s">
        <v>1034</v>
      </c>
      <c r="B234" s="75" t="s">
        <v>1035</v>
      </c>
      <c r="C234" s="38" t="str">
        <f>IF(B234="","",(VLOOKUP(B234,'Dados de PN'!$A:$B,2,0)))</f>
        <v>PHASING COUPLE</v>
      </c>
      <c r="D234" s="140"/>
      <c r="E234" s="75" t="s">
        <v>34</v>
      </c>
      <c r="F234" s="75" t="s">
        <v>902</v>
      </c>
      <c r="G234" s="72"/>
      <c r="H234" s="42">
        <v>1.7439905E7</v>
      </c>
      <c r="I234" s="128" t="s">
        <v>1036</v>
      </c>
      <c r="J234" s="75" t="s">
        <v>37</v>
      </c>
      <c r="K234" s="45">
        <v>46149.0</v>
      </c>
      <c r="L234" s="140" t="s">
        <v>1037</v>
      </c>
      <c r="M234" s="75" t="s">
        <v>54</v>
      </c>
      <c r="N234" s="47"/>
      <c r="O234" s="47"/>
      <c r="P234" s="57"/>
      <c r="Q234" s="47"/>
      <c r="R234" s="57"/>
      <c r="S234" s="57"/>
      <c r="T234" s="57"/>
      <c r="U234" s="55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6" t="s">
        <v>1038</v>
      </c>
      <c r="B235" s="75" t="s">
        <v>1035</v>
      </c>
      <c r="C235" s="38" t="str">
        <f>IF(B235="","",(VLOOKUP(B235,'Dados de PN'!$A:$B,2,0)))</f>
        <v>PHASING COUPLE</v>
      </c>
      <c r="D235" s="140"/>
      <c r="E235" s="75" t="s">
        <v>34</v>
      </c>
      <c r="F235" s="75" t="s">
        <v>902</v>
      </c>
      <c r="G235" s="72"/>
      <c r="H235" s="42">
        <v>1.7440211E7</v>
      </c>
      <c r="I235" s="128" t="s">
        <v>1036</v>
      </c>
      <c r="J235" s="75" t="s">
        <v>37</v>
      </c>
      <c r="K235" s="45">
        <v>46149.0</v>
      </c>
      <c r="L235" s="140" t="s">
        <v>1037</v>
      </c>
      <c r="M235" s="75" t="s">
        <v>54</v>
      </c>
      <c r="N235" s="47"/>
      <c r="O235" s="47"/>
      <c r="P235" s="57"/>
      <c r="Q235" s="47"/>
      <c r="R235" s="57"/>
      <c r="S235" s="57"/>
      <c r="T235" s="57"/>
      <c r="U235" s="55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6" t="s">
        <v>1039</v>
      </c>
      <c r="B236" s="75" t="s">
        <v>806</v>
      </c>
      <c r="C236" s="38" t="str">
        <f>IF(B236="","",(VLOOKUP(B236,'Dados de PN'!$A:$B,2,0)))</f>
        <v>ANTENA</v>
      </c>
      <c r="D236" s="140"/>
      <c r="E236" s="75" t="s">
        <v>34</v>
      </c>
      <c r="F236" s="75" t="s">
        <v>913</v>
      </c>
      <c r="G236" s="72"/>
      <c r="H236" s="42">
        <v>1.7440365E7</v>
      </c>
      <c r="I236" s="128" t="s">
        <v>1036</v>
      </c>
      <c r="J236" s="75" t="s">
        <v>37</v>
      </c>
      <c r="K236" s="45">
        <v>46149.0</v>
      </c>
      <c r="L236" s="140" t="s">
        <v>1037</v>
      </c>
      <c r="M236" s="75" t="s">
        <v>54</v>
      </c>
      <c r="N236" s="47"/>
      <c r="O236" s="47"/>
      <c r="P236" s="57"/>
      <c r="Q236" s="47"/>
      <c r="R236" s="57"/>
      <c r="S236" s="57"/>
      <c r="T236" s="57"/>
      <c r="U236" s="55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6" t="s">
        <v>1040</v>
      </c>
      <c r="B237" s="75" t="s">
        <v>806</v>
      </c>
      <c r="C237" s="38" t="str">
        <f>IF(B237="","",(VLOOKUP(B237,'Dados de PN'!$A:$B,2,0)))</f>
        <v>ANTENA</v>
      </c>
      <c r="D237" s="140"/>
      <c r="E237" s="75" t="s">
        <v>34</v>
      </c>
      <c r="F237" s="75" t="s">
        <v>902</v>
      </c>
      <c r="G237" s="72"/>
      <c r="H237" s="42">
        <v>1.7440621E7</v>
      </c>
      <c r="I237" s="128" t="s">
        <v>1036</v>
      </c>
      <c r="J237" s="75" t="s">
        <v>37</v>
      </c>
      <c r="K237" s="45">
        <v>46149.0</v>
      </c>
      <c r="L237" s="140" t="s">
        <v>1037</v>
      </c>
      <c r="M237" s="75" t="s">
        <v>54</v>
      </c>
      <c r="N237" s="47"/>
      <c r="O237" s="47"/>
      <c r="P237" s="57"/>
      <c r="Q237" s="47"/>
      <c r="R237" s="57"/>
      <c r="S237" s="57"/>
      <c r="T237" s="57"/>
      <c r="U237" s="55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6" t="s">
        <v>1041</v>
      </c>
      <c r="B238" s="75" t="s">
        <v>1042</v>
      </c>
      <c r="C238" s="38" t="str">
        <f>IF(B238="","",(VLOOKUP(B238,'Dados de PN'!$A:$B,2,0)))</f>
        <v>GASKET</v>
      </c>
      <c r="D238" s="140"/>
      <c r="E238" s="75" t="s">
        <v>34</v>
      </c>
      <c r="F238" s="75" t="s">
        <v>913</v>
      </c>
      <c r="G238" s="72"/>
      <c r="H238" s="42">
        <v>1.7440604E7</v>
      </c>
      <c r="I238" s="128" t="s">
        <v>1036</v>
      </c>
      <c r="J238" s="75" t="s">
        <v>37</v>
      </c>
      <c r="K238" s="45">
        <v>46149.0</v>
      </c>
      <c r="L238" s="140" t="s">
        <v>1037</v>
      </c>
      <c r="M238" s="75" t="s">
        <v>54</v>
      </c>
      <c r="N238" s="47"/>
      <c r="O238" s="47"/>
      <c r="P238" s="57"/>
      <c r="Q238" s="47"/>
      <c r="R238" s="57"/>
      <c r="S238" s="57"/>
      <c r="T238" s="57"/>
      <c r="U238" s="55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6" t="s">
        <v>1043</v>
      </c>
      <c r="B239" s="75" t="s">
        <v>1042</v>
      </c>
      <c r="C239" s="38" t="str">
        <f>IF(B239="","",(VLOOKUP(B239,'Dados de PN'!$A:$B,2,0)))</f>
        <v>GASKET</v>
      </c>
      <c r="D239" s="140"/>
      <c r="E239" s="75" t="s">
        <v>34</v>
      </c>
      <c r="F239" s="75" t="s">
        <v>913</v>
      </c>
      <c r="G239" s="72"/>
      <c r="H239" s="42">
        <v>1.7440771E7</v>
      </c>
      <c r="I239" s="128" t="s">
        <v>1036</v>
      </c>
      <c r="J239" s="75" t="s">
        <v>37</v>
      </c>
      <c r="K239" s="45">
        <v>46149.0</v>
      </c>
      <c r="L239" s="140" t="s">
        <v>1037</v>
      </c>
      <c r="M239" s="75" t="s">
        <v>54</v>
      </c>
      <c r="N239" s="47"/>
      <c r="O239" s="47"/>
      <c r="P239" s="57"/>
      <c r="Q239" s="47"/>
      <c r="R239" s="57"/>
      <c r="S239" s="57"/>
      <c r="T239" s="57"/>
      <c r="U239" s="55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6" t="s">
        <v>1044</v>
      </c>
      <c r="B240" s="75" t="s">
        <v>1045</v>
      </c>
      <c r="C240" s="38" t="str">
        <f>IF(B240="","",(VLOOKUP(B240,'Dados de PN'!$A:$B,2,0)))</f>
        <v>RECEIVER-TRANSMITTER,RADIO (KT71)</v>
      </c>
      <c r="D240" s="140"/>
      <c r="E240" s="75" t="s">
        <v>99</v>
      </c>
      <c r="F240" s="75" t="s">
        <v>902</v>
      </c>
      <c r="G240" s="42"/>
      <c r="H240" s="42">
        <v>1.7441308E7</v>
      </c>
      <c r="I240" s="128" t="s">
        <v>1036</v>
      </c>
      <c r="J240" s="75" t="s">
        <v>37</v>
      </c>
      <c r="K240" s="45">
        <v>46149.0</v>
      </c>
      <c r="L240" s="140" t="s">
        <v>1037</v>
      </c>
      <c r="M240" s="75" t="s">
        <v>54</v>
      </c>
      <c r="N240" s="47"/>
      <c r="O240" s="47"/>
      <c r="P240" s="57"/>
      <c r="Q240" s="47"/>
      <c r="R240" s="57"/>
      <c r="S240" s="57"/>
      <c r="T240" s="57"/>
      <c r="U240" s="55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6" t="s">
        <v>1046</v>
      </c>
      <c r="B241" s="75" t="s">
        <v>1047</v>
      </c>
      <c r="C241" s="38" t="str">
        <f>IF(B241="","",(VLOOKUP(B241,'Dados de PN'!$A:$B,2,0)))</f>
        <v>SCREW,MACHINE</v>
      </c>
      <c r="D241" s="140"/>
      <c r="E241" s="75" t="s">
        <v>34</v>
      </c>
      <c r="F241" s="75" t="s">
        <v>1048</v>
      </c>
      <c r="G241" s="42"/>
      <c r="H241" s="42">
        <v>1.7440912E7</v>
      </c>
      <c r="I241" s="128" t="s">
        <v>1036</v>
      </c>
      <c r="J241" s="75" t="s">
        <v>37</v>
      </c>
      <c r="K241" s="45">
        <v>46149.0</v>
      </c>
      <c r="L241" s="140" t="s">
        <v>1037</v>
      </c>
      <c r="M241" s="75" t="s">
        <v>54</v>
      </c>
      <c r="N241" s="47"/>
      <c r="O241" s="47"/>
      <c r="P241" s="57"/>
      <c r="Q241" s="47"/>
      <c r="R241" s="57"/>
      <c r="S241" s="57"/>
      <c r="T241" s="57"/>
      <c r="U241" s="55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6" t="s">
        <v>1049</v>
      </c>
      <c r="B242" s="75" t="s">
        <v>166</v>
      </c>
      <c r="C242" s="38" t="str">
        <f>IF(B242="","",(VLOOKUP(B242,'Dados de PN'!$A:$B,2,0)))</f>
        <v>COMPUTADOR DO PILOTO AUTOMÁTICO</v>
      </c>
      <c r="D242" s="140"/>
      <c r="E242" s="75" t="s">
        <v>99</v>
      </c>
      <c r="F242" s="75" t="s">
        <v>902</v>
      </c>
      <c r="G242" s="42"/>
      <c r="H242" s="42">
        <v>1.6069857E7</v>
      </c>
      <c r="I242" s="128" t="s">
        <v>1036</v>
      </c>
      <c r="J242" s="75" t="s">
        <v>37</v>
      </c>
      <c r="K242" s="45">
        <v>46149.0</v>
      </c>
      <c r="L242" s="140" t="s">
        <v>1037</v>
      </c>
      <c r="M242" s="75" t="s">
        <v>54</v>
      </c>
      <c r="N242" s="47"/>
      <c r="O242" s="47"/>
      <c r="P242" s="57"/>
      <c r="Q242" s="47"/>
      <c r="R242" s="57"/>
      <c r="S242" s="57"/>
      <c r="T242" s="57"/>
      <c r="U242" s="55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6" t="s">
        <v>1050</v>
      </c>
      <c r="B243" s="75" t="s">
        <v>521</v>
      </c>
      <c r="C243" s="38" t="str">
        <f>IF(B243="","",(VLOOKUP(B243,'Dados de PN'!$A:$B,2,0)))</f>
        <v>INDICATOR FUEL</v>
      </c>
      <c r="D243" s="140"/>
      <c r="E243" s="75" t="s">
        <v>99</v>
      </c>
      <c r="F243" s="75" t="s">
        <v>902</v>
      </c>
      <c r="G243" s="42"/>
      <c r="H243" s="42">
        <v>1.6126104E7</v>
      </c>
      <c r="I243" s="128" t="s">
        <v>1036</v>
      </c>
      <c r="J243" s="75" t="s">
        <v>37</v>
      </c>
      <c r="K243" s="45">
        <v>46149.0</v>
      </c>
      <c r="L243" s="140" t="s">
        <v>1037</v>
      </c>
      <c r="M243" s="75" t="s">
        <v>54</v>
      </c>
      <c r="N243" s="47"/>
      <c r="O243" s="47"/>
      <c r="P243" s="57"/>
      <c r="Q243" s="47"/>
      <c r="R243" s="57"/>
      <c r="S243" s="57"/>
      <c r="T243" s="57"/>
      <c r="U243" s="55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6" t="s">
        <v>1051</v>
      </c>
      <c r="B244" s="75" t="s">
        <v>1052</v>
      </c>
      <c r="C244" s="38" t="str">
        <f>IF(B244="","",(VLOOKUP(B244,'Dados de PN'!$A:$B,2,0)))</f>
        <v>GPS RECEIVER (STAND ALONE)</v>
      </c>
      <c r="D244" s="140"/>
      <c r="E244" s="75" t="s">
        <v>99</v>
      </c>
      <c r="F244" s="75" t="s">
        <v>902</v>
      </c>
      <c r="G244" s="42"/>
      <c r="H244" s="42">
        <v>1.6393897E7</v>
      </c>
      <c r="I244" s="128" t="s">
        <v>1036</v>
      </c>
      <c r="J244" s="75" t="s">
        <v>37</v>
      </c>
      <c r="K244" s="45">
        <v>46149.0</v>
      </c>
      <c r="L244" s="140" t="s">
        <v>1037</v>
      </c>
      <c r="M244" s="75" t="s">
        <v>54</v>
      </c>
      <c r="N244" s="47"/>
      <c r="O244" s="47"/>
      <c r="P244" s="57"/>
      <c r="Q244" s="47"/>
      <c r="R244" s="57"/>
      <c r="S244" s="57"/>
      <c r="T244" s="57"/>
      <c r="U244" s="55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6" t="s">
        <v>1053</v>
      </c>
      <c r="B245" s="140" t="s">
        <v>1054</v>
      </c>
      <c r="C245" s="38" t="str">
        <f>IF(B245="","",(VLOOKUP(B245,'Dados de PN'!$A:$B,2,0)))</f>
        <v>ANEL-O</v>
      </c>
      <c r="D245" s="140"/>
      <c r="E245" s="75" t="s">
        <v>34</v>
      </c>
      <c r="F245" s="75" t="s">
        <v>902</v>
      </c>
      <c r="G245" s="42"/>
      <c r="H245" s="42">
        <v>1.7435536E7</v>
      </c>
      <c r="I245" s="128" t="s">
        <v>1036</v>
      </c>
      <c r="J245" s="75" t="s">
        <v>37</v>
      </c>
      <c r="K245" s="45">
        <v>46149.0</v>
      </c>
      <c r="L245" s="140" t="s">
        <v>1037</v>
      </c>
      <c r="M245" s="75" t="s">
        <v>54</v>
      </c>
      <c r="N245" s="47"/>
      <c r="O245" s="47"/>
      <c r="P245" s="57"/>
      <c r="Q245" s="47"/>
      <c r="R245" s="57"/>
      <c r="S245" s="57"/>
      <c r="T245" s="57"/>
      <c r="U245" s="55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6" t="s">
        <v>1055</v>
      </c>
      <c r="B246" s="75" t="s">
        <v>953</v>
      </c>
      <c r="C246" s="38" t="str">
        <f>IF(B246="","",(VLOOKUP(B246,'Dados de PN'!$A:$B,2,0)))</f>
        <v>ANEL-O</v>
      </c>
      <c r="D246" s="140"/>
      <c r="E246" s="75" t="s">
        <v>34</v>
      </c>
      <c r="F246" s="75" t="s">
        <v>902</v>
      </c>
      <c r="G246" s="42"/>
      <c r="H246" s="42">
        <v>1.7435646E7</v>
      </c>
      <c r="I246" s="128" t="s">
        <v>1036</v>
      </c>
      <c r="J246" s="75" t="s">
        <v>37</v>
      </c>
      <c r="K246" s="45">
        <v>46149.0</v>
      </c>
      <c r="L246" s="140" t="s">
        <v>1037</v>
      </c>
      <c r="M246" s="75" t="s">
        <v>54</v>
      </c>
      <c r="N246" s="47"/>
      <c r="O246" s="47"/>
      <c r="P246" s="57"/>
      <c r="Q246" s="47"/>
      <c r="R246" s="57"/>
      <c r="S246" s="57"/>
      <c r="T246" s="57"/>
      <c r="U246" s="55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6" t="s">
        <v>1056</v>
      </c>
      <c r="B247" s="75" t="s">
        <v>465</v>
      </c>
      <c r="C247" s="38" t="str">
        <f>IF(B247="","",(VLOOKUP(B247,'Dados de PN'!$A:$B,2,0)))</f>
        <v>IND RDR 200 IN</v>
      </c>
      <c r="D247" s="140"/>
      <c r="E247" s="75" t="s">
        <v>99</v>
      </c>
      <c r="F247" s="75" t="s">
        <v>902</v>
      </c>
      <c r="G247" s="42"/>
      <c r="H247" s="42">
        <v>1.7354649E7</v>
      </c>
      <c r="I247" s="128" t="s">
        <v>1036</v>
      </c>
      <c r="J247" s="75" t="s">
        <v>37</v>
      </c>
      <c r="K247" s="45">
        <v>46149.0</v>
      </c>
      <c r="L247" s="140" t="s">
        <v>1037</v>
      </c>
      <c r="M247" s="75" t="s">
        <v>54</v>
      </c>
      <c r="N247" s="47"/>
      <c r="O247" s="47"/>
      <c r="P247" s="57"/>
      <c r="Q247" s="47"/>
      <c r="R247" s="57"/>
      <c r="S247" s="57"/>
      <c r="T247" s="57"/>
      <c r="U247" s="55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6" t="s">
        <v>1057</v>
      </c>
      <c r="B248" s="75" t="s">
        <v>1058</v>
      </c>
      <c r="C248" s="38" t="str">
        <f>IF(B248="","",(VLOOKUP(B248,'Dados de PN'!$A:$B,2,0)))</f>
        <v>HOSE ASSY-FUEL MOTIVE FLOW</v>
      </c>
      <c r="D248" s="140"/>
      <c r="E248" s="75" t="s">
        <v>34</v>
      </c>
      <c r="F248" s="75" t="s">
        <v>1059</v>
      </c>
      <c r="G248" s="42"/>
      <c r="H248" s="42">
        <v>1.7425684E7</v>
      </c>
      <c r="I248" s="128" t="s">
        <v>1036</v>
      </c>
      <c r="J248" s="75" t="s">
        <v>37</v>
      </c>
      <c r="K248" s="45">
        <v>46149.0</v>
      </c>
      <c r="L248" s="140" t="s">
        <v>1037</v>
      </c>
      <c r="M248" s="75" t="s">
        <v>54</v>
      </c>
      <c r="N248" s="47"/>
      <c r="O248" s="47"/>
      <c r="P248" s="57"/>
      <c r="Q248" s="47"/>
      <c r="R248" s="57"/>
      <c r="S248" s="57"/>
      <c r="T248" s="57"/>
      <c r="U248" s="55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6" t="s">
        <v>1060</v>
      </c>
      <c r="B249" s="140" t="s">
        <v>1061</v>
      </c>
      <c r="C249" s="38" t="str">
        <f>IF(B249="","",(VLOOKUP(B249,'Dados de PN'!$A:$B,2,0)))</f>
        <v>CLEVIS</v>
      </c>
      <c r="D249" s="140"/>
      <c r="E249" s="75" t="s">
        <v>34</v>
      </c>
      <c r="F249" s="75" t="s">
        <v>35</v>
      </c>
      <c r="G249" s="42"/>
      <c r="H249" s="42">
        <v>1.7446824E7</v>
      </c>
      <c r="I249" s="128" t="s">
        <v>1062</v>
      </c>
      <c r="J249" s="75" t="s">
        <v>37</v>
      </c>
      <c r="K249" s="45">
        <v>46150.0</v>
      </c>
      <c r="L249" s="140" t="s">
        <v>476</v>
      </c>
      <c r="M249" s="75" t="s">
        <v>477</v>
      </c>
      <c r="N249" s="47"/>
      <c r="O249" s="47"/>
      <c r="P249" s="57"/>
      <c r="Q249" s="47"/>
      <c r="R249" s="57"/>
      <c r="S249" s="57"/>
      <c r="T249" s="57"/>
      <c r="U249" s="55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6" t="s">
        <v>1063</v>
      </c>
      <c r="B250" s="75" t="s">
        <v>1064</v>
      </c>
      <c r="C250" s="38" t="str">
        <f>IF(B250="","",(VLOOKUP(B250,'Dados de PN'!$A:$B,2,0)))</f>
        <v>CABLE FIRE</v>
      </c>
      <c r="D250" s="140"/>
      <c r="E250" s="75" t="s">
        <v>34</v>
      </c>
      <c r="F250" s="75" t="s">
        <v>35</v>
      </c>
      <c r="G250" s="42"/>
      <c r="H250" s="42">
        <v>6.85260011861E11</v>
      </c>
      <c r="I250" s="128" t="s">
        <v>1065</v>
      </c>
      <c r="J250" s="75" t="s">
        <v>37</v>
      </c>
      <c r="K250" s="45">
        <v>46155.0</v>
      </c>
      <c r="L250" s="140" t="s">
        <v>53</v>
      </c>
      <c r="M250" s="75" t="s">
        <v>54</v>
      </c>
      <c r="N250" s="47"/>
      <c r="O250" s="47"/>
      <c r="P250" s="57"/>
      <c r="Q250" s="47"/>
      <c r="R250" s="57"/>
      <c r="S250" s="57"/>
      <c r="T250" s="57"/>
      <c r="U250" s="55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6" t="s">
        <v>1066</v>
      </c>
      <c r="B251" s="140" t="s">
        <v>1067</v>
      </c>
      <c r="C251" s="38" t="str">
        <f>IF(B251="","",(VLOOKUP(B251,'Dados de PN'!$A:$B,2,0)))</f>
        <v>TRANSMITTER FUEL</v>
      </c>
      <c r="D251" s="140"/>
      <c r="E251" s="75" t="s">
        <v>34</v>
      </c>
      <c r="F251" s="75" t="s">
        <v>35</v>
      </c>
      <c r="G251" s="42"/>
      <c r="H251" s="42">
        <v>3.29260019114E11</v>
      </c>
      <c r="I251" s="128" t="s">
        <v>1068</v>
      </c>
      <c r="J251" s="75" t="s">
        <v>37</v>
      </c>
      <c r="K251" s="45">
        <v>46161.0</v>
      </c>
      <c r="L251" s="140" t="s">
        <v>989</v>
      </c>
      <c r="M251" s="75" t="s">
        <v>122</v>
      </c>
      <c r="N251" s="47"/>
      <c r="O251" s="47"/>
      <c r="P251" s="57"/>
      <c r="Q251" s="47"/>
      <c r="R251" s="57"/>
      <c r="S251" s="57"/>
      <c r="T251" s="57"/>
      <c r="U251" s="55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6" t="s">
        <v>1069</v>
      </c>
      <c r="B252" s="140" t="s">
        <v>330</v>
      </c>
      <c r="C252" s="38" t="str">
        <f>IF(B252="","",(VLOOKUP(B252,'Dados de PN'!$A:$B,2,0)))</f>
        <v>TRUNION ASSY-RH-MAIN GEAR</v>
      </c>
      <c r="D252" s="140"/>
      <c r="E252" s="75" t="s">
        <v>51</v>
      </c>
      <c r="F252" s="75" t="s">
        <v>35</v>
      </c>
      <c r="G252" s="42"/>
      <c r="H252" s="42">
        <v>3.96260016406E11</v>
      </c>
      <c r="I252" s="128" t="s">
        <v>1070</v>
      </c>
      <c r="J252" s="75" t="s">
        <v>37</v>
      </c>
      <c r="K252" s="45">
        <v>46161.0</v>
      </c>
      <c r="L252" s="140" t="s">
        <v>60</v>
      </c>
      <c r="M252" s="75" t="s">
        <v>61</v>
      </c>
      <c r="N252" s="47"/>
      <c r="O252" s="47"/>
      <c r="P252" s="57"/>
      <c r="Q252" s="47"/>
      <c r="R252" s="57"/>
      <c r="S252" s="57"/>
      <c r="T252" s="57"/>
      <c r="U252" s="55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6" t="s">
        <v>1071</v>
      </c>
      <c r="B253" s="140" t="s">
        <v>1072</v>
      </c>
      <c r="C253" s="38" t="str">
        <f>IF(B253="","",(VLOOKUP(B253,'Dados de PN'!$A:$B,2,0)))</f>
        <v>MANG</v>
      </c>
      <c r="D253" s="140"/>
      <c r="E253" s="75" t="s">
        <v>34</v>
      </c>
      <c r="F253" s="75" t="s">
        <v>35</v>
      </c>
      <c r="G253" s="42"/>
      <c r="H253" s="42">
        <v>6.90260002416E11</v>
      </c>
      <c r="I253" s="128" t="s">
        <v>1073</v>
      </c>
      <c r="J253" s="75" t="s">
        <v>37</v>
      </c>
      <c r="K253" s="45">
        <v>46162.0</v>
      </c>
      <c r="L253" s="140" t="s">
        <v>476</v>
      </c>
      <c r="M253" s="75" t="s">
        <v>477</v>
      </c>
      <c r="N253" s="47"/>
      <c r="O253" s="47"/>
      <c r="P253" s="57"/>
      <c r="Q253" s="47"/>
      <c r="R253" s="57"/>
      <c r="S253" s="57"/>
      <c r="T253" s="57"/>
      <c r="U253" s="55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6" t="s">
        <v>1074</v>
      </c>
      <c r="B254" s="140" t="s">
        <v>1075</v>
      </c>
      <c r="C254" s="38" t="str">
        <f>IF(B254="","",(VLOOKUP(B254,'Dados de PN'!$A:$B,2,0)))</f>
        <v>SPRING ASSY-MAIN GEAR CENTER</v>
      </c>
      <c r="D254" s="140" t="s">
        <v>1076</v>
      </c>
      <c r="E254" s="75" t="s">
        <v>51</v>
      </c>
      <c r="F254" s="75" t="s">
        <v>35</v>
      </c>
      <c r="G254" s="42"/>
      <c r="H254" s="42">
        <v>1.7537154E7</v>
      </c>
      <c r="I254" s="128" t="s">
        <v>1077</v>
      </c>
      <c r="J254" s="75" t="s">
        <v>37</v>
      </c>
      <c r="K254" s="45">
        <v>46162.0</v>
      </c>
      <c r="L254" s="140" t="s">
        <v>60</v>
      </c>
      <c r="M254" s="75" t="s">
        <v>61</v>
      </c>
      <c r="N254" s="47"/>
      <c r="O254" s="47"/>
      <c r="P254" s="57"/>
      <c r="Q254" s="47"/>
      <c r="R254" s="57"/>
      <c r="S254" s="57"/>
      <c r="T254" s="57"/>
      <c r="U254" s="55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6" t="s">
        <v>1078</v>
      </c>
      <c r="B255" s="140" t="s">
        <v>1079</v>
      </c>
      <c r="C255" s="38" t="str">
        <f>IF(B255="","",(VLOOKUP(B255,'Dados de PN'!$A:$B,2,0)))</f>
        <v>SWITCH</v>
      </c>
      <c r="D255" s="140"/>
      <c r="E255" s="75" t="s">
        <v>34</v>
      </c>
      <c r="F255" s="75" t="s">
        <v>35</v>
      </c>
      <c r="G255" s="42"/>
      <c r="H255" s="42">
        <v>1.7541759E7</v>
      </c>
      <c r="I255" s="128" t="s">
        <v>1080</v>
      </c>
      <c r="J255" s="75" t="s">
        <v>37</v>
      </c>
      <c r="K255" s="45">
        <v>46163.0</v>
      </c>
      <c r="L255" s="140" t="s">
        <v>363</v>
      </c>
      <c r="M255" s="75" t="s">
        <v>364</v>
      </c>
      <c r="N255" s="47"/>
      <c r="O255" s="47"/>
      <c r="P255" s="57"/>
      <c r="Q255" s="47"/>
      <c r="R255" s="57"/>
      <c r="S255" s="57"/>
      <c r="T255" s="57"/>
      <c r="U255" s="55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6" t="s">
        <v>1081</v>
      </c>
      <c r="B256" s="140" t="s">
        <v>1079</v>
      </c>
      <c r="C256" s="38" t="str">
        <f>IF(B256="","",(VLOOKUP(B256,'Dados de PN'!$A:$B,2,0)))</f>
        <v>SWITCH</v>
      </c>
      <c r="D256" s="140"/>
      <c r="E256" s="75" t="s">
        <v>34</v>
      </c>
      <c r="F256" s="75" t="s">
        <v>35</v>
      </c>
      <c r="G256" s="42"/>
      <c r="H256" s="42">
        <v>1.7484041E7</v>
      </c>
      <c r="I256" s="128" t="s">
        <v>1080</v>
      </c>
      <c r="J256" s="75" t="s">
        <v>37</v>
      </c>
      <c r="K256" s="45">
        <v>46163.0</v>
      </c>
      <c r="L256" s="140" t="s">
        <v>363</v>
      </c>
      <c r="M256" s="75" t="s">
        <v>364</v>
      </c>
      <c r="N256" s="47"/>
      <c r="O256" s="47"/>
      <c r="P256" s="57"/>
      <c r="Q256" s="47"/>
      <c r="R256" s="57"/>
      <c r="S256" s="57"/>
      <c r="T256" s="57"/>
      <c r="U256" s="55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6" t="s">
        <v>1082</v>
      </c>
      <c r="B257" s="140" t="s">
        <v>1083</v>
      </c>
      <c r="C257" s="38" t="str">
        <f>IF(B257="","",(VLOOKUP(B257,'Dados de PN'!$A:$B,2,0)))</f>
        <v>STARTER-GENERATOR</v>
      </c>
      <c r="D257" s="140" t="s">
        <v>1084</v>
      </c>
      <c r="E257" s="75" t="s">
        <v>99</v>
      </c>
      <c r="F257" s="75" t="s">
        <v>35</v>
      </c>
      <c r="G257" s="42"/>
      <c r="H257" s="42">
        <v>1.761209E7</v>
      </c>
      <c r="I257" s="128" t="s">
        <v>1085</v>
      </c>
      <c r="J257" s="75" t="s">
        <v>37</v>
      </c>
      <c r="K257" s="45">
        <v>46170.0</v>
      </c>
      <c r="L257" s="140" t="s">
        <v>383</v>
      </c>
      <c r="M257" s="75" t="s">
        <v>384</v>
      </c>
      <c r="N257" s="47"/>
      <c r="O257" s="47"/>
      <c r="P257" s="57"/>
      <c r="Q257" s="47"/>
      <c r="R257" s="57"/>
      <c r="S257" s="57"/>
      <c r="T257" s="57"/>
      <c r="U257" s="55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6" t="s">
        <v>1086</v>
      </c>
      <c r="B258" s="140" t="s">
        <v>1087</v>
      </c>
      <c r="C258" s="38" t="str">
        <f>IF(B258="","",(VLOOKUP(B258,'Dados de PN'!$A:$B,2,0)))</f>
        <v>IND FUEL FLOW</v>
      </c>
      <c r="D258" s="140" t="s">
        <v>1088</v>
      </c>
      <c r="E258" s="75" t="s">
        <v>99</v>
      </c>
      <c r="F258" s="75" t="s">
        <v>1089</v>
      </c>
      <c r="G258" s="42"/>
      <c r="H258" s="42">
        <v>3.29260019124E11</v>
      </c>
      <c r="I258" s="128" t="s">
        <v>1090</v>
      </c>
      <c r="J258" s="75" t="s">
        <v>37</v>
      </c>
      <c r="K258" s="45">
        <v>46170.0</v>
      </c>
      <c r="L258" s="140" t="s">
        <v>989</v>
      </c>
      <c r="M258" s="75" t="s">
        <v>122</v>
      </c>
      <c r="N258" s="47"/>
      <c r="O258" s="47"/>
      <c r="P258" s="57"/>
      <c r="Q258" s="47"/>
      <c r="R258" s="57"/>
      <c r="S258" s="57"/>
      <c r="T258" s="57"/>
      <c r="U258" s="55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6" t="s">
        <v>1091</v>
      </c>
      <c r="B259" s="128" t="s">
        <v>418</v>
      </c>
      <c r="C259" s="38" t="str">
        <f>IF(B259="","",(VLOOKUP(B259,'Dados de PN'!$A:$B,2,0)))</f>
        <v>WHEEL HALF ASSY</v>
      </c>
      <c r="D259" s="140" t="s">
        <v>1092</v>
      </c>
      <c r="E259" s="75" t="s">
        <v>99</v>
      </c>
      <c r="F259" s="75" t="s">
        <v>118</v>
      </c>
      <c r="G259" s="42"/>
      <c r="H259" s="42">
        <v>1.7617015E7</v>
      </c>
      <c r="I259" s="128" t="s">
        <v>1093</v>
      </c>
      <c r="J259" s="75" t="s">
        <v>37</v>
      </c>
      <c r="K259" s="45">
        <v>46171.0</v>
      </c>
      <c r="L259" s="140" t="s">
        <v>271</v>
      </c>
      <c r="M259" s="75" t="s">
        <v>54</v>
      </c>
      <c r="N259" s="47"/>
      <c r="O259" s="47"/>
      <c r="P259" s="57"/>
      <c r="Q259" s="47"/>
      <c r="R259" s="57"/>
      <c r="S259" s="57"/>
      <c r="T259" s="57"/>
      <c r="U259" s="55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6" t="s">
        <v>1094</v>
      </c>
      <c r="B260" s="128" t="s">
        <v>1095</v>
      </c>
      <c r="C260" s="38" t="str">
        <f>IF(B260="","",(VLOOKUP(B260,'Dados de PN'!$A:$B,2,0)))</f>
        <v>STARTER GENERATOR</v>
      </c>
      <c r="D260" s="140" t="s">
        <v>1096</v>
      </c>
      <c r="E260" s="75" t="s">
        <v>99</v>
      </c>
      <c r="F260" s="75" t="s">
        <v>35</v>
      </c>
      <c r="G260" s="42"/>
      <c r="H260" s="42">
        <v>1.7617016E7</v>
      </c>
      <c r="I260" s="128" t="s">
        <v>1093</v>
      </c>
      <c r="J260" s="75" t="s">
        <v>37</v>
      </c>
      <c r="K260" s="45">
        <v>46171.0</v>
      </c>
      <c r="L260" s="140" t="s">
        <v>110</v>
      </c>
      <c r="M260" s="75" t="s">
        <v>54</v>
      </c>
      <c r="N260" s="47"/>
      <c r="O260" s="47"/>
      <c r="P260" s="57"/>
      <c r="Q260" s="47"/>
      <c r="R260" s="57"/>
      <c r="S260" s="57"/>
      <c r="T260" s="57"/>
      <c r="U260" s="55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6" t="s">
        <v>1097</v>
      </c>
      <c r="B261" s="128" t="s">
        <v>677</v>
      </c>
      <c r="C261" s="38" t="str">
        <f>IF(B261="","",(VLOOKUP(B261,'Dados de PN'!$A:$B,2,0)))</f>
        <v>AXLE-MAIN GEAR</v>
      </c>
      <c r="D261" s="140" t="s">
        <v>1098</v>
      </c>
      <c r="E261" s="75" t="s">
        <v>51</v>
      </c>
      <c r="F261" s="75" t="s">
        <v>35</v>
      </c>
      <c r="G261" s="42"/>
      <c r="H261" s="42">
        <v>1.7617017E7</v>
      </c>
      <c r="I261" s="128" t="s">
        <v>1093</v>
      </c>
      <c r="J261" s="75" t="s">
        <v>37</v>
      </c>
      <c r="K261" s="45">
        <v>46171.0</v>
      </c>
      <c r="L261" s="140" t="s">
        <v>53</v>
      </c>
      <c r="M261" s="75" t="s">
        <v>54</v>
      </c>
      <c r="N261" s="47"/>
      <c r="O261" s="47"/>
      <c r="P261" s="57"/>
      <c r="Q261" s="47"/>
      <c r="R261" s="57"/>
      <c r="S261" s="57"/>
      <c r="T261" s="57"/>
      <c r="U261" s="55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6" t="s">
        <v>1099</v>
      </c>
      <c r="B262" s="128" t="s">
        <v>1100</v>
      </c>
      <c r="C262" s="38" t="str">
        <f>IF(B262="","",(VLOOKUP(B262,'Dados de PN'!$A:$B,2,0)))</f>
        <v>BATTERY</v>
      </c>
      <c r="D262" s="140" t="s">
        <v>1101</v>
      </c>
      <c r="E262" s="75" t="s">
        <v>51</v>
      </c>
      <c r="F262" s="75" t="s">
        <v>35</v>
      </c>
      <c r="G262" s="42"/>
      <c r="H262" s="42">
        <v>1.7617018E7</v>
      </c>
      <c r="I262" s="128" t="s">
        <v>1093</v>
      </c>
      <c r="J262" s="75" t="s">
        <v>37</v>
      </c>
      <c r="K262" s="45">
        <v>46171.0</v>
      </c>
      <c r="L262" s="140" t="s">
        <v>142</v>
      </c>
      <c r="M262" s="75" t="s">
        <v>54</v>
      </c>
      <c r="N262" s="47"/>
      <c r="O262" s="47"/>
      <c r="P262" s="57"/>
      <c r="Q262" s="47"/>
      <c r="R262" s="57"/>
      <c r="S262" s="57"/>
      <c r="T262" s="57"/>
      <c r="U262" s="55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6" t="s">
        <v>1102</v>
      </c>
      <c r="B263" s="128" t="s">
        <v>703</v>
      </c>
      <c r="C263" s="38" t="str">
        <f>IF(B263="","",(VLOOKUP(B263,'Dados de PN'!$A:$B,2,0)))</f>
        <v>EXTINGUISHER,FIRE</v>
      </c>
      <c r="D263" s="140" t="s">
        <v>1103</v>
      </c>
      <c r="E263" s="75" t="s">
        <v>99</v>
      </c>
      <c r="F263" s="75" t="s">
        <v>35</v>
      </c>
      <c r="G263" s="42"/>
      <c r="H263" s="42">
        <v>1.7617019E7</v>
      </c>
      <c r="I263" s="128" t="s">
        <v>1093</v>
      </c>
      <c r="J263" s="75" t="s">
        <v>37</v>
      </c>
      <c r="K263" s="45">
        <v>46171.0</v>
      </c>
      <c r="L263" s="140" t="s">
        <v>142</v>
      </c>
      <c r="M263" s="75" t="s">
        <v>54</v>
      </c>
      <c r="N263" s="47"/>
      <c r="O263" s="47"/>
      <c r="P263" s="57"/>
      <c r="Q263" s="47"/>
      <c r="R263" s="57"/>
      <c r="S263" s="57"/>
      <c r="T263" s="57"/>
      <c r="U263" s="55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6" t="s">
        <v>1104</v>
      </c>
      <c r="B264" s="75" t="s">
        <v>172</v>
      </c>
      <c r="C264" s="38" t="str">
        <f>IF(B264="","",(VLOOKUP(B264,'Dados de PN'!$A:$B,2,0)))</f>
        <v>INDICATOR,HORIZONTAL SITUATION</v>
      </c>
      <c r="D264" s="140" t="s">
        <v>1105</v>
      </c>
      <c r="E264" s="75" t="s">
        <v>99</v>
      </c>
      <c r="F264" s="75" t="s">
        <v>35</v>
      </c>
      <c r="G264" s="42"/>
      <c r="H264" s="42">
        <v>3.96260016501E11</v>
      </c>
      <c r="I264" s="128" t="s">
        <v>1106</v>
      </c>
      <c r="J264" s="75" t="s">
        <v>37</v>
      </c>
      <c r="K264" s="45">
        <v>46174.0</v>
      </c>
      <c r="L264" s="140" t="s">
        <v>60</v>
      </c>
      <c r="M264" s="75" t="s">
        <v>61</v>
      </c>
      <c r="N264" s="47"/>
      <c r="O264" s="47"/>
      <c r="P264" s="57"/>
      <c r="Q264" s="47"/>
      <c r="R264" s="57"/>
      <c r="S264" s="57"/>
      <c r="T264" s="57"/>
      <c r="U264" s="55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6" t="s">
        <v>1107</v>
      </c>
      <c r="B265" s="75" t="s">
        <v>1108</v>
      </c>
      <c r="C265" s="38" t="str">
        <f>IF(B265="","",(VLOOKUP(B265,'Dados de PN'!$A:$B,2,0)))</f>
        <v>CONNECTOR,ELECTRICAL</v>
      </c>
      <c r="D265" s="140"/>
      <c r="E265" s="75" t="s">
        <v>34</v>
      </c>
      <c r="F265" s="75" t="s">
        <v>118</v>
      </c>
      <c r="G265" s="42"/>
      <c r="H265" s="42">
        <v>3.96260016502E11</v>
      </c>
      <c r="I265" s="128" t="s">
        <v>1106</v>
      </c>
      <c r="J265" s="75" t="s">
        <v>37</v>
      </c>
      <c r="K265" s="45">
        <v>46174.0</v>
      </c>
      <c r="L265" s="140" t="s">
        <v>60</v>
      </c>
      <c r="M265" s="75" t="s">
        <v>61</v>
      </c>
      <c r="N265" s="47"/>
      <c r="O265" s="47"/>
      <c r="P265" s="57"/>
      <c r="Q265" s="47"/>
      <c r="R265" s="57"/>
      <c r="S265" s="57"/>
      <c r="T265" s="57"/>
      <c r="U265" s="55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6" t="s">
        <v>1109</v>
      </c>
      <c r="B266" s="75" t="s">
        <v>644</v>
      </c>
      <c r="C266" s="38" t="str">
        <f>IF(B266="","",(VLOOKUP(B266,'Dados de PN'!$A:$B,2,0)))</f>
        <v>SEAL</v>
      </c>
      <c r="D266" s="140"/>
      <c r="E266" s="75" t="s">
        <v>34</v>
      </c>
      <c r="F266" s="75" t="s">
        <v>118</v>
      </c>
      <c r="G266" s="42"/>
      <c r="H266" s="42">
        <v>3.962600165E11</v>
      </c>
      <c r="I266" s="128" t="s">
        <v>1106</v>
      </c>
      <c r="J266" s="75" t="s">
        <v>37</v>
      </c>
      <c r="K266" s="45">
        <v>46174.0</v>
      </c>
      <c r="L266" s="140" t="s">
        <v>252</v>
      </c>
      <c r="M266" s="75" t="s">
        <v>61</v>
      </c>
      <c r="N266" s="47"/>
      <c r="O266" s="47"/>
      <c r="P266" s="57"/>
      <c r="Q266" s="47"/>
      <c r="R266" s="57"/>
      <c r="S266" s="57"/>
      <c r="T266" s="57"/>
      <c r="U266" s="55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6" t="s">
        <v>1110</v>
      </c>
      <c r="B267" s="140"/>
      <c r="C267" s="42" t="str">
        <f>IF(B267="","",(VLOOKUP(B267,'Dados de PN'!$A:$B,2,0)))</f>
        <v/>
      </c>
      <c r="D267" s="140"/>
      <c r="E267" s="75"/>
      <c r="F267" s="75"/>
      <c r="G267" s="42"/>
      <c r="H267" s="42"/>
      <c r="I267" s="128"/>
      <c r="J267" s="75"/>
      <c r="K267" s="42"/>
      <c r="L267" s="141"/>
      <c r="M267" s="57"/>
      <c r="N267" s="47"/>
      <c r="O267" s="47"/>
      <c r="P267" s="57"/>
      <c r="Q267" s="47"/>
      <c r="R267" s="57"/>
      <c r="S267" s="57"/>
      <c r="T267" s="57"/>
      <c r="U267" s="55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6" t="s">
        <v>1111</v>
      </c>
      <c r="B268" s="140"/>
      <c r="C268" s="42" t="str">
        <f>IF(B268="","",(VLOOKUP(B268,'Dados de PN'!$A:$B,2,0)))</f>
        <v/>
      </c>
      <c r="D268" s="140"/>
      <c r="E268" s="75"/>
      <c r="F268" s="75"/>
      <c r="G268" s="42"/>
      <c r="H268" s="42"/>
      <c r="I268" s="128"/>
      <c r="J268" s="75"/>
      <c r="K268" s="42"/>
      <c r="L268" s="141"/>
      <c r="M268" s="57"/>
      <c r="N268" s="47"/>
      <c r="O268" s="47"/>
      <c r="P268" s="57"/>
      <c r="Q268" s="47"/>
      <c r="R268" s="57"/>
      <c r="S268" s="57"/>
      <c r="T268" s="57"/>
      <c r="U268" s="55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6" t="s">
        <v>1112</v>
      </c>
      <c r="B269" s="140"/>
      <c r="C269" s="42" t="str">
        <f>IF(B269="","",(VLOOKUP(B269,'Dados de PN'!$A:$B,2,0)))</f>
        <v/>
      </c>
      <c r="D269" s="140"/>
      <c r="E269" s="75"/>
      <c r="F269" s="75"/>
      <c r="G269" s="42"/>
      <c r="H269" s="42"/>
      <c r="I269" s="128"/>
      <c r="J269" s="75"/>
      <c r="K269" s="42"/>
      <c r="L269" s="141"/>
      <c r="M269" s="57"/>
      <c r="N269" s="47"/>
      <c r="O269" s="47"/>
      <c r="P269" s="57"/>
      <c r="Q269" s="47"/>
      <c r="R269" s="57"/>
      <c r="S269" s="57"/>
      <c r="T269" s="57"/>
      <c r="U269" s="55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6" t="s">
        <v>1113</v>
      </c>
      <c r="B270" s="140"/>
      <c r="C270" s="42" t="str">
        <f>IF(B270="","",(VLOOKUP(B270,'Dados de PN'!$A:$B,2,0)))</f>
        <v/>
      </c>
      <c r="D270" s="140"/>
      <c r="E270" s="75"/>
      <c r="F270" s="75"/>
      <c r="G270" s="42"/>
      <c r="H270" s="42"/>
      <c r="I270" s="128"/>
      <c r="J270" s="75"/>
      <c r="K270" s="42"/>
      <c r="L270" s="141"/>
      <c r="M270" s="57"/>
      <c r="N270" s="47"/>
      <c r="O270" s="47"/>
      <c r="P270" s="57"/>
      <c r="Q270" s="47"/>
      <c r="R270" s="57"/>
      <c r="S270" s="57"/>
      <c r="T270" s="57"/>
      <c r="U270" s="55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6" t="s">
        <v>1114</v>
      </c>
      <c r="B271" s="140"/>
      <c r="C271" s="42" t="str">
        <f>IF(B271="","",(VLOOKUP(B271,'Dados de PN'!$A:$B,2,0)))</f>
        <v/>
      </c>
      <c r="D271" s="140"/>
      <c r="E271" s="75"/>
      <c r="F271" s="75"/>
      <c r="G271" s="42"/>
      <c r="H271" s="42"/>
      <c r="I271" s="128"/>
      <c r="J271" s="75"/>
      <c r="K271" s="42"/>
      <c r="L271" s="141"/>
      <c r="M271" s="57"/>
      <c r="N271" s="47"/>
      <c r="O271" s="47"/>
      <c r="P271" s="57"/>
      <c r="Q271" s="47"/>
      <c r="R271" s="57"/>
      <c r="S271" s="57"/>
      <c r="T271" s="57"/>
      <c r="U271" s="55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6" t="s">
        <v>1115</v>
      </c>
      <c r="B272" s="140"/>
      <c r="C272" s="42" t="str">
        <f>IF(B272="","",(VLOOKUP(B272,'Dados de PN'!$A:$B,2,0)))</f>
        <v/>
      </c>
      <c r="D272" s="140"/>
      <c r="E272" s="75"/>
      <c r="F272" s="75"/>
      <c r="G272" s="42"/>
      <c r="H272" s="42"/>
      <c r="I272" s="128"/>
      <c r="J272" s="75"/>
      <c r="K272" s="42"/>
      <c r="L272" s="141"/>
      <c r="M272" s="57"/>
      <c r="N272" s="47"/>
      <c r="O272" s="47"/>
      <c r="P272" s="57"/>
      <c r="Q272" s="47"/>
      <c r="R272" s="57"/>
      <c r="S272" s="57"/>
      <c r="T272" s="57"/>
      <c r="U272" s="55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6" t="s">
        <v>1116</v>
      </c>
      <c r="B273" s="140"/>
      <c r="C273" s="42" t="str">
        <f>IF(B273="","",(VLOOKUP(B273,'Dados de PN'!$A:$B,2,0)))</f>
        <v/>
      </c>
      <c r="D273" s="140"/>
      <c r="E273" s="75"/>
      <c r="F273" s="75"/>
      <c r="G273" s="42"/>
      <c r="H273" s="42"/>
      <c r="I273" s="128"/>
      <c r="J273" s="75"/>
      <c r="K273" s="42"/>
      <c r="L273" s="141"/>
      <c r="M273" s="57"/>
      <c r="N273" s="47"/>
      <c r="O273" s="47"/>
      <c r="P273" s="57"/>
      <c r="Q273" s="47"/>
      <c r="R273" s="57"/>
      <c r="S273" s="57"/>
      <c r="T273" s="57"/>
      <c r="U273" s="55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6" t="s">
        <v>1117</v>
      </c>
      <c r="B274" s="140"/>
      <c r="C274" s="42" t="str">
        <f>IF(B274="","",(VLOOKUP(B274,'Dados de PN'!$A:$B,2,0)))</f>
        <v/>
      </c>
      <c r="D274" s="140"/>
      <c r="E274" s="75"/>
      <c r="F274" s="75"/>
      <c r="G274" s="42"/>
      <c r="H274" s="42"/>
      <c r="I274" s="128"/>
      <c r="J274" s="75"/>
      <c r="K274" s="42"/>
      <c r="L274" s="141"/>
      <c r="M274" s="57"/>
      <c r="N274" s="47"/>
      <c r="O274" s="47"/>
      <c r="P274" s="57"/>
      <c r="Q274" s="47"/>
      <c r="R274" s="57"/>
      <c r="S274" s="57"/>
      <c r="T274" s="57"/>
      <c r="U274" s="55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6" t="s">
        <v>1118</v>
      </c>
      <c r="B275" s="140"/>
      <c r="C275" s="42" t="str">
        <f>IF(B275="","",(VLOOKUP(B275,'Dados de PN'!$A:$B,2,0)))</f>
        <v/>
      </c>
      <c r="D275" s="140"/>
      <c r="E275" s="75"/>
      <c r="F275" s="75"/>
      <c r="G275" s="42"/>
      <c r="H275" s="42"/>
      <c r="I275" s="128"/>
      <c r="J275" s="75"/>
      <c r="K275" s="42"/>
      <c r="L275" s="141"/>
      <c r="M275" s="57"/>
      <c r="N275" s="47"/>
      <c r="O275" s="47"/>
      <c r="P275" s="57"/>
      <c r="Q275" s="47"/>
      <c r="R275" s="57"/>
      <c r="S275" s="57"/>
      <c r="T275" s="57"/>
      <c r="U275" s="55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6" t="s">
        <v>1119</v>
      </c>
      <c r="B276" s="140"/>
      <c r="C276" s="42" t="str">
        <f>IF(B276="","",(VLOOKUP(B276,'Dados de PN'!$A:$B,2,0)))</f>
        <v/>
      </c>
      <c r="D276" s="140"/>
      <c r="E276" s="75"/>
      <c r="F276" s="75"/>
      <c r="G276" s="42"/>
      <c r="H276" s="42"/>
      <c r="I276" s="128"/>
      <c r="J276" s="75"/>
      <c r="K276" s="42"/>
      <c r="L276" s="141"/>
      <c r="M276" s="57"/>
      <c r="N276" s="47"/>
      <c r="O276" s="47"/>
      <c r="P276" s="57"/>
      <c r="Q276" s="47"/>
      <c r="R276" s="57"/>
      <c r="S276" s="57"/>
      <c r="T276" s="57"/>
      <c r="U276" s="55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6" t="s">
        <v>1120</v>
      </c>
      <c r="B277" s="140"/>
      <c r="C277" s="42" t="str">
        <f>IF(B277="","",(VLOOKUP(B277,'Dados de PN'!$A:$B,2,0)))</f>
        <v/>
      </c>
      <c r="D277" s="140"/>
      <c r="E277" s="75"/>
      <c r="F277" s="75"/>
      <c r="G277" s="42"/>
      <c r="H277" s="42"/>
      <c r="I277" s="128"/>
      <c r="J277" s="75"/>
      <c r="K277" s="42"/>
      <c r="L277" s="141"/>
      <c r="M277" s="57"/>
      <c r="N277" s="47"/>
      <c r="O277" s="47"/>
      <c r="P277" s="57"/>
      <c r="Q277" s="47"/>
      <c r="R277" s="57"/>
      <c r="S277" s="57"/>
      <c r="T277" s="57"/>
      <c r="U277" s="55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6" t="s">
        <v>1121</v>
      </c>
      <c r="B278" s="140"/>
      <c r="C278" s="42" t="str">
        <f>IF(B278="","",(VLOOKUP(B278,'Dados de PN'!$A:$B,2,0)))</f>
        <v/>
      </c>
      <c r="D278" s="140"/>
      <c r="E278" s="75"/>
      <c r="F278" s="75"/>
      <c r="G278" s="42"/>
      <c r="H278" s="42"/>
      <c r="I278" s="128"/>
      <c r="J278" s="75"/>
      <c r="K278" s="42"/>
      <c r="L278" s="140"/>
      <c r="M278" s="57"/>
      <c r="N278" s="47"/>
      <c r="O278" s="47"/>
      <c r="P278" s="57"/>
      <c r="Q278" s="47"/>
      <c r="R278" s="57"/>
      <c r="S278" s="57"/>
      <c r="T278" s="57"/>
      <c r="U278" s="55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6" t="s">
        <v>1122</v>
      </c>
      <c r="B279" s="140"/>
      <c r="C279" s="42" t="str">
        <f>IF(B279="","",(VLOOKUP(B279,'Dados de PN'!$A:$B,2,0)))</f>
        <v/>
      </c>
      <c r="D279" s="140"/>
      <c r="E279" s="75"/>
      <c r="F279" s="75"/>
      <c r="G279" s="42"/>
      <c r="H279" s="42"/>
      <c r="I279" s="128"/>
      <c r="J279" s="75"/>
      <c r="K279" s="42"/>
      <c r="L279" s="140"/>
      <c r="M279" s="57"/>
      <c r="N279" s="47"/>
      <c r="O279" s="47"/>
      <c r="P279" s="57"/>
      <c r="Q279" s="47"/>
      <c r="R279" s="57"/>
      <c r="S279" s="57"/>
      <c r="T279" s="57"/>
      <c r="U279" s="55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6" t="s">
        <v>1123</v>
      </c>
      <c r="B280" s="140"/>
      <c r="C280" s="42" t="str">
        <f>IF(B280="","",(VLOOKUP(B280,'Dados de PN'!$A:$B,2,0)))</f>
        <v/>
      </c>
      <c r="D280" s="140"/>
      <c r="E280" s="75"/>
      <c r="F280" s="75"/>
      <c r="G280" s="42"/>
      <c r="H280" s="42"/>
      <c r="I280" s="128"/>
      <c r="J280" s="75"/>
      <c r="K280" s="42"/>
      <c r="L280" s="140"/>
      <c r="M280" s="57"/>
      <c r="N280" s="47"/>
      <c r="O280" s="47"/>
      <c r="P280" s="57"/>
      <c r="Q280" s="47"/>
      <c r="R280" s="57"/>
      <c r="S280" s="57"/>
      <c r="T280" s="57"/>
      <c r="U280" s="55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6" t="s">
        <v>1124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7"/>
      <c r="AB281" s="57"/>
      <c r="AC281" s="57"/>
      <c r="AD281" s="57"/>
    </row>
    <row r="282">
      <c r="A282" s="36" t="s">
        <v>1125</v>
      </c>
      <c r="B282" s="140"/>
      <c r="C282" s="42" t="str">
        <f>IF(B282="","",(VLOOKUP(B282,'Dados de PN'!$A:$B,2,0)))</f>
        <v/>
      </c>
      <c r="D282" s="140"/>
      <c r="E282" s="75"/>
      <c r="F282" s="75"/>
      <c r="G282" s="42"/>
      <c r="H282" s="42"/>
      <c r="I282" s="128"/>
      <c r="J282" s="75"/>
      <c r="K282" s="42"/>
      <c r="L282" s="141"/>
      <c r="M282" s="57"/>
      <c r="N282" s="47"/>
      <c r="O282" s="47"/>
      <c r="P282" s="57"/>
      <c r="Q282" s="47"/>
      <c r="R282" s="57"/>
      <c r="S282" s="57"/>
      <c r="T282" s="57"/>
      <c r="U282" s="55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6" t="s">
        <v>1126</v>
      </c>
      <c r="B283" s="140"/>
      <c r="C283" s="42" t="str">
        <f>IF(B283="","",(VLOOKUP(B283,'Dados de PN'!$A:$B,2,0)))</f>
        <v/>
      </c>
      <c r="D283" s="140"/>
      <c r="E283" s="75"/>
      <c r="F283" s="75"/>
      <c r="G283" s="42"/>
      <c r="H283" s="42"/>
      <c r="I283" s="128"/>
      <c r="J283" s="75"/>
      <c r="K283" s="42"/>
      <c r="L283" s="141"/>
      <c r="M283" s="57"/>
      <c r="N283" s="47"/>
      <c r="O283" s="47"/>
      <c r="P283" s="57"/>
      <c r="Q283" s="47"/>
      <c r="R283" s="57"/>
      <c r="S283" s="57"/>
      <c r="T283" s="57"/>
      <c r="U283" s="55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6" t="s">
        <v>1127</v>
      </c>
      <c r="B284" s="140"/>
      <c r="C284" s="42" t="str">
        <f>IF(B284="","",(VLOOKUP(B284,'Dados de PN'!$A:$B,2,0)))</f>
        <v/>
      </c>
      <c r="D284" s="140"/>
      <c r="E284" s="75"/>
      <c r="F284" s="75"/>
      <c r="G284" s="42"/>
      <c r="H284" s="42"/>
      <c r="I284" s="128"/>
      <c r="J284" s="75"/>
      <c r="K284" s="42"/>
      <c r="L284" s="141"/>
      <c r="M284" s="57"/>
      <c r="N284" s="47"/>
      <c r="O284" s="47"/>
      <c r="P284" s="57"/>
      <c r="Q284" s="47"/>
      <c r="R284" s="57"/>
      <c r="S284" s="57"/>
      <c r="T284" s="57"/>
      <c r="U284" s="55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6" t="s">
        <v>1128</v>
      </c>
      <c r="B285" s="140"/>
      <c r="C285" s="42" t="str">
        <f>IF(B285="","",(VLOOKUP(B285,'Dados de PN'!$A:$B,2,0)))</f>
        <v/>
      </c>
      <c r="D285" s="140"/>
      <c r="E285" s="75"/>
      <c r="F285" s="75"/>
      <c r="G285" s="42"/>
      <c r="H285" s="42"/>
      <c r="I285" s="128"/>
      <c r="J285" s="75"/>
      <c r="K285" s="42"/>
      <c r="L285" s="141"/>
      <c r="M285" s="57"/>
      <c r="N285" s="47"/>
      <c r="O285" s="47"/>
      <c r="P285" s="57"/>
      <c r="Q285" s="47"/>
      <c r="R285" s="57"/>
      <c r="S285" s="57"/>
      <c r="T285" s="57"/>
      <c r="U285" s="55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6" t="s">
        <v>1129</v>
      </c>
      <c r="B286" s="140"/>
      <c r="C286" s="42" t="str">
        <f>IF(B286="","",(VLOOKUP(B286,'Dados de PN'!$A:$B,2,0)))</f>
        <v/>
      </c>
      <c r="D286" s="140"/>
      <c r="E286" s="75"/>
      <c r="F286" s="75"/>
      <c r="G286" s="42"/>
      <c r="H286" s="42"/>
      <c r="I286" s="128"/>
      <c r="J286" s="75"/>
      <c r="K286" s="42"/>
      <c r="L286" s="141"/>
      <c r="M286" s="57"/>
      <c r="N286" s="47"/>
      <c r="O286" s="47"/>
      <c r="P286" s="57"/>
      <c r="Q286" s="47"/>
      <c r="R286" s="57"/>
      <c r="S286" s="57"/>
      <c r="T286" s="57"/>
      <c r="U286" s="55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6" t="s">
        <v>1130</v>
      </c>
      <c r="B287" s="140"/>
      <c r="C287" s="42" t="str">
        <f>IF(B287="","",(VLOOKUP(B287,'Dados de PN'!$A:$B,2,0)))</f>
        <v/>
      </c>
      <c r="D287" s="140"/>
      <c r="E287" s="75"/>
      <c r="F287" s="75"/>
      <c r="G287" s="42"/>
      <c r="H287" s="42"/>
      <c r="I287" s="128"/>
      <c r="J287" s="75"/>
      <c r="K287" s="42"/>
      <c r="L287" s="141"/>
      <c r="M287" s="57"/>
      <c r="N287" s="47"/>
      <c r="O287" s="47"/>
      <c r="P287" s="57"/>
      <c r="Q287" s="47"/>
      <c r="R287" s="57"/>
      <c r="S287" s="57"/>
      <c r="T287" s="57"/>
      <c r="U287" s="55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6" t="s">
        <v>1131</v>
      </c>
      <c r="B288" s="140"/>
      <c r="C288" s="42" t="str">
        <f>IF(B288="","",(VLOOKUP(B288,'Dados de PN'!$A:$B,2,0)))</f>
        <v/>
      </c>
      <c r="D288" s="140"/>
      <c r="E288" s="75"/>
      <c r="F288" s="75"/>
      <c r="G288" s="42"/>
      <c r="H288" s="42"/>
      <c r="I288" s="128"/>
      <c r="J288" s="75"/>
      <c r="K288" s="42"/>
      <c r="L288" s="141"/>
      <c r="M288" s="57"/>
      <c r="N288" s="47"/>
      <c r="O288" s="47"/>
      <c r="P288" s="57"/>
      <c r="Q288" s="47"/>
      <c r="R288" s="57"/>
      <c r="S288" s="57"/>
      <c r="T288" s="57"/>
      <c r="U288" s="55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6" t="s">
        <v>1132</v>
      </c>
      <c r="B289" s="140"/>
      <c r="C289" s="42" t="str">
        <f>IF(B289="","",(VLOOKUP(B289,'Dados de PN'!$A:$B,2,0)))</f>
        <v/>
      </c>
      <c r="D289" s="140"/>
      <c r="E289" s="75"/>
      <c r="F289" s="75"/>
      <c r="G289" s="42"/>
      <c r="H289" s="42"/>
      <c r="I289" s="128"/>
      <c r="J289" s="75"/>
      <c r="K289" s="42"/>
      <c r="L289" s="141"/>
      <c r="M289" s="57"/>
      <c r="N289" s="47"/>
      <c r="O289" s="47"/>
      <c r="P289" s="57"/>
      <c r="Q289" s="47"/>
      <c r="R289" s="57"/>
      <c r="S289" s="57"/>
      <c r="T289" s="57"/>
      <c r="U289" s="55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6" t="s">
        <v>1133</v>
      </c>
      <c r="B290" s="140"/>
      <c r="C290" s="42" t="str">
        <f>IF(B290="","",(VLOOKUP(B290,'Dados de PN'!$A:$B,2,0)))</f>
        <v/>
      </c>
      <c r="D290" s="140"/>
      <c r="E290" s="75"/>
      <c r="F290" s="75"/>
      <c r="G290" s="42"/>
      <c r="H290" s="42"/>
      <c r="I290" s="128"/>
      <c r="J290" s="75"/>
      <c r="K290" s="42"/>
      <c r="L290" s="141"/>
      <c r="M290" s="57"/>
      <c r="N290" s="47"/>
      <c r="O290" s="47"/>
      <c r="P290" s="57"/>
      <c r="Q290" s="47"/>
      <c r="R290" s="57"/>
      <c r="S290" s="57"/>
      <c r="T290" s="57"/>
      <c r="U290" s="55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6" t="s">
        <v>1134</v>
      </c>
      <c r="B291" s="140"/>
      <c r="C291" s="42" t="str">
        <f>IF(B291="","",(VLOOKUP(B291,'Dados de PN'!$A:$B,2,0)))</f>
        <v/>
      </c>
      <c r="D291" s="140"/>
      <c r="E291" s="75"/>
      <c r="F291" s="75"/>
      <c r="G291" s="42"/>
      <c r="H291" s="42"/>
      <c r="I291" s="128"/>
      <c r="J291" s="75"/>
      <c r="K291" s="42"/>
      <c r="L291" s="141"/>
      <c r="M291" s="57"/>
      <c r="N291" s="47"/>
      <c r="O291" s="47"/>
      <c r="P291" s="57"/>
      <c r="Q291" s="47"/>
      <c r="R291" s="57"/>
      <c r="S291" s="57"/>
      <c r="T291" s="57"/>
      <c r="U291" s="55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6" t="s">
        <v>1135</v>
      </c>
      <c r="B292" s="140"/>
      <c r="C292" s="42" t="str">
        <f>IF(B292="","",(VLOOKUP(B292,'Dados de PN'!$A:$B,2,0)))</f>
        <v/>
      </c>
      <c r="D292" s="140"/>
      <c r="E292" s="75"/>
      <c r="F292" s="75"/>
      <c r="G292" s="42"/>
      <c r="H292" s="42"/>
      <c r="I292" s="128"/>
      <c r="J292" s="75"/>
      <c r="K292" s="42"/>
      <c r="L292" s="141"/>
      <c r="M292" s="57"/>
      <c r="N292" s="47"/>
      <c r="O292" s="47"/>
      <c r="P292" s="57"/>
      <c r="Q292" s="47"/>
      <c r="R292" s="57"/>
      <c r="S292" s="57"/>
      <c r="T292" s="57"/>
      <c r="U292" s="55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6" t="s">
        <v>1136</v>
      </c>
      <c r="B293" s="140"/>
      <c r="C293" s="42" t="str">
        <f>IF(B293="","",(VLOOKUP(B293,'Dados de PN'!$A:$B,2,0)))</f>
        <v/>
      </c>
      <c r="D293" s="140"/>
      <c r="E293" s="75"/>
      <c r="F293" s="75"/>
      <c r="G293" s="42"/>
      <c r="H293" s="42"/>
      <c r="I293" s="128"/>
      <c r="J293" s="75"/>
      <c r="K293" s="42"/>
      <c r="L293" s="141"/>
      <c r="M293" s="57"/>
      <c r="N293" s="47"/>
      <c r="O293" s="47"/>
      <c r="P293" s="57"/>
      <c r="Q293" s="47"/>
      <c r="R293" s="57"/>
      <c r="S293" s="57"/>
      <c r="T293" s="57"/>
      <c r="U293" s="55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6" t="s">
        <v>1137</v>
      </c>
      <c r="B294" s="140"/>
      <c r="C294" s="42" t="str">
        <f>IF(B294="","",(VLOOKUP(B294,'Dados de PN'!$A:$B,2,0)))</f>
        <v/>
      </c>
      <c r="D294" s="140"/>
      <c r="E294" s="57"/>
      <c r="F294" s="57"/>
      <c r="G294" s="72"/>
      <c r="H294" s="72"/>
      <c r="I294" s="47"/>
      <c r="J294" s="57"/>
      <c r="K294" s="45"/>
      <c r="L294" s="141"/>
      <c r="M294" s="57"/>
      <c r="N294" s="47"/>
      <c r="O294" s="47"/>
      <c r="P294" s="57"/>
      <c r="Q294" s="47"/>
      <c r="R294" s="57"/>
      <c r="S294" s="57"/>
      <c r="T294" s="57"/>
      <c r="U294" s="55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6" t="s">
        <v>1138</v>
      </c>
      <c r="B295" s="140"/>
      <c r="C295" s="42" t="str">
        <f>IF(B295="","",(VLOOKUP(B295,'Dados de PN'!$A:$B,2,0)))</f>
        <v/>
      </c>
      <c r="D295" s="140"/>
      <c r="E295" s="57"/>
      <c r="F295" s="57"/>
      <c r="G295" s="72"/>
      <c r="H295" s="72"/>
      <c r="I295" s="47"/>
      <c r="J295" s="57"/>
      <c r="K295" s="45"/>
      <c r="L295" s="141"/>
      <c r="M295" s="57"/>
      <c r="N295" s="47"/>
      <c r="O295" s="47"/>
      <c r="P295" s="57"/>
      <c r="Q295" s="47"/>
      <c r="R295" s="57"/>
      <c r="S295" s="57"/>
      <c r="T295" s="57"/>
      <c r="U295" s="55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6" t="s">
        <v>1139</v>
      </c>
      <c r="B296" s="140"/>
      <c r="C296" s="42" t="str">
        <f>IF(B296="","",(VLOOKUP(B296,'Dados de PN'!$A:$B,2,0)))</f>
        <v/>
      </c>
      <c r="D296" s="140"/>
      <c r="E296" s="57"/>
      <c r="F296" s="57"/>
      <c r="G296" s="72"/>
      <c r="H296" s="72"/>
      <c r="I296" s="47"/>
      <c r="J296" s="57"/>
      <c r="K296" s="45"/>
      <c r="L296" s="141"/>
      <c r="M296" s="57"/>
      <c r="N296" s="47"/>
      <c r="O296" s="47"/>
      <c r="P296" s="57"/>
      <c r="Q296" s="47"/>
      <c r="R296" s="57"/>
      <c r="S296" s="57"/>
      <c r="T296" s="57"/>
      <c r="U296" s="55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6" t="s">
        <v>1140</v>
      </c>
      <c r="B297" s="140"/>
      <c r="C297" s="42" t="str">
        <f>IF(B297="","",(VLOOKUP(B297,'Dados de PN'!$A:$B,2,0)))</f>
        <v/>
      </c>
      <c r="D297" s="140"/>
      <c r="E297" s="57"/>
      <c r="F297" s="57"/>
      <c r="G297" s="72"/>
      <c r="H297" s="72"/>
      <c r="I297" s="47"/>
      <c r="J297" s="57"/>
      <c r="K297" s="45"/>
      <c r="L297" s="141"/>
      <c r="M297" s="57"/>
      <c r="N297" s="47"/>
      <c r="O297" s="47"/>
      <c r="P297" s="57"/>
      <c r="Q297" s="47"/>
      <c r="R297" s="57"/>
      <c r="S297" s="57"/>
      <c r="T297" s="57"/>
      <c r="U297" s="55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6" t="s">
        <v>1141</v>
      </c>
      <c r="B298" s="140"/>
      <c r="C298" s="42" t="str">
        <f>IF(B298="","",(VLOOKUP(B298,'Dados de PN'!$A:$B,2,0)))</f>
        <v/>
      </c>
      <c r="D298" s="140"/>
      <c r="E298" s="57"/>
      <c r="F298" s="57"/>
      <c r="G298" s="72"/>
      <c r="H298" s="72"/>
      <c r="I298" s="47"/>
      <c r="J298" s="57"/>
      <c r="K298" s="45"/>
      <c r="L298" s="141"/>
      <c r="M298" s="57"/>
      <c r="N298" s="47"/>
      <c r="O298" s="47"/>
      <c r="P298" s="57"/>
      <c r="Q298" s="47"/>
      <c r="R298" s="57"/>
      <c r="S298" s="57"/>
      <c r="T298" s="57"/>
      <c r="U298" s="55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6" t="s">
        <v>1142</v>
      </c>
      <c r="B299" s="140"/>
      <c r="C299" s="42" t="str">
        <f>IF(B299="","",(VLOOKUP(B299,'Dados de PN'!$A:$B,2,0)))</f>
        <v/>
      </c>
      <c r="D299" s="140"/>
      <c r="E299" s="57"/>
      <c r="F299" s="57"/>
      <c r="G299" s="72"/>
      <c r="H299" s="72"/>
      <c r="I299" s="47"/>
      <c r="J299" s="57"/>
      <c r="K299" s="45"/>
      <c r="L299" s="141"/>
      <c r="M299" s="57"/>
      <c r="N299" s="47"/>
      <c r="O299" s="47"/>
      <c r="P299" s="57"/>
      <c r="Q299" s="47"/>
      <c r="R299" s="57"/>
      <c r="S299" s="57"/>
      <c r="T299" s="57"/>
      <c r="U299" s="55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58"/>
      <c r="D303" s="195"/>
      <c r="G303" s="120"/>
      <c r="H303" s="120"/>
      <c r="I303" s="197"/>
      <c r="L303" s="82"/>
      <c r="N303" s="197"/>
      <c r="O303" s="197"/>
      <c r="Q303" s="197"/>
      <c r="U303" s="198"/>
    </row>
    <row r="304">
      <c r="A304" s="82"/>
      <c r="B304" s="158"/>
      <c r="D304" s="195"/>
      <c r="G304" s="120"/>
      <c r="H304" s="120"/>
      <c r="I304" s="197"/>
      <c r="L304" s="82"/>
      <c r="N304" s="197"/>
      <c r="O304" s="197"/>
      <c r="Q304" s="197"/>
      <c r="U304" s="198"/>
    </row>
    <row r="305">
      <c r="B305" s="82"/>
      <c r="D305" s="199"/>
      <c r="G305" s="120"/>
      <c r="H305" s="120"/>
      <c r="I305" s="197"/>
      <c r="L305" s="82"/>
      <c r="N305" s="197"/>
      <c r="O305" s="197"/>
      <c r="Q305" s="197"/>
      <c r="U305" s="198"/>
    </row>
    <row r="306">
      <c r="A306" s="82"/>
      <c r="B306" s="82"/>
      <c r="G306" s="120"/>
      <c r="H306" s="120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0" t="str">
        <f>[3]Controle!$K$1</f>
        <v>#ERROR!</v>
      </c>
      <c r="P2" s="21"/>
      <c r="Q2" s="16"/>
      <c r="R2" s="5"/>
      <c r="S2" s="5"/>
      <c r="T2" s="5"/>
      <c r="U2" s="5"/>
      <c r="V2" s="5"/>
      <c r="W2" s="5"/>
      <c r="X2" s="5"/>
      <c r="Y2" s="5"/>
      <c r="Z2" s="5"/>
    </row>
    <row r="3">
      <c r="A3" s="24"/>
      <c r="B3" s="25"/>
      <c r="C3" s="24"/>
      <c r="H3" s="25"/>
      <c r="I3" s="14"/>
      <c r="J3" s="14"/>
      <c r="K3" s="14"/>
      <c r="L3" s="14"/>
      <c r="M3" s="15" t="s">
        <v>18</v>
      </c>
      <c r="N3" s="16"/>
      <c r="O3" s="20" t="str">
        <f>[3]Controle!$K$2</f>
        <v>#ERROR!</v>
      </c>
      <c r="P3" s="21"/>
      <c r="Q3" s="16"/>
      <c r="R3" s="5"/>
      <c r="S3" s="5"/>
      <c r="T3" s="5"/>
      <c r="U3" s="5"/>
      <c r="V3" s="5"/>
      <c r="W3" s="5"/>
      <c r="X3" s="5"/>
      <c r="Y3" s="5"/>
      <c r="Z3" s="5"/>
    </row>
    <row r="4">
      <c r="A4" s="31"/>
      <c r="B4" s="33"/>
      <c r="C4" s="31"/>
      <c r="D4" s="35"/>
      <c r="E4" s="35"/>
      <c r="F4" s="35"/>
      <c r="G4" s="35"/>
      <c r="H4" s="33"/>
      <c r="I4" s="14"/>
      <c r="J4" s="14"/>
      <c r="K4" s="14"/>
      <c r="L4" s="14"/>
      <c r="M4" s="15" t="s">
        <v>31</v>
      </c>
      <c r="N4" s="16"/>
      <c r="O4" s="20" t="str">
        <f>[3]Controle!$K$3</f>
        <v>#ERROR!</v>
      </c>
      <c r="P4" s="21"/>
      <c r="Q4" s="16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6</v>
      </c>
      <c r="B6" s="48" t="s">
        <v>7</v>
      </c>
      <c r="C6" s="52" t="s">
        <v>8</v>
      </c>
      <c r="D6" s="16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21</v>
      </c>
      <c r="K6" s="46" t="s">
        <v>43</v>
      </c>
      <c r="L6" s="46" t="s">
        <v>19</v>
      </c>
      <c r="M6" s="46" t="s">
        <v>22</v>
      </c>
      <c r="N6" s="46" t="s">
        <v>23</v>
      </c>
      <c r="O6" s="48" t="s">
        <v>44</v>
      </c>
      <c r="P6" s="48" t="s">
        <v>45</v>
      </c>
      <c r="Q6" s="48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30</v>
      </c>
      <c r="C7" s="66" t="s">
        <v>48</v>
      </c>
      <c r="D7" s="62" t="s">
        <v>33</v>
      </c>
      <c r="E7" s="62">
        <v>1.0</v>
      </c>
      <c r="F7" s="62" t="s">
        <v>34</v>
      </c>
      <c r="G7" s="67">
        <v>1.3947615E7</v>
      </c>
      <c r="H7" s="68">
        <v>45730.0</v>
      </c>
      <c r="I7" s="69"/>
      <c r="J7" s="62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30</v>
      </c>
      <c r="C8" s="66" t="s">
        <v>48</v>
      </c>
      <c r="D8" s="62" t="s">
        <v>33</v>
      </c>
      <c r="E8" s="62">
        <v>1.0</v>
      </c>
      <c r="F8" s="62" t="s">
        <v>34</v>
      </c>
      <c r="G8" s="67">
        <v>1.4000316E7</v>
      </c>
      <c r="H8" s="68">
        <v>45735.0</v>
      </c>
      <c r="I8" s="69"/>
      <c r="J8" s="62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50</v>
      </c>
      <c r="C9" s="66" t="s">
        <v>57</v>
      </c>
      <c r="D9" s="62" t="s">
        <v>33</v>
      </c>
      <c r="E9" s="62">
        <v>100.0</v>
      </c>
      <c r="F9" s="62" t="s">
        <v>51</v>
      </c>
      <c r="G9" s="67">
        <v>1.3719978E7</v>
      </c>
      <c r="H9" s="68">
        <v>45737.0</v>
      </c>
      <c r="I9" s="69"/>
      <c r="J9" s="62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56</v>
      </c>
      <c r="C10" s="66" t="s">
        <v>65</v>
      </c>
      <c r="D10" s="62" t="s">
        <v>33</v>
      </c>
      <c r="E10" s="62">
        <v>100.0</v>
      </c>
      <c r="F10" s="62" t="s">
        <v>34</v>
      </c>
      <c r="G10" s="67">
        <v>1.4119927E7</v>
      </c>
      <c r="H10" s="68">
        <v>45747.0</v>
      </c>
      <c r="I10" s="69"/>
      <c r="J10" s="62">
        <v>2731.0</v>
      </c>
      <c r="K10" s="69"/>
      <c r="L10" s="69"/>
      <c r="M10" s="77" t="s">
        <v>64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68</v>
      </c>
      <c r="C11" s="66" t="s">
        <v>70</v>
      </c>
      <c r="D11" s="62" t="s">
        <v>33</v>
      </c>
      <c r="E11" s="62">
        <v>100.0</v>
      </c>
      <c r="F11" s="62" t="s">
        <v>34</v>
      </c>
      <c r="G11" s="67">
        <v>1.4119761E7</v>
      </c>
      <c r="H11" s="68">
        <v>45747.0</v>
      </c>
      <c r="I11" s="69"/>
      <c r="J11" s="62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73</v>
      </c>
      <c r="C12" s="66" t="s">
        <v>75</v>
      </c>
      <c r="D12" s="62" t="s">
        <v>33</v>
      </c>
      <c r="E12" s="62">
        <v>500.0</v>
      </c>
      <c r="F12" s="62" t="s">
        <v>34</v>
      </c>
      <c r="G12" s="67">
        <v>1.4119172E7</v>
      </c>
      <c r="H12" s="68">
        <v>45747.0</v>
      </c>
      <c r="I12" s="69"/>
      <c r="J12" s="62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77</v>
      </c>
      <c r="C13" s="66" t="s">
        <v>78</v>
      </c>
      <c r="D13" s="62" t="s">
        <v>33</v>
      </c>
      <c r="E13" s="62">
        <v>100.0</v>
      </c>
      <c r="F13" s="62" t="s">
        <v>34</v>
      </c>
      <c r="G13" s="67">
        <v>1.4118815E7</v>
      </c>
      <c r="H13" s="68">
        <v>45747.0</v>
      </c>
      <c r="I13" s="69"/>
      <c r="J13" s="62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80</v>
      </c>
      <c r="C14" s="66" t="s">
        <v>78</v>
      </c>
      <c r="D14" s="62" t="s">
        <v>33</v>
      </c>
      <c r="E14" s="62">
        <v>1.0</v>
      </c>
      <c r="F14" s="62" t="s">
        <v>34</v>
      </c>
      <c r="G14" s="67">
        <v>1.4118717E7</v>
      </c>
      <c r="H14" s="68">
        <v>45747.0</v>
      </c>
      <c r="I14" s="69"/>
      <c r="J14" s="62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83</v>
      </c>
      <c r="C15" s="66" t="s">
        <v>78</v>
      </c>
      <c r="D15" s="62" t="s">
        <v>33</v>
      </c>
      <c r="E15" s="62">
        <v>1.0</v>
      </c>
      <c r="F15" s="62" t="s">
        <v>34</v>
      </c>
      <c r="G15" s="67">
        <v>1.4118631E7</v>
      </c>
      <c r="H15" s="68">
        <v>45747.0</v>
      </c>
      <c r="I15" s="69"/>
      <c r="J15" s="62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87</v>
      </c>
      <c r="C16" s="66" t="s">
        <v>78</v>
      </c>
      <c r="D16" s="62" t="s">
        <v>33</v>
      </c>
      <c r="E16" s="62">
        <v>1.0</v>
      </c>
      <c r="F16" s="62" t="s">
        <v>34</v>
      </c>
      <c r="G16" s="67">
        <v>1.4118223E7</v>
      </c>
      <c r="H16" s="68">
        <v>45747.0</v>
      </c>
      <c r="I16" s="69"/>
      <c r="J16" s="62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91</v>
      </c>
      <c r="C17" s="66" t="s">
        <v>75</v>
      </c>
      <c r="D17" s="62" t="s">
        <v>33</v>
      </c>
      <c r="E17" s="62">
        <v>50.0</v>
      </c>
      <c r="F17" s="62" t="s">
        <v>34</v>
      </c>
      <c r="G17" s="67">
        <v>1.4117687E7</v>
      </c>
      <c r="H17" s="68">
        <v>45747.0</v>
      </c>
      <c r="I17" s="69"/>
      <c r="J17" s="62">
        <v>2731.0</v>
      </c>
      <c r="K17" s="69"/>
      <c r="L17" s="69"/>
      <c r="M17" s="85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96</v>
      </c>
      <c r="C18" s="66" t="s">
        <v>98</v>
      </c>
      <c r="D18" s="62" t="s">
        <v>33</v>
      </c>
      <c r="E18" s="62">
        <v>1.0</v>
      </c>
      <c r="F18" s="62" t="s">
        <v>99</v>
      </c>
      <c r="G18" s="67">
        <v>1.4305088E7</v>
      </c>
      <c r="H18" s="68">
        <v>45762.0</v>
      </c>
      <c r="I18" s="69"/>
      <c r="J18" s="62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103</v>
      </c>
      <c r="C19" s="66" t="s">
        <v>104</v>
      </c>
      <c r="D19" s="62" t="s">
        <v>33</v>
      </c>
      <c r="E19" s="62">
        <v>1.0</v>
      </c>
      <c r="F19" s="62" t="s">
        <v>34</v>
      </c>
      <c r="G19" s="67">
        <v>1.4309534E7</v>
      </c>
      <c r="H19" s="68">
        <v>45763.0</v>
      </c>
      <c r="I19" s="69"/>
      <c r="J19" s="62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108</v>
      </c>
      <c r="C20" s="66" t="s">
        <v>104</v>
      </c>
      <c r="D20" s="62" t="s">
        <v>33</v>
      </c>
      <c r="E20" s="62">
        <v>1.0</v>
      </c>
      <c r="F20" s="62" t="s">
        <v>34</v>
      </c>
      <c r="G20" s="67">
        <v>1.4316808E7</v>
      </c>
      <c r="H20" s="68">
        <v>45763.0</v>
      </c>
      <c r="I20" s="69"/>
      <c r="J20" s="62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113</v>
      </c>
      <c r="C21" s="66" t="s">
        <v>114</v>
      </c>
      <c r="D21" s="62" t="s">
        <v>33</v>
      </c>
      <c r="E21" s="62">
        <v>2.0</v>
      </c>
      <c r="F21" s="62" t="s">
        <v>34</v>
      </c>
      <c r="G21" s="67">
        <v>1.4478457E7</v>
      </c>
      <c r="H21" s="68">
        <v>45783.0</v>
      </c>
      <c r="I21" s="69"/>
      <c r="J21" s="62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6" t="s">
        <v>116</v>
      </c>
      <c r="D22" s="62" t="s">
        <v>33</v>
      </c>
      <c r="E22" s="62">
        <v>2.0</v>
      </c>
      <c r="F22" s="62" t="s">
        <v>34</v>
      </c>
      <c r="G22" s="67">
        <v>1.4478396E7</v>
      </c>
      <c r="H22" s="68">
        <v>45783.0</v>
      </c>
      <c r="I22" s="69"/>
      <c r="J22" s="62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121</v>
      </c>
      <c r="C23" s="66" t="s">
        <v>123</v>
      </c>
      <c r="D23" s="62" t="s">
        <v>33</v>
      </c>
      <c r="E23" s="62">
        <v>1.0</v>
      </c>
      <c r="F23" s="62" t="s">
        <v>99</v>
      </c>
      <c r="G23" s="67">
        <v>6.85240004653E11</v>
      </c>
      <c r="H23" s="68">
        <v>45784.0</v>
      </c>
      <c r="I23" s="69"/>
      <c r="J23" s="62">
        <v>2722.0</v>
      </c>
      <c r="K23" s="69"/>
      <c r="L23" s="64" t="s">
        <v>121</v>
      </c>
      <c r="M23" s="62" t="s">
        <v>124</v>
      </c>
      <c r="N23" s="64" t="s">
        <v>126</v>
      </c>
      <c r="O23" s="69"/>
      <c r="P23" s="90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129</v>
      </c>
      <c r="C24" s="66" t="s">
        <v>130</v>
      </c>
      <c r="D24" s="62" t="s">
        <v>33</v>
      </c>
      <c r="E24" s="62">
        <v>1.0</v>
      </c>
      <c r="F24" s="62" t="s">
        <v>34</v>
      </c>
      <c r="G24" s="67">
        <v>6.85250006026E11</v>
      </c>
      <c r="H24" s="68">
        <v>45784.0</v>
      </c>
      <c r="I24" s="69"/>
      <c r="J24" s="62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132</v>
      </c>
      <c r="C25" s="66" t="s">
        <v>133</v>
      </c>
      <c r="D25" s="62" t="s">
        <v>33</v>
      </c>
      <c r="E25" s="62">
        <v>16.0</v>
      </c>
      <c r="F25" s="62" t="s">
        <v>34</v>
      </c>
      <c r="G25" s="67">
        <v>1.4481761E7</v>
      </c>
      <c r="H25" s="68">
        <v>45784.0</v>
      </c>
      <c r="I25" s="69"/>
      <c r="J25" s="62" t="s">
        <v>135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132</v>
      </c>
      <c r="C26" s="66" t="s">
        <v>133</v>
      </c>
      <c r="D26" s="62" t="s">
        <v>33</v>
      </c>
      <c r="E26" s="62">
        <v>8.0</v>
      </c>
      <c r="F26" s="62" t="s">
        <v>34</v>
      </c>
      <c r="G26" s="67">
        <v>1.4482166E7</v>
      </c>
      <c r="H26" s="68">
        <v>45784.0</v>
      </c>
      <c r="I26" s="69"/>
      <c r="J26" s="62">
        <v>2729.0</v>
      </c>
      <c r="K26" s="69"/>
      <c r="L26" s="64" t="s">
        <v>139</v>
      </c>
      <c r="M26" s="62" t="s">
        <v>140</v>
      </c>
      <c r="N26" s="64" t="s">
        <v>141</v>
      </c>
      <c r="O26" s="69"/>
      <c r="P26" s="90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143</v>
      </c>
      <c r="C27" s="66" t="s">
        <v>144</v>
      </c>
      <c r="D27" s="62" t="s">
        <v>33</v>
      </c>
      <c r="E27" s="62">
        <v>1.0</v>
      </c>
      <c r="F27" s="62" t="s">
        <v>34</v>
      </c>
      <c r="G27" s="67">
        <v>1.4530282E7</v>
      </c>
      <c r="H27" s="68">
        <v>45789.0</v>
      </c>
      <c r="I27" s="69"/>
      <c r="J27" s="62">
        <v>2709.0</v>
      </c>
      <c r="K27" s="69"/>
      <c r="L27" s="64" t="s">
        <v>143</v>
      </c>
      <c r="M27" s="62" t="s">
        <v>147</v>
      </c>
      <c r="N27" s="64" t="s">
        <v>148</v>
      </c>
      <c r="O27" s="69"/>
      <c r="P27" s="90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156</v>
      </c>
      <c r="C28" s="66" t="s">
        <v>158</v>
      </c>
      <c r="D28" s="62" t="s">
        <v>33</v>
      </c>
      <c r="E28" s="62">
        <v>1.0</v>
      </c>
      <c r="F28" s="62" t="s">
        <v>51</v>
      </c>
      <c r="G28" s="67">
        <v>1.4530445E7</v>
      </c>
      <c r="H28" s="68">
        <v>45789.0</v>
      </c>
      <c r="I28" s="69"/>
      <c r="J28" s="62">
        <v>2709.0</v>
      </c>
      <c r="K28" s="69"/>
      <c r="L28" s="64" t="s">
        <v>156</v>
      </c>
      <c r="M28" s="62" t="s">
        <v>163</v>
      </c>
      <c r="N28" s="64" t="s">
        <v>164</v>
      </c>
      <c r="O28" s="69"/>
      <c r="P28" s="96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166</v>
      </c>
      <c r="C29" s="66" t="s">
        <v>167</v>
      </c>
      <c r="D29" s="62">
        <v>1876.0</v>
      </c>
      <c r="E29" s="62">
        <v>1.0</v>
      </c>
      <c r="F29" s="62" t="s">
        <v>99</v>
      </c>
      <c r="G29" s="67">
        <v>6.9425000186E11</v>
      </c>
      <c r="H29" s="68">
        <v>45791.0</v>
      </c>
      <c r="I29" s="69"/>
      <c r="J29" s="62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172</v>
      </c>
      <c r="C30" s="66" t="s">
        <v>173</v>
      </c>
      <c r="D30" s="62" t="s">
        <v>174</v>
      </c>
      <c r="E30" s="62">
        <v>1.0</v>
      </c>
      <c r="F30" s="62" t="s">
        <v>99</v>
      </c>
      <c r="G30" s="67">
        <v>1.4741958E7</v>
      </c>
      <c r="H30" s="68">
        <v>45814.0</v>
      </c>
      <c r="I30" s="69"/>
      <c r="J30" s="62" t="s">
        <v>176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178</v>
      </c>
      <c r="C31" s="66" t="s">
        <v>179</v>
      </c>
      <c r="D31" s="69"/>
      <c r="E31" s="62">
        <v>4.0</v>
      </c>
      <c r="F31" s="62" t="s">
        <v>34</v>
      </c>
      <c r="G31" s="67">
        <v>6.8525000789E11</v>
      </c>
      <c r="H31" s="68">
        <v>45819.0</v>
      </c>
      <c r="I31" s="69"/>
      <c r="J31" s="62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183</v>
      </c>
      <c r="C32" s="66" t="s">
        <v>184</v>
      </c>
      <c r="D32" s="69"/>
      <c r="E32" s="62">
        <v>1.0</v>
      </c>
      <c r="F32" s="62" t="s">
        <v>99</v>
      </c>
      <c r="G32" s="67">
        <v>6.93250000848E11</v>
      </c>
      <c r="H32" s="68">
        <v>45821.0</v>
      </c>
      <c r="I32" s="69"/>
      <c r="J32" s="62">
        <v>2732.0</v>
      </c>
      <c r="K32" s="69"/>
      <c r="L32" s="64" t="s">
        <v>186</v>
      </c>
      <c r="M32" s="62" t="s">
        <v>187</v>
      </c>
      <c r="N32" s="64" t="s">
        <v>189</v>
      </c>
      <c r="O32" s="69"/>
      <c r="P32" s="90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192</v>
      </c>
      <c r="C33" s="66" t="s">
        <v>193</v>
      </c>
      <c r="D33" s="62" t="s">
        <v>33</v>
      </c>
      <c r="E33" s="62">
        <v>1.0</v>
      </c>
      <c r="F33" s="62" t="s">
        <v>34</v>
      </c>
      <c r="G33" s="67">
        <v>3.13250016636E11</v>
      </c>
      <c r="H33" s="68">
        <v>45824.0</v>
      </c>
      <c r="I33" s="69"/>
      <c r="J33" s="62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198</v>
      </c>
      <c r="C34" s="66" t="s">
        <v>199</v>
      </c>
      <c r="D34" s="62">
        <v>890716.0</v>
      </c>
      <c r="E34" s="62">
        <v>1.0</v>
      </c>
      <c r="F34" s="62" t="s">
        <v>99</v>
      </c>
      <c r="G34" s="67">
        <v>1.4791313E7</v>
      </c>
      <c r="H34" s="68">
        <v>45825.0</v>
      </c>
      <c r="I34" s="69"/>
      <c r="J34" s="62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1" t="s">
        <v>202</v>
      </c>
      <c r="C35" s="103" t="s">
        <v>203</v>
      </c>
      <c r="D35" s="100" t="s">
        <v>33</v>
      </c>
      <c r="E35" s="100">
        <v>1.0</v>
      </c>
      <c r="F35" s="100" t="s">
        <v>34</v>
      </c>
      <c r="G35" s="105">
        <v>1.4915782E7</v>
      </c>
      <c r="H35" s="106">
        <v>45836.0</v>
      </c>
      <c r="I35" s="107"/>
      <c r="J35" s="100">
        <v>2740.0</v>
      </c>
      <c r="K35" s="107"/>
      <c r="L35" s="107"/>
      <c r="M35" s="107"/>
      <c r="N35" s="107"/>
      <c r="O35" s="107"/>
      <c r="P35" s="107"/>
      <c r="Q35" s="107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2">
        <v>30.0</v>
      </c>
      <c r="B36" s="64" t="s">
        <v>210</v>
      </c>
      <c r="C36" s="66" t="s">
        <v>211</v>
      </c>
      <c r="D36" s="62" t="s">
        <v>33</v>
      </c>
      <c r="E36" s="62">
        <v>2.0</v>
      </c>
      <c r="F36" s="62" t="s">
        <v>34</v>
      </c>
      <c r="G36" s="67">
        <v>3.96250014839E11</v>
      </c>
      <c r="H36" s="68">
        <v>45839.0</v>
      </c>
      <c r="I36" s="69"/>
      <c r="J36" s="62">
        <v>2733.0</v>
      </c>
      <c r="K36" s="69"/>
      <c r="L36" s="64" t="s">
        <v>215</v>
      </c>
      <c r="M36" s="62" t="s">
        <v>216</v>
      </c>
      <c r="N36" s="64" t="s">
        <v>217</v>
      </c>
      <c r="O36" s="69"/>
      <c r="P36" s="90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220</v>
      </c>
      <c r="C37" s="66" t="s">
        <v>211</v>
      </c>
      <c r="D37" s="62" t="s">
        <v>33</v>
      </c>
      <c r="E37" s="62">
        <v>2.0</v>
      </c>
      <c r="F37" s="62" t="s">
        <v>34</v>
      </c>
      <c r="G37" s="67">
        <v>3.9625001484E11</v>
      </c>
      <c r="H37" s="68">
        <v>45839.0</v>
      </c>
      <c r="I37" s="69"/>
      <c r="J37" s="62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227</v>
      </c>
      <c r="C38" s="66" t="s">
        <v>228</v>
      </c>
      <c r="D38" s="62" t="s">
        <v>33</v>
      </c>
      <c r="E38" s="62">
        <v>1.0</v>
      </c>
      <c r="F38" s="62" t="s">
        <v>34</v>
      </c>
      <c r="G38" s="67">
        <v>1.4966758E7</v>
      </c>
      <c r="H38" s="68">
        <v>45845.0</v>
      </c>
      <c r="I38" s="69"/>
      <c r="J38" s="62">
        <v>2703.0</v>
      </c>
      <c r="K38" s="69"/>
      <c r="L38" s="64" t="s">
        <v>227</v>
      </c>
      <c r="M38" s="62" t="s">
        <v>230</v>
      </c>
      <c r="N38" s="64" t="s">
        <v>231</v>
      </c>
      <c r="O38" s="69"/>
      <c r="P38" s="90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232</v>
      </c>
      <c r="C39" s="66" t="s">
        <v>233</v>
      </c>
      <c r="D39" s="62" t="s">
        <v>33</v>
      </c>
      <c r="E39" s="62">
        <v>1.0</v>
      </c>
      <c r="F39" s="62" t="s">
        <v>34</v>
      </c>
      <c r="G39" s="67">
        <v>1.5057806E7</v>
      </c>
      <c r="H39" s="68">
        <v>45856.0</v>
      </c>
      <c r="I39" s="69"/>
      <c r="J39" s="62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236</v>
      </c>
      <c r="C40" s="66" t="s">
        <v>237</v>
      </c>
      <c r="D40" s="62" t="s">
        <v>33</v>
      </c>
      <c r="E40" s="62">
        <v>1.0</v>
      </c>
      <c r="F40" s="62" t="s">
        <v>34</v>
      </c>
      <c r="G40" s="67">
        <v>1.5057808E7</v>
      </c>
      <c r="H40" s="68">
        <v>45856.0</v>
      </c>
      <c r="I40" s="69"/>
      <c r="J40" s="62">
        <v>2709.0</v>
      </c>
      <c r="K40" s="69"/>
      <c r="L40" s="64" t="s">
        <v>236</v>
      </c>
      <c r="M40" s="62" t="s">
        <v>239</v>
      </c>
      <c r="N40" s="64" t="s">
        <v>240</v>
      </c>
      <c r="O40" s="69"/>
      <c r="P40" s="90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242</v>
      </c>
      <c r="C41" s="66" t="s">
        <v>243</v>
      </c>
      <c r="D41" s="62" t="s">
        <v>33</v>
      </c>
      <c r="E41" s="62">
        <v>2.0</v>
      </c>
      <c r="F41" s="62" t="s">
        <v>34</v>
      </c>
      <c r="G41" s="67">
        <v>1.5062865E7</v>
      </c>
      <c r="H41" s="68">
        <v>45856.0</v>
      </c>
      <c r="I41" s="69"/>
      <c r="J41" s="62">
        <v>2709.0</v>
      </c>
      <c r="K41" s="69"/>
      <c r="L41" s="64" t="s">
        <v>242</v>
      </c>
      <c r="M41" s="62" t="s">
        <v>245</v>
      </c>
      <c r="N41" s="64" t="s">
        <v>240</v>
      </c>
      <c r="O41" s="69"/>
      <c r="P41" s="90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246</v>
      </c>
      <c r="C42" s="66" t="s">
        <v>243</v>
      </c>
      <c r="D42" s="62" t="s">
        <v>33</v>
      </c>
      <c r="E42" s="62">
        <v>3.0</v>
      </c>
      <c r="F42" s="62" t="s">
        <v>34</v>
      </c>
      <c r="G42" s="67">
        <v>1.5062866E7</v>
      </c>
      <c r="H42" s="68">
        <v>45856.0</v>
      </c>
      <c r="I42" s="69"/>
      <c r="J42" s="62">
        <v>2709.0</v>
      </c>
      <c r="K42" s="69"/>
      <c r="L42" s="64" t="s">
        <v>246</v>
      </c>
      <c r="M42" s="62" t="s">
        <v>248</v>
      </c>
      <c r="N42" s="64" t="s">
        <v>240</v>
      </c>
      <c r="O42" s="69"/>
      <c r="P42" s="90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249</v>
      </c>
      <c r="C43" s="66" t="s">
        <v>250</v>
      </c>
      <c r="D43" s="62" t="s">
        <v>33</v>
      </c>
      <c r="E43" s="62">
        <v>10.0</v>
      </c>
      <c r="F43" s="62" t="s">
        <v>34</v>
      </c>
      <c r="G43" s="67">
        <v>1.5062867E7</v>
      </c>
      <c r="H43" s="68">
        <v>45856.0</v>
      </c>
      <c r="I43" s="69"/>
      <c r="J43" s="62">
        <v>2709.0</v>
      </c>
      <c r="K43" s="69"/>
      <c r="L43" s="64" t="s">
        <v>249</v>
      </c>
      <c r="M43" s="62" t="s">
        <v>253</v>
      </c>
      <c r="N43" s="64" t="s">
        <v>240</v>
      </c>
      <c r="O43" s="69"/>
      <c r="P43" s="90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256</v>
      </c>
      <c r="C44" s="66" t="s">
        <v>258</v>
      </c>
      <c r="D44" s="62" t="s">
        <v>33</v>
      </c>
      <c r="E44" s="62">
        <v>3.0</v>
      </c>
      <c r="F44" s="62" t="s">
        <v>34</v>
      </c>
      <c r="G44" s="67">
        <v>1.506179E7</v>
      </c>
      <c r="H44" s="68">
        <v>45856.0</v>
      </c>
      <c r="I44" s="69"/>
      <c r="J44" s="62">
        <v>2709.0</v>
      </c>
      <c r="K44" s="69"/>
      <c r="L44" s="64" t="s">
        <v>256</v>
      </c>
      <c r="M44" s="62" t="s">
        <v>239</v>
      </c>
      <c r="N44" s="64" t="s">
        <v>240</v>
      </c>
      <c r="O44" s="69"/>
      <c r="P44" s="90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262</v>
      </c>
      <c r="C45" s="66" t="s">
        <v>263</v>
      </c>
      <c r="D45" s="62" t="s">
        <v>33</v>
      </c>
      <c r="E45" s="62">
        <v>10.0</v>
      </c>
      <c r="F45" s="62" t="s">
        <v>34</v>
      </c>
      <c r="G45" s="67">
        <v>1.514398E7</v>
      </c>
      <c r="H45" s="68">
        <v>45866.0</v>
      </c>
      <c r="I45" s="69"/>
      <c r="J45" s="62">
        <v>2709.0</v>
      </c>
      <c r="K45" s="69"/>
      <c r="L45" s="64" t="s">
        <v>262</v>
      </c>
      <c r="M45" s="62" t="s">
        <v>264</v>
      </c>
      <c r="N45" s="64" t="s">
        <v>266</v>
      </c>
      <c r="O45" s="69"/>
      <c r="P45" s="90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103</v>
      </c>
      <c r="C46" s="66" t="s">
        <v>104</v>
      </c>
      <c r="D46" s="62" t="s">
        <v>33</v>
      </c>
      <c r="E46" s="62">
        <v>2.0</v>
      </c>
      <c r="F46" s="62" t="s">
        <v>34</v>
      </c>
      <c r="G46" s="67">
        <v>1.5143981E7</v>
      </c>
      <c r="H46" s="68">
        <v>45866.0</v>
      </c>
      <c r="I46" s="69"/>
      <c r="J46" s="62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256</v>
      </c>
      <c r="C47" s="66" t="s">
        <v>258</v>
      </c>
      <c r="D47" s="62" t="s">
        <v>33</v>
      </c>
      <c r="E47" s="62">
        <v>2.0</v>
      </c>
      <c r="F47" s="62" t="s">
        <v>34</v>
      </c>
      <c r="G47" s="67">
        <v>1.5143982E7</v>
      </c>
      <c r="H47" s="68">
        <v>45866.0</v>
      </c>
      <c r="I47" s="69"/>
      <c r="J47" s="62">
        <v>2709.0</v>
      </c>
      <c r="K47" s="69"/>
      <c r="L47" s="64" t="s">
        <v>256</v>
      </c>
      <c r="M47" s="62" t="s">
        <v>239</v>
      </c>
      <c r="N47" s="64" t="s">
        <v>240</v>
      </c>
      <c r="O47" s="69"/>
      <c r="P47" s="90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277</v>
      </c>
      <c r="C48" s="66" t="s">
        <v>278</v>
      </c>
      <c r="D48" s="62">
        <v>17365.0</v>
      </c>
      <c r="E48" s="62">
        <v>1.0</v>
      </c>
      <c r="F48" s="62" t="s">
        <v>99</v>
      </c>
      <c r="G48" s="67">
        <v>1.5143983E7</v>
      </c>
      <c r="H48" s="68">
        <v>45866.0</v>
      </c>
      <c r="I48" s="69"/>
      <c r="J48" s="62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285</v>
      </c>
      <c r="C49" s="66" t="s">
        <v>286</v>
      </c>
      <c r="D49" s="62">
        <v>6966.0</v>
      </c>
      <c r="E49" s="62">
        <v>1.0</v>
      </c>
      <c r="F49" s="62" t="s">
        <v>99</v>
      </c>
      <c r="G49" s="67">
        <v>1.5143998E7</v>
      </c>
      <c r="H49" s="68">
        <v>45866.0</v>
      </c>
      <c r="I49" s="69"/>
      <c r="J49" s="62">
        <v>2709.0</v>
      </c>
      <c r="K49" s="69"/>
      <c r="L49" s="64" t="s">
        <v>287</v>
      </c>
      <c r="M49" s="62" t="s">
        <v>288</v>
      </c>
      <c r="N49" s="64" t="s">
        <v>289</v>
      </c>
      <c r="O49" s="69"/>
      <c r="P49" s="96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290</v>
      </c>
      <c r="C50" s="66" t="s">
        <v>291</v>
      </c>
      <c r="D50" s="62">
        <v>2.200519E7</v>
      </c>
      <c r="E50" s="62">
        <v>1.0</v>
      </c>
      <c r="F50" s="62" t="s">
        <v>99</v>
      </c>
      <c r="G50" s="67">
        <v>3.13250016954E11</v>
      </c>
      <c r="H50" s="68">
        <v>45882.0</v>
      </c>
      <c r="I50" s="69"/>
      <c r="J50" s="62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295</v>
      </c>
      <c r="C51" s="66" t="s">
        <v>296</v>
      </c>
      <c r="D51" s="62" t="s">
        <v>33</v>
      </c>
      <c r="E51" s="62">
        <v>4.0</v>
      </c>
      <c r="F51" s="62" t="s">
        <v>34</v>
      </c>
      <c r="G51" s="67">
        <v>1.5274927E7</v>
      </c>
      <c r="H51" s="68">
        <v>45882.0</v>
      </c>
      <c r="I51" s="69"/>
      <c r="J51" s="62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297</v>
      </c>
      <c r="C52" s="66" t="s">
        <v>298</v>
      </c>
      <c r="D52" s="62" t="s">
        <v>33</v>
      </c>
      <c r="E52" s="62">
        <v>2.0</v>
      </c>
      <c r="F52" s="62" t="s">
        <v>34</v>
      </c>
      <c r="G52" s="67">
        <v>1.5329914E7</v>
      </c>
      <c r="H52" s="68">
        <v>45890.0</v>
      </c>
      <c r="I52" s="69"/>
      <c r="J52" s="62">
        <v>2723.0</v>
      </c>
      <c r="K52" s="69"/>
      <c r="L52" s="64" t="s">
        <v>279</v>
      </c>
      <c r="M52" s="62" t="s">
        <v>163</v>
      </c>
      <c r="N52" s="64" t="s">
        <v>301</v>
      </c>
      <c r="O52" s="69"/>
      <c r="P52" s="96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303</v>
      </c>
      <c r="C53" s="66" t="s">
        <v>304</v>
      </c>
      <c r="D53" s="62" t="s">
        <v>33</v>
      </c>
      <c r="E53" s="62">
        <v>1.0</v>
      </c>
      <c r="F53" s="62" t="s">
        <v>34</v>
      </c>
      <c r="G53" s="67">
        <v>3.13250016991E11</v>
      </c>
      <c r="H53" s="68">
        <v>45903.0</v>
      </c>
      <c r="I53" s="69"/>
      <c r="J53" s="62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306</v>
      </c>
      <c r="C54" s="66" t="s">
        <v>307</v>
      </c>
      <c r="D54" s="62" t="s">
        <v>33</v>
      </c>
      <c r="E54" s="62">
        <v>1.0</v>
      </c>
      <c r="F54" s="62" t="s">
        <v>34</v>
      </c>
      <c r="G54" s="67">
        <v>1.5453227E7</v>
      </c>
      <c r="H54" s="68">
        <v>45904.0</v>
      </c>
      <c r="I54" s="69"/>
      <c r="J54" s="62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310</v>
      </c>
      <c r="C55" s="66" t="s">
        <v>311</v>
      </c>
      <c r="D55" s="62" t="s">
        <v>312</v>
      </c>
      <c r="E55" s="62">
        <v>1.0</v>
      </c>
      <c r="F55" s="62" t="s">
        <v>99</v>
      </c>
      <c r="G55" s="67">
        <v>1.5576074E7</v>
      </c>
      <c r="H55" s="68">
        <v>45912.0</v>
      </c>
      <c r="I55" s="69"/>
      <c r="J55" s="62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315</v>
      </c>
      <c r="C56" s="66" t="s">
        <v>316</v>
      </c>
      <c r="D56" s="62" t="s">
        <v>33</v>
      </c>
      <c r="E56" s="62">
        <v>10.0</v>
      </c>
      <c r="F56" s="62" t="s">
        <v>34</v>
      </c>
      <c r="G56" s="67">
        <v>3.86250012764E11</v>
      </c>
      <c r="H56" s="68">
        <v>45925.0</v>
      </c>
      <c r="I56" s="69"/>
      <c r="J56" s="62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318</v>
      </c>
      <c r="C57" s="66" t="s">
        <v>319</v>
      </c>
      <c r="D57" s="62" t="s">
        <v>320</v>
      </c>
      <c r="E57" s="62">
        <v>1.0</v>
      </c>
      <c r="F57" s="62" t="s">
        <v>34</v>
      </c>
      <c r="G57" s="67">
        <v>3.1325001706E11</v>
      </c>
      <c r="H57" s="68">
        <v>45924.0</v>
      </c>
      <c r="I57" s="69"/>
      <c r="J57" s="62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323</v>
      </c>
      <c r="C58" s="66" t="s">
        <v>324</v>
      </c>
      <c r="D58" s="62" t="s">
        <v>33</v>
      </c>
      <c r="E58" s="62">
        <v>1.0</v>
      </c>
      <c r="F58" s="62" t="s">
        <v>34</v>
      </c>
      <c r="G58" s="67">
        <v>3.13250017063E11</v>
      </c>
      <c r="H58" s="68">
        <v>45930.0</v>
      </c>
      <c r="I58" s="69"/>
      <c r="J58" s="62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327</v>
      </c>
      <c r="C59" s="66" t="s">
        <v>328</v>
      </c>
      <c r="D59" s="62" t="s">
        <v>33</v>
      </c>
      <c r="E59" s="62">
        <v>1.0</v>
      </c>
      <c r="F59" s="62" t="s">
        <v>34</v>
      </c>
      <c r="G59" s="67">
        <v>6.85250009964E11</v>
      </c>
      <c r="H59" s="68">
        <v>45930.0</v>
      </c>
      <c r="I59" s="69"/>
      <c r="J59" s="62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330</v>
      </c>
      <c r="C60" s="66" t="s">
        <v>331</v>
      </c>
      <c r="D60" s="62">
        <v>729.0</v>
      </c>
      <c r="E60" s="62">
        <v>1.0</v>
      </c>
      <c r="F60" s="62" t="s">
        <v>99</v>
      </c>
      <c r="G60" s="67">
        <v>1.5737266E7</v>
      </c>
      <c r="H60" s="68">
        <v>45931.0</v>
      </c>
      <c r="I60" s="69"/>
      <c r="J60" s="62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333</v>
      </c>
      <c r="C61" s="66" t="s">
        <v>335</v>
      </c>
      <c r="D61" s="62">
        <v>10.0</v>
      </c>
      <c r="E61" s="62">
        <v>1.0</v>
      </c>
      <c r="F61" s="62" t="s">
        <v>99</v>
      </c>
      <c r="G61" s="67">
        <v>1.5737271E7</v>
      </c>
      <c r="H61" s="68">
        <v>45931.0</v>
      </c>
      <c r="I61" s="69"/>
      <c r="J61" s="62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6" t="s">
        <v>339</v>
      </c>
      <c r="D62" s="62" t="s">
        <v>33</v>
      </c>
      <c r="E62" s="62">
        <v>2.0</v>
      </c>
      <c r="F62" s="62" t="s">
        <v>34</v>
      </c>
      <c r="G62" s="67">
        <v>1.5735958E7</v>
      </c>
      <c r="H62" s="68">
        <v>45931.0</v>
      </c>
      <c r="I62" s="69"/>
      <c r="J62" s="62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341</v>
      </c>
      <c r="C63" s="66" t="s">
        <v>342</v>
      </c>
      <c r="D63" s="62" t="s">
        <v>33</v>
      </c>
      <c r="E63" s="62">
        <v>1.0</v>
      </c>
      <c r="F63" s="62" t="s">
        <v>34</v>
      </c>
      <c r="G63" s="67">
        <v>1.5746456E7</v>
      </c>
      <c r="H63" s="68">
        <v>45931.0</v>
      </c>
      <c r="I63" s="69"/>
      <c r="J63" s="62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345</v>
      </c>
      <c r="C64" s="66" t="s">
        <v>346</v>
      </c>
      <c r="D64" s="62" t="s">
        <v>348</v>
      </c>
      <c r="E64" s="62">
        <v>1.0</v>
      </c>
      <c r="F64" s="62" t="s">
        <v>99</v>
      </c>
      <c r="G64" s="67">
        <v>1.5787463E7</v>
      </c>
      <c r="H64" s="68">
        <v>45937.0</v>
      </c>
      <c r="I64" s="69"/>
      <c r="J64" s="62">
        <v>2728.0</v>
      </c>
      <c r="K64" s="69"/>
      <c r="L64" s="64" t="s">
        <v>345</v>
      </c>
      <c r="M64" s="62" t="s">
        <v>350</v>
      </c>
      <c r="N64" s="64" t="s">
        <v>351</v>
      </c>
      <c r="O64" s="69"/>
      <c r="P64" s="90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354</v>
      </c>
      <c r="C65" s="66" t="s">
        <v>319</v>
      </c>
      <c r="D65" s="62" t="s">
        <v>33</v>
      </c>
      <c r="E65" s="62">
        <v>1.0</v>
      </c>
      <c r="F65" s="62" t="s">
        <v>34</v>
      </c>
      <c r="G65" s="67">
        <v>3.13250017009E11</v>
      </c>
      <c r="H65" s="68">
        <v>45938.0</v>
      </c>
      <c r="I65" s="69"/>
      <c r="J65" s="62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356</v>
      </c>
      <c r="C66" s="66" t="s">
        <v>357</v>
      </c>
      <c r="D66" s="62" t="s">
        <v>33</v>
      </c>
      <c r="E66" s="62">
        <v>1.0</v>
      </c>
      <c r="F66" s="62" t="s">
        <v>34</v>
      </c>
      <c r="G66" s="67">
        <v>1.578152E7</v>
      </c>
      <c r="H66" s="68">
        <v>45939.0</v>
      </c>
      <c r="I66" s="69"/>
      <c r="J66" s="62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359</v>
      </c>
      <c r="C67" s="66" t="s">
        <v>360</v>
      </c>
      <c r="D67" s="62" t="s">
        <v>33</v>
      </c>
      <c r="E67" s="62">
        <v>2.0</v>
      </c>
      <c r="F67" s="62" t="s">
        <v>34</v>
      </c>
      <c r="G67" s="67">
        <v>1.5781491E7</v>
      </c>
      <c r="H67" s="68">
        <v>45939.0</v>
      </c>
      <c r="I67" s="69"/>
      <c r="J67" s="62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359</v>
      </c>
      <c r="C68" s="66" t="s">
        <v>360</v>
      </c>
      <c r="D68" s="62" t="s">
        <v>33</v>
      </c>
      <c r="E68" s="62">
        <v>2.0</v>
      </c>
      <c r="F68" s="62" t="s">
        <v>34</v>
      </c>
      <c r="G68" s="67">
        <v>1.5781465E7</v>
      </c>
      <c r="H68" s="68">
        <v>45939.0</v>
      </c>
      <c r="I68" s="69"/>
      <c r="J68" s="62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367</v>
      </c>
      <c r="C69" s="66" t="s">
        <v>368</v>
      </c>
      <c r="D69" s="62" t="s">
        <v>33</v>
      </c>
      <c r="E69" s="62">
        <v>8.0</v>
      </c>
      <c r="F69" s="62" t="s">
        <v>34</v>
      </c>
      <c r="G69" s="67">
        <v>1.5815693E7</v>
      </c>
      <c r="H69" s="127">
        <v>45940.0</v>
      </c>
      <c r="I69" s="69"/>
      <c r="J69" s="62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372</v>
      </c>
      <c r="C70" s="66" t="s">
        <v>373</v>
      </c>
      <c r="D70" s="62" t="s">
        <v>33</v>
      </c>
      <c r="E70" s="62">
        <v>40.0</v>
      </c>
      <c r="F70" s="62" t="s">
        <v>34</v>
      </c>
      <c r="G70" s="67">
        <v>3.86250012806E11</v>
      </c>
      <c r="H70" s="127">
        <v>45943.0</v>
      </c>
      <c r="I70" s="69"/>
      <c r="J70" s="62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376</v>
      </c>
      <c r="C71" s="66" t="s">
        <v>377</v>
      </c>
      <c r="D71" s="62" t="s">
        <v>33</v>
      </c>
      <c r="E71" s="62">
        <v>1.0</v>
      </c>
      <c r="F71" s="62" t="s">
        <v>99</v>
      </c>
      <c r="G71" s="67">
        <v>1.5832582E7</v>
      </c>
      <c r="H71" s="127">
        <v>45943.0</v>
      </c>
      <c r="I71" s="69"/>
      <c r="J71" s="62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379</v>
      </c>
      <c r="C72" s="66" t="s">
        <v>381</v>
      </c>
      <c r="D72" s="62" t="s">
        <v>33</v>
      </c>
      <c r="E72" s="62">
        <v>2.0</v>
      </c>
      <c r="F72" s="62" t="s">
        <v>34</v>
      </c>
      <c r="G72" s="67">
        <v>1.5820993E7</v>
      </c>
      <c r="H72" s="127">
        <v>45943.0</v>
      </c>
      <c r="I72" s="69"/>
      <c r="J72" s="62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385</v>
      </c>
      <c r="C73" s="66" t="s">
        <v>386</v>
      </c>
      <c r="D73" s="62">
        <v>3.4173442E7</v>
      </c>
      <c r="E73" s="62">
        <v>1.0</v>
      </c>
      <c r="F73" s="62" t="s">
        <v>51</v>
      </c>
      <c r="G73" s="67">
        <v>1.5983589E7</v>
      </c>
      <c r="H73" s="127">
        <v>45961.0</v>
      </c>
      <c r="I73" s="69"/>
      <c r="J73" s="62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389</v>
      </c>
      <c r="C74" s="66" t="s">
        <v>390</v>
      </c>
      <c r="D74" s="62" t="s">
        <v>33</v>
      </c>
      <c r="E74" s="62">
        <v>2.0</v>
      </c>
      <c r="F74" s="62" t="s">
        <v>34</v>
      </c>
      <c r="G74" s="67">
        <v>1.5996602E7</v>
      </c>
      <c r="H74" s="68">
        <v>45965.0</v>
      </c>
      <c r="I74" s="69"/>
      <c r="J74" s="62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393</v>
      </c>
      <c r="C75" s="66" t="s">
        <v>394</v>
      </c>
      <c r="D75" s="62" t="s">
        <v>33</v>
      </c>
      <c r="E75" s="62">
        <v>1.0</v>
      </c>
      <c r="F75" s="62" t="s">
        <v>34</v>
      </c>
      <c r="G75" s="67">
        <v>6.90250002091E11</v>
      </c>
      <c r="H75" s="68">
        <v>45965.0</v>
      </c>
      <c r="I75" s="69"/>
      <c r="J75" s="62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396</v>
      </c>
      <c r="C76" s="66" t="s">
        <v>397</v>
      </c>
      <c r="D76" s="62" t="s">
        <v>33</v>
      </c>
      <c r="E76" s="62">
        <v>1.0</v>
      </c>
      <c r="F76" s="62" t="s">
        <v>99</v>
      </c>
      <c r="G76" s="67">
        <v>3.86250012861E11</v>
      </c>
      <c r="H76" s="68">
        <v>45965.0</v>
      </c>
      <c r="I76" s="69"/>
      <c r="J76" s="62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399</v>
      </c>
      <c r="C77" s="66" t="s">
        <v>400</v>
      </c>
      <c r="D77" s="62" t="s">
        <v>33</v>
      </c>
      <c r="E77" s="62">
        <v>2.0</v>
      </c>
      <c r="F77" s="62" t="s">
        <v>34</v>
      </c>
      <c r="G77" s="67">
        <v>1.6026728E7</v>
      </c>
      <c r="H77" s="68">
        <v>45967.0</v>
      </c>
      <c r="I77" s="69"/>
      <c r="J77" s="62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403</v>
      </c>
      <c r="C78" s="66" t="s">
        <v>404</v>
      </c>
      <c r="D78" s="62" t="s">
        <v>33</v>
      </c>
      <c r="E78" s="62">
        <v>2.0</v>
      </c>
      <c r="F78" s="62" t="s">
        <v>34</v>
      </c>
      <c r="G78" s="67">
        <v>6.85250010171E11</v>
      </c>
      <c r="H78" s="68">
        <v>45967.0</v>
      </c>
      <c r="I78" s="69"/>
      <c r="J78" s="62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408</v>
      </c>
      <c r="C79" s="66" t="s">
        <v>404</v>
      </c>
      <c r="D79" s="62" t="s">
        <v>33</v>
      </c>
      <c r="E79" s="62">
        <v>2.0</v>
      </c>
      <c r="F79" s="62" t="s">
        <v>34</v>
      </c>
      <c r="G79" s="67">
        <v>1.6016631E7</v>
      </c>
      <c r="H79" s="68">
        <v>45967.0</v>
      </c>
      <c r="I79" s="69"/>
      <c r="J79" s="62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410</v>
      </c>
      <c r="C80" s="66" t="s">
        <v>411</v>
      </c>
      <c r="D80" s="62" t="s">
        <v>33</v>
      </c>
      <c r="E80" s="62">
        <v>2.0</v>
      </c>
      <c r="F80" s="62" t="s">
        <v>34</v>
      </c>
      <c r="G80" s="67">
        <v>3.13250017133E11</v>
      </c>
      <c r="H80" s="68">
        <v>45967.0</v>
      </c>
      <c r="I80" s="69"/>
      <c r="J80" s="62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415</v>
      </c>
      <c r="C81" s="66" t="s">
        <v>416</v>
      </c>
      <c r="D81" s="62" t="s">
        <v>33</v>
      </c>
      <c r="E81" s="62">
        <v>1.0</v>
      </c>
      <c r="F81" s="62" t="s">
        <v>99</v>
      </c>
      <c r="G81" s="67">
        <v>1.6043185E7</v>
      </c>
      <c r="H81" s="68">
        <v>45968.0</v>
      </c>
      <c r="I81" s="69"/>
      <c r="J81" s="62" t="s">
        <v>417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418</v>
      </c>
      <c r="C82" s="66" t="s">
        <v>416</v>
      </c>
      <c r="D82" s="62" t="s">
        <v>33</v>
      </c>
      <c r="E82" s="62">
        <v>3.0</v>
      </c>
      <c r="F82" s="62" t="s">
        <v>99</v>
      </c>
      <c r="G82" s="67">
        <v>1.6043186E7</v>
      </c>
      <c r="H82" s="68">
        <v>45968.0</v>
      </c>
      <c r="I82" s="69"/>
      <c r="J82" s="62" t="s">
        <v>417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422</v>
      </c>
      <c r="C83" s="66" t="s">
        <v>416</v>
      </c>
      <c r="D83" s="62" t="s">
        <v>33</v>
      </c>
      <c r="E83" s="62">
        <v>1.0</v>
      </c>
      <c r="F83" s="62" t="s">
        <v>99</v>
      </c>
      <c r="G83" s="67">
        <v>1.6043187E7</v>
      </c>
      <c r="H83" s="68">
        <v>45968.0</v>
      </c>
      <c r="I83" s="69"/>
      <c r="J83" s="62" t="s">
        <v>417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424</v>
      </c>
      <c r="C84" s="66" t="s">
        <v>416</v>
      </c>
      <c r="D84" s="62" t="s">
        <v>33</v>
      </c>
      <c r="E84" s="62">
        <v>1.0</v>
      </c>
      <c r="F84" s="62" t="s">
        <v>99</v>
      </c>
      <c r="G84" s="67">
        <v>1.6043188E7</v>
      </c>
      <c r="H84" s="68">
        <v>45968.0</v>
      </c>
      <c r="I84" s="69"/>
      <c r="J84" s="62" t="s">
        <v>417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428</v>
      </c>
      <c r="C85" s="66" t="s">
        <v>429</v>
      </c>
      <c r="D85" s="62" t="s">
        <v>33</v>
      </c>
      <c r="E85" s="62">
        <v>1.0</v>
      </c>
      <c r="F85" s="62" t="s">
        <v>34</v>
      </c>
      <c r="G85" s="67">
        <v>1.6043189E7</v>
      </c>
      <c r="H85" s="68">
        <v>45968.0</v>
      </c>
      <c r="I85" s="69"/>
      <c r="J85" s="62" t="s">
        <v>417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431</v>
      </c>
      <c r="C86" s="66" t="s">
        <v>432</v>
      </c>
      <c r="D86" s="62" t="s">
        <v>33</v>
      </c>
      <c r="E86" s="62">
        <v>1.0</v>
      </c>
      <c r="F86" s="62" t="s">
        <v>34</v>
      </c>
      <c r="G86" s="67">
        <v>1.605536E7</v>
      </c>
      <c r="H86" s="68">
        <v>45973.0</v>
      </c>
      <c r="I86" s="69"/>
      <c r="J86" s="62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434</v>
      </c>
      <c r="C87" s="66" t="s">
        <v>435</v>
      </c>
      <c r="D87" s="62" t="s">
        <v>33</v>
      </c>
      <c r="E87" s="62">
        <v>1.0</v>
      </c>
      <c r="F87" s="62" t="s">
        <v>34</v>
      </c>
      <c r="G87" s="67">
        <v>1.6075059E7</v>
      </c>
      <c r="H87" s="68">
        <v>45974.0</v>
      </c>
      <c r="I87" s="69"/>
      <c r="J87" s="62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438</v>
      </c>
      <c r="C88" s="66" t="s">
        <v>439</v>
      </c>
      <c r="D88" s="62" t="s">
        <v>33</v>
      </c>
      <c r="E88" s="62">
        <v>10.0</v>
      </c>
      <c r="F88" s="62" t="s">
        <v>34</v>
      </c>
      <c r="G88" s="67">
        <v>1.6026082E7</v>
      </c>
      <c r="H88" s="68">
        <v>45975.0</v>
      </c>
      <c r="I88" s="69"/>
      <c r="J88" s="62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440</v>
      </c>
      <c r="C89" s="66" t="s">
        <v>441</v>
      </c>
      <c r="D89" s="62" t="s">
        <v>33</v>
      </c>
      <c r="E89" s="62">
        <v>50.0</v>
      </c>
      <c r="F89" s="62" t="s">
        <v>34</v>
      </c>
      <c r="G89" s="67">
        <v>1.6089349E7</v>
      </c>
      <c r="H89" s="68">
        <v>45975.0</v>
      </c>
      <c r="I89" s="69"/>
      <c r="J89" s="62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443</v>
      </c>
      <c r="C90" s="66" t="s">
        <v>444</v>
      </c>
      <c r="D90" s="62">
        <v>35125.0</v>
      </c>
      <c r="E90" s="62">
        <v>1.0</v>
      </c>
      <c r="F90" s="62" t="s">
        <v>99</v>
      </c>
      <c r="G90" s="67">
        <v>1.6134646E7</v>
      </c>
      <c r="H90" s="68">
        <v>45982.0</v>
      </c>
      <c r="I90" s="69"/>
      <c r="J90" s="62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446</v>
      </c>
      <c r="C91" s="66" t="s">
        <v>447</v>
      </c>
      <c r="D91" s="62">
        <v>35104.0</v>
      </c>
      <c r="E91" s="62">
        <v>1.0</v>
      </c>
      <c r="F91" s="62" t="s">
        <v>99</v>
      </c>
      <c r="G91" s="67">
        <v>1.6134346E7</v>
      </c>
      <c r="H91" s="68">
        <v>45982.0</v>
      </c>
      <c r="I91" s="69"/>
      <c r="J91" s="62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449</v>
      </c>
      <c r="C92" s="66" t="s">
        <v>346</v>
      </c>
      <c r="D92" s="62" t="s">
        <v>450</v>
      </c>
      <c r="E92" s="62">
        <v>1.0</v>
      </c>
      <c r="F92" s="62" t="s">
        <v>99</v>
      </c>
      <c r="G92" s="67">
        <v>1.6146341E7</v>
      </c>
      <c r="H92" s="68">
        <v>45985.0</v>
      </c>
      <c r="I92" s="69"/>
      <c r="J92" s="62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202</v>
      </c>
      <c r="C93" s="66" t="s">
        <v>203</v>
      </c>
      <c r="D93" s="62" t="s">
        <v>453</v>
      </c>
      <c r="E93" s="62">
        <v>1.0</v>
      </c>
      <c r="F93" s="62" t="s">
        <v>34</v>
      </c>
      <c r="G93" s="67">
        <v>3.96250015798E11</v>
      </c>
      <c r="H93" s="68">
        <v>45985.0</v>
      </c>
      <c r="I93" s="69"/>
      <c r="J93" s="62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456</v>
      </c>
      <c r="C94" s="133"/>
      <c r="D94" s="69"/>
      <c r="E94" s="69"/>
      <c r="F94" s="69"/>
      <c r="G94" s="134"/>
      <c r="H94" s="135"/>
      <c r="I94" s="69"/>
      <c r="J94" s="69"/>
      <c r="K94" s="69"/>
      <c r="L94" s="69"/>
      <c r="M94" s="69"/>
      <c r="N94" s="64" t="s">
        <v>458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69"/>
      <c r="C95" s="133"/>
      <c r="D95" s="69"/>
      <c r="E95" s="69"/>
      <c r="F95" s="69"/>
      <c r="G95" s="134"/>
      <c r="H95" s="135"/>
      <c r="I95" s="69"/>
      <c r="J95" s="69"/>
      <c r="K95" s="69"/>
      <c r="L95" s="69"/>
      <c r="M95" s="69"/>
      <c r="N95" s="64" t="s">
        <v>458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69"/>
      <c r="C96" s="133"/>
      <c r="D96" s="69"/>
      <c r="E96" s="69"/>
      <c r="F96" s="69"/>
      <c r="G96" s="134"/>
      <c r="H96" s="135"/>
      <c r="I96" s="69"/>
      <c r="J96" s="69"/>
      <c r="K96" s="69"/>
      <c r="L96" s="69"/>
      <c r="M96" s="69"/>
      <c r="N96" s="64" t="s">
        <v>461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443</v>
      </c>
      <c r="C97" s="66" t="s">
        <v>444</v>
      </c>
      <c r="D97" s="62">
        <v>21697.0</v>
      </c>
      <c r="E97" s="62">
        <v>1.0</v>
      </c>
      <c r="F97" s="62" t="s">
        <v>99</v>
      </c>
      <c r="G97" s="67">
        <v>1.615863E7</v>
      </c>
      <c r="H97" s="68">
        <v>45986.0</v>
      </c>
      <c r="I97" s="69"/>
      <c r="J97" s="62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465</v>
      </c>
      <c r="C98" s="66" t="s">
        <v>466</v>
      </c>
      <c r="D98" s="62">
        <v>22739.0</v>
      </c>
      <c r="E98" s="62">
        <v>1.0</v>
      </c>
      <c r="F98" s="62" t="s">
        <v>99</v>
      </c>
      <c r="G98" s="67">
        <v>1.6243997E7</v>
      </c>
      <c r="H98" s="68">
        <v>45996.0</v>
      </c>
      <c r="I98" s="69"/>
      <c r="J98" s="62">
        <v>2709.0</v>
      </c>
      <c r="K98" s="69"/>
      <c r="L98" s="64" t="s">
        <v>465</v>
      </c>
      <c r="M98" s="62" t="s">
        <v>468</v>
      </c>
      <c r="N98" s="64" t="s">
        <v>188</v>
      </c>
      <c r="O98" s="69"/>
      <c r="P98" s="136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470</v>
      </c>
      <c r="C99" s="66" t="s">
        <v>471</v>
      </c>
      <c r="D99" s="62">
        <v>2.3361188E8</v>
      </c>
      <c r="E99" s="62">
        <v>1.0</v>
      </c>
      <c r="F99" s="62" t="s">
        <v>99</v>
      </c>
      <c r="G99" s="67">
        <v>1.6275401E7</v>
      </c>
      <c r="H99" s="68">
        <v>46002.0</v>
      </c>
      <c r="I99" s="69"/>
      <c r="J99" s="62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473</v>
      </c>
      <c r="C100" s="66" t="s">
        <v>474</v>
      </c>
      <c r="D100" s="62" t="s">
        <v>33</v>
      </c>
      <c r="E100" s="62">
        <v>2.0</v>
      </c>
      <c r="F100" s="62" t="s">
        <v>34</v>
      </c>
      <c r="G100" s="67">
        <v>3.86250012959E11</v>
      </c>
      <c r="H100" s="68">
        <v>46007.0</v>
      </c>
      <c r="I100" s="69"/>
      <c r="J100" s="62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479</v>
      </c>
      <c r="C101" s="66" t="s">
        <v>480</v>
      </c>
      <c r="D101" s="62" t="s">
        <v>33</v>
      </c>
      <c r="E101" s="62">
        <v>1.0</v>
      </c>
      <c r="F101" s="62" t="s">
        <v>34</v>
      </c>
      <c r="G101" s="67">
        <v>3.86250012963E11</v>
      </c>
      <c r="H101" s="68">
        <v>46007.0</v>
      </c>
      <c r="I101" s="69"/>
      <c r="J101" s="62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482</v>
      </c>
      <c r="C102" s="66" t="s">
        <v>483</v>
      </c>
      <c r="D102" s="62" t="s">
        <v>33</v>
      </c>
      <c r="E102" s="62">
        <v>1.0</v>
      </c>
      <c r="F102" s="62" t="s">
        <v>34</v>
      </c>
      <c r="G102" s="67">
        <v>1.6326465E7</v>
      </c>
      <c r="H102" s="68">
        <v>46008.0</v>
      </c>
      <c r="I102" s="69"/>
      <c r="J102" s="62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485</v>
      </c>
      <c r="C103" s="66" t="s">
        <v>486</v>
      </c>
      <c r="D103" s="62" t="s">
        <v>33</v>
      </c>
      <c r="E103" s="62">
        <v>1.0</v>
      </c>
      <c r="F103" s="62" t="s">
        <v>34</v>
      </c>
      <c r="G103" s="67">
        <v>3.13250017311E11</v>
      </c>
      <c r="H103" s="68">
        <v>46029.0</v>
      </c>
      <c r="I103" s="69"/>
      <c r="J103" s="62">
        <v>2741.0</v>
      </c>
      <c r="K103" s="69"/>
      <c r="L103" s="64" t="s">
        <v>485</v>
      </c>
      <c r="M103" s="69"/>
      <c r="N103" s="64" t="s">
        <v>488</v>
      </c>
      <c r="O103" s="69"/>
      <c r="P103" s="136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489</v>
      </c>
      <c r="C104" s="66" t="s">
        <v>490</v>
      </c>
      <c r="D104" s="62" t="s">
        <v>33</v>
      </c>
      <c r="E104" s="62">
        <v>1.0</v>
      </c>
      <c r="F104" s="62" t="s">
        <v>99</v>
      </c>
      <c r="G104" s="67">
        <v>3.13250017551E11</v>
      </c>
      <c r="H104" s="68">
        <v>46029.0</v>
      </c>
      <c r="I104" s="69"/>
      <c r="J104" s="62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492</v>
      </c>
      <c r="C105" s="66" t="s">
        <v>493</v>
      </c>
      <c r="D105" s="62" t="s">
        <v>33</v>
      </c>
      <c r="E105" s="62">
        <v>1.0</v>
      </c>
      <c r="F105" s="62" t="s">
        <v>99</v>
      </c>
      <c r="G105" s="67">
        <v>1.642849E7</v>
      </c>
      <c r="H105" s="68">
        <v>46034.0</v>
      </c>
      <c r="I105" s="69"/>
      <c r="J105" s="62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495</v>
      </c>
      <c r="C106" s="66" t="s">
        <v>496</v>
      </c>
      <c r="D106" s="62" t="s">
        <v>33</v>
      </c>
      <c r="E106" s="62">
        <v>1.0</v>
      </c>
      <c r="F106" s="62" t="s">
        <v>99</v>
      </c>
      <c r="G106" s="67">
        <v>1.6428515E7</v>
      </c>
      <c r="H106" s="68">
        <v>46034.0</v>
      </c>
      <c r="I106" s="69"/>
      <c r="J106" s="62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498</v>
      </c>
      <c r="C107" s="66" t="s">
        <v>499</v>
      </c>
      <c r="D107" s="69"/>
      <c r="E107" s="62">
        <v>1.0</v>
      </c>
      <c r="F107" s="62" t="s">
        <v>34</v>
      </c>
      <c r="G107" s="67">
        <v>1.6436319E7</v>
      </c>
      <c r="H107" s="68">
        <v>46035.0</v>
      </c>
      <c r="I107" s="69"/>
      <c r="J107" s="62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6" t="s">
        <v>501</v>
      </c>
      <c r="D108" s="69"/>
      <c r="E108" s="62">
        <v>1.0</v>
      </c>
      <c r="F108" s="62" t="s">
        <v>34</v>
      </c>
      <c r="G108" s="67">
        <v>6.9026E11</v>
      </c>
      <c r="H108" s="68">
        <v>46036.0</v>
      </c>
      <c r="I108" s="69"/>
      <c r="J108" s="62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502</v>
      </c>
      <c r="C109" s="66" t="s">
        <v>503</v>
      </c>
      <c r="D109" s="69"/>
      <c r="E109" s="62">
        <v>1.0</v>
      </c>
      <c r="F109" s="62" t="s">
        <v>34</v>
      </c>
      <c r="G109" s="67">
        <v>6.9026E11</v>
      </c>
      <c r="H109" s="68">
        <v>46036.0</v>
      </c>
      <c r="I109" s="69"/>
      <c r="J109" s="62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505</v>
      </c>
      <c r="C110" s="66" t="s">
        <v>506</v>
      </c>
      <c r="D110" s="69"/>
      <c r="E110" s="62">
        <v>1.0</v>
      </c>
      <c r="F110" s="62" t="s">
        <v>34</v>
      </c>
      <c r="G110" s="67">
        <v>3.9626E11</v>
      </c>
      <c r="H110" s="68">
        <v>46036.0</v>
      </c>
      <c r="I110" s="69"/>
      <c r="J110" s="62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508</v>
      </c>
      <c r="C111" s="66" t="s">
        <v>411</v>
      </c>
      <c r="D111" s="69"/>
      <c r="E111" s="62">
        <v>1.0</v>
      </c>
      <c r="F111" s="62" t="s">
        <v>34</v>
      </c>
      <c r="G111" s="67" t="s">
        <v>510</v>
      </c>
      <c r="H111" s="68">
        <v>46036.0</v>
      </c>
      <c r="I111" s="69"/>
      <c r="J111" s="62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192</v>
      </c>
      <c r="C112" s="66" t="s">
        <v>193</v>
      </c>
      <c r="D112" s="69"/>
      <c r="E112" s="62">
        <v>1.0</v>
      </c>
      <c r="F112" s="62" t="s">
        <v>34</v>
      </c>
      <c r="G112" s="67">
        <v>1.6455693E7</v>
      </c>
      <c r="H112" s="68">
        <v>46036.0</v>
      </c>
      <c r="I112" s="69"/>
      <c r="J112" s="62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514</v>
      </c>
      <c r="C113" s="66" t="s">
        <v>515</v>
      </c>
      <c r="D113" s="69"/>
      <c r="E113" s="62">
        <v>1.0</v>
      </c>
      <c r="F113" s="62" t="s">
        <v>34</v>
      </c>
      <c r="G113" s="67">
        <v>1.6463749E7</v>
      </c>
      <c r="H113" s="68">
        <v>46036.0</v>
      </c>
      <c r="I113" s="69"/>
      <c r="J113" s="62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514</v>
      </c>
      <c r="C114" s="66" t="s">
        <v>515</v>
      </c>
      <c r="D114" s="69"/>
      <c r="E114" s="62">
        <v>1.0</v>
      </c>
      <c r="F114" s="62" t="s">
        <v>34</v>
      </c>
      <c r="G114" s="67">
        <v>1.6479594E7</v>
      </c>
      <c r="H114" s="68">
        <v>46043.0</v>
      </c>
      <c r="I114" s="69"/>
      <c r="J114" s="62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518</v>
      </c>
      <c r="C115" s="66" t="s">
        <v>519</v>
      </c>
      <c r="D115" s="69"/>
      <c r="E115" s="62">
        <v>1.0</v>
      </c>
      <c r="F115" s="69"/>
      <c r="G115" s="67">
        <v>3.29260018825E11</v>
      </c>
      <c r="H115" s="68">
        <v>46043.0</v>
      </c>
      <c r="I115" s="69"/>
      <c r="J115" s="62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521</v>
      </c>
      <c r="C116" s="66" t="s">
        <v>522</v>
      </c>
      <c r="D116" s="69"/>
      <c r="E116" s="62">
        <v>1.0</v>
      </c>
      <c r="F116" s="69"/>
      <c r="G116" s="67">
        <v>3.29260018826E11</v>
      </c>
      <c r="H116" s="68">
        <v>46043.0</v>
      </c>
      <c r="I116" s="69"/>
      <c r="J116" s="62">
        <v>2720.0</v>
      </c>
      <c r="K116" s="69"/>
      <c r="L116" s="64" t="s">
        <v>521</v>
      </c>
      <c r="M116" s="62" t="s">
        <v>524</v>
      </c>
      <c r="N116" s="64" t="s">
        <v>525</v>
      </c>
      <c r="O116" s="69"/>
      <c r="P116" s="64" t="s">
        <v>526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528</v>
      </c>
      <c r="C117" s="66" t="s">
        <v>529</v>
      </c>
      <c r="D117" s="69"/>
      <c r="E117" s="62">
        <v>1.0</v>
      </c>
      <c r="F117" s="62" t="s">
        <v>99</v>
      </c>
      <c r="G117" s="67">
        <v>1.6494618E7</v>
      </c>
      <c r="H117" s="68">
        <v>46043.0</v>
      </c>
      <c r="I117" s="69"/>
      <c r="J117" s="62">
        <v>2722.0</v>
      </c>
      <c r="K117" s="69"/>
      <c r="L117" s="64" t="s">
        <v>532</v>
      </c>
      <c r="M117" s="62" t="s">
        <v>533</v>
      </c>
      <c r="N117" s="64" t="s">
        <v>534</v>
      </c>
      <c r="O117" s="69"/>
      <c r="P117" s="96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536</v>
      </c>
      <c r="C118" s="66" t="s">
        <v>537</v>
      </c>
      <c r="D118" s="69"/>
      <c r="E118" s="62">
        <v>1.0</v>
      </c>
      <c r="F118" s="62" t="s">
        <v>99</v>
      </c>
      <c r="G118" s="67">
        <v>1.6502E7</v>
      </c>
      <c r="H118" s="68">
        <v>46044.0</v>
      </c>
      <c r="I118" s="69"/>
      <c r="J118" s="62">
        <v>2719.0</v>
      </c>
      <c r="K118" s="69"/>
      <c r="L118" s="64" t="s">
        <v>538</v>
      </c>
      <c r="M118" s="62" t="s">
        <v>539</v>
      </c>
      <c r="N118" s="64" t="s">
        <v>540</v>
      </c>
      <c r="O118" s="69"/>
      <c r="P118" s="90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542</v>
      </c>
      <c r="C119" s="66" t="s">
        <v>543</v>
      </c>
      <c r="D119" s="69"/>
      <c r="E119" s="62">
        <v>1.0</v>
      </c>
      <c r="F119" s="62" t="s">
        <v>34</v>
      </c>
      <c r="G119" s="67">
        <v>1.6525969E7</v>
      </c>
      <c r="H119" s="68">
        <v>46049.0</v>
      </c>
      <c r="I119" s="69"/>
      <c r="J119" s="62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545</v>
      </c>
      <c r="C120" s="66" t="s">
        <v>546</v>
      </c>
      <c r="D120" s="69"/>
      <c r="E120" s="62">
        <v>1.0</v>
      </c>
      <c r="F120" s="62" t="s">
        <v>34</v>
      </c>
      <c r="G120" s="67">
        <v>1.6525969E7</v>
      </c>
      <c r="H120" s="68">
        <v>46049.0</v>
      </c>
      <c r="I120" s="69"/>
      <c r="J120" s="62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549</v>
      </c>
      <c r="C121" s="66" t="s">
        <v>550</v>
      </c>
      <c r="D121" s="69"/>
      <c r="E121" s="62">
        <v>1.0</v>
      </c>
      <c r="F121" s="62" t="s">
        <v>34</v>
      </c>
      <c r="G121" s="67">
        <v>1.6559873E7</v>
      </c>
      <c r="H121" s="68">
        <v>46050.0</v>
      </c>
      <c r="I121" s="69"/>
      <c r="J121" s="62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552</v>
      </c>
      <c r="C122" s="66" t="s">
        <v>553</v>
      </c>
      <c r="D122" s="69"/>
      <c r="E122" s="62">
        <v>2.0</v>
      </c>
      <c r="F122" s="62" t="s">
        <v>34</v>
      </c>
      <c r="G122" s="67">
        <v>1.6559874E7</v>
      </c>
      <c r="H122" s="68">
        <v>46050.0</v>
      </c>
      <c r="I122" s="69"/>
      <c r="J122" s="62">
        <v>2743.0</v>
      </c>
      <c r="K122" s="69"/>
      <c r="L122" s="64" t="s">
        <v>552</v>
      </c>
      <c r="M122" s="62" t="s">
        <v>554</v>
      </c>
      <c r="N122" s="64" t="s">
        <v>555</v>
      </c>
      <c r="O122" s="69"/>
      <c r="P122" s="90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559</v>
      </c>
      <c r="C123" s="66" t="s">
        <v>560</v>
      </c>
      <c r="D123" s="69"/>
      <c r="E123" s="62">
        <v>2.0</v>
      </c>
      <c r="F123" s="62" t="s">
        <v>34</v>
      </c>
      <c r="G123" s="67">
        <v>1.6559875E7</v>
      </c>
      <c r="H123" s="68">
        <v>46050.0</v>
      </c>
      <c r="I123" s="69"/>
      <c r="J123" s="62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562</v>
      </c>
      <c r="C124" s="66" t="s">
        <v>563</v>
      </c>
      <c r="D124" s="62" t="s">
        <v>33</v>
      </c>
      <c r="E124" s="62">
        <v>10.0</v>
      </c>
      <c r="F124" s="62" t="s">
        <v>34</v>
      </c>
      <c r="G124" s="67">
        <v>3.86260013052E11</v>
      </c>
      <c r="H124" s="68">
        <v>46063.0</v>
      </c>
      <c r="I124" s="69"/>
      <c r="J124" s="62">
        <v>2743.0</v>
      </c>
      <c r="K124" s="64" t="s">
        <v>384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566</v>
      </c>
      <c r="C125" s="66" t="s">
        <v>567</v>
      </c>
      <c r="D125" s="62" t="s">
        <v>33</v>
      </c>
      <c r="E125" s="62">
        <v>1.0</v>
      </c>
      <c r="F125" s="62" t="s">
        <v>34</v>
      </c>
      <c r="G125" s="67">
        <v>3.1325001755E11</v>
      </c>
      <c r="H125" s="68">
        <v>46028.0</v>
      </c>
      <c r="I125" s="69"/>
      <c r="J125" s="62">
        <v>2732.0</v>
      </c>
      <c r="K125" s="64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569</v>
      </c>
      <c r="C126" s="66" t="s">
        <v>570</v>
      </c>
      <c r="D126" s="62">
        <v>2056.0</v>
      </c>
      <c r="E126" s="62">
        <v>1.0</v>
      </c>
      <c r="F126" s="62" t="s">
        <v>99</v>
      </c>
      <c r="G126" s="67" t="s">
        <v>571</v>
      </c>
      <c r="H126" s="68">
        <v>46065.0</v>
      </c>
      <c r="I126" s="69"/>
      <c r="J126" s="62">
        <v>2728.0</v>
      </c>
      <c r="K126" s="64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574</v>
      </c>
      <c r="C127" s="66" t="s">
        <v>575</v>
      </c>
      <c r="D127" s="62" t="s">
        <v>576</v>
      </c>
      <c r="E127" s="62">
        <v>1.0</v>
      </c>
      <c r="F127" s="62" t="s">
        <v>99</v>
      </c>
      <c r="G127" s="67" t="s">
        <v>578</v>
      </c>
      <c r="H127" s="68">
        <v>46065.0</v>
      </c>
      <c r="I127" s="69"/>
      <c r="J127" s="62">
        <v>2728.0</v>
      </c>
      <c r="K127" s="64" t="s">
        <v>54</v>
      </c>
      <c r="L127" s="64" t="s">
        <v>574</v>
      </c>
      <c r="M127" s="62" t="s">
        <v>579</v>
      </c>
      <c r="N127" s="64" t="s">
        <v>581</v>
      </c>
      <c r="O127" s="69"/>
      <c r="P127" s="90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582</v>
      </c>
      <c r="C128" s="66" t="s">
        <v>583</v>
      </c>
      <c r="D128" s="62" t="s">
        <v>33</v>
      </c>
      <c r="E128" s="62">
        <v>1.0</v>
      </c>
      <c r="F128" s="62" t="s">
        <v>34</v>
      </c>
      <c r="G128" s="67">
        <v>6.8526001085E11</v>
      </c>
      <c r="H128" s="68">
        <v>46065.0</v>
      </c>
      <c r="I128" s="69"/>
      <c r="J128" s="62">
        <v>2719.0</v>
      </c>
      <c r="K128" s="64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582</v>
      </c>
      <c r="C129" s="66" t="s">
        <v>583</v>
      </c>
      <c r="D129" s="62" t="s">
        <v>33</v>
      </c>
      <c r="E129" s="62">
        <v>1.0</v>
      </c>
      <c r="F129" s="62" t="s">
        <v>34</v>
      </c>
      <c r="G129" s="67">
        <v>6.85260010851E11</v>
      </c>
      <c r="H129" s="68">
        <v>46065.0</v>
      </c>
      <c r="I129" s="69"/>
      <c r="J129" s="62">
        <v>2728.0</v>
      </c>
      <c r="K129" s="64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33"/>
      <c r="D130" s="139">
        <v>5.0400339332521E14</v>
      </c>
      <c r="E130" s="62">
        <v>1.0</v>
      </c>
      <c r="F130" s="62" t="s">
        <v>99</v>
      </c>
      <c r="G130" s="67" t="s">
        <v>587</v>
      </c>
      <c r="H130" s="68">
        <v>46066.0</v>
      </c>
      <c r="I130" s="69"/>
      <c r="J130" s="62">
        <v>2709.0</v>
      </c>
      <c r="K130" s="64" t="s">
        <v>122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589</v>
      </c>
      <c r="C131" s="66" t="s">
        <v>590</v>
      </c>
      <c r="D131" s="69"/>
      <c r="E131" s="62">
        <v>1.0</v>
      </c>
      <c r="F131" s="62" t="s">
        <v>34</v>
      </c>
      <c r="G131" s="67">
        <v>3.84260009358E11</v>
      </c>
      <c r="H131" s="68">
        <v>46073.0</v>
      </c>
      <c r="I131" s="69"/>
      <c r="J131" s="62">
        <v>2742.0</v>
      </c>
      <c r="K131" s="64" t="s">
        <v>558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415</v>
      </c>
      <c r="C132" s="66" t="s">
        <v>593</v>
      </c>
      <c r="D132" s="69"/>
      <c r="E132" s="62">
        <v>1.0</v>
      </c>
      <c r="F132" s="62" t="s">
        <v>99</v>
      </c>
      <c r="G132" s="67">
        <v>1.6737719E7</v>
      </c>
      <c r="H132" s="68">
        <v>46073.0</v>
      </c>
      <c r="I132" s="69"/>
      <c r="J132" s="62">
        <v>2709.0</v>
      </c>
      <c r="K132" s="64" t="s">
        <v>122</v>
      </c>
      <c r="L132" s="64" t="s">
        <v>415</v>
      </c>
      <c r="M132" s="62" t="s">
        <v>594</v>
      </c>
      <c r="N132" s="64" t="s">
        <v>595</v>
      </c>
      <c r="O132" s="69"/>
      <c r="P132" s="90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418</v>
      </c>
      <c r="C133" s="66" t="s">
        <v>596</v>
      </c>
      <c r="D133" s="69"/>
      <c r="E133" s="62">
        <v>1.0</v>
      </c>
      <c r="F133" s="62" t="s">
        <v>99</v>
      </c>
      <c r="G133" s="67">
        <v>1.673772E7</v>
      </c>
      <c r="H133" s="68">
        <v>46073.0</v>
      </c>
      <c r="I133" s="69"/>
      <c r="J133" s="62">
        <v>2709.0</v>
      </c>
      <c r="K133" s="64" t="s">
        <v>122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279</v>
      </c>
      <c r="C134" s="66" t="s">
        <v>600</v>
      </c>
      <c r="D134" s="69"/>
      <c r="E134" s="62">
        <v>1.0</v>
      </c>
      <c r="F134" s="62" t="s">
        <v>34</v>
      </c>
      <c r="G134" s="67">
        <v>1.6737722E7</v>
      </c>
      <c r="H134" s="68">
        <v>46073.0</v>
      </c>
      <c r="I134" s="69"/>
      <c r="J134" s="62">
        <v>2709.0</v>
      </c>
      <c r="K134" s="64" t="s">
        <v>122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222</v>
      </c>
      <c r="C135" s="66" t="s">
        <v>602</v>
      </c>
      <c r="D135" s="69"/>
      <c r="E135" s="62">
        <v>1.0</v>
      </c>
      <c r="F135" s="62" t="s">
        <v>34</v>
      </c>
      <c r="G135" s="67">
        <v>1.6737723E7</v>
      </c>
      <c r="H135" s="68">
        <v>46073.0</v>
      </c>
      <c r="I135" s="69"/>
      <c r="J135" s="62">
        <v>2709.0</v>
      </c>
      <c r="K135" s="64" t="s">
        <v>122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603</v>
      </c>
      <c r="C136" s="66" t="s">
        <v>604</v>
      </c>
      <c r="D136" s="69"/>
      <c r="E136" s="62">
        <v>6.0</v>
      </c>
      <c r="F136" s="62" t="s">
        <v>34</v>
      </c>
      <c r="G136" s="67">
        <v>1.6737724E7</v>
      </c>
      <c r="H136" s="68">
        <v>46073.0</v>
      </c>
      <c r="I136" s="69"/>
      <c r="J136" s="62">
        <v>2709.0</v>
      </c>
      <c r="K136" s="64" t="s">
        <v>122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606</v>
      </c>
      <c r="C137" s="66" t="s">
        <v>607</v>
      </c>
      <c r="D137" s="62" t="s">
        <v>608</v>
      </c>
      <c r="E137" s="62">
        <v>1.0</v>
      </c>
      <c r="F137" s="62" t="s">
        <v>34</v>
      </c>
      <c r="G137" s="67" t="s">
        <v>610</v>
      </c>
      <c r="H137" s="68">
        <v>46077.0</v>
      </c>
      <c r="I137" s="69"/>
      <c r="J137" s="62">
        <v>2702.0</v>
      </c>
      <c r="K137" s="64" t="s">
        <v>612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614</v>
      </c>
      <c r="C138" s="66" t="s">
        <v>615</v>
      </c>
      <c r="D138" s="69"/>
      <c r="E138" s="62">
        <v>1.0</v>
      </c>
      <c r="F138" s="62" t="s">
        <v>34</v>
      </c>
      <c r="G138" s="67">
        <v>3.13260017745E11</v>
      </c>
      <c r="H138" s="68">
        <v>46079.0</v>
      </c>
      <c r="I138" s="69"/>
      <c r="J138" s="62">
        <v>2730.0</v>
      </c>
      <c r="K138" s="64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422</v>
      </c>
      <c r="C139" s="66" t="s">
        <v>618</v>
      </c>
      <c r="D139" s="69"/>
      <c r="E139" s="62">
        <v>1.0</v>
      </c>
      <c r="F139" s="62" t="s">
        <v>99</v>
      </c>
      <c r="G139" s="67">
        <v>1.6843794E7</v>
      </c>
      <c r="H139" s="68">
        <v>46080.0</v>
      </c>
      <c r="I139" s="69"/>
      <c r="J139" s="62">
        <v>2742.0</v>
      </c>
      <c r="K139" s="64" t="s">
        <v>558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424</v>
      </c>
      <c r="C140" s="66" t="s">
        <v>621</v>
      </c>
      <c r="D140" s="69"/>
      <c r="E140" s="62">
        <v>1.0</v>
      </c>
      <c r="F140" s="62" t="s">
        <v>99</v>
      </c>
      <c r="G140" s="67" t="s">
        <v>623</v>
      </c>
      <c r="H140" s="68">
        <v>46080.0</v>
      </c>
      <c r="I140" s="69"/>
      <c r="J140" s="62">
        <v>2742.0</v>
      </c>
      <c r="K140" s="64" t="s">
        <v>558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624</v>
      </c>
      <c r="C141" s="66" t="s">
        <v>130</v>
      </c>
      <c r="D141" s="69"/>
      <c r="E141" s="62">
        <v>1.0</v>
      </c>
      <c r="F141" s="62" t="s">
        <v>34</v>
      </c>
      <c r="G141" s="67">
        <v>1.6843796E7</v>
      </c>
      <c r="H141" s="68">
        <v>46080.0</v>
      </c>
      <c r="I141" s="69"/>
      <c r="J141" s="62">
        <v>2742.0</v>
      </c>
      <c r="K141" s="64" t="s">
        <v>558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627</v>
      </c>
      <c r="C142" s="66" t="s">
        <v>628</v>
      </c>
      <c r="D142" s="69"/>
      <c r="E142" s="62">
        <v>10.0</v>
      </c>
      <c r="F142" s="62" t="s">
        <v>34</v>
      </c>
      <c r="G142" s="67" t="s">
        <v>629</v>
      </c>
      <c r="H142" s="68">
        <v>46080.0</v>
      </c>
      <c r="I142" s="69"/>
      <c r="J142" s="62" t="s">
        <v>630</v>
      </c>
      <c r="K142" s="64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632</v>
      </c>
      <c r="C143" s="66" t="s">
        <v>633</v>
      </c>
      <c r="D143" s="69"/>
      <c r="E143" s="62">
        <v>2.0</v>
      </c>
      <c r="F143" s="62" t="s">
        <v>34</v>
      </c>
      <c r="G143" s="67">
        <v>1.6766558E7</v>
      </c>
      <c r="H143" s="68">
        <v>46080.0</v>
      </c>
      <c r="I143" s="69"/>
      <c r="J143" s="62" t="s">
        <v>630</v>
      </c>
      <c r="K143" s="64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614</v>
      </c>
      <c r="C144" s="66" t="s">
        <v>615</v>
      </c>
      <c r="D144" s="69"/>
      <c r="E144" s="62">
        <v>1.0</v>
      </c>
      <c r="F144" s="62" t="s">
        <v>34</v>
      </c>
      <c r="G144" s="67">
        <v>3.13260017745E11</v>
      </c>
      <c r="H144" s="68">
        <v>46078.0</v>
      </c>
      <c r="I144" s="69"/>
      <c r="J144" s="62">
        <v>2730.0</v>
      </c>
      <c r="K144" s="64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637</v>
      </c>
      <c r="B145" s="64" t="s">
        <v>638</v>
      </c>
      <c r="C145" s="66" t="s">
        <v>639</v>
      </c>
      <c r="D145" s="69"/>
      <c r="E145" s="62">
        <v>1.0</v>
      </c>
      <c r="F145" s="62" t="s">
        <v>34</v>
      </c>
      <c r="G145" s="67">
        <v>1.6907743E7</v>
      </c>
      <c r="H145" s="68">
        <v>46092.0</v>
      </c>
      <c r="I145" s="64" t="s">
        <v>641</v>
      </c>
      <c r="J145" s="62" t="s">
        <v>101</v>
      </c>
      <c r="K145" s="64" t="s">
        <v>61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643</v>
      </c>
      <c r="B146" s="64" t="s">
        <v>644</v>
      </c>
      <c r="C146" s="66" t="s">
        <v>645</v>
      </c>
      <c r="D146" s="69"/>
      <c r="E146" s="62">
        <v>1.0</v>
      </c>
      <c r="F146" s="62" t="s">
        <v>34</v>
      </c>
      <c r="G146" s="67">
        <v>1.690776E7</v>
      </c>
      <c r="H146" s="68">
        <v>46092.0</v>
      </c>
      <c r="I146" s="64" t="s">
        <v>641</v>
      </c>
      <c r="J146" s="62" t="s">
        <v>101</v>
      </c>
      <c r="K146" s="64" t="s">
        <v>61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648</v>
      </c>
      <c r="B147" s="64" t="s">
        <v>649</v>
      </c>
      <c r="C147" s="66" t="s">
        <v>650</v>
      </c>
      <c r="D147" s="69"/>
      <c r="E147" s="62">
        <v>1.0</v>
      </c>
      <c r="F147" s="62" t="s">
        <v>34</v>
      </c>
      <c r="G147" s="67">
        <v>1.690778E7</v>
      </c>
      <c r="H147" s="68">
        <v>46092.0</v>
      </c>
      <c r="I147" s="64" t="s">
        <v>641</v>
      </c>
      <c r="J147" s="62" t="s">
        <v>101</v>
      </c>
      <c r="K147" s="64" t="s">
        <v>61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653</v>
      </c>
      <c r="B148" s="64" t="s">
        <v>654</v>
      </c>
      <c r="C148" s="148" t="str">
        <f>IF(B148="","",(VLOOKUP(B148,'[3]Dados de PN'!$A:$B,2,0)))</f>
        <v>#REF!</v>
      </c>
      <c r="D148" s="62" t="s">
        <v>656</v>
      </c>
      <c r="E148" s="62">
        <v>1.0</v>
      </c>
      <c r="F148" s="62" t="s">
        <v>99</v>
      </c>
      <c r="G148" s="67">
        <v>1.6920585E7</v>
      </c>
      <c r="H148" s="68">
        <v>46092.0</v>
      </c>
      <c r="I148" s="64" t="s">
        <v>657</v>
      </c>
      <c r="J148" s="62" t="s">
        <v>101</v>
      </c>
      <c r="K148" s="64" t="s">
        <v>61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659</v>
      </c>
      <c r="B149" s="64" t="s">
        <v>129</v>
      </c>
      <c r="C149" s="66" t="s">
        <v>130</v>
      </c>
      <c r="D149" s="69"/>
      <c r="E149" s="62">
        <v>1.0</v>
      </c>
      <c r="F149" s="62" t="s">
        <v>34</v>
      </c>
      <c r="G149" s="67" t="s">
        <v>660</v>
      </c>
      <c r="H149" s="68">
        <v>46090.0</v>
      </c>
      <c r="I149" s="64" t="s">
        <v>662</v>
      </c>
      <c r="J149" s="62">
        <v>2709.0</v>
      </c>
      <c r="K149" s="64" t="s">
        <v>122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664</v>
      </c>
      <c r="B150" s="64" t="s">
        <v>422</v>
      </c>
      <c r="C150" s="66" t="s">
        <v>666</v>
      </c>
      <c r="D150" s="69"/>
      <c r="E150" s="62">
        <v>1.0</v>
      </c>
      <c r="F150" s="62" t="s">
        <v>99</v>
      </c>
      <c r="G150" s="67" t="s">
        <v>667</v>
      </c>
      <c r="H150" s="68">
        <v>46094.0</v>
      </c>
      <c r="I150" s="64" t="s">
        <v>668</v>
      </c>
      <c r="J150" s="62" t="s">
        <v>383</v>
      </c>
      <c r="K150" s="64" t="s">
        <v>384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670</v>
      </c>
      <c r="B151" s="64" t="s">
        <v>424</v>
      </c>
      <c r="C151" s="66" t="s">
        <v>671</v>
      </c>
      <c r="D151" s="69"/>
      <c r="E151" s="62">
        <v>1.0</v>
      </c>
      <c r="F151" s="62" t="s">
        <v>99</v>
      </c>
      <c r="G151" s="67" t="s">
        <v>672</v>
      </c>
      <c r="H151" s="68">
        <v>46094.0</v>
      </c>
      <c r="I151" s="64" t="s">
        <v>668</v>
      </c>
      <c r="J151" s="62" t="s">
        <v>383</v>
      </c>
      <c r="K151" s="64" t="s">
        <v>384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675</v>
      </c>
      <c r="B152" s="64" t="s">
        <v>677</v>
      </c>
      <c r="C152" s="66" t="s">
        <v>678</v>
      </c>
      <c r="D152" s="69"/>
      <c r="E152" s="62">
        <v>1.0</v>
      </c>
      <c r="F152" s="62" t="s">
        <v>99</v>
      </c>
      <c r="G152" s="67" t="s">
        <v>679</v>
      </c>
      <c r="H152" s="68">
        <v>46094.0</v>
      </c>
      <c r="I152" s="64" t="s">
        <v>668</v>
      </c>
      <c r="J152" s="62" t="s">
        <v>383</v>
      </c>
      <c r="K152" s="64" t="s">
        <v>384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681</v>
      </c>
      <c r="B153" s="64" t="s">
        <v>521</v>
      </c>
      <c r="C153" s="66" t="s">
        <v>682</v>
      </c>
      <c r="D153" s="69"/>
      <c r="E153" s="62">
        <v>2.0</v>
      </c>
      <c r="F153" s="62" t="s">
        <v>99</v>
      </c>
      <c r="G153" s="67">
        <v>1.6908363E7</v>
      </c>
      <c r="H153" s="68">
        <v>46097.0</v>
      </c>
      <c r="I153" s="64" t="s">
        <v>684</v>
      </c>
      <c r="J153" s="62" t="s">
        <v>238</v>
      </c>
      <c r="K153" s="64" t="s">
        <v>122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685</v>
      </c>
      <c r="B154" s="64" t="s">
        <v>528</v>
      </c>
      <c r="C154" s="66" t="s">
        <v>686</v>
      </c>
      <c r="D154" s="69"/>
      <c r="E154" s="62">
        <v>1.0</v>
      </c>
      <c r="F154" s="62" t="s">
        <v>99</v>
      </c>
      <c r="G154" s="67">
        <v>1.6953491E7</v>
      </c>
      <c r="H154" s="68">
        <v>46097.0</v>
      </c>
      <c r="I154" s="64" t="s">
        <v>688</v>
      </c>
      <c r="J154" s="62" t="s">
        <v>238</v>
      </c>
      <c r="K154" s="64" t="s">
        <v>122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690</v>
      </c>
      <c r="B155" s="64" t="s">
        <v>691</v>
      </c>
      <c r="C155" s="66" t="s">
        <v>692</v>
      </c>
      <c r="D155" s="69"/>
      <c r="E155" s="62">
        <v>1.0</v>
      </c>
      <c r="F155" s="62" t="s">
        <v>34</v>
      </c>
      <c r="G155" s="67">
        <v>1.6959989E7</v>
      </c>
      <c r="H155" s="68">
        <v>46098.0</v>
      </c>
      <c r="I155" s="64" t="s">
        <v>693</v>
      </c>
      <c r="J155" s="62" t="s">
        <v>101</v>
      </c>
      <c r="K155" s="64" t="s">
        <v>61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695</v>
      </c>
      <c r="B156" s="64" t="s">
        <v>422</v>
      </c>
      <c r="C156" s="66" t="s">
        <v>618</v>
      </c>
      <c r="D156" s="69"/>
      <c r="E156" s="62">
        <v>2.0</v>
      </c>
      <c r="F156" s="62" t="s">
        <v>99</v>
      </c>
      <c r="G156" s="67" t="s">
        <v>696</v>
      </c>
      <c r="H156" s="68">
        <v>46100.0</v>
      </c>
      <c r="I156" s="64" t="s">
        <v>697</v>
      </c>
      <c r="J156" s="62" t="s">
        <v>630</v>
      </c>
      <c r="K156" s="64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699</v>
      </c>
      <c r="B157" s="64" t="s">
        <v>424</v>
      </c>
      <c r="C157" s="66" t="s">
        <v>621</v>
      </c>
      <c r="D157" s="69"/>
      <c r="E157" s="62">
        <v>2.0</v>
      </c>
      <c r="F157" s="62" t="s">
        <v>99</v>
      </c>
      <c r="G157" s="67" t="s">
        <v>701</v>
      </c>
      <c r="H157" s="68">
        <v>46100.0</v>
      </c>
      <c r="I157" s="64" t="s">
        <v>697</v>
      </c>
      <c r="J157" s="62" t="s">
        <v>630</v>
      </c>
      <c r="K157" s="64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702</v>
      </c>
      <c r="B158" s="64" t="s">
        <v>703</v>
      </c>
      <c r="C158" s="66" t="s">
        <v>704</v>
      </c>
      <c r="D158" s="69"/>
      <c r="E158" s="62">
        <v>1.0</v>
      </c>
      <c r="F158" s="62" t="s">
        <v>51</v>
      </c>
      <c r="G158" s="67" t="s">
        <v>705</v>
      </c>
      <c r="H158" s="68">
        <v>46100.0</v>
      </c>
      <c r="I158" s="64" t="s">
        <v>697</v>
      </c>
      <c r="J158" s="62" t="s">
        <v>557</v>
      </c>
      <c r="K158" s="64" t="s">
        <v>558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707</v>
      </c>
      <c r="B159" s="64" t="s">
        <v>708</v>
      </c>
      <c r="C159" s="66" t="s">
        <v>709</v>
      </c>
      <c r="D159" s="69"/>
      <c r="E159" s="62">
        <v>1.0</v>
      </c>
      <c r="F159" s="62" t="s">
        <v>99</v>
      </c>
      <c r="G159" s="67" t="s">
        <v>710</v>
      </c>
      <c r="H159" s="68">
        <v>46101.0</v>
      </c>
      <c r="I159" s="64" t="s">
        <v>711</v>
      </c>
      <c r="J159" s="62" t="s">
        <v>363</v>
      </c>
      <c r="K159" s="64" t="s">
        <v>364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712</v>
      </c>
      <c r="B160" s="64" t="s">
        <v>713</v>
      </c>
      <c r="C160" s="66" t="s">
        <v>714</v>
      </c>
      <c r="D160" s="69"/>
      <c r="E160" s="62">
        <v>1.0</v>
      </c>
      <c r="F160" s="62" t="s">
        <v>99</v>
      </c>
      <c r="G160" s="67" t="s">
        <v>715</v>
      </c>
      <c r="H160" s="68">
        <v>46101.0</v>
      </c>
      <c r="I160" s="64" t="s">
        <v>711</v>
      </c>
      <c r="J160" s="62" t="s">
        <v>363</v>
      </c>
      <c r="K160" s="64" t="s">
        <v>364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717</v>
      </c>
      <c r="B161" s="64" t="s">
        <v>718</v>
      </c>
      <c r="C161" s="66" t="s">
        <v>719</v>
      </c>
      <c r="D161" s="69"/>
      <c r="E161" s="62">
        <v>1.0</v>
      </c>
      <c r="F161" s="62" t="s">
        <v>99</v>
      </c>
      <c r="G161" s="67" t="s">
        <v>721</v>
      </c>
      <c r="H161" s="68">
        <v>46101.0</v>
      </c>
      <c r="I161" s="64" t="s">
        <v>711</v>
      </c>
      <c r="J161" s="62" t="s">
        <v>363</v>
      </c>
      <c r="K161" s="64" t="s">
        <v>364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722</v>
      </c>
      <c r="B162" s="64" t="s">
        <v>508</v>
      </c>
      <c r="C162" s="66" t="s">
        <v>411</v>
      </c>
      <c r="D162" s="69"/>
      <c r="E162" s="62">
        <v>1.0</v>
      </c>
      <c r="F162" s="62" t="s">
        <v>34</v>
      </c>
      <c r="G162" s="67" t="s">
        <v>724</v>
      </c>
      <c r="H162" s="68">
        <v>46101.0</v>
      </c>
      <c r="I162" s="64" t="s">
        <v>725</v>
      </c>
      <c r="J162" s="62" t="s">
        <v>60</v>
      </c>
      <c r="K162" s="64" t="s">
        <v>61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727</v>
      </c>
      <c r="B163" s="64" t="s">
        <v>728</v>
      </c>
      <c r="C163" s="66" t="s">
        <v>604</v>
      </c>
      <c r="D163" s="69"/>
      <c r="E163" s="62">
        <v>2.0</v>
      </c>
      <c r="F163" s="62" t="s">
        <v>34</v>
      </c>
      <c r="G163" s="67" t="s">
        <v>729</v>
      </c>
      <c r="H163" s="68">
        <v>46101.0</v>
      </c>
      <c r="I163" s="64" t="s">
        <v>730</v>
      </c>
      <c r="J163" s="62" t="s">
        <v>53</v>
      </c>
      <c r="K163" s="64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732</v>
      </c>
      <c r="B164" s="64" t="s">
        <v>733</v>
      </c>
      <c r="C164" s="66" t="s">
        <v>734</v>
      </c>
      <c r="D164" s="69"/>
      <c r="E164" s="62">
        <v>2.0</v>
      </c>
      <c r="F164" s="62" t="s">
        <v>34</v>
      </c>
      <c r="G164" s="67" t="s">
        <v>735</v>
      </c>
      <c r="H164" s="68">
        <v>46101.0</v>
      </c>
      <c r="I164" s="64" t="s">
        <v>730</v>
      </c>
      <c r="J164" s="62" t="s">
        <v>53</v>
      </c>
      <c r="K164" s="64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737</v>
      </c>
      <c r="B165" s="64" t="s">
        <v>738</v>
      </c>
      <c r="C165" s="66" t="s">
        <v>708</v>
      </c>
      <c r="D165" s="69"/>
      <c r="E165" s="62">
        <v>1.0</v>
      </c>
      <c r="F165" s="62" t="s">
        <v>34</v>
      </c>
      <c r="G165" s="67" t="s">
        <v>740</v>
      </c>
      <c r="H165" s="68">
        <v>46101.0</v>
      </c>
      <c r="I165" s="64" t="s">
        <v>730</v>
      </c>
      <c r="J165" s="62" t="s">
        <v>53</v>
      </c>
      <c r="K165" s="64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742</v>
      </c>
      <c r="B166" s="64" t="s">
        <v>743</v>
      </c>
      <c r="C166" s="66" t="s">
        <v>744</v>
      </c>
      <c r="D166" s="69"/>
      <c r="E166" s="62">
        <v>1.0</v>
      </c>
      <c r="F166" s="62" t="s">
        <v>99</v>
      </c>
      <c r="G166" s="67" t="s">
        <v>746</v>
      </c>
      <c r="H166" s="68">
        <v>46101.0</v>
      </c>
      <c r="I166" s="64" t="s">
        <v>747</v>
      </c>
      <c r="J166" s="62" t="s">
        <v>142</v>
      </c>
      <c r="K166" s="64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653</v>
      </c>
      <c r="B167" s="64" t="s">
        <v>654</v>
      </c>
      <c r="C167" s="66" t="s">
        <v>750</v>
      </c>
      <c r="D167" s="69"/>
      <c r="E167" s="62">
        <v>1.0</v>
      </c>
      <c r="F167" s="62" t="s">
        <v>99</v>
      </c>
      <c r="G167" s="67">
        <v>1.713128E7</v>
      </c>
      <c r="H167" s="68">
        <v>46113.0</v>
      </c>
      <c r="I167" s="64" t="s">
        <v>751</v>
      </c>
      <c r="J167" s="62" t="s">
        <v>252</v>
      </c>
      <c r="K167" s="64" t="s">
        <v>61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753</v>
      </c>
      <c r="B168" s="64" t="s">
        <v>215</v>
      </c>
      <c r="C168" s="66" t="s">
        <v>754</v>
      </c>
      <c r="D168" s="69"/>
      <c r="E168" s="62" t="s">
        <v>118</v>
      </c>
      <c r="F168" s="62" t="s">
        <v>34</v>
      </c>
      <c r="G168" s="67">
        <v>1.7155047E7</v>
      </c>
      <c r="H168" s="68">
        <v>46120.0</v>
      </c>
      <c r="I168" s="64" t="s">
        <v>755</v>
      </c>
      <c r="J168" s="62">
        <v>2702.0</v>
      </c>
      <c r="K168" s="64" t="s">
        <v>612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757</v>
      </c>
      <c r="B169" s="64" t="s">
        <v>759</v>
      </c>
      <c r="C169" s="66" t="s">
        <v>760</v>
      </c>
      <c r="D169" s="69"/>
      <c r="E169" s="62" t="s">
        <v>118</v>
      </c>
      <c r="F169" s="62" t="s">
        <v>34</v>
      </c>
      <c r="G169" s="67">
        <v>1.7154695E7</v>
      </c>
      <c r="H169" s="68">
        <v>46120.0</v>
      </c>
      <c r="I169" s="64" t="s">
        <v>755</v>
      </c>
      <c r="J169" s="62">
        <v>2702.0</v>
      </c>
      <c r="K169" s="64" t="s">
        <v>612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761</v>
      </c>
      <c r="B170" s="64" t="s">
        <v>762</v>
      </c>
      <c r="C170" s="66" t="s">
        <v>763</v>
      </c>
      <c r="D170" s="69"/>
      <c r="E170" s="62" t="s">
        <v>118</v>
      </c>
      <c r="F170" s="62" t="s">
        <v>34</v>
      </c>
      <c r="G170" s="67">
        <v>1.7154706E7</v>
      </c>
      <c r="H170" s="68">
        <v>46120.0</v>
      </c>
      <c r="I170" s="64" t="s">
        <v>755</v>
      </c>
      <c r="J170" s="62">
        <v>2702.0</v>
      </c>
      <c r="K170" s="64" t="s">
        <v>612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765</v>
      </c>
      <c r="B171" s="64" t="s">
        <v>766</v>
      </c>
      <c r="C171" s="66" t="s">
        <v>767</v>
      </c>
      <c r="D171" s="69"/>
      <c r="E171" s="62" t="s">
        <v>205</v>
      </c>
      <c r="F171" s="62" t="s">
        <v>34</v>
      </c>
      <c r="G171" s="67">
        <v>1.715475E7</v>
      </c>
      <c r="H171" s="68">
        <v>46120.0</v>
      </c>
      <c r="I171" s="64" t="s">
        <v>755</v>
      </c>
      <c r="J171" s="62">
        <v>2702.0</v>
      </c>
      <c r="K171" s="64" t="s">
        <v>612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769</v>
      </c>
      <c r="B172" s="64" t="s">
        <v>770</v>
      </c>
      <c r="C172" s="66" t="s">
        <v>474</v>
      </c>
      <c r="D172" s="69"/>
      <c r="E172" s="62" t="s">
        <v>35</v>
      </c>
      <c r="F172" s="62" t="s">
        <v>34</v>
      </c>
      <c r="G172" s="67">
        <v>1.7154753E7</v>
      </c>
      <c r="H172" s="68">
        <v>46120.0</v>
      </c>
      <c r="I172" s="64" t="s">
        <v>755</v>
      </c>
      <c r="J172" s="62">
        <v>2702.0</v>
      </c>
      <c r="K172" s="64" t="s">
        <v>612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774</v>
      </c>
      <c r="B173" s="64" t="s">
        <v>775</v>
      </c>
      <c r="C173" s="66" t="s">
        <v>763</v>
      </c>
      <c r="D173" s="69"/>
      <c r="E173" s="62" t="s">
        <v>118</v>
      </c>
      <c r="F173" s="62" t="s">
        <v>34</v>
      </c>
      <c r="G173" s="67">
        <v>1.7154695E7</v>
      </c>
      <c r="H173" s="68">
        <v>46120.0</v>
      </c>
      <c r="I173" s="64" t="s">
        <v>755</v>
      </c>
      <c r="J173" s="62">
        <v>2702.0</v>
      </c>
      <c r="K173" s="64" t="s">
        <v>612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777</v>
      </c>
      <c r="B174" s="64" t="s">
        <v>778</v>
      </c>
      <c r="C174" s="66" t="s">
        <v>779</v>
      </c>
      <c r="D174" s="69"/>
      <c r="E174" s="62" t="s">
        <v>35</v>
      </c>
      <c r="F174" s="62" t="s">
        <v>34</v>
      </c>
      <c r="G174" s="67">
        <v>1.715499E7</v>
      </c>
      <c r="H174" s="68">
        <v>46120.0</v>
      </c>
      <c r="I174" s="64" t="s">
        <v>755</v>
      </c>
      <c r="J174" s="62">
        <v>2702.0</v>
      </c>
      <c r="K174" s="64" t="s">
        <v>612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782</v>
      </c>
      <c r="B175" s="64" t="s">
        <v>783</v>
      </c>
      <c r="C175" s="66" t="s">
        <v>784</v>
      </c>
      <c r="D175" s="69"/>
      <c r="E175" s="62" t="s">
        <v>35</v>
      </c>
      <c r="F175" s="62" t="s">
        <v>34</v>
      </c>
      <c r="G175" s="67">
        <v>1.7154998E7</v>
      </c>
      <c r="H175" s="68">
        <v>46120.0</v>
      </c>
      <c r="I175" s="64" t="s">
        <v>755</v>
      </c>
      <c r="J175" s="62">
        <v>2702.0</v>
      </c>
      <c r="K175" s="64" t="s">
        <v>612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787</v>
      </c>
      <c r="B176" s="64" t="s">
        <v>220</v>
      </c>
      <c r="C176" s="66" t="s">
        <v>211</v>
      </c>
      <c r="D176" s="69"/>
      <c r="E176" s="62" t="s">
        <v>118</v>
      </c>
      <c r="F176" s="62" t="s">
        <v>34</v>
      </c>
      <c r="G176" s="67">
        <v>1.7155038E7</v>
      </c>
      <c r="H176" s="68">
        <v>46120.0</v>
      </c>
      <c r="I176" s="64" t="s">
        <v>755</v>
      </c>
      <c r="J176" s="62">
        <v>2702.0</v>
      </c>
      <c r="K176" s="64" t="s">
        <v>612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789</v>
      </c>
      <c r="B177" s="64" t="s">
        <v>703</v>
      </c>
      <c r="C177" s="66" t="s">
        <v>704</v>
      </c>
      <c r="D177" s="69"/>
      <c r="E177" s="62" t="s">
        <v>35</v>
      </c>
      <c r="F177" s="62" t="s">
        <v>51</v>
      </c>
      <c r="G177" s="67">
        <v>1.7183414E7</v>
      </c>
      <c r="H177" s="68">
        <v>46121.0</v>
      </c>
      <c r="I177" s="64" t="s">
        <v>697</v>
      </c>
      <c r="J177" s="62">
        <v>2743.0</v>
      </c>
      <c r="K177" s="64" t="s">
        <v>384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791</v>
      </c>
      <c r="B178" s="64" t="s">
        <v>277</v>
      </c>
      <c r="C178" s="66" t="s">
        <v>278</v>
      </c>
      <c r="D178" s="69"/>
      <c r="E178" s="62" t="s">
        <v>35</v>
      </c>
      <c r="F178" s="62" t="s">
        <v>99</v>
      </c>
      <c r="G178" s="67">
        <v>1.7185685E7</v>
      </c>
      <c r="H178" s="68">
        <v>46121.0</v>
      </c>
      <c r="I178" s="64" t="s">
        <v>793</v>
      </c>
      <c r="J178" s="62">
        <v>2721.0</v>
      </c>
      <c r="K178" s="64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795</v>
      </c>
      <c r="B179" s="64" t="s">
        <v>796</v>
      </c>
      <c r="C179" s="66" t="s">
        <v>797</v>
      </c>
      <c r="D179" s="69"/>
      <c r="E179" s="62" t="s">
        <v>35</v>
      </c>
      <c r="F179" s="62" t="s">
        <v>99</v>
      </c>
      <c r="G179" s="67">
        <v>1.7185686E7</v>
      </c>
      <c r="H179" s="68">
        <v>46121.0</v>
      </c>
      <c r="I179" s="64" t="s">
        <v>793</v>
      </c>
      <c r="J179" s="62">
        <v>2728.0</v>
      </c>
      <c r="K179" s="64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799</v>
      </c>
      <c r="B180" s="64" t="s">
        <v>800</v>
      </c>
      <c r="C180" s="66" t="s">
        <v>801</v>
      </c>
      <c r="D180" s="69"/>
      <c r="E180" s="62" t="s">
        <v>118</v>
      </c>
      <c r="F180" s="62" t="s">
        <v>99</v>
      </c>
      <c r="G180" s="67">
        <v>1.7185687E7</v>
      </c>
      <c r="H180" s="68">
        <v>46121.0</v>
      </c>
      <c r="I180" s="64" t="s">
        <v>793</v>
      </c>
      <c r="J180" s="62" t="s">
        <v>803</v>
      </c>
      <c r="K180" s="64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805</v>
      </c>
      <c r="B181" s="64" t="s">
        <v>806</v>
      </c>
      <c r="C181" s="66" t="s">
        <v>807</v>
      </c>
      <c r="D181" s="69"/>
      <c r="E181" s="62" t="s">
        <v>35</v>
      </c>
      <c r="F181" s="62" t="s">
        <v>99</v>
      </c>
      <c r="G181" s="67">
        <v>1.7185688E7</v>
      </c>
      <c r="H181" s="68">
        <v>46121.0</v>
      </c>
      <c r="I181" s="64" t="s">
        <v>793</v>
      </c>
      <c r="J181" s="62">
        <v>2728.0</v>
      </c>
      <c r="K181" s="64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809</v>
      </c>
      <c r="B182" s="64" t="s">
        <v>810</v>
      </c>
      <c r="C182" s="66" t="s">
        <v>811</v>
      </c>
      <c r="D182" s="69"/>
      <c r="E182" s="62" t="s">
        <v>35</v>
      </c>
      <c r="F182" s="62" t="s">
        <v>34</v>
      </c>
      <c r="G182" s="67">
        <v>1.7161078E7</v>
      </c>
      <c r="H182" s="68">
        <v>46122.0</v>
      </c>
      <c r="I182" s="64" t="s">
        <v>812</v>
      </c>
      <c r="J182" s="62">
        <v>2720.0</v>
      </c>
      <c r="K182" s="64" t="s">
        <v>122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813</v>
      </c>
      <c r="B183" s="64" t="s">
        <v>810</v>
      </c>
      <c r="C183" s="66" t="s">
        <v>811</v>
      </c>
      <c r="D183" s="69"/>
      <c r="E183" s="62" t="s">
        <v>35</v>
      </c>
      <c r="F183" s="62" t="s">
        <v>34</v>
      </c>
      <c r="G183" s="67">
        <v>1.7185015E7</v>
      </c>
      <c r="H183" s="68">
        <v>46122.0</v>
      </c>
      <c r="I183" s="64" t="s">
        <v>812</v>
      </c>
      <c r="J183" s="62">
        <v>2720.0</v>
      </c>
      <c r="K183" s="64" t="s">
        <v>122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815</v>
      </c>
      <c r="B184" s="64" t="s">
        <v>816</v>
      </c>
      <c r="C184" s="66" t="s">
        <v>817</v>
      </c>
      <c r="D184" s="69"/>
      <c r="E184" s="62" t="s">
        <v>93</v>
      </c>
      <c r="F184" s="62" t="s">
        <v>34</v>
      </c>
      <c r="G184" s="67">
        <v>1.7159745E7</v>
      </c>
      <c r="H184" s="68">
        <v>46122.0</v>
      </c>
      <c r="I184" s="64" t="s">
        <v>812</v>
      </c>
      <c r="J184" s="62">
        <v>2720.0</v>
      </c>
      <c r="K184" s="64" t="s">
        <v>122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819</v>
      </c>
      <c r="B185" s="64" t="s">
        <v>820</v>
      </c>
      <c r="C185" s="66" t="s">
        <v>754</v>
      </c>
      <c r="D185" s="69"/>
      <c r="E185" s="62" t="s">
        <v>35</v>
      </c>
      <c r="F185" s="62" t="s">
        <v>34</v>
      </c>
      <c r="G185" s="67">
        <v>1.7187137E7</v>
      </c>
      <c r="H185" s="68">
        <v>46122.0</v>
      </c>
      <c r="I185" s="64" t="s">
        <v>812</v>
      </c>
      <c r="J185" s="62">
        <v>2702.0</v>
      </c>
      <c r="K185" s="64" t="s">
        <v>612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821</v>
      </c>
      <c r="B186" s="64" t="s">
        <v>822</v>
      </c>
      <c r="C186" s="66" t="s">
        <v>211</v>
      </c>
      <c r="D186" s="69"/>
      <c r="E186" s="62" t="s">
        <v>118</v>
      </c>
      <c r="F186" s="62" t="s">
        <v>34</v>
      </c>
      <c r="G186" s="67">
        <v>1.7187145E7</v>
      </c>
      <c r="H186" s="68">
        <v>46122.0</v>
      </c>
      <c r="I186" s="64" t="s">
        <v>812</v>
      </c>
      <c r="J186" s="62">
        <v>2702.0</v>
      </c>
      <c r="K186" s="64" t="s">
        <v>612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824</v>
      </c>
      <c r="B187" s="64" t="s">
        <v>825</v>
      </c>
      <c r="C187" s="66" t="s">
        <v>133</v>
      </c>
      <c r="D187" s="69"/>
      <c r="E187" s="62" t="s">
        <v>205</v>
      </c>
      <c r="F187" s="62" t="s">
        <v>34</v>
      </c>
      <c r="G187" s="67">
        <v>1.7187148E7</v>
      </c>
      <c r="H187" s="68">
        <v>46122.0</v>
      </c>
      <c r="I187" s="64" t="s">
        <v>812</v>
      </c>
      <c r="J187" s="62">
        <v>2702.0</v>
      </c>
      <c r="K187" s="64" t="s">
        <v>612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827</v>
      </c>
      <c r="B188" s="64" t="s">
        <v>828</v>
      </c>
      <c r="C188" s="66" t="s">
        <v>211</v>
      </c>
      <c r="D188" s="69"/>
      <c r="E188" s="62" t="s">
        <v>35</v>
      </c>
      <c r="F188" s="62" t="s">
        <v>34</v>
      </c>
      <c r="G188" s="67">
        <v>1.7187154E7</v>
      </c>
      <c r="H188" s="68">
        <v>46122.0</v>
      </c>
      <c r="I188" s="64" t="s">
        <v>812</v>
      </c>
      <c r="J188" s="62">
        <v>2702.0</v>
      </c>
      <c r="K188" s="64" t="s">
        <v>612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829</v>
      </c>
      <c r="B189" s="64" t="s">
        <v>830</v>
      </c>
      <c r="C189" s="66" t="s">
        <v>831</v>
      </c>
      <c r="D189" s="69"/>
      <c r="E189" s="62" t="s">
        <v>833</v>
      </c>
      <c r="F189" s="62" t="s">
        <v>34</v>
      </c>
      <c r="G189" s="67">
        <v>1.7187163E7</v>
      </c>
      <c r="H189" s="68">
        <v>46122.0</v>
      </c>
      <c r="I189" s="64" t="s">
        <v>812</v>
      </c>
      <c r="J189" s="62">
        <v>2702.0</v>
      </c>
      <c r="K189" s="64" t="s">
        <v>612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836</v>
      </c>
      <c r="B190" s="64" t="s">
        <v>837</v>
      </c>
      <c r="C190" s="66" t="s">
        <v>754</v>
      </c>
      <c r="D190" s="69"/>
      <c r="E190" s="62" t="s">
        <v>35</v>
      </c>
      <c r="F190" s="62" t="s">
        <v>34</v>
      </c>
      <c r="G190" s="67">
        <v>1.7187176E7</v>
      </c>
      <c r="H190" s="68">
        <v>46122.0</v>
      </c>
      <c r="I190" s="64" t="s">
        <v>812</v>
      </c>
      <c r="J190" s="62">
        <v>2702.0</v>
      </c>
      <c r="K190" s="64" t="s">
        <v>612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839</v>
      </c>
      <c r="B191" s="64" t="s">
        <v>840</v>
      </c>
      <c r="C191" s="66" t="s">
        <v>841</v>
      </c>
      <c r="D191" s="69"/>
      <c r="E191" s="62" t="s">
        <v>302</v>
      </c>
      <c r="F191" s="62" t="s">
        <v>34</v>
      </c>
      <c r="G191" s="67">
        <v>1.7187179E7</v>
      </c>
      <c r="H191" s="68">
        <v>46122.0</v>
      </c>
      <c r="I191" s="64" t="s">
        <v>812</v>
      </c>
      <c r="J191" s="62">
        <v>2702.0</v>
      </c>
      <c r="K191" s="64" t="s">
        <v>612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844</v>
      </c>
      <c r="B192" s="64" t="s">
        <v>840</v>
      </c>
      <c r="C192" s="66" t="s">
        <v>841</v>
      </c>
      <c r="D192" s="69"/>
      <c r="E192" s="62" t="s">
        <v>302</v>
      </c>
      <c r="F192" s="62" t="s">
        <v>34</v>
      </c>
      <c r="G192" s="67">
        <v>1.7191995E7</v>
      </c>
      <c r="H192" s="68">
        <v>46122.0</v>
      </c>
      <c r="I192" s="64" t="s">
        <v>812</v>
      </c>
      <c r="J192" s="62">
        <v>2702.0</v>
      </c>
      <c r="K192" s="64" t="s">
        <v>612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846</v>
      </c>
      <c r="B193" s="64" t="s">
        <v>847</v>
      </c>
      <c r="C193" s="66" t="s">
        <v>848</v>
      </c>
      <c r="D193" s="69"/>
      <c r="E193" s="62" t="s">
        <v>35</v>
      </c>
      <c r="F193" s="62" t="s">
        <v>34</v>
      </c>
      <c r="G193" s="67">
        <v>3.13260018206E11</v>
      </c>
      <c r="H193" s="68">
        <v>46126.0</v>
      </c>
      <c r="I193" s="64" t="s">
        <v>849</v>
      </c>
      <c r="J193" s="62">
        <v>2737.0</v>
      </c>
      <c r="K193" s="64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852</v>
      </c>
      <c r="B194" s="64" t="s">
        <v>532</v>
      </c>
      <c r="C194" s="66" t="s">
        <v>854</v>
      </c>
      <c r="D194" s="62">
        <v>60637.0</v>
      </c>
      <c r="E194" s="62" t="s">
        <v>35</v>
      </c>
      <c r="F194" s="62" t="s">
        <v>99</v>
      </c>
      <c r="G194" s="67">
        <v>1.7244405E7</v>
      </c>
      <c r="H194" s="68">
        <v>46128.0</v>
      </c>
      <c r="I194" s="64" t="s">
        <v>856</v>
      </c>
      <c r="J194" s="62">
        <v>2723.0</v>
      </c>
      <c r="K194" s="64" t="s">
        <v>364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858</v>
      </c>
      <c r="B195" s="64" t="s">
        <v>528</v>
      </c>
      <c r="C195" s="66" t="s">
        <v>859</v>
      </c>
      <c r="D195" s="62">
        <v>4741.0</v>
      </c>
      <c r="E195" s="62" t="s">
        <v>35</v>
      </c>
      <c r="F195" s="62" t="s">
        <v>99</v>
      </c>
      <c r="G195" s="67">
        <v>3.29260019063E11</v>
      </c>
      <c r="H195" s="68">
        <v>46128.0</v>
      </c>
      <c r="I195" s="64" t="s">
        <v>860</v>
      </c>
      <c r="J195" s="62">
        <v>2720.0</v>
      </c>
      <c r="K195" s="64" t="s">
        <v>122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862</v>
      </c>
      <c r="B196" s="64" t="s">
        <v>863</v>
      </c>
      <c r="C196" s="66" t="s">
        <v>864</v>
      </c>
      <c r="D196" s="69"/>
      <c r="E196" s="62" t="s">
        <v>865</v>
      </c>
      <c r="F196" s="62" t="s">
        <v>34</v>
      </c>
      <c r="G196" s="67">
        <v>1.7261012E7</v>
      </c>
      <c r="H196" s="68">
        <v>46128.0</v>
      </c>
      <c r="I196" s="64" t="s">
        <v>866</v>
      </c>
      <c r="J196" s="62">
        <v>2739.0</v>
      </c>
      <c r="K196" s="64" t="s">
        <v>61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868</v>
      </c>
      <c r="B197" s="64">
        <v>3240572.0</v>
      </c>
      <c r="C197" s="66" t="s">
        <v>360</v>
      </c>
      <c r="D197" s="69"/>
      <c r="E197" s="62" t="s">
        <v>118</v>
      </c>
      <c r="F197" s="62" t="s">
        <v>34</v>
      </c>
      <c r="G197" s="67">
        <v>1.7276994E7</v>
      </c>
      <c r="H197" s="68">
        <v>46129.0</v>
      </c>
      <c r="I197" s="64" t="s">
        <v>869</v>
      </c>
      <c r="J197" s="62">
        <v>2739.0</v>
      </c>
      <c r="K197" s="64" t="s">
        <v>61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871</v>
      </c>
      <c r="B198" s="64" t="s">
        <v>341</v>
      </c>
      <c r="C198" s="66" t="s">
        <v>342</v>
      </c>
      <c r="D198" s="69"/>
      <c r="E198" s="62" t="s">
        <v>118</v>
      </c>
      <c r="F198" s="62" t="s">
        <v>34</v>
      </c>
      <c r="G198" s="67">
        <v>1.7254045E7</v>
      </c>
      <c r="H198" s="68">
        <v>46135.0</v>
      </c>
      <c r="I198" s="64" t="s">
        <v>793</v>
      </c>
      <c r="J198" s="62">
        <v>2703.0</v>
      </c>
      <c r="K198" s="64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874</v>
      </c>
      <c r="B199" s="64" t="s">
        <v>875</v>
      </c>
      <c r="C199" s="66" t="s">
        <v>604</v>
      </c>
      <c r="D199" s="69"/>
      <c r="E199" s="62" t="s">
        <v>205</v>
      </c>
      <c r="F199" s="62" t="s">
        <v>34</v>
      </c>
      <c r="G199" s="67">
        <v>1.7331826E7</v>
      </c>
      <c r="H199" s="68">
        <v>46139.0</v>
      </c>
      <c r="I199" s="64" t="s">
        <v>876</v>
      </c>
      <c r="J199" s="62">
        <v>2727.0</v>
      </c>
      <c r="K199" s="64" t="s">
        <v>477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878</v>
      </c>
      <c r="B200" s="64" t="s">
        <v>880</v>
      </c>
      <c r="C200" s="66" t="s">
        <v>179</v>
      </c>
      <c r="D200" s="69"/>
      <c r="E200" s="62" t="s">
        <v>118</v>
      </c>
      <c r="F200" s="62" t="s">
        <v>34</v>
      </c>
      <c r="G200" s="67">
        <v>1.7331914E7</v>
      </c>
      <c r="H200" s="68">
        <v>46139.0</v>
      </c>
      <c r="I200" s="64" t="s">
        <v>876</v>
      </c>
      <c r="J200" s="62">
        <v>2727.0</v>
      </c>
      <c r="K200" s="64" t="s">
        <v>477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882</v>
      </c>
      <c r="B201" s="64" t="s">
        <v>883</v>
      </c>
      <c r="C201" s="66" t="s">
        <v>884</v>
      </c>
      <c r="D201" s="69"/>
      <c r="E201" s="62" t="s">
        <v>35</v>
      </c>
      <c r="F201" s="62" t="s">
        <v>99</v>
      </c>
      <c r="G201" s="67">
        <v>3.29260019092E11</v>
      </c>
      <c r="H201" s="68">
        <v>46139.0</v>
      </c>
      <c r="I201" s="64" t="s">
        <v>860</v>
      </c>
      <c r="J201" s="62">
        <v>2721.0</v>
      </c>
      <c r="K201" s="64" t="s">
        <v>122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887</v>
      </c>
      <c r="B202" s="64" t="s">
        <v>888</v>
      </c>
      <c r="C202" s="66" t="s">
        <v>889</v>
      </c>
      <c r="D202" s="69"/>
      <c r="E202" s="62" t="s">
        <v>35</v>
      </c>
      <c r="F202" s="62" t="s">
        <v>99</v>
      </c>
      <c r="G202" s="67">
        <v>3.29260019093E11</v>
      </c>
      <c r="H202" s="68">
        <v>46139.0</v>
      </c>
      <c r="I202" s="64" t="s">
        <v>860</v>
      </c>
      <c r="J202" s="62">
        <v>2721.0</v>
      </c>
      <c r="K202" s="64" t="s">
        <v>122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891</v>
      </c>
      <c r="B203" s="64" t="s">
        <v>892</v>
      </c>
      <c r="C203" s="66" t="s">
        <v>893</v>
      </c>
      <c r="D203" s="62">
        <v>610.0</v>
      </c>
      <c r="E203" s="62" t="s">
        <v>35</v>
      </c>
      <c r="F203" s="62" t="s">
        <v>99</v>
      </c>
      <c r="G203" s="67">
        <v>1.7354192E7</v>
      </c>
      <c r="H203" s="68">
        <v>46139.0</v>
      </c>
      <c r="I203" s="64" t="s">
        <v>896</v>
      </c>
      <c r="J203" s="62">
        <v>2719.0</v>
      </c>
      <c r="K203" s="64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898</v>
      </c>
      <c r="B204" s="64" t="s">
        <v>899</v>
      </c>
      <c r="C204" s="66" t="s">
        <v>901</v>
      </c>
      <c r="D204" s="62">
        <v>228.0</v>
      </c>
      <c r="E204" s="62" t="s">
        <v>902</v>
      </c>
      <c r="F204" s="62" t="s">
        <v>51</v>
      </c>
      <c r="G204" s="67">
        <v>6.85260011675E11</v>
      </c>
      <c r="H204" s="68">
        <v>46141.0</v>
      </c>
      <c r="I204" s="64" t="s">
        <v>903</v>
      </c>
      <c r="J204" s="62">
        <v>2719.0</v>
      </c>
      <c r="K204" s="64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904</v>
      </c>
      <c r="B205" s="64" t="s">
        <v>465</v>
      </c>
      <c r="C205" s="66" t="s">
        <v>466</v>
      </c>
      <c r="D205" s="69"/>
      <c r="E205" s="62" t="s">
        <v>902</v>
      </c>
      <c r="F205" s="62" t="s">
        <v>99</v>
      </c>
      <c r="G205" s="67">
        <v>1.7354719E7</v>
      </c>
      <c r="H205" s="68">
        <v>46141.0</v>
      </c>
      <c r="I205" s="64" t="s">
        <v>906</v>
      </c>
      <c r="J205" s="62">
        <v>2719.0</v>
      </c>
      <c r="K205" s="64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907</v>
      </c>
      <c r="B206" s="64">
        <v>3014226.0</v>
      </c>
      <c r="C206" s="66" t="s">
        <v>908</v>
      </c>
      <c r="D206" s="69"/>
      <c r="E206" s="62" t="s">
        <v>902</v>
      </c>
      <c r="F206" s="62" t="s">
        <v>34</v>
      </c>
      <c r="G206" s="67">
        <v>1.7355665E7</v>
      </c>
      <c r="H206" s="68">
        <v>46141.0</v>
      </c>
      <c r="I206" s="64" t="s">
        <v>906</v>
      </c>
      <c r="J206" s="62">
        <v>2719.0</v>
      </c>
      <c r="K206" s="64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910</v>
      </c>
      <c r="B207" s="64" t="s">
        <v>911</v>
      </c>
      <c r="C207" s="66" t="s">
        <v>779</v>
      </c>
      <c r="D207" s="69"/>
      <c r="E207" s="62" t="s">
        <v>913</v>
      </c>
      <c r="F207" s="62" t="s">
        <v>34</v>
      </c>
      <c r="G207" s="67">
        <v>1.736211E7</v>
      </c>
      <c r="H207" s="68">
        <v>46141.0</v>
      </c>
      <c r="I207" s="64" t="s">
        <v>906</v>
      </c>
      <c r="J207" s="62">
        <v>2719.0</v>
      </c>
      <c r="K207" s="64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914</v>
      </c>
      <c r="B208" s="64" t="s">
        <v>916</v>
      </c>
      <c r="C208" s="66" t="s">
        <v>917</v>
      </c>
      <c r="D208" s="69"/>
      <c r="E208" s="62" t="s">
        <v>913</v>
      </c>
      <c r="F208" s="62" t="s">
        <v>34</v>
      </c>
      <c r="G208" s="67">
        <v>1.7361676E7</v>
      </c>
      <c r="H208" s="68">
        <v>46141.0</v>
      </c>
      <c r="I208" s="64" t="s">
        <v>906</v>
      </c>
      <c r="J208" s="62">
        <v>2719.0</v>
      </c>
      <c r="K208" s="64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919</v>
      </c>
      <c r="B209" s="64" t="s">
        <v>920</v>
      </c>
      <c r="C209" s="66" t="s">
        <v>921</v>
      </c>
      <c r="D209" s="69"/>
      <c r="E209" s="62" t="s">
        <v>922</v>
      </c>
      <c r="F209" s="62" t="s">
        <v>34</v>
      </c>
      <c r="G209" s="67">
        <v>1.7355571E7</v>
      </c>
      <c r="H209" s="68">
        <v>46141.0</v>
      </c>
      <c r="I209" s="64" t="s">
        <v>906</v>
      </c>
      <c r="J209" s="62">
        <v>2719.0</v>
      </c>
      <c r="K209" s="64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925</v>
      </c>
      <c r="B210" s="64" t="s">
        <v>926</v>
      </c>
      <c r="C210" s="66" t="s">
        <v>927</v>
      </c>
      <c r="D210" s="69"/>
      <c r="E210" s="62" t="s">
        <v>913</v>
      </c>
      <c r="F210" s="62" t="s">
        <v>34</v>
      </c>
      <c r="G210" s="67">
        <v>1.7355562E7</v>
      </c>
      <c r="H210" s="68">
        <v>46141.0</v>
      </c>
      <c r="I210" s="64" t="s">
        <v>928</v>
      </c>
      <c r="J210" s="62">
        <v>2719.0</v>
      </c>
      <c r="K210" s="64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930</v>
      </c>
      <c r="B211" s="64" t="s">
        <v>926</v>
      </c>
      <c r="C211" s="66" t="s">
        <v>927</v>
      </c>
      <c r="D211" s="69"/>
      <c r="E211" s="62" t="s">
        <v>663</v>
      </c>
      <c r="F211" s="62" t="s">
        <v>34</v>
      </c>
      <c r="G211" s="67">
        <v>1.7355553E7</v>
      </c>
      <c r="H211" s="68">
        <v>46141.0</v>
      </c>
      <c r="I211" s="64" t="s">
        <v>931</v>
      </c>
      <c r="J211" s="62">
        <v>2719.0</v>
      </c>
      <c r="K211" s="64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933</v>
      </c>
      <c r="B212" s="64" t="s">
        <v>926</v>
      </c>
      <c r="C212" s="66" t="s">
        <v>927</v>
      </c>
      <c r="D212" s="69"/>
      <c r="E212" s="62" t="s">
        <v>663</v>
      </c>
      <c r="F212" s="62" t="s">
        <v>34</v>
      </c>
      <c r="G212" s="67">
        <v>1.7355563E7</v>
      </c>
      <c r="H212" s="68">
        <v>46141.0</v>
      </c>
      <c r="I212" s="64" t="s">
        <v>934</v>
      </c>
      <c r="J212" s="62">
        <v>2719.0</v>
      </c>
      <c r="K212" s="64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935</v>
      </c>
      <c r="B213" s="64" t="s">
        <v>143</v>
      </c>
      <c r="C213" s="66" t="s">
        <v>144</v>
      </c>
      <c r="D213" s="69"/>
      <c r="E213" s="62" t="s">
        <v>663</v>
      </c>
      <c r="F213" s="62" t="s">
        <v>34</v>
      </c>
      <c r="G213" s="67">
        <v>1.7377917E7</v>
      </c>
      <c r="H213" s="68">
        <v>46142.0</v>
      </c>
      <c r="I213" s="64" t="s">
        <v>936</v>
      </c>
      <c r="J213" s="62">
        <v>2732.0</v>
      </c>
      <c r="K213" s="64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937</v>
      </c>
      <c r="B214" s="64" t="s">
        <v>938</v>
      </c>
      <c r="C214" s="66" t="s">
        <v>939</v>
      </c>
      <c r="D214" s="69"/>
      <c r="E214" s="62" t="s">
        <v>940</v>
      </c>
      <c r="F214" s="62" t="s">
        <v>34</v>
      </c>
      <c r="G214" s="67">
        <v>1.7401193E7</v>
      </c>
      <c r="H214" s="68">
        <v>46146.0</v>
      </c>
      <c r="I214" s="64" t="s">
        <v>941</v>
      </c>
      <c r="J214" s="62">
        <v>2739.0</v>
      </c>
      <c r="K214" s="64" t="s">
        <v>61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942</v>
      </c>
      <c r="B215" s="64" t="s">
        <v>943</v>
      </c>
      <c r="C215" s="66" t="s">
        <v>944</v>
      </c>
      <c r="D215" s="69"/>
      <c r="E215" s="62" t="s">
        <v>35</v>
      </c>
      <c r="F215" s="62" t="s">
        <v>34</v>
      </c>
      <c r="G215" s="67">
        <v>1.7333541E7</v>
      </c>
      <c r="H215" s="68">
        <v>46148.0</v>
      </c>
      <c r="I215" s="64" t="s">
        <v>945</v>
      </c>
      <c r="J215" s="62">
        <v>2721.0</v>
      </c>
      <c r="K215" s="64" t="s">
        <v>122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946</v>
      </c>
      <c r="B216" s="64" t="s">
        <v>947</v>
      </c>
      <c r="C216" s="66" t="s">
        <v>948</v>
      </c>
      <c r="D216" s="69"/>
      <c r="E216" s="62" t="s">
        <v>205</v>
      </c>
      <c r="F216" s="62" t="s">
        <v>34</v>
      </c>
      <c r="G216" s="67">
        <v>1.742819E7</v>
      </c>
      <c r="H216" s="68">
        <v>46148.0</v>
      </c>
      <c r="I216" s="64" t="s">
        <v>945</v>
      </c>
      <c r="J216" s="62">
        <v>2721.0</v>
      </c>
      <c r="K216" s="64" t="s">
        <v>122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949</v>
      </c>
      <c r="B217" s="64" t="s">
        <v>950</v>
      </c>
      <c r="C217" s="66" t="s">
        <v>951</v>
      </c>
      <c r="D217" s="69"/>
      <c r="E217" s="62" t="s">
        <v>205</v>
      </c>
      <c r="F217" s="62" t="s">
        <v>34</v>
      </c>
      <c r="G217" s="67">
        <v>1.7384283E7</v>
      </c>
      <c r="H217" s="68">
        <v>46148.0</v>
      </c>
      <c r="I217" s="64" t="s">
        <v>945</v>
      </c>
      <c r="J217" s="62">
        <v>2721.0</v>
      </c>
      <c r="K217" s="64" t="s">
        <v>122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952</v>
      </c>
      <c r="B218" s="64" t="s">
        <v>953</v>
      </c>
      <c r="C218" s="66" t="s">
        <v>179</v>
      </c>
      <c r="D218" s="69"/>
      <c r="E218" s="62" t="s">
        <v>663</v>
      </c>
      <c r="F218" s="62" t="s">
        <v>34</v>
      </c>
      <c r="G218" s="67">
        <v>1.7433843E7</v>
      </c>
      <c r="H218" s="68">
        <v>46148.0</v>
      </c>
      <c r="I218" s="64" t="s">
        <v>954</v>
      </c>
      <c r="J218" s="62">
        <v>2742.0</v>
      </c>
      <c r="K218" s="64" t="s">
        <v>384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955</v>
      </c>
      <c r="B219" s="64" t="s">
        <v>139</v>
      </c>
      <c r="C219" s="66" t="s">
        <v>133</v>
      </c>
      <c r="D219" s="69"/>
      <c r="E219" s="62" t="s">
        <v>956</v>
      </c>
      <c r="F219" s="62" t="s">
        <v>34</v>
      </c>
      <c r="G219" s="67">
        <v>1.7433844E7</v>
      </c>
      <c r="H219" s="68">
        <v>46148.0</v>
      </c>
      <c r="I219" s="64" t="s">
        <v>954</v>
      </c>
      <c r="J219" s="62">
        <v>2742.0</v>
      </c>
      <c r="K219" s="64" t="s">
        <v>384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957</v>
      </c>
      <c r="B220" s="64" t="s">
        <v>825</v>
      </c>
      <c r="C220" s="66" t="s">
        <v>133</v>
      </c>
      <c r="D220" s="69"/>
      <c r="E220" s="62" t="s">
        <v>958</v>
      </c>
      <c r="F220" s="62" t="s">
        <v>34</v>
      </c>
      <c r="G220" s="67">
        <v>1.7433845E7</v>
      </c>
      <c r="H220" s="68">
        <v>46148.0</v>
      </c>
      <c r="I220" s="64" t="s">
        <v>954</v>
      </c>
      <c r="J220" s="62">
        <v>2742.0</v>
      </c>
      <c r="K220" s="64" t="s">
        <v>384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960</v>
      </c>
      <c r="B221" s="64" t="s">
        <v>961</v>
      </c>
      <c r="C221" s="66" t="s">
        <v>179</v>
      </c>
      <c r="D221" s="69"/>
      <c r="E221" s="62" t="s">
        <v>663</v>
      </c>
      <c r="F221" s="62" t="s">
        <v>34</v>
      </c>
      <c r="G221" s="67">
        <v>1.7433846E7</v>
      </c>
      <c r="H221" s="68">
        <v>46148.0</v>
      </c>
      <c r="I221" s="64" t="s">
        <v>954</v>
      </c>
      <c r="J221" s="62">
        <v>2742.0</v>
      </c>
      <c r="K221" s="64" t="s">
        <v>384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963</v>
      </c>
      <c r="B222" s="64" t="s">
        <v>964</v>
      </c>
      <c r="C222" s="66" t="s">
        <v>965</v>
      </c>
      <c r="D222" s="69"/>
      <c r="E222" s="62" t="s">
        <v>663</v>
      </c>
      <c r="F222" s="62" t="s">
        <v>34</v>
      </c>
      <c r="G222" s="67">
        <v>1.7433847E7</v>
      </c>
      <c r="H222" s="68">
        <v>46148.0</v>
      </c>
      <c r="I222" s="64" t="s">
        <v>954</v>
      </c>
      <c r="J222" s="62">
        <v>2742.0</v>
      </c>
      <c r="K222" s="64" t="s">
        <v>384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966</v>
      </c>
      <c r="B223" s="64" t="s">
        <v>766</v>
      </c>
      <c r="C223" s="66" t="s">
        <v>767</v>
      </c>
      <c r="D223" s="69"/>
      <c r="E223" s="62" t="s">
        <v>958</v>
      </c>
      <c r="F223" s="62" t="s">
        <v>34</v>
      </c>
      <c r="G223" s="67">
        <v>1.7433848E7</v>
      </c>
      <c r="H223" s="68">
        <v>46148.0</v>
      </c>
      <c r="I223" s="64" t="s">
        <v>954</v>
      </c>
      <c r="J223" s="62">
        <v>2742.0</v>
      </c>
      <c r="K223" s="64" t="s">
        <v>384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967</v>
      </c>
      <c r="B224" s="64" t="s">
        <v>828</v>
      </c>
      <c r="C224" s="66" t="s">
        <v>211</v>
      </c>
      <c r="D224" s="69"/>
      <c r="E224" s="62" t="s">
        <v>663</v>
      </c>
      <c r="F224" s="62" t="s">
        <v>34</v>
      </c>
      <c r="G224" s="67">
        <v>1.7433849E7</v>
      </c>
      <c r="H224" s="68">
        <v>46148.0</v>
      </c>
      <c r="I224" s="64" t="s">
        <v>954</v>
      </c>
      <c r="J224" s="62">
        <v>2742.0</v>
      </c>
      <c r="K224" s="64" t="s">
        <v>384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968</v>
      </c>
      <c r="B225" s="64" t="s">
        <v>514</v>
      </c>
      <c r="C225" s="66" t="s">
        <v>515</v>
      </c>
      <c r="D225" s="69"/>
      <c r="E225" s="62" t="s">
        <v>663</v>
      </c>
      <c r="F225" s="62" t="s">
        <v>34</v>
      </c>
      <c r="G225" s="67">
        <v>1.743385E7</v>
      </c>
      <c r="H225" s="68">
        <v>46148.0</v>
      </c>
      <c r="I225" s="64" t="s">
        <v>954</v>
      </c>
      <c r="J225" s="62">
        <v>2742.0</v>
      </c>
      <c r="K225" s="64" t="s">
        <v>384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969</v>
      </c>
      <c r="B226" s="64" t="s">
        <v>970</v>
      </c>
      <c r="C226" s="66" t="s">
        <v>179</v>
      </c>
      <c r="D226" s="69"/>
      <c r="E226" s="62" t="s">
        <v>663</v>
      </c>
      <c r="F226" s="62" t="s">
        <v>34</v>
      </c>
      <c r="G226" s="67">
        <v>1.7433851E7</v>
      </c>
      <c r="H226" s="68">
        <v>46148.0</v>
      </c>
      <c r="I226" s="64" t="s">
        <v>954</v>
      </c>
      <c r="J226" s="62">
        <v>2742.0</v>
      </c>
      <c r="K226" s="64" t="s">
        <v>384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971</v>
      </c>
      <c r="B227" s="64" t="s">
        <v>973</v>
      </c>
      <c r="C227" s="66" t="s">
        <v>974</v>
      </c>
      <c r="D227" s="69"/>
      <c r="E227" s="62" t="s">
        <v>663</v>
      </c>
      <c r="F227" s="62" t="s">
        <v>34</v>
      </c>
      <c r="G227" s="67">
        <v>1.7433852E7</v>
      </c>
      <c r="H227" s="68">
        <v>46148.0</v>
      </c>
      <c r="I227" s="64" t="s">
        <v>954</v>
      </c>
      <c r="J227" s="62">
        <v>2742.0</v>
      </c>
      <c r="K227" s="64" t="s">
        <v>384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975</v>
      </c>
      <c r="B228" s="64" t="s">
        <v>976</v>
      </c>
      <c r="C228" s="66" t="s">
        <v>179</v>
      </c>
      <c r="D228" s="69"/>
      <c r="E228" s="62" t="s">
        <v>663</v>
      </c>
      <c r="F228" s="62" t="s">
        <v>34</v>
      </c>
      <c r="G228" s="67">
        <v>1.7433853E7</v>
      </c>
      <c r="H228" s="68">
        <v>46148.0</v>
      </c>
      <c r="I228" s="64" t="s">
        <v>954</v>
      </c>
      <c r="J228" s="62">
        <v>2742.0</v>
      </c>
      <c r="K228" s="64" t="s">
        <v>384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977</v>
      </c>
      <c r="B229" s="64" t="s">
        <v>978</v>
      </c>
      <c r="C229" s="66" t="s">
        <v>339</v>
      </c>
      <c r="D229" s="69"/>
      <c r="E229" s="62" t="s">
        <v>958</v>
      </c>
      <c r="F229" s="62" t="s">
        <v>34</v>
      </c>
      <c r="G229" s="67">
        <v>1.7433854E7</v>
      </c>
      <c r="H229" s="68">
        <v>46148.0</v>
      </c>
      <c r="I229" s="64" t="s">
        <v>954</v>
      </c>
      <c r="J229" s="62">
        <v>2742.0</v>
      </c>
      <c r="K229" s="64" t="s">
        <v>384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979</v>
      </c>
      <c r="B230" s="64" t="s">
        <v>822</v>
      </c>
      <c r="C230" s="66" t="s">
        <v>211</v>
      </c>
      <c r="D230" s="69"/>
      <c r="E230" s="62" t="s">
        <v>980</v>
      </c>
      <c r="F230" s="62" t="s">
        <v>34</v>
      </c>
      <c r="G230" s="67">
        <v>1.7433855E7</v>
      </c>
      <c r="H230" s="68">
        <v>46148.0</v>
      </c>
      <c r="I230" s="64" t="s">
        <v>954</v>
      </c>
      <c r="J230" s="62">
        <v>2742.0</v>
      </c>
      <c r="K230" s="64" t="s">
        <v>384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981</v>
      </c>
      <c r="B231" s="64" t="s">
        <v>820</v>
      </c>
      <c r="C231" s="66" t="s">
        <v>754</v>
      </c>
      <c r="D231" s="69"/>
      <c r="E231" s="62" t="s">
        <v>663</v>
      </c>
      <c r="F231" s="62" t="s">
        <v>34</v>
      </c>
      <c r="G231" s="67">
        <v>1.7433856E7</v>
      </c>
      <c r="H231" s="68">
        <v>46148.0</v>
      </c>
      <c r="I231" s="64" t="s">
        <v>954</v>
      </c>
      <c r="J231" s="62">
        <v>2742.0</v>
      </c>
      <c r="K231" s="64" t="s">
        <v>384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3"/>
      <c r="D232" s="69"/>
      <c r="E232" s="69"/>
      <c r="F232" s="69"/>
      <c r="G232" s="134"/>
      <c r="H232" s="135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3"/>
      <c r="D233" s="69"/>
      <c r="E233" s="69"/>
      <c r="F233" s="69"/>
      <c r="G233" s="134"/>
      <c r="H233" s="135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3"/>
      <c r="D234" s="69"/>
      <c r="E234" s="69"/>
      <c r="F234" s="69"/>
      <c r="G234" s="134"/>
      <c r="H234" s="135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3"/>
      <c r="D235" s="69"/>
      <c r="E235" s="69"/>
      <c r="F235" s="69"/>
      <c r="G235" s="134"/>
      <c r="H235" s="135"/>
      <c r="I235" s="69"/>
      <c r="J235" s="69"/>
      <c r="K235" s="69"/>
      <c r="L235" s="69"/>
      <c r="M235" s="69"/>
      <c r="N235" s="133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3" t="s">
        <v>982</v>
      </c>
      <c r="B236" s="21"/>
      <c r="C236" s="21"/>
      <c r="D236" s="21"/>
      <c r="E236" s="21"/>
      <c r="F236" s="21"/>
      <c r="G236" s="16"/>
      <c r="H236" s="174" t="s">
        <v>983</v>
      </c>
      <c r="I236" s="174">
        <f>ROW(A162)</f>
        <v>162</v>
      </c>
      <c r="J236" s="175"/>
      <c r="K236" s="21"/>
      <c r="L236" s="21"/>
      <c r="M236" s="21"/>
      <c r="N236" s="21"/>
      <c r="O236" s="21"/>
      <c r="P236" s="21"/>
      <c r="Q236" s="1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86</v>
      </c>
      <c r="D1" s="81" t="s">
        <v>88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89</v>
      </c>
      <c r="D6" s="83">
        <f>SUM(B3:B6)</f>
        <v>11</v>
      </c>
    </row>
    <row r="7">
      <c r="C7" s="83"/>
      <c r="D7" s="83"/>
    </row>
    <row r="8">
      <c r="C8" s="81" t="s">
        <v>92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94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97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102</v>
      </c>
      <c r="D22" s="83">
        <f>SUM(B19:B22)</f>
        <v>14</v>
      </c>
    </row>
    <row r="23">
      <c r="C23" s="83"/>
      <c r="D23" s="83"/>
    </row>
    <row r="24">
      <c r="C24" s="81" t="s">
        <v>106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109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112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117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1" t="s">
        <v>128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2" t="s">
        <v>61</v>
      </c>
      <c r="F1" s="104"/>
      <c r="G1" s="5"/>
      <c r="H1" s="102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9" t="s">
        <v>208</v>
      </c>
      <c r="B2" s="110" t="s">
        <v>209</v>
      </c>
      <c r="C2" s="110" t="s">
        <v>212</v>
      </c>
      <c r="D2" s="111" t="s">
        <v>11</v>
      </c>
      <c r="E2" s="111" t="s">
        <v>214</v>
      </c>
      <c r="F2" s="104"/>
      <c r="G2" s="5"/>
      <c r="H2" s="112" t="s">
        <v>208</v>
      </c>
      <c r="I2" s="110" t="s">
        <v>209</v>
      </c>
      <c r="J2" s="110" t="s">
        <v>212</v>
      </c>
      <c r="K2" s="111" t="s">
        <v>11</v>
      </c>
      <c r="L2" s="111" t="s">
        <v>214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4" t="s">
        <v>222</v>
      </c>
      <c r="B3" s="115" t="s">
        <v>224</v>
      </c>
      <c r="C3" s="116">
        <v>5.1780222E7</v>
      </c>
      <c r="D3" s="116">
        <v>1.0</v>
      </c>
      <c r="E3" s="117" t="s">
        <v>226</v>
      </c>
      <c r="F3" s="104"/>
      <c r="G3" s="5"/>
      <c r="H3" s="118" t="s">
        <v>222</v>
      </c>
      <c r="I3" s="115" t="s">
        <v>224</v>
      </c>
      <c r="J3" s="116">
        <v>5.1770271E7</v>
      </c>
      <c r="K3" s="116">
        <v>1.0</v>
      </c>
      <c r="L3" s="117" t="s">
        <v>226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4" t="s">
        <v>222</v>
      </c>
      <c r="B4" s="115" t="s">
        <v>224</v>
      </c>
      <c r="C4" s="116">
        <v>5.1780213E7</v>
      </c>
      <c r="D4" s="116">
        <v>1.0</v>
      </c>
      <c r="E4" s="117" t="s">
        <v>226</v>
      </c>
      <c r="F4" s="104"/>
      <c r="G4" s="5"/>
      <c r="H4" s="118" t="s">
        <v>222</v>
      </c>
      <c r="I4" s="115" t="s">
        <v>224</v>
      </c>
      <c r="J4" s="116">
        <v>5.1770267E7</v>
      </c>
      <c r="K4" s="116">
        <v>1.0</v>
      </c>
      <c r="L4" s="117" t="s">
        <v>226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4" t="s">
        <v>222</v>
      </c>
      <c r="B5" s="115" t="s">
        <v>224</v>
      </c>
      <c r="C5" s="116">
        <v>5.1740102E7</v>
      </c>
      <c r="D5" s="116">
        <v>1.0</v>
      </c>
      <c r="E5" s="117" t="s">
        <v>226</v>
      </c>
      <c r="F5" s="104"/>
      <c r="G5" s="5"/>
      <c r="H5" s="118" t="s">
        <v>222</v>
      </c>
      <c r="I5" s="115" t="s">
        <v>224</v>
      </c>
      <c r="J5" s="116">
        <v>5.1740133E7</v>
      </c>
      <c r="K5" s="116">
        <v>1.0</v>
      </c>
      <c r="L5" s="117" t="s">
        <v>226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4" t="s">
        <v>222</v>
      </c>
      <c r="B6" s="115" t="s">
        <v>224</v>
      </c>
      <c r="C6" s="116">
        <v>5.1700194E7</v>
      </c>
      <c r="D6" s="116">
        <v>1.0</v>
      </c>
      <c r="E6" s="117" t="s">
        <v>226</v>
      </c>
      <c r="F6" s="104"/>
      <c r="G6" s="5"/>
      <c r="H6" s="118" t="s">
        <v>222</v>
      </c>
      <c r="I6" s="115" t="s">
        <v>224</v>
      </c>
      <c r="J6" s="116">
        <v>5.1690177E7</v>
      </c>
      <c r="K6" s="116">
        <v>1.0</v>
      </c>
      <c r="L6" s="117" t="s">
        <v>226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4" t="s">
        <v>222</v>
      </c>
      <c r="B7" s="115" t="s">
        <v>224</v>
      </c>
      <c r="C7" s="116">
        <v>5.1690187E7</v>
      </c>
      <c r="D7" s="116">
        <v>1.0</v>
      </c>
      <c r="E7" s="117" t="s">
        <v>226</v>
      </c>
      <c r="F7" s="104"/>
      <c r="G7" s="5"/>
      <c r="H7" s="118" t="s">
        <v>222</v>
      </c>
      <c r="I7" s="115" t="s">
        <v>224</v>
      </c>
      <c r="J7" s="116">
        <v>5.1690157E7</v>
      </c>
      <c r="K7" s="116">
        <v>1.0</v>
      </c>
      <c r="L7" s="117" t="s">
        <v>226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4" t="s">
        <v>222</v>
      </c>
      <c r="B8" s="115" t="s">
        <v>224</v>
      </c>
      <c r="C8" s="116">
        <v>5.1680222E7</v>
      </c>
      <c r="D8" s="116">
        <v>1.0</v>
      </c>
      <c r="E8" s="117" t="s">
        <v>226</v>
      </c>
      <c r="F8" s="104"/>
      <c r="G8" s="5"/>
      <c r="H8" s="118" t="s">
        <v>222</v>
      </c>
      <c r="I8" s="115" t="s">
        <v>224</v>
      </c>
      <c r="J8" s="116">
        <v>5.1680218E7</v>
      </c>
      <c r="K8" s="116">
        <v>1.0</v>
      </c>
      <c r="L8" s="117" t="s">
        <v>226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4" t="s">
        <v>222</v>
      </c>
      <c r="B9" s="115" t="s">
        <v>259</v>
      </c>
      <c r="C9" s="116">
        <v>5.1650167E7</v>
      </c>
      <c r="D9" s="116">
        <v>1.0</v>
      </c>
      <c r="E9" s="117" t="s">
        <v>226</v>
      </c>
      <c r="F9" s="104"/>
      <c r="G9" s="5"/>
      <c r="H9" s="118" t="s">
        <v>260</v>
      </c>
      <c r="I9" s="115" t="s">
        <v>261</v>
      </c>
      <c r="J9" s="116">
        <v>5.1490314E7</v>
      </c>
      <c r="K9" s="116">
        <v>1.0</v>
      </c>
      <c r="L9" s="117" t="s">
        <v>226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4" t="s">
        <v>222</v>
      </c>
      <c r="B10" s="115" t="s">
        <v>224</v>
      </c>
      <c r="C10" s="116">
        <v>5.1620366E7</v>
      </c>
      <c r="D10" s="116">
        <v>1.0</v>
      </c>
      <c r="E10" s="117" t="s">
        <v>226</v>
      </c>
      <c r="F10" s="104"/>
      <c r="G10" s="5"/>
      <c r="H10" s="118" t="s">
        <v>260</v>
      </c>
      <c r="I10" s="115" t="s">
        <v>261</v>
      </c>
      <c r="J10" s="116">
        <v>5.1470312E7</v>
      </c>
      <c r="K10" s="116">
        <v>1.0</v>
      </c>
      <c r="L10" s="117" t="s">
        <v>226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4" t="s">
        <v>267</v>
      </c>
      <c r="B11" s="115" t="s">
        <v>268</v>
      </c>
      <c r="C11" s="116" t="s">
        <v>269</v>
      </c>
      <c r="D11" s="116">
        <v>2.0</v>
      </c>
      <c r="E11" s="117" t="s">
        <v>226</v>
      </c>
      <c r="F11" s="104"/>
      <c r="G11" s="5"/>
      <c r="H11" s="118" t="s">
        <v>260</v>
      </c>
      <c r="I11" s="115" t="s">
        <v>261</v>
      </c>
      <c r="J11" s="116">
        <v>5.1410316E7</v>
      </c>
      <c r="K11" s="116">
        <v>1.0</v>
      </c>
      <c r="L11" s="117" t="s">
        <v>226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4" t="s">
        <v>260</v>
      </c>
      <c r="B12" s="115" t="s">
        <v>261</v>
      </c>
      <c r="C12" s="116">
        <v>5.1410315E7</v>
      </c>
      <c r="D12" s="116">
        <v>1.0</v>
      </c>
      <c r="E12" s="117" t="s">
        <v>226</v>
      </c>
      <c r="F12" s="104"/>
      <c r="G12" s="5"/>
      <c r="H12" s="118" t="s">
        <v>273</v>
      </c>
      <c r="I12" s="115" t="s">
        <v>274</v>
      </c>
      <c r="J12" s="116" t="s">
        <v>269</v>
      </c>
      <c r="K12" s="116">
        <v>1.0</v>
      </c>
      <c r="L12" s="117" t="s">
        <v>226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4" t="s">
        <v>260</v>
      </c>
      <c r="B13" s="115" t="s">
        <v>261</v>
      </c>
      <c r="C13" s="116">
        <v>5.0930348E7</v>
      </c>
      <c r="D13" s="116">
        <v>1.0</v>
      </c>
      <c r="E13" s="117" t="s">
        <v>226</v>
      </c>
      <c r="F13" s="104"/>
      <c r="G13" s="5"/>
      <c r="H13" s="118" t="s">
        <v>273</v>
      </c>
      <c r="I13" s="115" t="s">
        <v>274</v>
      </c>
      <c r="J13" s="116" t="s">
        <v>269</v>
      </c>
      <c r="K13" s="116">
        <v>9.0</v>
      </c>
      <c r="L13" s="117" t="s">
        <v>226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4" t="s">
        <v>279</v>
      </c>
      <c r="B14" s="115" t="s">
        <v>281</v>
      </c>
      <c r="C14" s="116" t="s">
        <v>269</v>
      </c>
      <c r="D14" s="116">
        <v>8.0</v>
      </c>
      <c r="E14" s="117" t="s">
        <v>226</v>
      </c>
      <c r="F14" s="104"/>
      <c r="G14" s="5"/>
      <c r="H14" s="118" t="s">
        <v>279</v>
      </c>
      <c r="I14" s="115" t="s">
        <v>281</v>
      </c>
      <c r="J14" s="116" t="s">
        <v>269</v>
      </c>
      <c r="K14" s="116">
        <v>6.0</v>
      </c>
      <c r="L14" s="117" t="s">
        <v>226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4" t="s">
        <v>282</v>
      </c>
      <c r="B15" s="115" t="s">
        <v>283</v>
      </c>
      <c r="C15" s="116" t="s">
        <v>269</v>
      </c>
      <c r="D15" s="116">
        <v>80.0</v>
      </c>
      <c r="E15" s="117" t="s">
        <v>226</v>
      </c>
      <c r="F15" s="104"/>
      <c r="G15" s="5"/>
      <c r="H15" s="118" t="s">
        <v>267</v>
      </c>
      <c r="I15" s="115" t="s">
        <v>268</v>
      </c>
      <c r="J15" s="116" t="s">
        <v>269</v>
      </c>
      <c r="K15" s="116">
        <v>3.0</v>
      </c>
      <c r="L15" s="117" t="s">
        <v>226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4"/>
      <c r="B16" s="104"/>
      <c r="C16" s="104"/>
      <c r="D16" s="123"/>
      <c r="E16" s="123"/>
      <c r="F16" s="104"/>
      <c r="G16" s="5"/>
      <c r="H16" s="118" t="s">
        <v>282</v>
      </c>
      <c r="I16" s="115" t="s">
        <v>283</v>
      </c>
      <c r="J16" s="116" t="s">
        <v>269</v>
      </c>
      <c r="K16" s="116">
        <v>50.0</v>
      </c>
      <c r="L16" s="117" t="s">
        <v>226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4"/>
      <c r="B17" s="125" t="s">
        <v>293</v>
      </c>
      <c r="C17" s="104"/>
      <c r="D17" s="123"/>
      <c r="E17" s="123"/>
      <c r="F17" s="104"/>
      <c r="G17" s="5"/>
      <c r="H17" s="126"/>
      <c r="I17" s="104"/>
      <c r="J17" s="104"/>
      <c r="K17" s="123"/>
      <c r="L17" s="12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4"/>
      <c r="J18" s="104"/>
      <c r="K18" s="123"/>
      <c r="L18" s="12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299</v>
      </c>
      <c r="J19" s="104"/>
      <c r="K19" s="123"/>
      <c r="L19" s="12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1143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0"/>
      <c r="B464" s="80"/>
    </row>
    <row r="465">
      <c r="A465" s="80"/>
      <c r="B465" s="80"/>
    </row>
    <row r="466">
      <c r="A466" s="80"/>
      <c r="B466" s="80"/>
    </row>
    <row r="467">
      <c r="A467" s="80"/>
      <c r="B467" s="80"/>
    </row>
    <row r="468">
      <c r="A468" s="80"/>
      <c r="B468" s="80"/>
    </row>
    <row r="469">
      <c r="A469" s="80"/>
      <c r="B469" s="80"/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
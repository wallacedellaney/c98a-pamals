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<sst xmlns="http://schemas.openxmlformats.org/spreadsheetml/2006/main" count="7069" uniqueCount="1333">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</sst>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911505742"/>
        <c:axId val="852631773"/>
      </c:barChart>
      <c:catAx>
        <c:axId val="19115057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2631773"/>
      </c:catAx>
      <c:valAx>
        <c:axId val="8526317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15057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3" firstHeaderRow="0" firstDataRow="1" firstDataCol="0"/>
  <pivotFields>
    <pivotField name=" " axis="axisRow" dataField="1" compact="0" outline="0" multipleItemSelectionAllowed="1" showAll="0" sortType="ascending">
      <items>
        <item x="1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IFERROR(__xludf.DUMMYFUNCTION("INDEX(FILTER(K:K,K:K&lt;&gt;""""),COUNTA(K:K))"),"15/07/2026")</f>
        <v>15/07/2026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31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4"/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4"/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4"/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4"/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4"/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4"/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4"/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4"/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4"/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1112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1113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1113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1113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1113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1113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1114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1114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1114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1115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1116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1117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1118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1119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1120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1121</v>
      </c>
      <c r="I6" s="159" t="s">
        <v>1122</v>
      </c>
      <c r="J6" s="159" t="s">
        <v>17</v>
      </c>
      <c r="K6" s="159" t="s">
        <v>1123</v>
      </c>
      <c r="L6" s="159" t="s">
        <v>15</v>
      </c>
      <c r="M6" s="159" t="s">
        <v>18</v>
      </c>
      <c r="N6" s="159" t="s">
        <v>19</v>
      </c>
      <c r="O6" s="160" t="s">
        <v>1124</v>
      </c>
      <c r="P6" s="160" t="s">
        <v>1125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1126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1126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1127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1128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1129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1130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1131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1131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1131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1131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1130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1132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1133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1133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1134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1135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1136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1137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1138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1139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1139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1140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1141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1142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1143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1144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1145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1146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1147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1148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1149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1150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1151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1152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1153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1152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1154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1155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1156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1157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1157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1158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1159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1160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1133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1159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1161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1162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1163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1164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1165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1166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1167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1168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1169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1170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1171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1172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1173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1174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1175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1176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1177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1170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1178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1179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1179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1180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1181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1182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1183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1184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1185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1186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1187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1188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1189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1189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1190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1191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1191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1191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1191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1192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1193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1194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1195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1196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1197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1198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1177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1151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1199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1200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1200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1201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1197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1202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1203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1204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1205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1206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1207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1208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1209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1210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1211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1212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1213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1214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1190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1149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1215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1215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1216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1217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1218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1219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1220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1221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1222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1223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1224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1225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1226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1227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1228</v>
      </c>
      <c r="D126" s="162">
        <v>2056.0</v>
      </c>
      <c r="E126" s="162">
        <v>1.0</v>
      </c>
      <c r="F126" s="162" t="s">
        <v>73</v>
      </c>
      <c r="G126" s="165" t="s">
        <v>1229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1230</v>
      </c>
      <c r="D127" s="162" t="s">
        <v>501</v>
      </c>
      <c r="E127" s="162">
        <v>1.0</v>
      </c>
      <c r="F127" s="162" t="s">
        <v>73</v>
      </c>
      <c r="G127" s="165" t="s">
        <v>1231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1112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1232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1232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1233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1234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1235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1236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1237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1238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1239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1240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1241</v>
      </c>
      <c r="D137" s="162" t="s">
        <v>535</v>
      </c>
      <c r="E137" s="162">
        <v>1.0</v>
      </c>
      <c r="F137" s="162" t="s">
        <v>28</v>
      </c>
      <c r="G137" s="165" t="s">
        <v>1242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1243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1244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1245</v>
      </c>
      <c r="D140" s="115"/>
      <c r="E140" s="162">
        <v>1.0</v>
      </c>
      <c r="F140" s="162" t="s">
        <v>73</v>
      </c>
      <c r="G140" s="165" t="s">
        <v>1246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1138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1247</v>
      </c>
      <c r="D142" s="115"/>
      <c r="E142" s="162">
        <v>10.0</v>
      </c>
      <c r="F142" s="162" t="s">
        <v>28</v>
      </c>
      <c r="G142" s="165" t="s">
        <v>1248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1249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1243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1250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1251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1252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1138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1253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1254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1255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1256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1257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1258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1244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1245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1259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1260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1261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1262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1190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1240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1263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1264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1265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1266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1267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1268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1269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1204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1268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1270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1271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1152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1259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1161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1272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1273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1274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1275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1275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1276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1266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1152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1139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1152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1277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1266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1278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1278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1279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1280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1281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1282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1179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1176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1240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1146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1283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1284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1285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1286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1202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1287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1270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1288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1289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1290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1290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1290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1140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1291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1292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1293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1294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1146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1139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1139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1146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1295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1269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1152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1215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1146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1296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1146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1175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1152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1266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1297</v>
      </c>
      <c r="B236" s="152"/>
      <c r="C236" s="152"/>
      <c r="D236" s="152"/>
      <c r="E236" s="152"/>
      <c r="F236" s="152"/>
      <c r="G236" s="150"/>
      <c r="H236" s="184" t="s">
        <v>1298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1300</v>
      </c>
      <c r="D1" s="187" t="s">
        <v>1301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1302</v>
      </c>
      <c r="D6" s="188">
        <f>SUM(B3:B6)</f>
        <v>11</v>
      </c>
    </row>
    <row r="7">
      <c r="C7" s="188"/>
      <c r="D7" s="188"/>
    </row>
    <row r="8">
      <c r="C8" s="187" t="s">
        <v>1303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1304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1305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1306</v>
      </c>
      <c r="D22" s="188">
        <f>SUM(B19:B22)</f>
        <v>14</v>
      </c>
    </row>
    <row r="23">
      <c r="C23" s="188"/>
      <c r="D23" s="188"/>
    </row>
    <row r="24">
      <c r="C24" s="187" t="s">
        <v>1307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1308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1309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1310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1311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1313</v>
      </c>
      <c r="B2" s="195" t="s">
        <v>1314</v>
      </c>
      <c r="C2" s="195" t="s">
        <v>1315</v>
      </c>
      <c r="D2" s="196" t="s">
        <v>8</v>
      </c>
      <c r="E2" s="196" t="s">
        <v>1316</v>
      </c>
      <c r="F2" s="193"/>
      <c r="G2" s="26"/>
      <c r="H2" s="197" t="s">
        <v>1313</v>
      </c>
      <c r="I2" s="195" t="s">
        <v>1314</v>
      </c>
      <c r="J2" s="195" t="s">
        <v>1315</v>
      </c>
      <c r="K2" s="196" t="s">
        <v>8</v>
      </c>
      <c r="L2" s="196" t="s">
        <v>1316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1317</v>
      </c>
      <c r="C3" s="200">
        <v>5.1780222E7</v>
      </c>
      <c r="D3" s="200">
        <v>1.0</v>
      </c>
      <c r="E3" s="201" t="s">
        <v>1318</v>
      </c>
      <c r="F3" s="193"/>
      <c r="G3" s="26"/>
      <c r="H3" s="202" t="s">
        <v>527</v>
      </c>
      <c r="I3" s="199" t="s">
        <v>1317</v>
      </c>
      <c r="J3" s="200">
        <v>5.1770271E7</v>
      </c>
      <c r="K3" s="200">
        <v>1.0</v>
      </c>
      <c r="L3" s="201" t="s">
        <v>1318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1317</v>
      </c>
      <c r="C4" s="200">
        <v>5.1780213E7</v>
      </c>
      <c r="D4" s="200">
        <v>1.0</v>
      </c>
      <c r="E4" s="201" t="s">
        <v>1318</v>
      </c>
      <c r="F4" s="193"/>
      <c r="G4" s="26"/>
      <c r="H4" s="202" t="s">
        <v>527</v>
      </c>
      <c r="I4" s="199" t="s">
        <v>1317</v>
      </c>
      <c r="J4" s="200">
        <v>5.1770267E7</v>
      </c>
      <c r="K4" s="200">
        <v>1.0</v>
      </c>
      <c r="L4" s="201" t="s">
        <v>1318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1317</v>
      </c>
      <c r="C5" s="200">
        <v>5.1740102E7</v>
      </c>
      <c r="D5" s="200">
        <v>1.0</v>
      </c>
      <c r="E5" s="201" t="s">
        <v>1318</v>
      </c>
      <c r="F5" s="193"/>
      <c r="G5" s="26"/>
      <c r="H5" s="202" t="s">
        <v>527</v>
      </c>
      <c r="I5" s="199" t="s">
        <v>1317</v>
      </c>
      <c r="J5" s="200">
        <v>5.1740133E7</v>
      </c>
      <c r="K5" s="200">
        <v>1.0</v>
      </c>
      <c r="L5" s="201" t="s">
        <v>1318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1317</v>
      </c>
      <c r="C6" s="200">
        <v>5.1700194E7</v>
      </c>
      <c r="D6" s="200">
        <v>1.0</v>
      </c>
      <c r="E6" s="201" t="s">
        <v>1318</v>
      </c>
      <c r="F6" s="193"/>
      <c r="G6" s="26"/>
      <c r="H6" s="202" t="s">
        <v>527</v>
      </c>
      <c r="I6" s="199" t="s">
        <v>1317</v>
      </c>
      <c r="J6" s="200">
        <v>5.1690177E7</v>
      </c>
      <c r="K6" s="200">
        <v>1.0</v>
      </c>
      <c r="L6" s="201" t="s">
        <v>1318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1317</v>
      </c>
      <c r="C7" s="200">
        <v>5.1690187E7</v>
      </c>
      <c r="D7" s="200">
        <v>1.0</v>
      </c>
      <c r="E7" s="201" t="s">
        <v>1318</v>
      </c>
      <c r="F7" s="193"/>
      <c r="G7" s="26"/>
      <c r="H7" s="202" t="s">
        <v>527</v>
      </c>
      <c r="I7" s="199" t="s">
        <v>1317</v>
      </c>
      <c r="J7" s="200">
        <v>5.1690157E7</v>
      </c>
      <c r="K7" s="200">
        <v>1.0</v>
      </c>
      <c r="L7" s="201" t="s">
        <v>1318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1317</v>
      </c>
      <c r="C8" s="200">
        <v>5.1680222E7</v>
      </c>
      <c r="D8" s="200">
        <v>1.0</v>
      </c>
      <c r="E8" s="201" t="s">
        <v>1318</v>
      </c>
      <c r="F8" s="193"/>
      <c r="G8" s="26"/>
      <c r="H8" s="202" t="s">
        <v>527</v>
      </c>
      <c r="I8" s="199" t="s">
        <v>1317</v>
      </c>
      <c r="J8" s="200">
        <v>5.1680218E7</v>
      </c>
      <c r="K8" s="200">
        <v>1.0</v>
      </c>
      <c r="L8" s="201" t="s">
        <v>1318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1319</v>
      </c>
      <c r="C9" s="200">
        <v>5.1650167E7</v>
      </c>
      <c r="D9" s="200">
        <v>1.0</v>
      </c>
      <c r="E9" s="201" t="s">
        <v>1318</v>
      </c>
      <c r="F9" s="193"/>
      <c r="G9" s="26"/>
      <c r="H9" s="202" t="s">
        <v>1320</v>
      </c>
      <c r="I9" s="199" t="s">
        <v>1321</v>
      </c>
      <c r="J9" s="200">
        <v>5.1490314E7</v>
      </c>
      <c r="K9" s="200">
        <v>1.0</v>
      </c>
      <c r="L9" s="201" t="s">
        <v>1318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1317</v>
      </c>
      <c r="C10" s="200">
        <v>5.1620366E7</v>
      </c>
      <c r="D10" s="200">
        <v>1.0</v>
      </c>
      <c r="E10" s="201" t="s">
        <v>1318</v>
      </c>
      <c r="F10" s="193"/>
      <c r="G10" s="26"/>
      <c r="H10" s="202" t="s">
        <v>1320</v>
      </c>
      <c r="I10" s="199" t="s">
        <v>1321</v>
      </c>
      <c r="J10" s="200">
        <v>5.1470312E7</v>
      </c>
      <c r="K10" s="200">
        <v>1.0</v>
      </c>
      <c r="L10" s="201" t="s">
        <v>1318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1322</v>
      </c>
      <c r="B11" s="199" t="s">
        <v>1323</v>
      </c>
      <c r="C11" s="200" t="s">
        <v>1324</v>
      </c>
      <c r="D11" s="200">
        <v>2.0</v>
      </c>
      <c r="E11" s="201" t="s">
        <v>1318</v>
      </c>
      <c r="F11" s="193"/>
      <c r="G11" s="26"/>
      <c r="H11" s="202" t="s">
        <v>1320</v>
      </c>
      <c r="I11" s="199" t="s">
        <v>1321</v>
      </c>
      <c r="J11" s="200">
        <v>5.1410316E7</v>
      </c>
      <c r="K11" s="200">
        <v>1.0</v>
      </c>
      <c r="L11" s="201" t="s">
        <v>1318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1320</v>
      </c>
      <c r="B12" s="199" t="s">
        <v>1321</v>
      </c>
      <c r="C12" s="200">
        <v>5.1410315E7</v>
      </c>
      <c r="D12" s="200">
        <v>1.0</v>
      </c>
      <c r="E12" s="201" t="s">
        <v>1318</v>
      </c>
      <c r="F12" s="193"/>
      <c r="G12" s="26"/>
      <c r="H12" s="202" t="s">
        <v>1325</v>
      </c>
      <c r="I12" s="199" t="s">
        <v>1326</v>
      </c>
      <c r="J12" s="200" t="s">
        <v>1324</v>
      </c>
      <c r="K12" s="200">
        <v>1.0</v>
      </c>
      <c r="L12" s="201" t="s">
        <v>1318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1320</v>
      </c>
      <c r="B13" s="199" t="s">
        <v>1321</v>
      </c>
      <c r="C13" s="200">
        <v>5.0930348E7</v>
      </c>
      <c r="D13" s="200">
        <v>1.0</v>
      </c>
      <c r="E13" s="201" t="s">
        <v>1318</v>
      </c>
      <c r="F13" s="193"/>
      <c r="G13" s="26"/>
      <c r="H13" s="202" t="s">
        <v>1325</v>
      </c>
      <c r="I13" s="199" t="s">
        <v>1326</v>
      </c>
      <c r="J13" s="200" t="s">
        <v>1324</v>
      </c>
      <c r="K13" s="200">
        <v>9.0</v>
      </c>
      <c r="L13" s="201" t="s">
        <v>1318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1327</v>
      </c>
      <c r="C14" s="200" t="s">
        <v>1324</v>
      </c>
      <c r="D14" s="200">
        <v>8.0</v>
      </c>
      <c r="E14" s="201" t="s">
        <v>1318</v>
      </c>
      <c r="F14" s="193"/>
      <c r="G14" s="26"/>
      <c r="H14" s="202" t="s">
        <v>235</v>
      </c>
      <c r="I14" s="199" t="s">
        <v>1327</v>
      </c>
      <c r="J14" s="200" t="s">
        <v>1324</v>
      </c>
      <c r="K14" s="200">
        <v>6.0</v>
      </c>
      <c r="L14" s="201" t="s">
        <v>1318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1328</v>
      </c>
      <c r="B15" s="199" t="s">
        <v>1329</v>
      </c>
      <c r="C15" s="200" t="s">
        <v>1324</v>
      </c>
      <c r="D15" s="200">
        <v>80.0</v>
      </c>
      <c r="E15" s="201" t="s">
        <v>1318</v>
      </c>
      <c r="F15" s="193"/>
      <c r="G15" s="26"/>
      <c r="H15" s="202" t="s">
        <v>1322</v>
      </c>
      <c r="I15" s="199" t="s">
        <v>1323</v>
      </c>
      <c r="J15" s="200" t="s">
        <v>1324</v>
      </c>
      <c r="K15" s="200">
        <v>3.0</v>
      </c>
      <c r="L15" s="201" t="s">
        <v>1318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1328</v>
      </c>
      <c r="I16" s="199" t="s">
        <v>1329</v>
      </c>
      <c r="J16" s="200" t="s">
        <v>1324</v>
      </c>
      <c r="K16" s="200">
        <v>50.0</v>
      </c>
      <c r="L16" s="201" t="s">
        <v>1318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1330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1331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1332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38" t="str">
        <f>IFERROR(__xludf.DUMMYFUNCTION("""COMPUTED_VALUE"""),"99-223-6B23284")</f>
        <v>99-223-6B23284</v>
      </c>
      <c r="B454" s="138" t="str">
        <f>IFERROR(__xludf.DUMMYFUNCTION("""COMPUTED_VALUE"""),"SWITCH NAV")</f>
        <v>SWITCH NAV</v>
      </c>
    </row>
    <row r="455">
      <c r="A455" s="138" t="str">
        <f>IFERROR(__xludf.DUMMYFUNCTION("""COMPUTED_VALUE"""),"2610014-1")</f>
        <v>2610014-1</v>
      </c>
      <c r="B455" s="138" t="str">
        <f>IFERROR(__xludf.DUMMYFUNCTION("""COMPUTED_VALUE"""),"PAN ASSY OIL DRIP")</f>
        <v>PAN ASSY OIL DRIP</v>
      </c>
    </row>
    <row r="456">
      <c r="A456" s="138" t="str">
        <f>IFERROR(__xludf.DUMMYFUNCTION("""COMPUTED_VALUE"""),"NAS464P4A10")</f>
        <v>NAS464P4A10</v>
      </c>
      <c r="B456" s="138" t="str">
        <f>IFERROR(__xludf.DUMMYFUNCTION("""COMPUTED_VALUE"""),"BOLT,SHEAR")</f>
        <v>BOLT,SHEAR</v>
      </c>
    </row>
    <row r="457">
      <c r="A457" s="138" t="str">
        <f>IFERROR(__xludf.DUMMYFUNCTION("""COMPUTED_VALUE"""),"A4513-1")</f>
        <v>A4513-1</v>
      </c>
      <c r="B457" s="138" t="str">
        <f>IFERROR(__xludf.DUMMYFUNCTION("""COMPUTED_VALUE"""),"LENS CLEAR")</f>
        <v>LENS CLEAR</v>
      </c>
    </row>
    <row r="458">
      <c r="A458" s="138" t="str">
        <f>IFERROR(__xludf.DUMMYFUNCTION("""COMPUTED_VALUE"""),"S1104-3")</f>
        <v>S1104-3</v>
      </c>
      <c r="B458" s="138" t="str">
        <f>IFERROR(__xludf.DUMMYFUNCTION("""COMPUTED_VALUE""")," BEARING,PLAIN,ROD END")</f>
        <v> BEARING,PLAIN,ROD END</v>
      </c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
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visible" name="DEVOLUÇÃO COMPLETO" sheetId="2" r:id="rId6"/>
    <sheet state="visible" name="HISTORICO" sheetId="3" r:id="rId7"/>
    <sheet state="hidden" name="Tabela dinâmica 2" sheetId="4" r:id="rId8"/>
    <sheet state="visible" name="ESTOQUE VEE ONE" sheetId="5" r:id="rId9"/>
    <sheet state="visible" name="Dados de PN" sheetId="6" r:id="rId10"/>
  </sheets>
  <definedNames>
    <definedName hidden="1" localSheetId="0" name="_xlnm._FilterDatabase">'DEVOLUÇÃO'!$A$2:$AD$299</definedName>
    <definedName hidden="1" localSheetId="1" name="_xlnm._FilterDatabase">'DEVOLUÇÃO COMPLETO'!$A$2:$AD$299</definedName>
  </definedNames>
  <calcPr/>
  <pivotCaches>
    <pivotCache cacheId="0" r:id="rId11"/>
  </pivotCaches>
</workbook>
</file>

<file path=xl/sharedStrings.xml><?xml version="1.0" encoding="utf-8"?>
<sst xmlns="http://schemas.openxmlformats.org/spreadsheetml/2006/main" count="7151" uniqueCount="1377">
  <si>
    <t>MARÇO</t>
  </si>
  <si>
    <t xml:space="preserve">Planilha devolução  </t>
  </si>
  <si>
    <t>ATUALIZADA EM</t>
  </si>
  <si>
    <t>RELATÓRIO MENSAL DE ACOMPANHAMENTO</t>
  </si>
  <si>
    <t xml:space="preserve"> </t>
  </si>
  <si>
    <t>CONTRATO:</t>
  </si>
  <si>
    <t>Nº de Ordem</t>
  </si>
  <si>
    <t>Part Number</t>
  </si>
  <si>
    <t>Descrição</t>
  </si>
  <si>
    <t>SN/LT</t>
  </si>
  <si>
    <t>CAT</t>
  </si>
  <si>
    <t>QTD</t>
  </si>
  <si>
    <t>Pedido / EMG</t>
  </si>
  <si>
    <t>QTD numerica</t>
  </si>
  <si>
    <t>Motivo</t>
  </si>
  <si>
    <t>PJ</t>
  </si>
  <si>
    <t>Pedido de envio</t>
  </si>
  <si>
    <t>ANV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</si>
  <si>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</si>
  <si>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</si>
  <si>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</si>
  <si>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</si>
  <si>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</si>
  <si>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</si>
  <si>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</si>
  <si>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Data de Devolução</t>
  </si>
  <si>
    <t>Observação Fiscal</t>
  </si>
  <si>
    <t>Observação Empresa</t>
  </si>
  <si>
    <t>1</t>
  </si>
  <si>
    <t>MÊS DE REFERÊNCIA:</t>
  </si>
  <si>
    <t>302-039-402</t>
  </si>
  <si>
    <t>-</t>
  </si>
  <si>
    <t>C</t>
  </si>
  <si>
    <t>REFERÊNCIA:</t>
  </si>
  <si>
    <t>01 EA</t>
  </si>
  <si>
    <t>Tabela 1.13 - Devolução de itens atendidos pelo estoque FAB.</t>
  </si>
  <si>
    <t>Desgaste</t>
  </si>
  <si>
    <t>U8</t>
  </si>
  <si>
    <t>2741</t>
  </si>
  <si>
    <t>BABV</t>
  </si>
  <si>
    <t>GMM de envio FAB</t>
  </si>
  <si>
    <t>Data de Envio FAB</t>
  </si>
  <si>
    <t>ANV atendida</t>
  </si>
  <si>
    <t>Recibo de devolução</t>
  </si>
  <si>
    <t>NF de devolução V1</t>
  </si>
  <si>
    <t xml:space="preserve">COUNTA de </t>
  </si>
  <si>
    <t>Mes</t>
  </si>
  <si>
    <t>2</t>
  </si>
  <si>
    <t>Totais no mês</t>
  </si>
  <si>
    <t>650X10 TUBE</t>
  </si>
  <si>
    <t>2740</t>
  </si>
  <si>
    <t>BAMN</t>
  </si>
  <si>
    <t>065-0065-01</t>
  </si>
  <si>
    <t>SELECTOR ALT</t>
  </si>
  <si>
    <t>T</t>
  </si>
  <si>
    <t>3</t>
  </si>
  <si>
    <t>NAS1739B4-6</t>
  </si>
  <si>
    <t>REBITE, CEGO</t>
  </si>
  <si>
    <t>A EMPRESA NÃO RECONHECE COMO SENDO DE SUA RESPONSABILIDADE O ATENDIMENTO DESSES ITENS - TRATA-SE DE CASO FORTUITO EM DECORRÊNCIA DE COLISÃO COM PÁSSAROS</t>
  </si>
  <si>
    <t>Pane de indicação</t>
  </si>
  <si>
    <t>2719</t>
  </si>
  <si>
    <t>BANT</t>
  </si>
  <si>
    <t>CR2248-4-4</t>
  </si>
  <si>
    <t>RIVET, BLIND</t>
  </si>
  <si>
    <t>4</t>
  </si>
  <si>
    <t>NAS1097AD6-5</t>
  </si>
  <si>
    <t>RIVET SOLID</t>
  </si>
  <si>
    <t>NAS1097AD6-4</t>
  </si>
  <si>
    <t>RIVET, SOLID</t>
  </si>
  <si>
    <t>NAS1097AD5-4</t>
  </si>
  <si>
    <t>NAS1097AD5-7</t>
  </si>
  <si>
    <t>100 EA</t>
  </si>
  <si>
    <t>NAS1097AD4-3</t>
  </si>
  <si>
    <t>NAS1097AD3-7</t>
  </si>
  <si>
    <t>T1</t>
  </si>
  <si>
    <t>2731</t>
  </si>
  <si>
    <t>BABE</t>
  </si>
  <si>
    <t xml:space="preserve">Lembro da empresa comentar algo sobre esses itens. Favor escrever o motivo. 04.02 </t>
  </si>
  <si>
    <t>Março</t>
  </si>
  <si>
    <t>5934PAD-3</t>
  </si>
  <si>
    <t>ALTIMETER</t>
  </si>
  <si>
    <t>R</t>
  </si>
  <si>
    <t>Abril</t>
  </si>
  <si>
    <t>OK</t>
  </si>
  <si>
    <t>Maio</t>
  </si>
  <si>
    <t>Reparo bordo de ataque do estabilizador horizontal</t>
  </si>
  <si>
    <t>5</t>
  </si>
  <si>
    <t>068-02800</t>
  </si>
  <si>
    <t>INSULATOR</t>
  </si>
  <si>
    <t>RA068-02800</t>
  </si>
  <si>
    <t>Junho</t>
  </si>
  <si>
    <t>Desconsiderado</t>
  </si>
  <si>
    <t>Julho</t>
  </si>
  <si>
    <t>Lembro da empresa comentar algo sobre esses itens. Favor escrever o motivo. 04.02 wallace</t>
  </si>
  <si>
    <t>Agosto</t>
  </si>
  <si>
    <t>6</t>
  </si>
  <si>
    <t>MS21442-121</t>
  </si>
  <si>
    <t>BEARING,ROLLER,NEEDLE</t>
  </si>
  <si>
    <t>500 GM</t>
  </si>
  <si>
    <t>Setembro</t>
  </si>
  <si>
    <t>7</t>
  </si>
  <si>
    <t>BUSHING,SLEEVE</t>
  </si>
  <si>
    <t>065-0042-03</t>
  </si>
  <si>
    <t>AUTOPILOT COMPUTER/FLIGHT DIRECTOT</t>
  </si>
  <si>
    <t>ENTREGUE NO PAMALS SERIAL 53850</t>
  </si>
  <si>
    <t>1028/LS-C98/2025</t>
  </si>
  <si>
    <t>Outubro</t>
  </si>
  <si>
    <t>8</t>
  </si>
  <si>
    <t>1 LB</t>
  </si>
  <si>
    <t>Novembro</t>
  </si>
  <si>
    <t>9</t>
  </si>
  <si>
    <t>AE3663163K0600</t>
  </si>
  <si>
    <t>HOSE ASSY</t>
  </si>
  <si>
    <t>Dezembro</t>
  </si>
  <si>
    <t>MS21044N9</t>
  </si>
  <si>
    <t>NUT,SELF-LOCKING,HEXAGON</t>
  </si>
  <si>
    <t>2728 e 2719</t>
  </si>
  <si>
    <t>10</t>
  </si>
  <si>
    <t>A1639-32</t>
  </si>
  <si>
    <t>ENTREGUE NA BANT 8 EA</t>
  </si>
  <si>
    <t>135/FAB/25</t>
  </si>
  <si>
    <t>11</t>
  </si>
  <si>
    <t>C145-00-46</t>
  </si>
  <si>
    <t>TRANSMISSION ASSY</t>
  </si>
  <si>
    <t>50 EA</t>
  </si>
  <si>
    <t>ENTREGUE NA BANT SERIAL L1062 ANV 2729</t>
  </si>
  <si>
    <t>133/C 98/2025</t>
  </si>
  <si>
    <t>62800-001</t>
  </si>
  <si>
    <t>MICROPHONE,MAGNETIC</t>
  </si>
  <si>
    <t>12</t>
  </si>
  <si>
    <t>ENTREGUE NO PAMALS</t>
  </si>
  <si>
    <t>1088/LS-c98/2025</t>
  </si>
  <si>
    <t>Inspeção 2739</t>
  </si>
  <si>
    <t>2739</t>
  </si>
  <si>
    <t>02/07/2026</t>
  </si>
  <si>
    <t>03/07/2026</t>
  </si>
  <si>
    <t>08/07/2026</t>
  </si>
  <si>
    <t>10/07/2026</t>
  </si>
  <si>
    <t>065-0042-15</t>
  </si>
  <si>
    <t>13/07/2026</t>
  </si>
  <si>
    <t>COMPUTADOR DO PILOTO AUTOMÁTICO</t>
  </si>
  <si>
    <t>15/07/2026</t>
  </si>
  <si>
    <t>21/07/2026</t>
  </si>
  <si>
    <t>23/07/2026</t>
  </si>
  <si>
    <t>30/06/2026</t>
  </si>
  <si>
    <t>Total geral</t>
  </si>
  <si>
    <t>13</t>
  </si>
  <si>
    <t>S3326-2</t>
  </si>
  <si>
    <t>INDICATOR,HORIZONTAL SITUATION</t>
  </si>
  <si>
    <t>T107383M</t>
  </si>
  <si>
    <t>*</t>
  </si>
  <si>
    <t>Constatado necessidade de troca durante inspeção</t>
  </si>
  <si>
    <t>2722</t>
  </si>
  <si>
    <t>MS29513-338</t>
  </si>
  <si>
    <t>ANEL-O</t>
  </si>
  <si>
    <t>14</t>
  </si>
  <si>
    <t>030-18200</t>
  </si>
  <si>
    <t>CONJUNTO DE FREIO</t>
  </si>
  <si>
    <t>30-182</t>
  </si>
  <si>
    <t>ENTREGUE NO PAMALS SERIAL 322</t>
  </si>
  <si>
    <t>143/C98/2025</t>
  </si>
  <si>
    <t>9864054-7</t>
  </si>
  <si>
    <t>CABLE ASSY-FLAP INDICATOR</t>
  </si>
  <si>
    <t>15</t>
  </si>
  <si>
    <t>02 EA</t>
  </si>
  <si>
    <t>2606015-2</t>
  </si>
  <si>
    <t>Atender demanda para retirada de pane do 2709</t>
  </si>
  <si>
    <t>IND OIL TEMP/P</t>
  </si>
  <si>
    <t>2709</t>
  </si>
  <si>
    <t>BABR</t>
  </si>
  <si>
    <t>16</t>
  </si>
  <si>
    <t>523919</t>
  </si>
  <si>
    <t>76-207-12</t>
  </si>
  <si>
    <t>17</t>
  </si>
  <si>
    <t>SENSOR, FUEL LEVEL SHORT</t>
  </si>
  <si>
    <t>Emergência não atendida pela Vee One</t>
  </si>
  <si>
    <t xml:space="preserve">1028/LS-C98/2025
</t>
  </si>
  <si>
    <t>Não Localizei o recibo no drive. Wallace 04.02 . confirmado recebimento em 025.02 recebido pelo Sgt Josué Item na verdade atendeu emergência 304260075562 do C-98 2704.</t>
  </si>
  <si>
    <t>18</t>
  </si>
  <si>
    <t>MS20007-30</t>
  </si>
  <si>
    <t>BOLT,INTERNAL WRENCHING</t>
  </si>
  <si>
    <t>NAS147-43</t>
  </si>
  <si>
    <t>ENTREGUE 2 EA NO PAMALS</t>
  </si>
  <si>
    <t>2728</t>
  </si>
  <si>
    <t>069/FAB/25</t>
  </si>
  <si>
    <t>MS20007-16</t>
  </si>
  <si>
    <t>19</t>
  </si>
  <si>
    <t>16 EA</t>
  </si>
  <si>
    <t>Emergência 685250006354 e 685250006598 não atendidas pela Vee One</t>
  </si>
  <si>
    <t>B-5121</t>
  </si>
  <si>
    <t>FEEDBACK BEARING ASSY</t>
  </si>
  <si>
    <t>ENTREGUE NA EEAR 1 EA</t>
  </si>
  <si>
    <t>068/FAB/25</t>
  </si>
  <si>
    <t>20</t>
  </si>
  <si>
    <t>C668050-1104</t>
  </si>
  <si>
    <t>TRANSMITER FUEL</t>
  </si>
  <si>
    <t>08 EA</t>
  </si>
  <si>
    <t>Necessidade de troca de hélice e consequente trocas das porcas</t>
  </si>
  <si>
    <t>431-0101-01</t>
  </si>
  <si>
    <t>2729</t>
  </si>
  <si>
    <t>SWITCH,PROXIMITY</t>
  </si>
  <si>
    <t>ENTREGUE NA BABR 1 EA</t>
  </si>
  <si>
    <t>Não Localizei o recibo no drive. Wallace 04.02 . Localizei o recibo informado, mas não localizei os itens no recibo. Localizei o Recibo assinado pelo SO GENILSON</t>
  </si>
  <si>
    <t>065/FAB/25</t>
  </si>
  <si>
    <t>21</t>
  </si>
  <si>
    <t>2650026-3</t>
  </si>
  <si>
    <t>BRACKET</t>
  </si>
  <si>
    <t>Flape travando</t>
  </si>
  <si>
    <t>ENTREGUE NA BABR 2 EA</t>
  </si>
  <si>
    <t>S2300-12</t>
  </si>
  <si>
    <t xml:space="preserve">ENTREGUE NA BANT SERIAL L1062 ANV 2729
</t>
  </si>
  <si>
    <t>ENTREGUE NA BABR 3 EA</t>
  </si>
  <si>
    <t xml:space="preserve">Não Localizei o recibo no drive. Wallace 04.02 </t>
  </si>
  <si>
    <t>S2357-1</t>
  </si>
  <si>
    <t>CLAMP,HOSE</t>
  </si>
  <si>
    <t>22</t>
  </si>
  <si>
    <t>ENTREGUE NA BABR 10 EA</t>
  </si>
  <si>
    <t>2N6576</t>
  </si>
  <si>
    <t>TRANSISTOR</t>
  </si>
  <si>
    <t>Microfone com mal funcionamento</t>
  </si>
  <si>
    <t>1088/PAMALS/2025</t>
  </si>
  <si>
    <t>Checado recibo, assinado pelo 1S Salino</t>
  </si>
  <si>
    <t>22827-3</t>
  </si>
  <si>
    <t>CLIP,ELECTRICAL</t>
  </si>
  <si>
    <t>23</t>
  </si>
  <si>
    <t>ENTREGUE NA BABR</t>
  </si>
  <si>
    <t>088/FAB/25</t>
  </si>
  <si>
    <t>PN</t>
  </si>
  <si>
    <t>1876</t>
  </si>
  <si>
    <t>NOMENCLATURA</t>
  </si>
  <si>
    <t>S/N</t>
  </si>
  <si>
    <t>PA em pane</t>
  </si>
  <si>
    <t>2708</t>
  </si>
  <si>
    <t>UE</t>
  </si>
  <si>
    <t>BASM</t>
  </si>
  <si>
    <t>060-0015-00</t>
  </si>
  <si>
    <t>CONTROL,DIRECTIONAL,AUTOMATIC PILOT</t>
  </si>
  <si>
    <t>24</t>
  </si>
  <si>
    <t>066-4010-10</t>
  </si>
  <si>
    <t>RECEPTOR</t>
  </si>
  <si>
    <t>850C86-2</t>
  </si>
  <si>
    <t>TIRE 8.50-10 8PLY TT</t>
  </si>
  <si>
    <t>Repor item cedido por Manaus para o C-98 2739</t>
  </si>
  <si>
    <t>066-4010-12</t>
  </si>
  <si>
    <t>ENTREGUE NO PAMALS SERIAL 8320</t>
  </si>
  <si>
    <t>1100/LS-C-98/2025</t>
  </si>
  <si>
    <t>EA</t>
  </si>
  <si>
    <t>011-01020-10</t>
  </si>
  <si>
    <t>AFCS MODE CONTROLLER GMC 710</t>
  </si>
  <si>
    <t>25</t>
  </si>
  <si>
    <t>CM2990-G1</t>
  </si>
  <si>
    <t>POST LIGHT</t>
  </si>
  <si>
    <t>04 EA</t>
  </si>
  <si>
    <t>C262023-0107</t>
  </si>
  <si>
    <t>IPLR 2719</t>
  </si>
  <si>
    <t>TUBE 850X10</t>
  </si>
  <si>
    <t>A7</t>
  </si>
  <si>
    <t>302-120-402</t>
  </si>
  <si>
    <t>156/FAB/25</t>
  </si>
  <si>
    <t>26</t>
  </si>
  <si>
    <t>2126001-1</t>
  </si>
  <si>
    <t>VALVE ASSY FUEL VENT</t>
  </si>
  <si>
    <t>Repor item cedido por Manaus para o C-98 2738</t>
  </si>
  <si>
    <t>2732</t>
  </si>
  <si>
    <t>2612035-1</t>
  </si>
  <si>
    <t>TIE DOWM ASSY</t>
  </si>
  <si>
    <t xml:space="preserve">143/C98/2025
</t>
  </si>
  <si>
    <t>2641012-15</t>
  </si>
  <si>
    <t>Não Localizei o recibo no drive. Wallace 04.02 ..Confirmado recebimento SN 30-182. Recebido pelo Sgt dos santos</t>
  </si>
  <si>
    <t>TRUNNION ASSY GEAR LH</t>
  </si>
  <si>
    <t>32784468F</t>
  </si>
  <si>
    <t>27</t>
  </si>
  <si>
    <t>INVOICE TEXTRON IJ16845210</t>
  </si>
  <si>
    <t>228K61-1</t>
  </si>
  <si>
    <t>TIRE 22 X 8.0-8 6PLY TT</t>
  </si>
  <si>
    <t>DD2W</t>
  </si>
  <si>
    <t>STATIC WICK</t>
  </si>
  <si>
    <t>Cabo do flape partido, anv autorizada a voar até 17/06, após isso seria AIFP</t>
  </si>
  <si>
    <t>302-247-400</t>
  </si>
  <si>
    <t>TUBE G19.5 X 6.75-8 (4)</t>
  </si>
  <si>
    <t>N/A</t>
  </si>
  <si>
    <t>28</t>
  </si>
  <si>
    <t>S3100-581</t>
  </si>
  <si>
    <t>SENSOR, FUEL LEVEL</t>
  </si>
  <si>
    <t>AAR0242</t>
  </si>
  <si>
    <t>3059779-01</t>
  </si>
  <si>
    <t>ELEMENT FILTER FUEL</t>
  </si>
  <si>
    <t>Atender demanda do C-98 2720.</t>
  </si>
  <si>
    <t>GF5500-81</t>
  </si>
  <si>
    <t>LOW L SWITCH</t>
  </si>
  <si>
    <t>2720</t>
  </si>
  <si>
    <t>29</t>
  </si>
  <si>
    <t>088-01132-0002</t>
  </si>
  <si>
    <t>CAP</t>
  </si>
  <si>
    <t>TUBE 7.50/8.50-10</t>
  </si>
  <si>
    <t>Pane de indicação de combustível</t>
  </si>
  <si>
    <t>066-03300</t>
  </si>
  <si>
    <t>2641012-14</t>
  </si>
  <si>
    <t>LINING</t>
  </si>
  <si>
    <t>TRUNION ASSY-RH-MAIN GEAR</t>
  </si>
  <si>
    <t>30</t>
  </si>
  <si>
    <t>2641012-9</t>
  </si>
  <si>
    <t>TRUNNION ASSY</t>
  </si>
  <si>
    <t>Troca de berço trincado do 2733</t>
  </si>
  <si>
    <t>2733</t>
  </si>
  <si>
    <t xml:space="preserve">069/FAB/25	</t>
  </si>
  <si>
    <t>WASHER,FLAT</t>
  </si>
  <si>
    <t>RECIBO 114/FAB/25</t>
  </si>
  <si>
    <t>Não Localizei o recibo no drive. Wallace 04.02 . Confirmado recebimento em 24.02  pelo Sgt Josué.</t>
  </si>
  <si>
    <t>31</t>
  </si>
  <si>
    <t>AE3663162E0120</t>
  </si>
  <si>
    <t>HOSE ASSEMBLY,NONMETALLIC</t>
  </si>
  <si>
    <t>32</t>
  </si>
  <si>
    <t>EA-5175-52-CES</t>
  </si>
  <si>
    <t>AIRSPEED INDICATOR</t>
  </si>
  <si>
    <t>T35197</t>
  </si>
  <si>
    <t>RECIBO 115/FAB/25</t>
  </si>
  <si>
    <t>ENTREGUE NA BABR AWB 127-0209 6522</t>
  </si>
  <si>
    <t>1082/LS-C98/2025</t>
  </si>
  <si>
    <t>Carvão na medida limite</t>
  </si>
  <si>
    <t>2703</t>
  </si>
  <si>
    <t>EEAR</t>
  </si>
  <si>
    <t>S3100-630</t>
  </si>
  <si>
    <t>Não Localizei o recibo no drive. Wallace 04.02 . Confirmado recebimento pelo COMREC em 24.02</t>
  </si>
  <si>
    <t>33</t>
  </si>
  <si>
    <t>2660001-107</t>
  </si>
  <si>
    <t>CABLE ASSY-RUDDER LEFT AFT</t>
  </si>
  <si>
    <t>2660057-1</t>
  </si>
  <si>
    <t>SPACER</t>
  </si>
  <si>
    <t>Necessidade durante inspeção 2709</t>
  </si>
  <si>
    <t>34</t>
  </si>
  <si>
    <t>A-A-55487-5</t>
  </si>
  <si>
    <t>PIN,LOCK</t>
  </si>
  <si>
    <t>Não Localizei o recibo no drive. Wallace 04.02 . Cofnirmado Recebido em 24.02 pelo 2S Marcelli</t>
  </si>
  <si>
    <t>35</t>
  </si>
  <si>
    <t>S2319-64</t>
  </si>
  <si>
    <t>GROMMET</t>
  </si>
  <si>
    <t>060-0017-00</t>
  </si>
  <si>
    <t>36</t>
  </si>
  <si>
    <t>IND DE COMANDO DE VOO</t>
  </si>
  <si>
    <t>03 EA</t>
  </si>
  <si>
    <t>MS3456W12S3S</t>
  </si>
  <si>
    <t>CONNECTOR,PLUG,ELECTRICAL</t>
  </si>
  <si>
    <t>37</t>
  </si>
  <si>
    <t>2682001-1</t>
  </si>
  <si>
    <t>CILINDRO DE FREIO</t>
  </si>
  <si>
    <t>10 EA</t>
  </si>
  <si>
    <t>15062867</t>
  </si>
  <si>
    <t>MS3509-28</t>
  </si>
  <si>
    <t>CONNECTOR,RECEPTACLE,ELECTRICAL</t>
  </si>
  <si>
    <t>38</t>
  </si>
  <si>
    <t>15061790</t>
  </si>
  <si>
    <t>S2899L0.5</t>
  </si>
  <si>
    <t>CIRCUIT BREAKE</t>
  </si>
  <si>
    <t>39</t>
  </si>
  <si>
    <t>1U149-015-15</t>
  </si>
  <si>
    <t>HORIZ. GYRO-STADBY</t>
  </si>
  <si>
    <t>15143980</t>
  </si>
  <si>
    <t>AN6289J5</t>
  </si>
  <si>
    <t>Não Localizei o recibo no drive. Wallace 04.02 Confirmado recebimento em 24.02 pela Sgt Kesia</t>
  </si>
  <si>
    <t>LOCKNUT,TUBE FITTING</t>
  </si>
  <si>
    <t>40</t>
  </si>
  <si>
    <t>MS17825-3</t>
  </si>
  <si>
    <t>NUT,SELF-LOCKING,SLOTTED,HEXAGON</t>
  </si>
  <si>
    <t>MS17826-3</t>
  </si>
  <si>
    <t>15143981</t>
  </si>
  <si>
    <t>200-1902-00</t>
  </si>
  <si>
    <t>SWITCH-ELEC TR</t>
  </si>
  <si>
    <t>41</t>
  </si>
  <si>
    <t>161-12800</t>
  </si>
  <si>
    <t>WHEEL HALF ASSY</t>
  </si>
  <si>
    <t>15143982</t>
  </si>
  <si>
    <t>2722 / 2728</t>
  </si>
  <si>
    <t>Não Localizei o recibo no drive. Wallace 04.02 Localizei o recibo assinado pelo 2S Lessa</t>
  </si>
  <si>
    <t>162-11800</t>
  </si>
  <si>
    <t>42</t>
  </si>
  <si>
    <t>17365</t>
  </si>
  <si>
    <t>15143983</t>
  </si>
  <si>
    <t>161-11700</t>
  </si>
  <si>
    <t>162-10700</t>
  </si>
  <si>
    <t>43</t>
  </si>
  <si>
    <t>6966</t>
  </si>
  <si>
    <t>15143998</t>
  </si>
  <si>
    <t>CI105-9</t>
  </si>
  <si>
    <t>ANTENNA KIT-DME/TRANSPONDER FOR USE W</t>
  </si>
  <si>
    <t>Confirmado o recebimento SN 8320 reparado. Recebido pelo 1T Bergson</t>
  </si>
  <si>
    <t>S2669-1</t>
  </si>
  <si>
    <t>44</t>
  </si>
  <si>
    <t>VALVE OIL DRAI</t>
  </si>
  <si>
    <t>22005190</t>
  </si>
  <si>
    <t>MS24694-S54</t>
  </si>
  <si>
    <t>SCREW,MACHINE</t>
  </si>
  <si>
    <t>Atendimento de ANCE pelo estoque FAB por solicitação da Vee One</t>
  </si>
  <si>
    <t>45</t>
  </si>
  <si>
    <t>NAS1741-06R8</t>
  </si>
  <si>
    <t>SCREW</t>
  </si>
  <si>
    <t>Atendimento da ANCE 329250018594 pelo estoque FAB por solicitação da Vee One</t>
  </si>
  <si>
    <t>MS24693-S48</t>
  </si>
  <si>
    <t>SCREW MACHINE</t>
  </si>
  <si>
    <t>46</t>
  </si>
  <si>
    <t>071-1242-06</t>
  </si>
  <si>
    <t>SLAVING ACCESS,SPEC</t>
  </si>
  <si>
    <t>Necessidade urgente do CLA após recebimento pelo MAPEM de câmara que não serviu</t>
  </si>
  <si>
    <t>2723</t>
  </si>
  <si>
    <t>CLA</t>
  </si>
  <si>
    <t>066-3046-01</t>
  </si>
  <si>
    <t>CONTROL INDICATOR</t>
  </si>
  <si>
    <t>Não Localizei o recibo no drive. Wallace 04.02 Não Localizei o recibo no drive. Wallace 24.02. Localizei o recibo assinado pelo 2S Josue</t>
  </si>
  <si>
    <t>47</t>
  </si>
  <si>
    <t>C661064-0237</t>
  </si>
  <si>
    <t>T26117</t>
  </si>
  <si>
    <t>Atender C-98 2737</t>
  </si>
  <si>
    <t>2737</t>
  </si>
  <si>
    <t>48</t>
  </si>
  <si>
    <t>VCF00086</t>
  </si>
  <si>
    <t>Necessidade do 2722 para disponibilizar a anv</t>
  </si>
  <si>
    <t>SERVER</t>
  </si>
  <si>
    <t>49</t>
  </si>
  <si>
    <t>Item do 2728 condenado</t>
  </si>
  <si>
    <t>Esta faltando informação, deixamos rascunho para completar ela. Wallace 04.02</t>
  </si>
  <si>
    <t>50</t>
  </si>
  <si>
    <t>Solicitado pela empresa que fosse atendido pelo estoque FAB.</t>
  </si>
  <si>
    <t>2743</t>
  </si>
  <si>
    <t>BACO</t>
  </si>
  <si>
    <t>Atendido alternado C592001-0206</t>
  </si>
  <si>
    <t>51</t>
  </si>
  <si>
    <t>Esta faltando informação, deixamos rascunho para completar ela. Wallace 04.03</t>
  </si>
  <si>
    <t>AIFP</t>
  </si>
  <si>
    <t>52</t>
  </si>
  <si>
    <t>066-3084-32</t>
  </si>
  <si>
    <t>IND RDR 200 IN</t>
  </si>
  <si>
    <t>2736</t>
  </si>
  <si>
    <t>entregue 2 ea seriais 21890, 21990</t>
  </si>
  <si>
    <t>53</t>
  </si>
  <si>
    <t xml:space="preserve">Atender IPLR </t>
  </si>
  <si>
    <t>SD5H14S6667</t>
  </si>
  <si>
    <t>AIR COMPRESSOR</t>
  </si>
  <si>
    <t>54</t>
  </si>
  <si>
    <t>AN4H3A</t>
  </si>
  <si>
    <t>BOLT, MACHINE</t>
  </si>
  <si>
    <t>729</t>
  </si>
  <si>
    <t>2615140-2</t>
  </si>
  <si>
    <t>SPRING ASSY GAS</t>
  </si>
  <si>
    <t>Pedido de transferência para atender aeronave durante inspeção</t>
  </si>
  <si>
    <t>430-00032-10</t>
  </si>
  <si>
    <t>HDG KNOB</t>
  </si>
  <si>
    <t>251304002356/0001</t>
  </si>
  <si>
    <t>MS24392-10</t>
  </si>
  <si>
    <t>NIPPLE,TUBE</t>
  </si>
  <si>
    <t>016/FAB/26</t>
  </si>
  <si>
    <t>55</t>
  </si>
  <si>
    <t>9910586-4</t>
  </si>
  <si>
    <t>FLAP ACTUATOR AND MO</t>
  </si>
  <si>
    <t>025323-150</t>
  </si>
  <si>
    <t>BOMBA DE COMBUSTÍVEL</t>
  </si>
  <si>
    <t>Pedido no PN alternado 2641012-13</t>
  </si>
  <si>
    <t>56</t>
  </si>
  <si>
    <t>52283</t>
  </si>
  <si>
    <t>011-00916-00</t>
  </si>
  <si>
    <t>DISPLAY UNIT GDU</t>
  </si>
  <si>
    <t>F222086</t>
  </si>
  <si>
    <t>HOSE,AIR DUCT</t>
  </si>
  <si>
    <t>57</t>
  </si>
  <si>
    <t>LAMP, INCANDESCENT</t>
  </si>
  <si>
    <t>Atender TCP 15745120 do CLA que se encontra em inspeção na BANT.</t>
  </si>
  <si>
    <t>251304002362/0001</t>
  </si>
  <si>
    <t>2601040-3</t>
  </si>
  <si>
    <t>VENT BLOWER ASSY</t>
  </si>
  <si>
    <t>58</t>
  </si>
  <si>
    <t>345-6196-04</t>
  </si>
  <si>
    <t>SWITCH, REMOTE</t>
  </si>
  <si>
    <t>Envio solicitado pelo SO Cláudio em 07/10, ALT do C661065-0237</t>
  </si>
  <si>
    <t>Cconfirmado recebido em 24.02 . Recebido pelo Josué Rocha</t>
  </si>
  <si>
    <t>200-01902-0000</t>
  </si>
  <si>
    <t>59</t>
  </si>
  <si>
    <t>16455913/313260017615</t>
  </si>
  <si>
    <t>Envio solicitado pelo SO Cláudio em 08/10, ALT do 76-207-1</t>
  </si>
  <si>
    <t>MS28773-05</t>
  </si>
  <si>
    <t>RETAINER,PACKING</t>
  </si>
  <si>
    <t>60</t>
  </si>
  <si>
    <t>Pedido de transferência para atender necessidade da aeronave durante manutenção</t>
  </si>
  <si>
    <t>2606015-3</t>
  </si>
  <si>
    <t>INDICATOR - OIL TEMP</t>
  </si>
  <si>
    <t>61</t>
  </si>
  <si>
    <t>C662041-0102</t>
  </si>
  <si>
    <t>IND COMB</t>
  </si>
  <si>
    <t>já tinha sido entregue 1 ea serial 1570 em estoque</t>
  </si>
  <si>
    <t>045/C98/2025</t>
  </si>
  <si>
    <t>5/28/2025</t>
  </si>
  <si>
    <t>069-01033-0101</t>
  </si>
  <si>
    <t>RECEIVER-TRASNMITTER,RADIO</t>
  </si>
  <si>
    <t>069-1025-25</t>
  </si>
  <si>
    <t>entregue no pamals serial 60637 em estoque</t>
  </si>
  <si>
    <t>62</t>
  </si>
  <si>
    <t>1080/LS-C98/2025</t>
  </si>
  <si>
    <t>51539-012N</t>
  </si>
  <si>
    <t>CONTROL UNIT ASSY-GENERATOR</t>
  </si>
  <si>
    <t>51539-012M</t>
  </si>
  <si>
    <t>entregue na BACG AWB 127-1321 4736</t>
  </si>
  <si>
    <t>058/FAB/26</t>
  </si>
  <si>
    <t>2671000PB1</t>
  </si>
  <si>
    <t>CABLE ASSY</t>
  </si>
  <si>
    <t>63</t>
  </si>
  <si>
    <t>580-219-154</t>
  </si>
  <si>
    <t>CONTROL ASSY</t>
  </si>
  <si>
    <t>Atendimenento da emergência 685250009992 do PN alt AA55487-5</t>
  </si>
  <si>
    <t>2650085-15</t>
  </si>
  <si>
    <t>TUBE-DRAIN</t>
  </si>
  <si>
    <t>64</t>
  </si>
  <si>
    <t>2652021-80</t>
  </si>
  <si>
    <t>BOLT U</t>
  </si>
  <si>
    <t>mapem</t>
  </si>
  <si>
    <t>034/FAB/26</t>
  </si>
  <si>
    <t>40 EA</t>
  </si>
  <si>
    <t>SL6015-5</t>
  </si>
  <si>
    <t>SPRING</t>
  </si>
  <si>
    <t>Atendido nos PN S2319-64, 4002-HS e 4002HS</t>
  </si>
  <si>
    <t>65</t>
  </si>
  <si>
    <t>MS25171-1S</t>
  </si>
  <si>
    <t>CABLE NIPPLE,ELECTRICAL</t>
  </si>
  <si>
    <t>Atender demanda do C-98 2708.</t>
  </si>
  <si>
    <t>C-145-450</t>
  </si>
  <si>
    <t>MOTOR,DIRECT CURRENT</t>
  </si>
  <si>
    <t>66</t>
  </si>
  <si>
    <t>9910085-2</t>
  </si>
  <si>
    <t>OIL COOLER-LARGE</t>
  </si>
  <si>
    <t>12/30/47605</t>
  </si>
  <si>
    <t>D210507</t>
  </si>
  <si>
    <t>OVERSPEED GOVERNADOR</t>
  </si>
  <si>
    <t>2249866V</t>
  </si>
  <si>
    <t>12/31/47605</t>
  </si>
  <si>
    <t>Atender demanda do C-98 2709.</t>
  </si>
  <si>
    <t>esse item foi reparado pela VeeOne e enviado ao estoque do PAMALS</t>
  </si>
  <si>
    <t>1071/LS-C98/2025</t>
  </si>
  <si>
    <t>RV05-268</t>
  </si>
  <si>
    <t>VALVE,SAFETY RELIEF</t>
  </si>
  <si>
    <t>67</t>
  </si>
  <si>
    <t>34173442</t>
  </si>
  <si>
    <t>Atender demanda urgente do C-98 2739 na BANT</t>
  </si>
  <si>
    <t>BABE/BANT</t>
  </si>
  <si>
    <t>AWB 127-6707 6741</t>
  </si>
  <si>
    <t>68</t>
  </si>
  <si>
    <t>Atender demanda urgente do 2727</t>
  </si>
  <si>
    <t>2727</t>
  </si>
  <si>
    <t>BACG</t>
  </si>
  <si>
    <t>5/28/47607</t>
  </si>
  <si>
    <t>69</t>
  </si>
  <si>
    <t>1U648-001</t>
  </si>
  <si>
    <t>THERMOSTAT</t>
  </si>
  <si>
    <t>DACTA II</t>
  </si>
  <si>
    <t>Atendimento de emergência solicitado pelo SO Cláudio em 03/11/25</t>
  </si>
  <si>
    <t>70</t>
  </si>
  <si>
    <t>WHEEL HALF ASSY-INNER</t>
  </si>
  <si>
    <t>foram entregues no pamals 3 ea desse PN</t>
  </si>
  <si>
    <t>159/C98/2025, 160/c98/2025</t>
  </si>
  <si>
    <t>WHEEL HALF ASSY-OUTER</t>
  </si>
  <si>
    <t>71</t>
  </si>
  <si>
    <t>Atender demanda urgente do 2709, solicitado pelo CP Souto / SO Cláudio em 06/11 whats app</t>
  </si>
  <si>
    <t>INNER TUBE,PNEUMATIC TIRE,AIRCRAFT</t>
  </si>
  <si>
    <t>72</t>
  </si>
  <si>
    <t>Atender demanda urgente do 2728</t>
  </si>
  <si>
    <t>PNEU PRINCIPAL 8.50-10 08PR TT FCIII MLG</t>
  </si>
  <si>
    <t>73</t>
  </si>
  <si>
    <t>AN316-4R</t>
  </si>
  <si>
    <t>NUT,PLAIN,HEXAGON</t>
  </si>
  <si>
    <t>74</t>
  </si>
  <si>
    <t>C668540-0102</t>
  </si>
  <si>
    <t>SUCTION GAGE</t>
  </si>
  <si>
    <t>C10103</t>
  </si>
  <si>
    <t>6/22/47850</t>
  </si>
  <si>
    <t>EPCAR</t>
  </si>
  <si>
    <t>Atendimento de emergência solicitado pelo SO Cláudio em 06/11/25</t>
  </si>
  <si>
    <t>MS20392-1C11</t>
  </si>
  <si>
    <t>PIN,STRAIGHT,HEADED</t>
  </si>
  <si>
    <t>75</t>
  </si>
  <si>
    <t>INNER WHEEL HALF ASSY</t>
  </si>
  <si>
    <t>16043185</t>
  </si>
  <si>
    <t>Atender demanda urgente do 2722 e 2728</t>
  </si>
  <si>
    <t>76</t>
  </si>
  <si>
    <t>OUTER WHEEL HALF ASSY</t>
  </si>
  <si>
    <t>9/27/48016</t>
  </si>
  <si>
    <t>16043186</t>
  </si>
  <si>
    <t>AE3663161E0113</t>
  </si>
  <si>
    <t>77</t>
  </si>
  <si>
    <t>16043187</t>
  </si>
  <si>
    <t>ST2231-05</t>
  </si>
  <si>
    <t>CLAMP,LOOP</t>
  </si>
  <si>
    <t>9/14/48017</t>
  </si>
  <si>
    <t>2719 / 2728</t>
  </si>
  <si>
    <t>78</t>
  </si>
  <si>
    <t>NAS561P5-12</t>
  </si>
  <si>
    <t>16043188</t>
  </si>
  <si>
    <t>PIN,SPRING</t>
  </si>
  <si>
    <t>79</t>
  </si>
  <si>
    <t>16043189</t>
  </si>
  <si>
    <t>139</t>
  </si>
  <si>
    <t>2617024-6</t>
  </si>
  <si>
    <t>VENT WINDOK ASSY</t>
  </si>
  <si>
    <t>80</t>
  </si>
  <si>
    <t>Necessidade durante inspeção</t>
  </si>
  <si>
    <t>Pesquisa de pane de motor do 2738</t>
  </si>
  <si>
    <t>140</t>
  </si>
  <si>
    <t>P860037</t>
  </si>
  <si>
    <t>SEAL</t>
  </si>
  <si>
    <t>2738</t>
  </si>
  <si>
    <t>81</t>
  </si>
  <si>
    <t>141</t>
  </si>
  <si>
    <t>S2655-1</t>
  </si>
  <si>
    <t>DUCT-FLEX</t>
  </si>
  <si>
    <t>160</t>
  </si>
  <si>
    <t>2651022-20-1</t>
  </si>
  <si>
    <t>Solicitação do Stony para atender C-98 2742</t>
  </si>
  <si>
    <t>2742</t>
  </si>
  <si>
    <t>82</t>
  </si>
  <si>
    <t>Atender demanda urgente do 2722</t>
  </si>
  <si>
    <t>JHZ-24-072</t>
  </si>
  <si>
    <t>Atender demanda do C-98 2739, encontrado trinca</t>
  </si>
  <si>
    <t>83</t>
  </si>
  <si>
    <t>142</t>
  </si>
  <si>
    <t>329260018881</t>
  </si>
  <si>
    <t>Atender demanda do FAB 2709, transferido da BABE para a BABR</t>
  </si>
  <si>
    <t>143</t>
  </si>
  <si>
    <t>84</t>
  </si>
  <si>
    <t>Inner wheel half</t>
  </si>
  <si>
    <t>35125</t>
  </si>
  <si>
    <t>Atender demanda urgente do 2723</t>
  </si>
  <si>
    <t>386260013039</t>
  </si>
  <si>
    <t>Solicitação do Claudio para atender 2743</t>
  </si>
  <si>
    <t>85</t>
  </si>
  <si>
    <t>144</t>
  </si>
  <si>
    <t>Outer wheel half</t>
  </si>
  <si>
    <t>386260013040</t>
  </si>
  <si>
    <t>145</t>
  </si>
  <si>
    <t>2641011-5</t>
  </si>
  <si>
    <t>Axle main gear</t>
  </si>
  <si>
    <t>386260013038</t>
  </si>
  <si>
    <t>35104</t>
  </si>
  <si>
    <t>146</t>
  </si>
  <si>
    <t>INDICATOR FUEL</t>
  </si>
  <si>
    <t>Atender demanda do 2720 que cedeu o item para o 2709, solicitado pelo 2T Marinho</t>
  </si>
  <si>
    <t>86</t>
  </si>
  <si>
    <t>147</t>
  </si>
  <si>
    <t>RECEIVER-TRANSMITTER,RADIO</t>
  </si>
  <si>
    <t>Atender demanda do 2720 solicitado pelo CP Costa Neto</t>
  </si>
  <si>
    <t>Atender demanda urgente do 2709, solicitado pelo CP Souto / SO Cláudio em 24/11 whats app</t>
  </si>
  <si>
    <t>148</t>
  </si>
  <si>
    <t>S1587-7</t>
  </si>
  <si>
    <t>KNOB</t>
  </si>
  <si>
    <t>Atender dmanda do 2739 durante inspeção</t>
  </si>
  <si>
    <t>87</t>
  </si>
  <si>
    <t>149</t>
  </si>
  <si>
    <t>16998263</t>
  </si>
  <si>
    <t>Atender vencimento a pedido do SO Cláudio</t>
  </si>
  <si>
    <t>Atender 2733 que cedeu o item para o 2731</t>
  </si>
  <si>
    <t>150</t>
  </si>
  <si>
    <t>16998264</t>
  </si>
  <si>
    <t>88</t>
  </si>
  <si>
    <t>21697</t>
  </si>
  <si>
    <t>151</t>
  </si>
  <si>
    <t>C352TS</t>
  </si>
  <si>
    <t>EXTINGUISHER,FIRE</t>
  </si>
  <si>
    <t>16998294</t>
  </si>
  <si>
    <t>89</t>
  </si>
  <si>
    <t>152</t>
  </si>
  <si>
    <t>065-0060-01</t>
  </si>
  <si>
    <t>066-3046-07</t>
  </si>
  <si>
    <t>HSI</t>
  </si>
  <si>
    <t>17003951</t>
  </si>
  <si>
    <t>Atender demanda do 2723 durante inspeção na BABE</t>
  </si>
  <si>
    <t>153</t>
  </si>
  <si>
    <t>066-1055-00</t>
  </si>
  <si>
    <t>AUDIO CONTROL PANEL</t>
  </si>
  <si>
    <t>17004232</t>
  </si>
  <si>
    <t>154</t>
  </si>
  <si>
    <t>065-0041-00</t>
  </si>
  <si>
    <t>PLATE,MOUNTING</t>
  </si>
  <si>
    <t>17016931</t>
  </si>
  <si>
    <t>Atender emg a pedido do SO Cláudio</t>
  </si>
  <si>
    <t>155</t>
  </si>
  <si>
    <t>91</t>
  </si>
  <si>
    <t>17080968 (396260016040)</t>
  </si>
  <si>
    <t>ATENDER DEMANDA PARCIAL DA EMG 396260016040 DO C-98 2731.</t>
  </si>
  <si>
    <t>156</t>
  </si>
  <si>
    <t>AN315C4R</t>
  </si>
  <si>
    <t>16983071</t>
  </si>
  <si>
    <t>Atender demanda informada pela Coordenação do C-98 da BANT</t>
  </si>
  <si>
    <t>157</t>
  </si>
  <si>
    <t>2651024-5</t>
  </si>
  <si>
    <t>92</t>
  </si>
  <si>
    <t>TUBE ASSY LH</t>
  </si>
  <si>
    <t>17082786</t>
  </si>
  <si>
    <t>22739</t>
  </si>
  <si>
    <t>158</t>
  </si>
  <si>
    <t>MS20392-2C29</t>
  </si>
  <si>
    <t>17082787</t>
  </si>
  <si>
    <t>Atender demanda urgente do 2709, solicitado pelo CP Souto</t>
  </si>
  <si>
    <t>CAN</t>
  </si>
  <si>
    <t>159</t>
  </si>
  <si>
    <t>071-1052-00</t>
  </si>
  <si>
    <t>FLUX DETECTOR TYPE KMT 112</t>
  </si>
  <si>
    <t>17082719</t>
  </si>
  <si>
    <t>Atender demanda informada pelo CP Fellipe da BANT</t>
  </si>
  <si>
    <t>Cofnrimado recebimento em 24.02. Recebido pelo Sgt Salino</t>
  </si>
  <si>
    <t>RING AY-ENGINE MOUNT</t>
  </si>
  <si>
    <t>93</t>
  </si>
  <si>
    <t>Atender demanda do C-98 2733, encontrado trinca</t>
  </si>
  <si>
    <t>0233611880</t>
  </si>
  <si>
    <t>Recuperar sistema de ar condicionado, TCP para evitar abertura de emergência.</t>
  </si>
  <si>
    <t>161</t>
  </si>
  <si>
    <t>BOLT</t>
  </si>
  <si>
    <t>Material para troca de quadrante e berço no Parque em aproveitamento com a troca do motor.</t>
  </si>
  <si>
    <t>94</t>
  </si>
  <si>
    <t>162</t>
  </si>
  <si>
    <t>MS21044N7</t>
  </si>
  <si>
    <t>NUT, SELF-LOCKING, HEXAGON</t>
  </si>
  <si>
    <t>Atendimento solicitado pelo SO Cláudio em 12/12. Já havia sido atendido pelo SO Barreto.</t>
  </si>
  <si>
    <t>163</t>
  </si>
  <si>
    <t>NAS1149F0732P</t>
  </si>
  <si>
    <t>WASHER, FLAT</t>
  </si>
  <si>
    <t>95</t>
  </si>
  <si>
    <t>164</t>
  </si>
  <si>
    <t>MS20002C7</t>
  </si>
  <si>
    <t>WASHER, RECESSED</t>
  </si>
  <si>
    <t>Atendimento solicitado pelo SO Cláudio em 12/12.</t>
  </si>
  <si>
    <t>96</t>
  </si>
  <si>
    <t>165</t>
  </si>
  <si>
    <t>AN5C12A</t>
  </si>
  <si>
    <t>Atender demanda urgente do 2720 solicitado pelo CP Souto</t>
  </si>
  <si>
    <t>166</t>
  </si>
  <si>
    <t>NAS1149C0563R</t>
  </si>
  <si>
    <t>Confirmado via recibo recibo no dia 03/06/2026 pelo 2T Bergson</t>
  </si>
  <si>
    <t>ENTREGUE NO 03-06-2026 VIA RECIBO 438/FAB/2026</t>
  </si>
  <si>
    <t>97</t>
  </si>
  <si>
    <t>167</t>
  </si>
  <si>
    <t>S1450-5H16-032</t>
  </si>
  <si>
    <t>WASHER</t>
  </si>
  <si>
    <t>01 ea</t>
  </si>
  <si>
    <t>Atender demanda do 2741, solicitação do SO Cláudio.</t>
  </si>
  <si>
    <t>168</t>
  </si>
  <si>
    <t>MS21042L5</t>
  </si>
  <si>
    <t>NUT, SELF-LOCKING</t>
  </si>
  <si>
    <t>Confirmado recebimento em 24.02.Recebido pelo Sgt  Sara.</t>
  </si>
  <si>
    <t>169</t>
  </si>
  <si>
    <t>98</t>
  </si>
  <si>
    <t>170</t>
  </si>
  <si>
    <t>313250017551</t>
  </si>
  <si>
    <t>Atender demanda do 2740 solicitação do SO Resende</t>
  </si>
  <si>
    <t>171</t>
  </si>
  <si>
    <t>99</t>
  </si>
  <si>
    <t>Atender solicitação do SO Cláudio, demanda informada pelo SO Gesteira</t>
  </si>
  <si>
    <t>Atender demanda do 2720 solicitação do SO Resende</t>
  </si>
  <si>
    <t>172</t>
  </si>
  <si>
    <t>065-0030-00</t>
  </si>
  <si>
    <t>PLATE</t>
  </si>
  <si>
    <t>100</t>
  </si>
  <si>
    <t>173</t>
  </si>
  <si>
    <t>066-3060-00</t>
  </si>
  <si>
    <t>INDICADOR RMI</t>
  </si>
  <si>
    <t>1 EA</t>
  </si>
  <si>
    <t>2708 / 2721</t>
  </si>
  <si>
    <t>Atender demanda do 2739 solicitação do SO Resende</t>
  </si>
  <si>
    <t>174</t>
  </si>
  <si>
    <t>C598505-0303</t>
  </si>
  <si>
    <t>ANTENA</t>
  </si>
  <si>
    <t>175</t>
  </si>
  <si>
    <t>2606016-17</t>
  </si>
  <si>
    <t>LINE ASSY-INSTRUMENT TO TEE</t>
  </si>
  <si>
    <t>Atender demanda da anv durante inspeção</t>
  </si>
  <si>
    <t>101</t>
  </si>
  <si>
    <t>176</t>
  </si>
  <si>
    <t>Atender demanda do 2720 solicitação do SO Claudio</t>
  </si>
  <si>
    <t>102</t>
  </si>
  <si>
    <t>4626</t>
  </si>
  <si>
    <t>177</t>
  </si>
  <si>
    <t>DCN4-5407</t>
  </si>
  <si>
    <t>PORCA FLUTUANTE</t>
  </si>
  <si>
    <t>Atender demanda do 2727 solicitação do SO Claudio</t>
  </si>
  <si>
    <t>103</t>
  </si>
  <si>
    <t>178</t>
  </si>
  <si>
    <t>NAS147-97</t>
  </si>
  <si>
    <t>179</t>
  </si>
  <si>
    <t>NAS147-84</t>
  </si>
  <si>
    <t>104</t>
  </si>
  <si>
    <t>180</t>
  </si>
  <si>
    <t>AN363-720</t>
  </si>
  <si>
    <t>Atender demanda do 2733 solicitação do SO Claudio</t>
  </si>
  <si>
    <t>105</t>
  </si>
  <si>
    <t>181</t>
  </si>
  <si>
    <t>MS20007-68</t>
  </si>
  <si>
    <t>Atender demanda do 2738 solicitação do SO Claudio</t>
  </si>
  <si>
    <t>106</t>
  </si>
  <si>
    <t>182</t>
  </si>
  <si>
    <t>9910333-1</t>
  </si>
  <si>
    <t>ENGINE MOUNT</t>
  </si>
  <si>
    <t>06 EA</t>
  </si>
  <si>
    <t>107</t>
  </si>
  <si>
    <t>183</t>
  </si>
  <si>
    <t>S3461-64</t>
  </si>
  <si>
    <t>108</t>
  </si>
  <si>
    <t>184</t>
  </si>
  <si>
    <t>AN310C8</t>
  </si>
  <si>
    <t>NUT,PLAIN,CASTELLATED,HEXAGON</t>
  </si>
  <si>
    <t>Atender demanda do FAB 2733 solicitado pela BABE</t>
  </si>
  <si>
    <t>185</t>
  </si>
  <si>
    <t>109</t>
  </si>
  <si>
    <t>Atender demanda do FAB 2720 solicitado pela BABR através da TSP 16493618</t>
  </si>
  <si>
    <t>186</t>
  </si>
  <si>
    <t>S3465-2-0160</t>
  </si>
  <si>
    <t>110</t>
  </si>
  <si>
    <t>HOSE ASSY TEE</t>
  </si>
  <si>
    <t>Atender demanda por solicitação do SO Claudio</t>
  </si>
  <si>
    <t>Atender demanda do FAB 2720 solicitado pela BABR através da TSP 16493314</t>
  </si>
  <si>
    <t>187</t>
  </si>
  <si>
    <t>RECEIVER TRANSMITTER</t>
  </si>
  <si>
    <t>Atender demanda urgente.</t>
  </si>
  <si>
    <t>O item foi reparado pela empresa. Não localizei o recibo no drive. Wallace 24.02. Não localizei o recibo no drive. Wallace 08.04</t>
  </si>
  <si>
    <t>188</t>
  </si>
  <si>
    <t>111</t>
  </si>
  <si>
    <t>TRANSCEIVER</t>
  </si>
  <si>
    <t>Atender solicitação do SO Cláudio.</t>
  </si>
  <si>
    <t>Pedido de transferencia  solicitada ao 2S Robert para atender aeronva em SBNT</t>
  </si>
  <si>
    <t>Confirmado recebimento em 24.02.Recebido pelo Sgt Josué.</t>
  </si>
  <si>
    <t>112</t>
  </si>
  <si>
    <t>189</t>
  </si>
  <si>
    <t>901207K1</t>
  </si>
  <si>
    <t>PIN,COTTER</t>
  </si>
  <si>
    <t>05 EA</t>
  </si>
  <si>
    <t>Contra pino para instalação da haste da FCU.</t>
  </si>
  <si>
    <t>16502000</t>
  </si>
  <si>
    <t>190</t>
  </si>
  <si>
    <t>Não localizei o recibo no drive. Wallace 24.02. Não localizei o recibo no drive. Wallace 08.04</t>
  </si>
  <si>
    <t>Item para instalação da haste da FCU.</t>
  </si>
  <si>
    <t>113</t>
  </si>
  <si>
    <t>191</t>
  </si>
  <si>
    <t>192</t>
  </si>
  <si>
    <t>AN924-3D</t>
  </si>
  <si>
    <t>114</t>
  </si>
  <si>
    <t>Atender demanda da anv por pane de freio</t>
  </si>
  <si>
    <t>Atender demanda urgente do 2743</t>
  </si>
  <si>
    <t>193</t>
  </si>
  <si>
    <t>MS28778-3</t>
  </si>
  <si>
    <t>115</t>
  </si>
  <si>
    <t>16559873</t>
  </si>
  <si>
    <t>Atender demanda de inspeção do 2743 prevista para 02/02.</t>
  </si>
  <si>
    <t>194</t>
  </si>
  <si>
    <t>C661065-0237</t>
  </si>
  <si>
    <t>INDICATOR TRUE</t>
  </si>
  <si>
    <t>116</t>
  </si>
  <si>
    <t>195</t>
  </si>
  <si>
    <t>9910338-4</t>
  </si>
  <si>
    <t>FUEL TOTALIZER</t>
  </si>
  <si>
    <t>16559874</t>
  </si>
  <si>
    <t>Não localizei o recibo no drive. Wallace 24.02 Não localizei o recibo no drive. Wallace 08.04</t>
  </si>
  <si>
    <t>196</t>
  </si>
  <si>
    <t>2643100-206</t>
  </si>
  <si>
    <t>NOSE GEAR STRUT ASSY - TALL FORK</t>
  </si>
  <si>
    <t>117</t>
  </si>
  <si>
    <t>Cedeu trem de pouso para o 2722 após identificado corrosão.</t>
  </si>
  <si>
    <t>16559875</t>
  </si>
  <si>
    <t>197</t>
  </si>
  <si>
    <t>2618510-10</t>
  </si>
  <si>
    <t>ALTERNATOR CONTROL UNIT ASSY</t>
  </si>
  <si>
    <t>1EA</t>
  </si>
  <si>
    <t>Emg no PN C611008-0101. Atender solicitação do SO Cláudio.</t>
  </si>
  <si>
    <t>118</t>
  </si>
  <si>
    <t>198</t>
  </si>
  <si>
    <t>Atendimento solicitado pelo SO Cláudio em 10/02.</t>
  </si>
  <si>
    <t>Atender demanda durante inpeção</t>
  </si>
  <si>
    <t>199</t>
  </si>
  <si>
    <t>119</t>
  </si>
  <si>
    <t>PACKING,PREFORMED</t>
  </si>
  <si>
    <t>Atender emergência do C-98 2732 que cedeu item para o C-98 2740</t>
  </si>
  <si>
    <t>200</t>
  </si>
  <si>
    <t>S1450-4S10-032</t>
  </si>
  <si>
    <t>2EA</t>
  </si>
  <si>
    <t>120</t>
  </si>
  <si>
    <t>2056</t>
  </si>
  <si>
    <t>201</t>
  </si>
  <si>
    <t>MS27975-2</t>
  </si>
  <si>
    <t>Atender demanda do FAB 2728 solicitado pela BANT</t>
  </si>
  <si>
    <t>CLEVIS,ROD END</t>
  </si>
  <si>
    <t>121</t>
  </si>
  <si>
    <t>202</t>
  </si>
  <si>
    <t>S1021Z8-8</t>
  </si>
  <si>
    <t>SCREW,TAPPING</t>
  </si>
  <si>
    <t>6EA</t>
  </si>
  <si>
    <t>203</t>
  </si>
  <si>
    <t>R581559</t>
  </si>
  <si>
    <t>SEAL,DOOR EMERGENCY EXIT</t>
  </si>
  <si>
    <t>Pedido no PN 2601206-4</t>
  </si>
  <si>
    <t>204</t>
  </si>
  <si>
    <t>Pedido no PN 2601206-2</t>
  </si>
  <si>
    <t>122</t>
  </si>
  <si>
    <t>205</t>
  </si>
  <si>
    <t>Pedido no PN 2601206-3</t>
  </si>
  <si>
    <t>Atender demanda do 2719 solicitação do SO Claudio</t>
  </si>
  <si>
    <t>206</t>
  </si>
  <si>
    <t>123</t>
  </si>
  <si>
    <t>Atender emergência 313250016775 do C-98 2732 que cedeu item para o C-98 2737 e o SO Bispo providenciou o envio da BABE através da GMM 202667211000603.</t>
  </si>
  <si>
    <t>Atender demanda do 2728 solicitação do SO Claudio</t>
  </si>
  <si>
    <t>207</t>
  </si>
  <si>
    <t>U554426</t>
  </si>
  <si>
    <t>SELANT</t>
  </si>
  <si>
    <t>60 FT</t>
  </si>
  <si>
    <t>124</t>
  </si>
  <si>
    <t>5040033933</t>
  </si>
  <si>
    <t>Atender demanda durante inspeção das molas, em que foi preciso remover cargo pod</t>
  </si>
  <si>
    <t>5040033933.25210</t>
  </si>
  <si>
    <t>Atender demanda do 2709 que cedeu o item para o 2720, solicitado pelo CP Souto</t>
  </si>
  <si>
    <t>208</t>
  </si>
  <si>
    <t>2653019-1</t>
  </si>
  <si>
    <t>LATCH-BATTERY</t>
  </si>
  <si>
    <t>Atender demanda durante inspeção.</t>
  </si>
  <si>
    <t>125</t>
  </si>
  <si>
    <t>209</t>
  </si>
  <si>
    <t>MS35426-27</t>
  </si>
  <si>
    <t>PORCA PLANA COM BORBOLETA</t>
  </si>
  <si>
    <t>Atender demanda de pedido APLI do 2742.</t>
  </si>
  <si>
    <t>126</t>
  </si>
  <si>
    <t>210</t>
  </si>
  <si>
    <t>S1741-1</t>
  </si>
  <si>
    <t>ANCHOR</t>
  </si>
  <si>
    <t>16737719</t>
  </si>
  <si>
    <t xml:space="preserve">Montagem de cubo de roda </t>
  </si>
  <si>
    <t>211</t>
  </si>
  <si>
    <t>A1633-72</t>
  </si>
  <si>
    <t xml:space="preserve">foram entregues no pamals 3 ea desse PN </t>
  </si>
  <si>
    <t>Atender troca de motor 2742 solicitada no MAPEM e não atendida</t>
  </si>
  <si>
    <t>212</t>
  </si>
  <si>
    <t>8 EA</t>
  </si>
  <si>
    <t>Não localizei esses recibos no drive.Wallace 08.04</t>
  </si>
  <si>
    <t>127</t>
  </si>
  <si>
    <t>213</t>
  </si>
  <si>
    <t>4 EA</t>
  </si>
  <si>
    <t>16737720</t>
  </si>
  <si>
    <t>214</t>
  </si>
  <si>
    <t>AS3209-016</t>
  </si>
  <si>
    <t>128</t>
  </si>
  <si>
    <t>16737722</t>
  </si>
  <si>
    <t>215</t>
  </si>
  <si>
    <t>DCN4-3807</t>
  </si>
  <si>
    <t>ANEL DE VEDAÇÃO</t>
  </si>
  <si>
    <t>129</t>
  </si>
  <si>
    <t>216</t>
  </si>
  <si>
    <t>16737723</t>
  </si>
  <si>
    <t>217</t>
  </si>
  <si>
    <t>130</t>
  </si>
  <si>
    <t>218</t>
  </si>
  <si>
    <t>16737724</t>
  </si>
  <si>
    <t>131</t>
  </si>
  <si>
    <t>219</t>
  </si>
  <si>
    <t>MS28775-022</t>
  </si>
  <si>
    <t>Atender demanda do C-98 2702</t>
  </si>
  <si>
    <t>2702</t>
  </si>
  <si>
    <t>220</t>
  </si>
  <si>
    <t>MS28778-4</t>
  </si>
  <si>
    <t>O-RING</t>
  </si>
  <si>
    <t>132</t>
  </si>
  <si>
    <t>221</t>
  </si>
  <si>
    <t>Cedeu item para o C-98 2733</t>
  </si>
  <si>
    <t>MS29512-08</t>
  </si>
  <si>
    <t>2730</t>
  </si>
  <si>
    <t>133</t>
  </si>
  <si>
    <t>222</t>
  </si>
  <si>
    <t>NAS1149C0763R</t>
  </si>
  <si>
    <t>16843794</t>
  </si>
  <si>
    <t>223</t>
  </si>
  <si>
    <t>2 EA</t>
  </si>
  <si>
    <t>134</t>
  </si>
  <si>
    <t>224</t>
  </si>
  <si>
    <t>135</t>
  </si>
  <si>
    <t>16843796</t>
  </si>
  <si>
    <t>136</t>
  </si>
  <si>
    <t>ATender demanda da BANT e aproveitar transporte do Rumba</t>
  </si>
  <si>
    <t>Total de itens devolvidos no período:</t>
  </si>
  <si>
    <t>137</t>
  </si>
  <si>
    <t>16766558</t>
  </si>
  <si>
    <t>138</t>
  </si>
  <si>
    <t>itens.</t>
  </si>
  <si>
    <t>GMM BAMN &gt; BABE 202667292000285</t>
  </si>
  <si>
    <t>K00-00351-00</t>
  </si>
  <si>
    <t>Atender demanda do 2740 por solicitação do SO Cláudio</t>
  </si>
  <si>
    <t>1071/LS-C-98/2025</t>
  </si>
  <si>
    <t>C661030-0301</t>
  </si>
  <si>
    <t>2651040-2</t>
  </si>
  <si>
    <t>JHZ23074</t>
  </si>
  <si>
    <t>JHZ-24-071</t>
  </si>
  <si>
    <t>17185685</t>
  </si>
  <si>
    <t>2721</t>
  </si>
  <si>
    <t>17185686</t>
  </si>
  <si>
    <t>17185687</t>
  </si>
  <si>
    <t>17185688</t>
  </si>
  <si>
    <t>17161078</t>
  </si>
  <si>
    <t>17185015</t>
  </si>
  <si>
    <t>17159745</t>
  </si>
  <si>
    <t>60637</t>
  </si>
  <si>
    <t>4741</t>
  </si>
  <si>
    <t>3240572</t>
  </si>
  <si>
    <t>329260019092</t>
  </si>
  <si>
    <t>329260019093</t>
  </si>
  <si>
    <t>610</t>
  </si>
  <si>
    <t>228</t>
  </si>
  <si>
    <t>685260011675</t>
  </si>
  <si>
    <t>17354719</t>
  </si>
  <si>
    <t>3014226</t>
  </si>
  <si>
    <t>17355665</t>
  </si>
  <si>
    <t>17362110</t>
  </si>
  <si>
    <t>17361676</t>
  </si>
  <si>
    <t>17355571</t>
  </si>
  <si>
    <t>17355562</t>
  </si>
  <si>
    <t>17355553</t>
  </si>
  <si>
    <t>17355563</t>
  </si>
  <si>
    <t>17433843</t>
  </si>
  <si>
    <t>17433844</t>
  </si>
  <si>
    <t>17433845</t>
  </si>
  <si>
    <t>17433846</t>
  </si>
  <si>
    <t>17433847</t>
  </si>
  <si>
    <t>17433848</t>
  </si>
  <si>
    <t>225</t>
  </si>
  <si>
    <t>17433849</t>
  </si>
  <si>
    <t>226</t>
  </si>
  <si>
    <t>17433850</t>
  </si>
  <si>
    <t>227</t>
  </si>
  <si>
    <t>17433851</t>
  </si>
  <si>
    <t>17433852</t>
  </si>
  <si>
    <t>229</t>
  </si>
  <si>
    <t>17433853</t>
  </si>
  <si>
    <t>230</t>
  </si>
  <si>
    <t>17433854</t>
  </si>
  <si>
    <t>231</t>
  </si>
  <si>
    <t>17433855</t>
  </si>
  <si>
    <t>232</t>
  </si>
  <si>
    <t>17433856</t>
  </si>
  <si>
    <t>233</t>
  </si>
  <si>
    <t>C598505-0304</t>
  </si>
  <si>
    <t>Atender demandas da BANT e aproveitamento de missão CAN</t>
  </si>
  <si>
    <t>FROTA</t>
  </si>
  <si>
    <t>234</t>
  </si>
  <si>
    <t>235</t>
  </si>
  <si>
    <t>236</t>
  </si>
  <si>
    <t>237</t>
  </si>
  <si>
    <t>70-22-01</t>
  </si>
  <si>
    <t>238</t>
  </si>
  <si>
    <t>239</t>
  </si>
  <si>
    <t>066-01141-5101</t>
  </si>
  <si>
    <t>240</t>
  </si>
  <si>
    <t>MS35206-247</t>
  </si>
  <si>
    <t>20EA</t>
  </si>
  <si>
    <t>241</t>
  </si>
  <si>
    <t>242</t>
  </si>
  <si>
    <t>243</t>
  </si>
  <si>
    <t>011-00412-00</t>
  </si>
  <si>
    <t>244</t>
  </si>
  <si>
    <t>3014227</t>
  </si>
  <si>
    <t>245</t>
  </si>
  <si>
    <t>246</t>
  </si>
  <si>
    <t>247</t>
  </si>
  <si>
    <t>AE3663724G0330</t>
  </si>
  <si>
    <t>3EA</t>
  </si>
  <si>
    <t>248</t>
  </si>
  <si>
    <t>0541140-1</t>
  </si>
  <si>
    <t>Atender demanda do 2727 que cedeu item para o 2709 em pane,</t>
  </si>
  <si>
    <t>249</t>
  </si>
  <si>
    <t>644-04303416</t>
  </si>
  <si>
    <t>Atender demanda do 2719</t>
  </si>
  <si>
    <t>250</t>
  </si>
  <si>
    <t>C668050-1108</t>
  </si>
  <si>
    <t>Atender demanda do 2721</t>
  </si>
  <si>
    <t>251</t>
  </si>
  <si>
    <t>Atender Alt (2641012-16) para o C-98 2731</t>
  </si>
  <si>
    <t>252</t>
  </si>
  <si>
    <t>S2495-12B0600</t>
  </si>
  <si>
    <t>Atender Alt ( AE3663163K0600) para o C-98 2727</t>
  </si>
  <si>
    <t>253</t>
  </si>
  <si>
    <t>2641014-9</t>
  </si>
  <si>
    <t>374652</t>
  </si>
  <si>
    <t>Atender demanda do C098 27331 após impossibilidade de desmonategm da mola durante inspeção de corrosão</t>
  </si>
  <si>
    <t>254</t>
  </si>
  <si>
    <t>S1985-1</t>
  </si>
  <si>
    <t xml:space="preserve">Atender demanda do 2723 </t>
  </si>
  <si>
    <t>255</t>
  </si>
  <si>
    <t>256</t>
  </si>
  <si>
    <t>200SGL153Q</t>
  </si>
  <si>
    <t>S00130XL</t>
  </si>
  <si>
    <t>Atender vencimento a pedido do SO Cláudio, iteme nviado anteriormente pela Vee One não deu ponto</t>
  </si>
  <si>
    <t>257</t>
  </si>
  <si>
    <t>9910338-8RX</t>
  </si>
  <si>
    <t>0518</t>
  </si>
  <si>
    <t xml:space="preserve">01 EA </t>
  </si>
  <si>
    <t>Atendimento de emergência com estoque remoto da BANT solicitado pelo SO Cláudio</t>
  </si>
  <si>
    <t>258</t>
  </si>
  <si>
    <t>27 e 02B</t>
  </si>
  <si>
    <t>Atendimento de vencimentos na BANT solicitado pelo SO Cláudio</t>
  </si>
  <si>
    <t>259</t>
  </si>
  <si>
    <t>200SGL119Q-2</t>
  </si>
  <si>
    <t>S00103XL2</t>
  </si>
  <si>
    <t>260</t>
  </si>
  <si>
    <t>6147-5</t>
  </si>
  <si>
    <t>261</t>
  </si>
  <si>
    <t>452-0133</t>
  </si>
  <si>
    <t>1014378-027</t>
  </si>
  <si>
    <t>262</t>
  </si>
  <si>
    <t>X-375447</t>
  </si>
  <si>
    <t>263</t>
  </si>
  <si>
    <t>T107384P</t>
  </si>
  <si>
    <t>Atendimento de emergência solicitado pelo SO Cláudio</t>
  </si>
  <si>
    <t>264</t>
  </si>
  <si>
    <t>S2502-3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</si>
  <si>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</si>
  <si>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</si>
  <si>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</si>
  <si>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</si>
  <si>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</si>
  <si>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</si>
  <si>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</si>
  <si>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</si>
  <si>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</si>
  <si>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</si>
  <si>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</si>
  <si>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</si>
  <si>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</si>
  <si>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</si>
  <si>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</si>
  <si>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</si>
  <si>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</si>
  <si>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</si>
  <si>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</si>
  <si>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</si>
  <si>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</si>
  <si>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</si>
  <si>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</si>
  <si>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</si>
  <si>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</si>
  <si>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</si>
  <si>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</si>
  <si>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</si>
  <si>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</si>
  <si>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</si>
  <si>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</si>
  <si>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</si>
  <si>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</si>
  <si>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</si>
  <si>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Atendimento de vencimentos na BANT solicitado pelo SO Cláudio, transportado pelo CAN.</t>
  </si>
  <si>
    <t>Atendimento de emergência solicitado pelo SO Cláudio.</t>
  </si>
  <si>
    <t>AE3663231B0160</t>
  </si>
  <si>
    <t>Atender demadna da BAMN, todas as mangueiras deterioadas.</t>
  </si>
  <si>
    <t>2736 / 2738 / 2741</t>
  </si>
  <si>
    <t>8210-002-01</t>
  </si>
  <si>
    <t>1716049AC</t>
  </si>
  <si>
    <t>17600735</t>
  </si>
  <si>
    <t>Atender demanda do 2721 durante inspeção e aproveitamento de missão CAN.</t>
  </si>
  <si>
    <t>17588026</t>
  </si>
  <si>
    <t>17588299</t>
  </si>
  <si>
    <t>1215073-28</t>
  </si>
  <si>
    <t>17498790</t>
  </si>
  <si>
    <t>9910573-21</t>
  </si>
  <si>
    <t>17433696</t>
  </si>
  <si>
    <t>3121248-03</t>
  </si>
  <si>
    <t>22A805</t>
  </si>
  <si>
    <t>17588337</t>
  </si>
  <si>
    <t>25109</t>
  </si>
  <si>
    <t>17601235</t>
  </si>
  <si>
    <t>Atender demanda do 2709 durante inspeção.</t>
  </si>
  <si>
    <t>04 FT</t>
  </si>
  <si>
    <t>17459952</t>
  </si>
  <si>
    <t>S3413-104</t>
  </si>
  <si>
    <t>17601337</t>
  </si>
  <si>
    <t>S3413-105</t>
  </si>
  <si>
    <t>17601448</t>
  </si>
  <si>
    <t>S3413-107</t>
  </si>
  <si>
    <t>17601489</t>
  </si>
  <si>
    <t>S3413-109</t>
  </si>
  <si>
    <t>17601565</t>
  </si>
  <si>
    <t>S3413-110</t>
  </si>
  <si>
    <t>17601700</t>
  </si>
  <si>
    <t>17601696</t>
  </si>
  <si>
    <t>S2319-50</t>
  </si>
  <si>
    <t>17602036</t>
  </si>
  <si>
    <t>B4864</t>
  </si>
  <si>
    <t>17603271</t>
  </si>
  <si>
    <t>B4940-1</t>
  </si>
  <si>
    <t>17603023</t>
  </si>
  <si>
    <t>B4940-2</t>
  </si>
  <si>
    <t>17603189</t>
  </si>
  <si>
    <t>2654012-2</t>
  </si>
  <si>
    <t>17603009</t>
  </si>
  <si>
    <t>5111602-16</t>
  </si>
  <si>
    <t>67 EA</t>
  </si>
  <si>
    <t>Atender demanda do 2731 durante inspeção com troca de para-brisa.</t>
  </si>
  <si>
    <t>2641032-202</t>
  </si>
  <si>
    <t>Atender emergência por solicitação do SO Rezende. PN da emg 2641030-2</t>
  </si>
  <si>
    <t>17613579</t>
  </si>
  <si>
    <t>17613601</t>
  </si>
  <si>
    <t>Atender demanda do 2736</t>
  </si>
  <si>
    <t>1414116-7</t>
  </si>
  <si>
    <t>Atender demanda do 2739 durante inspeção</t>
  </si>
  <si>
    <t>Atender demanda do 2708 durante inspeção</t>
  </si>
  <si>
    <t>2270030-12</t>
  </si>
  <si>
    <t>8320</t>
  </si>
  <si>
    <t>3034792</t>
  </si>
  <si>
    <t>004106</t>
  </si>
  <si>
    <t>17743998</t>
  </si>
  <si>
    <t>Atender demanda do 2742 para solução de pane no sistema de combustível</t>
  </si>
  <si>
    <t>3024973</t>
  </si>
  <si>
    <t>17743997</t>
  </si>
  <si>
    <t>299</t>
  </si>
  <si>
    <t>M83461/1-012</t>
  </si>
  <si>
    <t>17744000</t>
  </si>
  <si>
    <t>Importação</t>
  </si>
  <si>
    <t>300</t>
  </si>
  <si>
    <t>3039937</t>
  </si>
  <si>
    <t>17743999</t>
  </si>
  <si>
    <t>301</t>
  </si>
  <si>
    <t>17743996</t>
  </si>
  <si>
    <t>302</t>
  </si>
  <si>
    <t>17800378</t>
  </si>
  <si>
    <t>Atender demanda do 2723</t>
  </si>
  <si>
    <t>303</t>
  </si>
  <si>
    <t>2522275-1</t>
  </si>
  <si>
    <t>17800557</t>
  </si>
  <si>
    <t>304</t>
  </si>
  <si>
    <t>S2870-1</t>
  </si>
  <si>
    <t>17800394</t>
  </si>
  <si>
    <t>305</t>
  </si>
  <si>
    <t>NSL 1422 B2</t>
  </si>
  <si>
    <t>17800330</t>
  </si>
  <si>
    <t>306</t>
  </si>
  <si>
    <t>AN320-3</t>
  </si>
  <si>
    <t>17823231</t>
  </si>
  <si>
    <t>Atender demanda do 2709</t>
  </si>
  <si>
    <t>307</t>
  </si>
  <si>
    <t>2613419-1</t>
  </si>
  <si>
    <t>17823328</t>
  </si>
  <si>
    <t>308</t>
  </si>
  <si>
    <t>AN565B428H4</t>
  </si>
  <si>
    <t>17823233</t>
  </si>
  <si>
    <t>309</t>
  </si>
  <si>
    <t>2662007-4</t>
  </si>
  <si>
    <t>17823234</t>
  </si>
  <si>
    <t>310</t>
  </si>
  <si>
    <t>2662022-1</t>
  </si>
  <si>
    <t>17823235</t>
  </si>
  <si>
    <t>311</t>
  </si>
  <si>
    <t>AN315-3L</t>
  </si>
  <si>
    <t>17823601</t>
  </si>
  <si>
    <t>312</t>
  </si>
  <si>
    <t>B145-78-7</t>
  </si>
  <si>
    <t xml:space="preserve">17871141 </t>
  </si>
  <si>
    <t>313</t>
  </si>
  <si>
    <t>AS5174D1210</t>
  </si>
  <si>
    <t xml:space="preserve">17874678 </t>
  </si>
  <si>
    <t>Atender demanda do 2732</t>
  </si>
  <si>
    <t>314</t>
  </si>
  <si>
    <t xml:space="preserve">17875036 </t>
  </si>
  <si>
    <t>315</t>
  </si>
  <si>
    <t>An4-17</t>
  </si>
  <si>
    <t>17879493</t>
  </si>
  <si>
    <t>Atender demanda do 2729</t>
  </si>
  <si>
    <t>316</t>
  </si>
  <si>
    <t>S1450-6B12-032</t>
  </si>
  <si>
    <t>17879509</t>
  </si>
  <si>
    <t>317</t>
  </si>
  <si>
    <t>065-0059-01</t>
  </si>
  <si>
    <t>17782938</t>
  </si>
  <si>
    <t>Atender demanda do 2722</t>
  </si>
  <si>
    <t>318</t>
  </si>
  <si>
    <t>17783240</t>
  </si>
  <si>
    <t>Atender demanda do 2708</t>
  </si>
  <si>
    <t>319</t>
  </si>
  <si>
    <t>050-1518-00</t>
  </si>
  <si>
    <t>17832707</t>
  </si>
  <si>
    <t>320</t>
  </si>
  <si>
    <t>MS21025-24</t>
  </si>
  <si>
    <t>17838515</t>
  </si>
  <si>
    <t>321</t>
  </si>
  <si>
    <t>S51-14</t>
  </si>
  <si>
    <t>17875039</t>
  </si>
  <si>
    <t>Atender demanda do 2703</t>
  </si>
  <si>
    <t>322</t>
  </si>
  <si>
    <t>17876562</t>
  </si>
  <si>
    <t>323</t>
  </si>
  <si>
    <t>17911286</t>
  </si>
  <si>
    <t>Atender demanda do 2723.</t>
  </si>
  <si>
    <t>324</t>
  </si>
  <si>
    <t>B-5096</t>
  </si>
  <si>
    <t>17911289</t>
  </si>
  <si>
    <t>325</t>
  </si>
  <si>
    <t>17911412</t>
  </si>
  <si>
    <t>326</t>
  </si>
  <si>
    <t>S3326-2RX</t>
  </si>
  <si>
    <t>T94079Q</t>
  </si>
  <si>
    <t>17880693</t>
  </si>
  <si>
    <t>Atender necessidade informada pelo 2S Gabriel em 03/07/26.</t>
  </si>
  <si>
    <t>327</t>
  </si>
  <si>
    <t>799-1</t>
  </si>
  <si>
    <t>207572-10</t>
  </si>
  <si>
    <t>17647315</t>
  </si>
  <si>
    <t>328</t>
  </si>
  <si>
    <t>19796</t>
  </si>
  <si>
    <t>Atender demanda do 2703 e 2708 da BABE para a BANT</t>
  </si>
  <si>
    <t>329</t>
  </si>
  <si>
    <t>R17062</t>
  </si>
  <si>
    <t>330</t>
  </si>
  <si>
    <t>4002HS</t>
  </si>
  <si>
    <t>17926773</t>
  </si>
  <si>
    <t>Atender demanda do C-98 solicitada pelo CP Souto e acordada pelo SO Cláduio no grupo do Whats App</t>
  </si>
  <si>
    <t>331</t>
  </si>
  <si>
    <t>83-0057</t>
  </si>
  <si>
    <t xml:space="preserve">17927664 </t>
  </si>
  <si>
    <t>Atender demanda do 2727.</t>
  </si>
  <si>
    <t>332</t>
  </si>
  <si>
    <t xml:space="preserve">17607806 </t>
  </si>
  <si>
    <t>Atender demanda do 2729.</t>
  </si>
  <si>
    <t>333</t>
  </si>
  <si>
    <t xml:space="preserve">17915363 </t>
  </si>
  <si>
    <t>Atender demanda do 2702.</t>
  </si>
  <si>
    <t>334</t>
  </si>
  <si>
    <t>99-223-6B23284</t>
  </si>
  <si>
    <t xml:space="preserve">17925845 </t>
  </si>
  <si>
    <t>335</t>
  </si>
  <si>
    <t xml:space="preserve">17916578 </t>
  </si>
  <si>
    <t>Atender demanda do 2703.</t>
  </si>
  <si>
    <t>336</t>
  </si>
  <si>
    <t>2610014-1</t>
  </si>
  <si>
    <t xml:space="preserve">17916880 </t>
  </si>
  <si>
    <t>Atender demanda do 2719.</t>
  </si>
  <si>
    <t>337</t>
  </si>
  <si>
    <t>NAS464P4A10</t>
  </si>
  <si>
    <t xml:space="preserve">17932411 </t>
  </si>
  <si>
    <t>338</t>
  </si>
  <si>
    <t>A4513-1</t>
  </si>
  <si>
    <t xml:space="preserve">17939083 </t>
  </si>
  <si>
    <t>339</t>
  </si>
  <si>
    <t>S1104-3</t>
  </si>
  <si>
    <t xml:space="preserve">17947650 </t>
  </si>
  <si>
    <t>340</t>
  </si>
  <si>
    <t>011-00870-00</t>
  </si>
  <si>
    <t>17980869</t>
  </si>
  <si>
    <t>Atender demanda do 2730</t>
  </si>
  <si>
    <t>U9</t>
  </si>
  <si>
    <t>341</t>
  </si>
  <si>
    <t>MS3116F8-3S</t>
  </si>
  <si>
    <t>17999133</t>
  </si>
  <si>
    <t>342</t>
  </si>
  <si>
    <t>2611024-1</t>
  </si>
  <si>
    <t>17963489</t>
  </si>
  <si>
    <t>343</t>
  </si>
  <si>
    <t>S2527-1</t>
  </si>
  <si>
    <t>18025187</t>
  </si>
  <si>
    <t>Atender demanda do 2743</t>
  </si>
  <si>
    <t xml:space="preserve">BACO </t>
  </si>
  <si>
    <t>344</t>
  </si>
  <si>
    <t>24RB/EWC</t>
  </si>
  <si>
    <t>18025699</t>
  </si>
  <si>
    <t>345</t>
  </si>
  <si>
    <t>1308</t>
  </si>
  <si>
    <t>18025790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</si>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</sst>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dd/mm/yy"/>
    <numFmt numFmtId="167" formatCode="d/m/yyyy"/>
  </numFmts>
  <fonts count="24">
    <font>
      <sz val="10.0"/>
      <color rgb="FF000000"/>
      <name val="Arial"/>
      <scheme val="minor"/>
    </font>
    <font>
      <sz val="11.0"/>
      <color theme="1"/>
      <name val="Calibri"/>
    </font>
    <font>
      <b/>
      <sz val="12.0"/>
      <color theme="1"/>
      <name val="Arial"/>
      <scheme val="minor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color rgb="FF1F1F1F"/>
      <name val="&quot;Google Sans Mono&quot;"/>
    </font>
    <font>
      <b/>
      <sz val="11.0"/>
      <color theme="1"/>
      <name val="Century Gothic"/>
    </font>
    <font>
      <b/>
      <sz val="9.0"/>
      <color theme="1"/>
      <name val="Century Gothic"/>
    </font>
    <font>
      <sz val="9.0"/>
      <color theme="1"/>
      <name val="Calibri"/>
    </font>
    <font>
      <sz val="9.0"/>
      <color rgb="FFFF0000"/>
      <name val="Calibri"/>
    </font>
    <font>
      <color theme="1"/>
      <name val="Arial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b/>
      <sz val="9.0"/>
      <color theme="1"/>
      <name val="Calibri"/>
    </font>
    <font>
      <sz val="11.0"/>
      <color rgb="FF000000"/>
      <name val="Roboto"/>
    </font>
    <font>
      <b/>
      <sz val="26.0"/>
      <color theme="1"/>
      <name val="Arial"/>
    </font>
    <font>
      <sz val="12.0"/>
      <color rgb="FF000000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6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20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vertical="center"/>
    </xf>
    <xf borderId="0" fillId="0" fontId="2" numFmtId="49" xfId="0" applyAlignment="1" applyFont="1" applyNumberForma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0" fontId="3" numFmtId="0" xfId="0" applyAlignment="1" applyFont="1">
      <alignment vertical="center"/>
    </xf>
    <xf borderId="0" fillId="2" fontId="2" numFmtId="0" xfId="0" applyAlignment="1" applyFill="1" applyFont="1">
      <alignment horizontal="left" readingOrder="0" vertical="center"/>
    </xf>
    <xf borderId="1" fillId="0" fontId="1" numFmtId="0" xfId="0" applyAlignment="1" applyBorder="1" applyFont="1">
      <alignment vertical="center"/>
    </xf>
    <xf borderId="2" fillId="0" fontId="4" numFmtId="0" xfId="0" applyBorder="1" applyFont="1"/>
    <xf borderId="0" fillId="0" fontId="2" numFmtId="164" xfId="0" applyAlignment="1" applyFont="1" applyNumberFormat="1">
      <alignment horizontal="left" readingOrder="0" vertical="center"/>
    </xf>
    <xf borderId="0" fillId="2" fontId="2" numFmtId="164" xfId="0" applyAlignment="1" applyFont="1" applyNumberFormat="1">
      <alignment horizontal="left" readingOrder="0" vertical="center"/>
    </xf>
    <xf borderId="1" fillId="0" fontId="5" numFmtId="0" xfId="0" applyAlignment="1" applyBorder="1" applyFont="1">
      <alignment horizontal="center" vertical="center"/>
    </xf>
    <xf borderId="3" fillId="0" fontId="2" numFmtId="0" xfId="0" applyAlignment="1" applyBorder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4" fillId="0" fontId="4" numFmtId="0" xfId="0" applyBorder="1" applyFont="1"/>
    <xf borderId="3" fillId="0" fontId="1" numFmtId="0" xfId="0" applyAlignment="1" applyBorder="1" applyFont="1">
      <alignment vertical="center"/>
    </xf>
    <xf borderId="0" fillId="0" fontId="2" numFmtId="0" xfId="0" applyAlignment="1" applyFont="1">
      <alignment horizontal="left" vertical="center"/>
    </xf>
    <xf borderId="5" fillId="0" fontId="6" numFmtId="0" xfId="0" applyAlignment="1" applyBorder="1" applyFont="1">
      <alignment horizontal="right" vertical="center"/>
    </xf>
    <xf borderId="3" fillId="0" fontId="2" numFmtId="49" xfId="0" applyAlignment="1" applyBorder="1" applyFont="1" applyNumberFormat="1">
      <alignment readingOrder="0"/>
    </xf>
    <xf borderId="6" fillId="0" fontId="4" numFmtId="0" xfId="0" applyBorder="1" applyFont="1"/>
    <xf borderId="3" fillId="0" fontId="2" numFmtId="49" xfId="0" applyAlignment="1" applyBorder="1" applyFont="1" applyNumberFormat="1">
      <alignment readingOrder="0" vertical="center"/>
    </xf>
    <xf borderId="3" fillId="0" fontId="2" numFmtId="0" xfId="0" applyAlignment="1" applyBorder="1" applyFont="1">
      <alignment readingOrder="0"/>
    </xf>
    <xf borderId="5" fillId="0" fontId="6" numFmtId="0" xfId="0" applyAlignment="1" applyBorder="1" applyFont="1">
      <alignment horizontal="center" vertical="center"/>
    </xf>
    <xf borderId="7" fillId="0" fontId="4" numFmtId="0" xfId="0" applyBorder="1" applyFont="1"/>
    <xf borderId="3" fillId="0" fontId="2" numFmtId="0" xfId="0" applyAlignment="1" applyBorder="1" applyFont="1">
      <alignment readingOrder="0" vertical="center"/>
    </xf>
    <xf borderId="3" fillId="0" fontId="2" numFmtId="0" xfId="0" applyAlignment="1" applyBorder="1" applyFont="1">
      <alignment horizontal="left" readingOrder="0"/>
    </xf>
    <xf borderId="3" fillId="0" fontId="2" numFmtId="0" xfId="0" applyAlignment="1" applyBorder="1" applyFont="1">
      <alignment horizontal="left" readingOrder="0" vertical="center"/>
    </xf>
    <xf borderId="3" fillId="0" fontId="2" numFmtId="0" xfId="0" applyAlignment="1" applyBorder="1" applyFont="1">
      <alignment readingOrder="0" shrinkToFit="0" vertical="center" wrapText="1"/>
    </xf>
    <xf borderId="8" fillId="0" fontId="4" numFmtId="0" xfId="0" applyBorder="1" applyFont="1"/>
    <xf borderId="3" fillId="0" fontId="2" numFmtId="0" xfId="0" applyAlignment="1" applyBorder="1" applyFont="1">
      <alignment readingOrder="0" shrinkToFit="0" wrapText="1"/>
    </xf>
    <xf borderId="3" fillId="0" fontId="2" numFmtId="0" xfId="0" applyAlignment="1" applyBorder="1" applyFont="1">
      <alignment horizontal="center" readingOrder="0" shrinkToFit="0" wrapText="1"/>
    </xf>
    <xf borderId="0" fillId="0" fontId="2" numFmtId="0" xfId="0" applyFont="1"/>
    <xf borderId="9" fillId="0" fontId="4" numFmtId="0" xfId="0" applyBorder="1" applyFont="1"/>
    <xf borderId="3" fillId="0" fontId="2" numFmtId="0" xfId="0" applyAlignment="1" applyBorder="1" applyFont="1">
      <alignment horizontal="center" readingOrder="0" shrinkToFit="0" vertical="center" wrapText="1"/>
    </xf>
    <xf borderId="3" fillId="0" fontId="3" numFmtId="49" xfId="0" applyAlignment="1" applyBorder="1" applyFont="1" applyNumberFormat="1">
      <alignment horizontal="center" readingOrder="0"/>
    </xf>
    <xf borderId="0" fillId="0" fontId="2" numFmtId="0" xfId="0" applyAlignment="1" applyFont="1">
      <alignment vertical="center"/>
    </xf>
    <xf borderId="3" fillId="0" fontId="3" numFmtId="49" xfId="0" applyAlignment="1" applyBorder="1" applyFont="1" applyNumberFormat="1">
      <alignment horizontal="left" readingOrder="0"/>
    </xf>
    <xf borderId="3" fillId="0" fontId="3" numFmtId="49" xfId="0" applyAlignment="1" applyBorder="1" applyFont="1" applyNumberFormat="1">
      <alignment horizontal="center" readingOrder="0" vertical="center"/>
    </xf>
    <xf borderId="3" fillId="0" fontId="3" numFmtId="49" xfId="0" applyAlignment="1" applyBorder="1" applyFont="1" applyNumberFormat="1">
      <alignment horizontal="left" readingOrder="0" vertical="center"/>
    </xf>
    <xf borderId="10" fillId="0" fontId="4" numFmtId="0" xfId="0" applyBorder="1" applyFont="1"/>
    <xf borderId="11" fillId="0" fontId="4" numFmtId="0" xfId="0" applyBorder="1" applyFont="1"/>
    <xf borderId="12" fillId="0" fontId="4" numFmtId="0" xfId="0" applyBorder="1" applyFont="1"/>
    <xf borderId="3" fillId="0" fontId="3" numFmtId="0" xfId="0" applyAlignment="1" applyBorder="1" applyFont="1">
      <alignment horizontal="left" readingOrder="0" vertical="center"/>
    </xf>
    <xf borderId="3" fillId="0" fontId="3" numFmtId="0" xfId="0" applyAlignment="1" applyBorder="1" applyFont="1">
      <alignment horizontal="left" readingOrder="0"/>
    </xf>
    <xf borderId="3" fillId="0" fontId="3" numFmtId="0" xfId="0" applyAlignment="1" applyBorder="1" applyFont="1">
      <alignment horizontal="left" readingOrder="0" shrinkToFit="0" wrapText="1"/>
    </xf>
    <xf borderId="3" fillId="0" fontId="7" numFmtId="0" xfId="0" applyAlignment="1" applyBorder="1" applyFont="1">
      <alignment horizontal="center"/>
    </xf>
    <xf borderId="5" fillId="0" fontId="8" numFmtId="0" xfId="0" applyAlignment="1" applyBorder="1" applyFont="1">
      <alignment horizontal="center" shrinkToFit="0" vertical="center" wrapText="1"/>
    </xf>
    <xf borderId="3" fillId="0" fontId="3" numFmtId="165" xfId="0" applyAlignment="1" applyBorder="1" applyFont="1" applyNumberFormat="1">
      <alignment horizontal="left" readingOrder="0"/>
    </xf>
    <xf borderId="3" fillId="0" fontId="3" numFmtId="0" xfId="0" applyAlignment="1" applyBorder="1" applyFont="1">
      <alignment horizontal="left" readingOrder="0" shrinkToFit="0" vertical="center" wrapText="1"/>
    </xf>
    <xf borderId="3" fillId="0" fontId="9" numFmtId="0" xfId="0" applyAlignment="1" applyBorder="1" applyFont="1">
      <alignment horizontal="center" shrinkToFit="0" wrapText="1"/>
    </xf>
    <xf borderId="3" fillId="0" fontId="3" numFmtId="0" xfId="0" applyAlignment="1" applyBorder="1" applyFont="1">
      <alignment shrinkToFit="0" wrapText="1"/>
    </xf>
    <xf borderId="0" fillId="0" fontId="1" numFmtId="0" xfId="0" applyAlignment="1" applyFont="1">
      <alignment horizontal="center" vertical="center"/>
    </xf>
    <xf borderId="6" fillId="0" fontId="1" numFmtId="0" xfId="0" applyAlignment="1" applyBorder="1" applyFont="1">
      <alignment horizontal="center" shrinkToFit="0" vertical="center" wrapText="1"/>
    </xf>
    <xf borderId="3" fillId="0" fontId="1" numFmtId="0" xfId="0" applyAlignment="1" applyBorder="1" applyFont="1">
      <alignment horizontal="center" vertical="center"/>
    </xf>
    <xf borderId="3" fillId="0" fontId="3" numFmtId="165" xfId="0" applyAlignment="1" applyBorder="1" applyFont="1" applyNumberFormat="1">
      <alignment horizontal="left" readingOrder="0" vertical="center"/>
    </xf>
    <xf borderId="3" fillId="0" fontId="9" numFmtId="0" xfId="0" applyAlignment="1" applyBorder="1" applyFont="1">
      <alignment shrinkToFit="0" wrapText="1"/>
    </xf>
    <xf borderId="3" fillId="0" fontId="3" numFmtId="0" xfId="0" applyAlignment="1" applyBorder="1" applyFont="1">
      <alignment horizontal="center" shrinkToFit="0" wrapText="1"/>
    </xf>
    <xf borderId="5" fillId="0" fontId="9" numFmtId="0" xfId="0" applyAlignment="1" applyBorder="1" applyFont="1">
      <alignment horizontal="center" shrinkToFit="0" wrapText="1"/>
    </xf>
    <xf borderId="0" fillId="0" fontId="3" numFmtId="0" xfId="0" applyFont="1"/>
    <xf borderId="3" fillId="0" fontId="3" numFmtId="0" xfId="0" applyAlignment="1" applyBorder="1" applyFont="1">
      <alignment shrinkToFit="0" vertical="center" wrapText="1"/>
    </xf>
    <xf borderId="3" fillId="0" fontId="10" numFmtId="0" xfId="0" applyAlignment="1" applyBorder="1" applyFont="1">
      <alignment horizontal="center" shrinkToFit="0" wrapText="1"/>
    </xf>
    <xf borderId="3" fillId="0" fontId="3" numFmtId="0" xfId="0" applyBorder="1" applyFont="1"/>
    <xf borderId="0" fillId="0" fontId="3" numFmtId="0" xfId="0" applyAlignment="1" applyFont="1">
      <alignment horizontal="center" readingOrder="0"/>
    </xf>
    <xf borderId="3" fillId="0" fontId="10" numFmtId="0" xfId="0" applyAlignment="1" applyBorder="1" applyFont="1">
      <alignment shrinkToFit="0" wrapText="1"/>
    </xf>
    <xf borderId="12" fillId="0" fontId="10" numFmtId="0" xfId="0" applyAlignment="1" applyBorder="1" applyFont="1">
      <alignment shrinkToFit="0" wrapText="1"/>
    </xf>
    <xf borderId="3" fillId="0" fontId="10" numFmtId="1" xfId="0" applyAlignment="1" applyBorder="1" applyFont="1" applyNumberFormat="1">
      <alignment shrinkToFit="0" wrapText="1"/>
    </xf>
    <xf borderId="3" fillId="0" fontId="10" numFmtId="14" xfId="0" applyAlignment="1" applyBorder="1" applyFont="1" applyNumberFormat="1">
      <alignment horizontal="center" shrinkToFit="0" wrapText="1"/>
    </xf>
    <xf borderId="3" fillId="0" fontId="1" numFmtId="0" xfId="0" applyBorder="1" applyFont="1"/>
    <xf borderId="6" fillId="0" fontId="1" numFmtId="0" xfId="0" applyAlignment="1" applyBorder="1" applyFont="1">
      <alignment horizontal="center" vertical="center"/>
    </xf>
    <xf borderId="3" fillId="0" fontId="1" numFmtId="14" xfId="0" applyAlignment="1" applyBorder="1" applyFont="1" applyNumberFormat="1">
      <alignment horizontal="center" vertical="center"/>
    </xf>
    <xf borderId="3" fillId="0" fontId="1" numFmtId="166" xfId="0" applyAlignment="1" applyBorder="1" applyFont="1" applyNumberFormat="1">
      <alignment horizontal="center" vertical="center"/>
    </xf>
    <xf borderId="13" fillId="0" fontId="11" numFmtId="0" xfId="0" applyAlignment="1" applyBorder="1" applyFont="1">
      <alignment horizontal="center" shrinkToFit="0" wrapText="1"/>
    </xf>
    <xf borderId="3" fillId="0" fontId="1" numFmtId="14" xfId="0" applyAlignment="1" applyBorder="1" applyFont="1" applyNumberFormat="1">
      <alignment horizontal="center" shrinkToFit="0" vertical="center" wrapText="1"/>
    </xf>
    <xf borderId="13" fillId="0" fontId="4" numFmtId="0" xfId="0" applyBorder="1" applyFont="1"/>
    <xf borderId="3" fillId="0" fontId="3" numFmtId="0" xfId="0" applyAlignment="1" applyBorder="1" applyFont="1">
      <alignment horizontal="center" shrinkToFit="0" vertical="center" wrapText="1"/>
    </xf>
    <xf borderId="0" fillId="0" fontId="3" numFmtId="49" xfId="0" applyFont="1" applyNumberFormat="1"/>
    <xf borderId="3" fillId="0" fontId="3" numFmtId="49" xfId="0" applyAlignment="1" applyBorder="1" applyFont="1" applyNumberFormat="1">
      <alignment horizontal="left"/>
    </xf>
    <xf borderId="3" fillId="0" fontId="3" numFmtId="0" xfId="0" applyAlignment="1" applyBorder="1" applyFont="1">
      <alignment vertical="center"/>
    </xf>
    <xf borderId="0" fillId="0" fontId="3" numFmtId="0" xfId="0" applyAlignment="1" applyFont="1">
      <alignment horizontal="center"/>
    </xf>
    <xf borderId="3" fillId="0" fontId="3" numFmtId="0" xfId="0" applyAlignment="1" applyBorder="1" applyFont="1">
      <alignment horizontal="left"/>
    </xf>
    <xf borderId="0" fillId="0" fontId="3" numFmtId="165" xfId="0" applyFont="1" applyNumberFormat="1"/>
    <xf borderId="14" fillId="0" fontId="4" numFmtId="0" xfId="0" applyBorder="1" applyFont="1"/>
    <xf borderId="3" fillId="0" fontId="3" numFmtId="49" xfId="0" applyAlignment="1" applyBorder="1" applyFont="1" applyNumberFormat="1">
      <alignment horizontal="left" readingOrder="0" shrinkToFit="0" wrapText="1"/>
    </xf>
    <xf borderId="13" fillId="0" fontId="11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readingOrder="0"/>
    </xf>
    <xf borderId="3" fillId="3" fontId="3" numFmtId="0" xfId="0" applyAlignment="1" applyBorder="1" applyFill="1" applyFont="1">
      <alignment readingOrder="0"/>
    </xf>
    <xf borderId="0" fillId="0" fontId="3" numFmtId="167" xfId="0" applyFont="1" applyNumberFormat="1"/>
    <xf borderId="3" fillId="0" fontId="7" numFmtId="0" xfId="0" applyAlignment="1" applyBorder="1" applyFont="1">
      <alignment horizontal="center" readingOrder="0"/>
    </xf>
    <xf borderId="3" fillId="0" fontId="10" numFmtId="14" xfId="0" applyAlignment="1" applyBorder="1" applyFont="1" applyNumberFormat="1">
      <alignment horizontal="right" shrinkToFit="0" wrapText="1"/>
    </xf>
    <xf borderId="0" fillId="0" fontId="3" numFmtId="0" xfId="0" applyAlignment="1" applyFont="1">
      <alignment readingOrder="0"/>
    </xf>
    <xf borderId="3" fillId="0" fontId="10" numFmtId="167" xfId="0" applyAlignment="1" applyBorder="1" applyFont="1" applyNumberFormat="1">
      <alignment horizontal="right" shrinkToFit="0" wrapText="1"/>
    </xf>
    <xf borderId="3" fillId="0" fontId="1" numFmtId="0" xfId="0" applyAlignment="1" applyBorder="1" applyFont="1">
      <alignment horizontal="center" shrinkToFit="0" vertical="center" wrapText="1"/>
    </xf>
    <xf borderId="3" fillId="0" fontId="3" numFmtId="49" xfId="0" applyAlignment="1" applyBorder="1" applyFont="1" applyNumberFormat="1">
      <alignment horizontal="left" vertical="center"/>
    </xf>
    <xf borderId="3" fillId="4" fontId="10" numFmtId="0" xfId="0" applyAlignment="1" applyBorder="1" applyFill="1" applyFont="1">
      <alignment horizontal="center" shrinkToFit="0" wrapText="1"/>
    </xf>
    <xf borderId="3" fillId="0" fontId="3" numFmtId="0" xfId="0" applyAlignment="1" applyBorder="1" applyFont="1">
      <alignment horizontal="left" vertical="center"/>
    </xf>
    <xf borderId="3" fillId="4" fontId="10" numFmtId="0" xfId="0" applyAlignment="1" applyBorder="1" applyFont="1">
      <alignment shrinkToFit="0" wrapText="1"/>
    </xf>
    <xf borderId="12" fillId="4" fontId="10" numFmtId="0" xfId="0" applyAlignment="1" applyBorder="1" applyFont="1">
      <alignment shrinkToFit="0" wrapText="1"/>
    </xf>
    <xf borderId="3" fillId="4" fontId="10" numFmtId="1" xfId="0" applyAlignment="1" applyBorder="1" applyFont="1" applyNumberFormat="1">
      <alignment shrinkToFit="0" wrapText="1"/>
    </xf>
    <xf borderId="3" fillId="4" fontId="10" numFmtId="14" xfId="0" applyAlignment="1" applyBorder="1" applyFont="1" applyNumberFormat="1">
      <alignment horizontal="center" shrinkToFit="0" wrapText="1"/>
    </xf>
    <xf borderId="3" fillId="0" fontId="12" numFmtId="0" xfId="0" applyAlignment="1" applyBorder="1" applyFont="1">
      <alignment horizontal="center" vertical="center"/>
    </xf>
    <xf borderId="3" fillId="0" fontId="12" numFmtId="0" xfId="0" applyAlignment="1" applyBorder="1" applyFont="1">
      <alignment horizontal="center" shrinkToFit="0" vertical="center" wrapText="1"/>
    </xf>
    <xf borderId="3" fillId="4" fontId="1" numFmtId="0" xfId="0" applyBorder="1" applyFont="1"/>
    <xf borderId="3" fillId="0" fontId="12" numFmtId="166" xfId="0" applyAlignment="1" applyBorder="1" applyFont="1" applyNumberFormat="1">
      <alignment horizontal="center" shrinkToFit="0" vertical="center" wrapText="1"/>
    </xf>
    <xf borderId="3" fillId="0" fontId="3" numFmtId="0" xfId="0" applyAlignment="1" applyBorder="1" applyFont="1">
      <alignment horizontal="center" readingOrder="0" shrinkToFit="0" vertical="center" wrapText="1"/>
    </xf>
    <xf borderId="0" fillId="4" fontId="3" numFmtId="0" xfId="0" applyAlignment="1" applyFont="1">
      <alignment vertical="center"/>
    </xf>
    <xf borderId="11" fillId="0" fontId="12" numFmtId="0" xfId="0" applyAlignment="1" applyBorder="1" applyFont="1">
      <alignment horizontal="center" vertical="center"/>
    </xf>
    <xf borderId="11" fillId="0" fontId="12" numFmtId="166" xfId="0" applyAlignment="1" applyBorder="1" applyFont="1" applyNumberFormat="1">
      <alignment horizontal="center" vertical="center"/>
    </xf>
    <xf borderId="0" fillId="0" fontId="13" numFmtId="0" xfId="0" applyAlignment="1" applyFont="1">
      <alignment horizontal="center" readingOrder="0" shrinkToFit="0" vertical="center" wrapText="0"/>
    </xf>
    <xf borderId="0" fillId="0" fontId="14" numFmtId="0" xfId="0" applyAlignment="1" applyFont="1">
      <alignment shrinkToFit="0" vertical="center" wrapText="0"/>
    </xf>
    <xf borderId="3" fillId="0" fontId="3" numFmtId="0" xfId="0" applyAlignment="1" applyBorder="1" applyFont="1">
      <alignment horizontal="center" readingOrder="0" shrinkToFit="0" wrapText="1"/>
    </xf>
    <xf borderId="3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horizontal="center" readingOrder="0" shrinkToFit="0" vertical="center" wrapText="0"/>
    </xf>
    <xf borderId="3" fillId="0" fontId="15" numFmtId="0" xfId="0" applyAlignment="1" applyBorder="1" applyFont="1">
      <alignment horizontal="left" readingOrder="0" shrinkToFit="0" vertical="center" wrapText="0"/>
    </xf>
    <xf borderId="14" fillId="0" fontId="16" numFmtId="0" xfId="0" applyAlignment="1" applyBorder="1" applyFont="1">
      <alignment readingOrder="0" shrinkToFit="0" vertical="center" wrapText="0"/>
    </xf>
    <xf borderId="11" fillId="0" fontId="14" numFmtId="0" xfId="0" applyAlignment="1" applyBorder="1" applyFont="1">
      <alignment readingOrder="0" shrinkToFit="0" vertical="center" wrapText="0"/>
    </xf>
    <xf borderId="11" fillId="0" fontId="16" numFmtId="0" xfId="0" applyAlignment="1" applyBorder="1" applyFont="1">
      <alignment horizontal="center" readingOrder="0" shrinkToFit="0" vertical="center" wrapText="0"/>
    </xf>
    <xf borderId="11" fillId="0" fontId="14" numFmtId="0" xfId="0" applyAlignment="1" applyBorder="1" applyFont="1">
      <alignment horizontal="center" readingOrder="0" shrinkToFit="0" vertical="center" wrapText="0"/>
    </xf>
    <xf borderId="14" fillId="0" fontId="16" numFmtId="0" xfId="0" applyAlignment="1" applyBorder="1" applyFont="1">
      <alignment horizontal="left" readingOrder="0" shrinkToFit="0" vertical="center" wrapText="0"/>
    </xf>
    <xf borderId="15" fillId="0" fontId="12" numFmtId="0" xfId="0" applyAlignment="1" applyBorder="1" applyFont="1">
      <alignment horizontal="center" vertical="center"/>
    </xf>
    <xf borderId="0" fillId="0" fontId="3" numFmtId="49" xfId="0" applyAlignment="1" applyFont="1" applyNumberFormat="1">
      <alignment horizontal="left" readingOrder="0"/>
    </xf>
    <xf borderId="0" fillId="0" fontId="3" numFmtId="0" xfId="0" applyAlignment="1" applyFont="1">
      <alignment horizontal="left" readingOrder="0"/>
    </xf>
    <xf borderId="0" fillId="0" fontId="14" numFmtId="0" xfId="0" applyAlignment="1" applyFont="1">
      <alignment horizontal="center" shrinkToFit="0" vertical="center" wrapText="0"/>
    </xf>
    <xf borderId="0" fillId="0" fontId="14" numFmtId="0" xfId="0" applyAlignment="1" applyFont="1">
      <alignment readingOrder="0" shrinkToFit="0" vertical="center" wrapText="0"/>
    </xf>
    <xf borderId="0" fillId="0" fontId="14" numFmtId="0" xfId="0" applyAlignment="1" applyFont="1">
      <alignment horizontal="left" shrinkToFit="0" vertical="center" wrapText="0"/>
    </xf>
    <xf borderId="3" fillId="0" fontId="10" numFmtId="167" xfId="0" applyAlignment="1" applyBorder="1" applyFont="1" applyNumberFormat="1">
      <alignment horizontal="center" shrinkToFit="0" wrapText="1"/>
    </xf>
    <xf borderId="15" fillId="5" fontId="12" numFmtId="0" xfId="0" applyAlignment="1" applyBorder="1" applyFill="1" applyFont="1">
      <alignment horizontal="center" vertical="center"/>
    </xf>
    <xf borderId="0" fillId="0" fontId="3" numFmtId="49" xfId="0" applyAlignment="1" applyFont="1" applyNumberFormat="1">
      <alignment horizontal="left" readingOrder="0" vertical="center"/>
    </xf>
    <xf borderId="0" fillId="0" fontId="3" numFmtId="0" xfId="0" applyAlignment="1" applyFont="1">
      <alignment horizontal="left" readingOrder="0" vertical="center"/>
    </xf>
    <xf borderId="12" fillId="0" fontId="1" numFmtId="0" xfId="0" applyBorder="1" applyFont="1"/>
    <xf borderId="3" fillId="0" fontId="1" numFmtId="1" xfId="0" applyBorder="1" applyFont="1" applyNumberFormat="1"/>
    <xf borderId="3" fillId="0" fontId="1" numFmtId="14" xfId="0" applyBorder="1" applyFont="1" applyNumberFormat="1"/>
    <xf borderId="3" fillId="0" fontId="10" numFmtId="0" xfId="0" applyAlignment="1" applyBorder="1" applyFont="1">
      <alignment horizontal="right" shrinkToFit="0" wrapText="1"/>
    </xf>
    <xf borderId="3" fillId="0" fontId="3" numFmtId="0" xfId="0" applyAlignment="1" applyBorder="1" applyFont="1">
      <alignment readingOrder="0" shrinkToFit="0" wrapText="1"/>
    </xf>
    <xf borderId="14" fillId="0" fontId="1" numFmtId="0" xfId="0" applyAlignment="1" applyBorder="1" applyFont="1">
      <alignment horizontal="center" vertical="center"/>
    </xf>
    <xf borderId="3" fillId="0" fontId="3" numFmtId="167" xfId="0" applyAlignment="1" applyBorder="1" applyFont="1" applyNumberFormat="1">
      <alignment horizontal="left" readingOrder="0"/>
    </xf>
    <xf borderId="3" fillId="0" fontId="10" numFmtId="3" xfId="0" applyAlignment="1" applyBorder="1" applyFont="1" applyNumberFormat="1">
      <alignment horizontal="center" shrinkToFit="0" wrapText="1"/>
    </xf>
    <xf borderId="3" fillId="0" fontId="3" numFmtId="0" xfId="0" applyAlignment="1" applyBorder="1" applyFont="1">
      <alignment readingOrder="0" vertical="center"/>
    </xf>
    <xf borderId="3" fillId="0" fontId="3" numFmtId="0" xfId="0" applyAlignment="1" applyBorder="1" applyFont="1">
      <alignment readingOrder="0" shrinkToFit="0" vertical="center" wrapText="1"/>
    </xf>
    <xf borderId="12" fillId="0" fontId="10" numFmtId="0" xfId="0" applyAlignment="1" applyBorder="1" applyFont="1">
      <alignment horizontal="center" shrinkToFit="0" wrapText="1"/>
    </xf>
    <xf borderId="3" fillId="0" fontId="3" numFmtId="49" xfId="0" applyAlignment="1" applyBorder="1" applyFont="1" applyNumberFormat="1">
      <alignment readingOrder="0"/>
    </xf>
    <xf borderId="3" fillId="0" fontId="3" numFmtId="49" xfId="0" applyBorder="1" applyFont="1" applyNumberFormat="1"/>
    <xf borderId="3" fillId="0" fontId="3" numFmtId="167" xfId="0" applyAlignment="1" applyBorder="1" applyFont="1" applyNumberFormat="1">
      <alignment horizontal="left" readingOrder="0" vertical="center"/>
    </xf>
    <xf borderId="3" fillId="0" fontId="12" numFmtId="0" xfId="0" applyBorder="1" applyFont="1"/>
    <xf borderId="3" fillId="0" fontId="12" numFmtId="0" xfId="0" applyAlignment="1" applyBorder="1" applyFont="1">
      <alignment shrinkToFit="0" wrapText="1"/>
    </xf>
    <xf borderId="3" fillId="0" fontId="1" numFmtId="166" xfId="0" applyBorder="1" applyFont="1" applyNumberFormat="1"/>
    <xf borderId="3" fillId="0" fontId="12" numFmtId="166" xfId="0" applyAlignment="1" applyBorder="1" applyFont="1" applyNumberFormat="1">
      <alignment shrinkToFit="0" wrapText="1"/>
    </xf>
    <xf borderId="3" fillId="0" fontId="1" numFmtId="14" xfId="0" applyAlignment="1" applyBorder="1" applyFont="1" applyNumberFormat="1">
      <alignment shrinkToFit="0" wrapText="1"/>
    </xf>
    <xf borderId="3" fillId="0" fontId="3" numFmtId="165" xfId="0" applyAlignment="1" applyBorder="1" applyFont="1" applyNumberFormat="1">
      <alignment readingOrder="0" vertical="center"/>
    </xf>
    <xf borderId="3" fillId="0" fontId="12" numFmtId="0" xfId="0" applyBorder="1" applyFont="1"/>
    <xf borderId="3" fillId="0" fontId="1" numFmtId="0" xfId="0" applyAlignment="1" applyBorder="1" applyFont="1">
      <alignment shrinkToFit="0" wrapText="1"/>
    </xf>
    <xf borderId="14" fillId="0" fontId="17" numFmtId="14" xfId="0" applyBorder="1" applyFont="1" applyNumberFormat="1"/>
    <xf borderId="0" fillId="0" fontId="3" numFmtId="49" xfId="0" applyAlignment="1" applyFont="1" applyNumberFormat="1">
      <alignment readingOrder="0"/>
    </xf>
    <xf borderId="3" fillId="0" fontId="3" numFmtId="0" xfId="0" applyBorder="1" applyFont="1"/>
    <xf borderId="3" fillId="0" fontId="18" numFmtId="0" xfId="0" applyAlignment="1" applyBorder="1" applyFont="1">
      <alignment horizontal="center" shrinkToFit="0" vertical="center" wrapText="1"/>
    </xf>
    <xf borderId="3" fillId="5" fontId="3" numFmtId="0" xfId="0" applyBorder="1" applyFont="1"/>
    <xf borderId="3" fillId="0" fontId="3" numFmtId="49" xfId="0" applyAlignment="1" applyBorder="1" applyFont="1" applyNumberFormat="1">
      <alignment readingOrder="0" vertical="center"/>
    </xf>
    <xf borderId="3" fillId="0" fontId="3" numFmtId="49" xfId="0" applyAlignment="1" applyBorder="1" applyFont="1" applyNumberFormat="1">
      <alignment vertical="center"/>
    </xf>
    <xf borderId="3" fillId="0" fontId="19" numFmtId="0" xfId="0" applyAlignment="1" applyBorder="1" applyFont="1">
      <alignment horizontal="left" readingOrder="0" vertical="bottom"/>
    </xf>
    <xf borderId="3" fillId="5" fontId="12" numFmtId="0" xfId="0" applyBorder="1" applyFont="1"/>
    <xf borderId="3" fillId="0" fontId="3" numFmtId="165" xfId="0" applyAlignment="1" applyBorder="1" applyFont="1" applyNumberFormat="1">
      <alignment readingOrder="0"/>
    </xf>
    <xf borderId="3" fillId="0" fontId="1" numFmtId="14" xfId="0" applyAlignment="1" applyBorder="1" applyFont="1" applyNumberFormat="1">
      <alignment vertical="center"/>
    </xf>
    <xf borderId="3" fillId="0" fontId="1" numFmtId="14" xfId="0" applyAlignment="1" applyBorder="1" applyFont="1" applyNumberFormat="1">
      <alignment shrinkToFit="0" vertical="center" wrapText="1"/>
    </xf>
    <xf borderId="3" fillId="0" fontId="1" numFmtId="166" xfId="0" applyAlignment="1" applyBorder="1" applyFont="1" applyNumberFormat="1">
      <alignment vertical="center"/>
    </xf>
    <xf borderId="3" fillId="0" fontId="3" numFmtId="0" xfId="0" applyAlignment="1" applyBorder="1" applyFont="1">
      <alignment shrinkToFit="0" wrapText="1"/>
    </xf>
    <xf borderId="3" fillId="0" fontId="3" numFmtId="165" xfId="0" applyAlignment="1" applyBorder="1" applyFont="1" applyNumberFormat="1">
      <alignment horizontal="left"/>
    </xf>
    <xf borderId="3" fillId="0" fontId="1" numFmtId="0" xfId="0" applyAlignment="1" applyBorder="1" applyFont="1">
      <alignment shrinkToFit="0" vertical="center" wrapText="1"/>
    </xf>
    <xf borderId="5" fillId="0" fontId="20" numFmtId="0" xfId="0" applyAlignment="1" applyBorder="1" applyFont="1">
      <alignment horizontal="right" shrinkToFit="0" wrapText="1"/>
    </xf>
    <xf borderId="3" fillId="0" fontId="20" numFmtId="0" xfId="0" applyAlignment="1" applyBorder="1" applyFont="1">
      <alignment horizontal="center" shrinkToFit="0" wrapText="1"/>
    </xf>
    <xf borderId="7" fillId="0" fontId="1" numFmtId="0" xfId="0" applyBorder="1" applyFont="1"/>
    <xf borderId="3" fillId="0" fontId="12" numFmtId="0" xfId="0" applyAlignment="1" applyBorder="1" applyFont="1">
      <alignment vertical="center"/>
    </xf>
    <xf borderId="3" fillId="0" fontId="12" numFmtId="0" xfId="0" applyAlignment="1" applyBorder="1" applyFont="1">
      <alignment shrinkToFit="0" vertical="center" wrapText="1"/>
    </xf>
    <xf borderId="14" fillId="0" fontId="17" numFmtId="14" xfId="0" applyAlignment="1" applyBorder="1" applyFont="1" applyNumberFormat="1">
      <alignment vertical="center"/>
    </xf>
    <xf borderId="3" fillId="0" fontId="12" numFmtId="0" xfId="0" applyAlignment="1" applyBorder="1" applyFont="1">
      <alignment readingOrder="0" vertical="bottom"/>
    </xf>
    <xf borderId="3" fillId="0" fontId="12" numFmtId="49" xfId="0" applyAlignment="1" applyBorder="1" applyFont="1" applyNumberFormat="1">
      <alignment vertical="bottom"/>
    </xf>
    <xf borderId="3" fillId="0" fontId="12" numFmtId="166" xfId="0" applyAlignment="1" applyBorder="1" applyFont="1" applyNumberFormat="1">
      <alignment shrinkToFit="0" vertical="center" wrapText="1"/>
    </xf>
    <xf borderId="3" fillId="0" fontId="3" numFmtId="0" xfId="0" applyAlignment="1" applyBorder="1" applyFont="1">
      <alignment readingOrder="0"/>
    </xf>
    <xf borderId="0" fillId="0" fontId="3" numFmtId="0" xfId="0" applyAlignment="1" applyFont="1">
      <alignment readingOrder="0" shrinkToFit="0" wrapText="1"/>
    </xf>
    <xf borderId="0" fillId="0" fontId="3" numFmtId="49" xfId="0" applyAlignment="1" applyFont="1" applyNumberFormat="1">
      <alignment readingOrder="0" vertical="center"/>
    </xf>
    <xf borderId="3" fillId="0" fontId="19" numFmtId="0" xfId="0" applyAlignment="1" applyBorder="1" applyFont="1">
      <alignment horizontal="left" readingOrder="0" vertical="center"/>
    </xf>
    <xf borderId="3" fillId="0" fontId="3" numFmtId="0" xfId="0" applyAlignment="1" applyBorder="1" applyFont="1">
      <alignment shrinkToFit="0" vertical="center" wrapText="1"/>
    </xf>
    <xf borderId="3" fillId="0" fontId="3" numFmtId="0" xfId="0" applyAlignment="1" applyBorder="1" applyFont="1">
      <alignment vertical="center"/>
    </xf>
    <xf borderId="3" fillId="0" fontId="3" numFmtId="165" xfId="0" applyAlignment="1" applyBorder="1" applyFont="1" applyNumberFormat="1">
      <alignment horizontal="left" vertical="center"/>
    </xf>
    <xf borderId="3" fillId="0" fontId="12" numFmtId="0" xfId="0" applyAlignment="1" applyBorder="1" applyFont="1">
      <alignment readingOrder="0" vertical="center"/>
    </xf>
    <xf borderId="3" fillId="0" fontId="12" numFmtId="49" xfId="0" applyAlignment="1" applyBorder="1" applyFont="1" applyNumberFormat="1">
      <alignment vertical="center"/>
    </xf>
    <xf borderId="3" fillId="0" fontId="3" numFmtId="0" xfId="0" applyAlignment="1" applyBorder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3" fillId="4" fontId="3" numFmtId="49" xfId="0" applyAlignment="1" applyBorder="1" applyFont="1" applyNumberFormat="1">
      <alignment horizontal="center" readingOrder="0"/>
    </xf>
    <xf borderId="3" fillId="4" fontId="3" numFmtId="49" xfId="0" applyAlignment="1" applyBorder="1" applyFont="1" applyNumberFormat="1">
      <alignment readingOrder="0"/>
    </xf>
    <xf borderId="3" fillId="4" fontId="3" numFmtId="0" xfId="0" applyAlignment="1" applyBorder="1" applyFont="1">
      <alignment horizontal="left" readingOrder="0"/>
    </xf>
    <xf borderId="3" fillId="4" fontId="3" numFmtId="0" xfId="0" applyAlignment="1" applyBorder="1" applyFont="1">
      <alignment readingOrder="0"/>
    </xf>
    <xf borderId="3" fillId="4" fontId="3" numFmtId="0" xfId="0" applyAlignment="1" applyBorder="1" applyFont="1">
      <alignment readingOrder="0" shrinkToFit="0" wrapText="1"/>
    </xf>
    <xf borderId="3" fillId="4" fontId="3" numFmtId="49" xfId="0" applyBorder="1" applyFont="1" applyNumberFormat="1"/>
    <xf borderId="3" fillId="4" fontId="3" numFmtId="0" xfId="0" applyBorder="1" applyFont="1"/>
    <xf borderId="3" fillId="4" fontId="3" numFmtId="0" xfId="0" applyAlignment="1" applyBorder="1" applyFont="1">
      <alignment shrinkToFit="0" wrapText="1"/>
    </xf>
    <xf borderId="3" fillId="4" fontId="3" numFmtId="0" xfId="0" applyAlignment="1" applyBorder="1" applyFont="1">
      <alignment horizontal="center" shrinkToFit="0" wrapText="1"/>
    </xf>
    <xf borderId="0" fillId="0" fontId="21" numFmtId="49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21" numFmtId="0" xfId="0" applyAlignment="1" applyFont="1">
      <alignment readingOrder="0"/>
    </xf>
    <xf borderId="0" fillId="0" fontId="22" numFmtId="49" xfId="0" applyAlignment="1" applyFont="1" applyNumberFormat="1">
      <alignment horizontal="center"/>
    </xf>
    <xf borderId="0" fillId="6" fontId="23" numFmtId="49" xfId="0" applyAlignment="1" applyFill="1" applyFont="1" applyNumberFormat="1">
      <alignment readingOrder="0"/>
    </xf>
    <xf borderId="0" fillId="0" fontId="3" numFmtId="49" xfId="0" applyAlignment="1" applyFont="1" applyNumberFormat="1">
      <alignment horizontal="center" vertical="center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pivotCacheDefinition" Target="pivotCache/pivotCacheDefinition1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833851972"/>
        <c:axId val="1893287473"/>
      </c:barChart>
      <c:catAx>
        <c:axId val="83385197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93287473"/>
      </c:catAx>
      <c:valAx>
        <c:axId val="189328747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3385197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15" firstHeaderRow="0" firstDataRow="1" firstDataCol="0"/>
  <pivotFields>
    <pivotField name=" " axis="axisRow" dataField="1" compact="0" outline="0" multipleItemSelectionAllowed="1" showAll="0" sortType="ascending">
      <items>
        <item x="112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05"/>
        <item x="106"/>
        <item x="107"/>
        <item x="108"/>
        <item x="109"/>
        <item x="110"/>
        <item x="111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2" t="s">
        <v>1</v>
      </c>
      <c r="B1" s="2"/>
      <c r="C1" s="5" t="s">
        <v>2</v>
      </c>
      <c r="D1" s="9" t="str">
        <f>IFERROR(__xludf.DUMMYFUNCTION("INDEX(FILTER(K:K,K:K&lt;&gt;""""),COUNTA(K:K))"),"23/07/2026")</f>
        <v>23/07/2026</v>
      </c>
      <c r="E1" s="3"/>
      <c r="F1" s="3"/>
      <c r="G1" s="11"/>
      <c r="H1" s="3"/>
      <c r="I1" s="12"/>
      <c r="J1" s="3"/>
      <c r="K1" s="3" t="s">
        <v>4</v>
      </c>
      <c r="L1" s="2"/>
      <c r="M1" s="3"/>
      <c r="N1" s="12"/>
      <c r="O1" s="12"/>
      <c r="P1" s="3"/>
      <c r="Q1" s="12"/>
      <c r="R1" s="3"/>
      <c r="S1" s="3"/>
      <c r="T1" s="3"/>
      <c r="U1" s="12"/>
      <c r="V1" s="3"/>
      <c r="W1" s="3"/>
      <c r="X1" s="15"/>
      <c r="Y1" s="15"/>
      <c r="Z1" s="15"/>
      <c r="AA1" s="15"/>
      <c r="AB1" s="15"/>
      <c r="AC1" s="15"/>
      <c r="AD1" s="15"/>
    </row>
    <row r="2">
      <c r="A2" s="19" t="s">
        <v>6</v>
      </c>
      <c r="B2" s="19" t="s">
        <v>7</v>
      </c>
      <c r="C2" s="23" t="s">
        <v>8</v>
      </c>
      <c r="D2" s="19" t="s">
        <v>9</v>
      </c>
      <c r="E2" s="23" t="s">
        <v>10</v>
      </c>
      <c r="F2" s="23" t="s">
        <v>11</v>
      </c>
      <c r="G2" s="11" t="s">
        <v>13</v>
      </c>
      <c r="H2" s="25" t="s">
        <v>12</v>
      </c>
      <c r="I2" s="26" t="s">
        <v>14</v>
      </c>
      <c r="J2" s="23" t="s">
        <v>15</v>
      </c>
      <c r="K2" s="23" t="s">
        <v>16</v>
      </c>
      <c r="L2" s="19" t="s">
        <v>17</v>
      </c>
      <c r="M2" s="23" t="s">
        <v>18</v>
      </c>
      <c r="N2" s="26" t="s">
        <v>19</v>
      </c>
      <c r="O2" s="26" t="s">
        <v>20</v>
      </c>
      <c r="P2" s="23" t="s">
        <v>21</v>
      </c>
      <c r="Q2" s="26" t="s">
        <v>22</v>
      </c>
      <c r="R2" s="23" t="s">
        <v>23</v>
      </c>
      <c r="S2" s="23" t="s">
        <v>24</v>
      </c>
      <c r="T2" s="23" t="s">
        <v>25</v>
      </c>
      <c r="U2" s="32" t="s">
        <v>26</v>
      </c>
      <c r="V2" s="11" t="s">
        <v>27</v>
      </c>
      <c r="W2" s="23" t="s">
        <v>22</v>
      </c>
      <c r="X2" s="34"/>
      <c r="Y2" s="34"/>
      <c r="Z2" s="34"/>
      <c r="AA2" s="34"/>
      <c r="AB2" s="34"/>
      <c r="AC2" s="34"/>
      <c r="AD2" s="34"/>
    </row>
    <row r="3">
      <c r="A3" s="36" t="s">
        <v>28</v>
      </c>
      <c r="B3" s="37" t="s">
        <v>30</v>
      </c>
      <c r="C3" s="37" t="str">
        <f>IF(B3="","",(VLOOKUP(B3,'Dados de PN'!$A:$B,2,0)))</f>
        <v>650X10 TUBE</v>
      </c>
      <c r="D3" s="37" t="s">
        <v>31</v>
      </c>
      <c r="E3" s="41" t="s">
        <v>32</v>
      </c>
      <c r="F3" s="41" t="s">
        <v>34</v>
      </c>
      <c r="G3" s="44">
        <f t="shared" ref="G3:G7" si="1">VALUE(SUBSTITUTE(F3," EA",""))</f>
        <v>1</v>
      </c>
      <c r="H3" s="41">
        <v>1.3947615E7</v>
      </c>
      <c r="I3" s="47" t="s">
        <v>36</v>
      </c>
      <c r="J3" s="41" t="s">
        <v>37</v>
      </c>
      <c r="K3" s="53">
        <v>45730.0</v>
      </c>
      <c r="L3" s="37" t="s">
        <v>38</v>
      </c>
      <c r="M3" s="41" t="s">
        <v>39</v>
      </c>
      <c r="N3" s="58"/>
      <c r="O3" s="58"/>
      <c r="P3" s="50"/>
      <c r="Q3" s="51"/>
      <c r="R3" s="52"/>
      <c r="S3" s="52"/>
      <c r="T3" s="52"/>
      <c r="U3" s="73"/>
      <c r="V3" s="76"/>
      <c r="W3" s="76"/>
      <c r="X3" s="4"/>
      <c r="Y3" s="4"/>
      <c r="Z3" s="4"/>
      <c r="AA3" s="4"/>
      <c r="AB3" s="4"/>
      <c r="AC3" s="4"/>
      <c r="AD3" s="4"/>
    </row>
    <row r="4">
      <c r="A4" s="36" t="s">
        <v>47</v>
      </c>
      <c r="B4" s="37" t="s">
        <v>30</v>
      </c>
      <c r="C4" s="37" t="str">
        <f>IF(B4="","",(VLOOKUP(B4,'Dados de PN'!$A:$B,2,0)))</f>
        <v>650X10 TUBE</v>
      </c>
      <c r="D4" s="37" t="s">
        <v>31</v>
      </c>
      <c r="E4" s="41" t="s">
        <v>32</v>
      </c>
      <c r="F4" s="41" t="s">
        <v>34</v>
      </c>
      <c r="G4" s="44">
        <f t="shared" si="1"/>
        <v>1</v>
      </c>
      <c r="H4" s="41">
        <v>1.4000316E7</v>
      </c>
      <c r="I4" s="47" t="s">
        <v>36</v>
      </c>
      <c r="J4" s="41" t="s">
        <v>37</v>
      </c>
      <c r="K4" s="53">
        <v>45735.0</v>
      </c>
      <c r="L4" s="37" t="s">
        <v>50</v>
      </c>
      <c r="M4" s="41" t="s">
        <v>51</v>
      </c>
      <c r="N4" s="58"/>
      <c r="O4" s="58"/>
      <c r="P4" s="67"/>
      <c r="Q4" s="51"/>
      <c r="R4" s="68"/>
      <c r="S4" s="69"/>
      <c r="T4" s="69"/>
      <c r="U4" s="73"/>
      <c r="V4" s="76"/>
      <c r="W4" s="76"/>
      <c r="X4" s="4"/>
      <c r="Y4" s="4"/>
      <c r="Z4" s="4"/>
      <c r="AA4" s="4"/>
      <c r="AB4" s="4"/>
      <c r="AC4" s="4"/>
      <c r="AD4" s="4"/>
    </row>
    <row r="5">
      <c r="A5" s="36" t="s">
        <v>55</v>
      </c>
      <c r="B5" s="37" t="s">
        <v>52</v>
      </c>
      <c r="C5" s="37" t="str">
        <f>IF(B5="","",(VLOOKUP(B5,'Dados de PN'!$A:$B,2,0)))</f>
        <v>SELECTOR ALT</v>
      </c>
      <c r="D5" s="37" t="s">
        <v>31</v>
      </c>
      <c r="E5" s="41" t="s">
        <v>54</v>
      </c>
      <c r="F5" s="41" t="s">
        <v>34</v>
      </c>
      <c r="G5" s="44">
        <f t="shared" si="1"/>
        <v>1</v>
      </c>
      <c r="H5" s="41">
        <v>1.3719978E7</v>
      </c>
      <c r="I5" s="47" t="s">
        <v>59</v>
      </c>
      <c r="J5" s="41" t="s">
        <v>37</v>
      </c>
      <c r="K5" s="53">
        <v>45737.0</v>
      </c>
      <c r="L5" s="37" t="s">
        <v>60</v>
      </c>
      <c r="M5" s="41" t="s">
        <v>61</v>
      </c>
      <c r="N5" s="58"/>
      <c r="O5" s="58"/>
      <c r="P5" s="68"/>
      <c r="Q5" s="71"/>
      <c r="R5" s="68"/>
      <c r="S5" s="69"/>
      <c r="T5" s="69"/>
      <c r="U5" s="73"/>
      <c r="V5" s="76"/>
      <c r="W5" s="76"/>
      <c r="X5" s="4"/>
      <c r="Y5" s="4"/>
      <c r="Z5" s="4"/>
      <c r="AA5" s="4"/>
      <c r="AB5" s="4"/>
      <c r="AC5" s="4"/>
      <c r="AD5" s="4"/>
    </row>
    <row r="6" hidden="1">
      <c r="A6" s="33" t="s">
        <v>64</v>
      </c>
      <c r="B6" s="75" t="s">
        <v>56</v>
      </c>
      <c r="C6" s="35" t="str">
        <f>IF(B6="","",(VLOOKUP(B6,'Dados de PN'!$A:$B,2,0)))</f>
        <v>REBITE, CEGO</v>
      </c>
      <c r="D6" s="35" t="s">
        <v>31</v>
      </c>
      <c r="E6" s="42" t="s">
        <v>32</v>
      </c>
      <c r="F6" s="78" t="s">
        <v>71</v>
      </c>
      <c r="G6" s="44">
        <f t="shared" si="1"/>
        <v>100</v>
      </c>
      <c r="H6" s="78">
        <v>1.4119927E7</v>
      </c>
      <c r="I6" s="43" t="s">
        <v>85</v>
      </c>
      <c r="J6" s="42" t="s">
        <v>74</v>
      </c>
      <c r="K6" s="46">
        <v>45747.0</v>
      </c>
      <c r="L6" s="35" t="s">
        <v>75</v>
      </c>
      <c r="M6" s="42" t="s">
        <v>76</v>
      </c>
      <c r="N6" s="49"/>
      <c r="O6" s="49"/>
      <c r="P6" s="68"/>
      <c r="Q6" s="71"/>
      <c r="R6" s="68"/>
      <c r="S6" s="69"/>
      <c r="T6" s="69"/>
      <c r="U6" s="81" t="s">
        <v>77</v>
      </c>
      <c r="V6" s="82" t="s">
        <v>58</v>
      </c>
      <c r="W6" s="84" t="s">
        <v>91</v>
      </c>
    </row>
    <row r="7" hidden="1">
      <c r="A7" s="33" t="s">
        <v>86</v>
      </c>
      <c r="B7" s="75" t="s">
        <v>62</v>
      </c>
      <c r="C7" s="35" t="str">
        <f>IF(B7="","",(VLOOKUP(B7,'Dados de PN'!$A:$B,2,0)))</f>
        <v>RIVET, BLIND</v>
      </c>
      <c r="D7" s="35" t="s">
        <v>31</v>
      </c>
      <c r="E7" s="42" t="s">
        <v>32</v>
      </c>
      <c r="F7" s="78" t="s">
        <v>71</v>
      </c>
      <c r="G7" s="44">
        <f t="shared" si="1"/>
        <v>100</v>
      </c>
      <c r="H7" s="78">
        <v>1.4119761E7</v>
      </c>
      <c r="I7" s="43" t="s">
        <v>85</v>
      </c>
      <c r="J7" s="42" t="s">
        <v>37</v>
      </c>
      <c r="K7" s="46">
        <v>45747.0</v>
      </c>
      <c r="L7" s="35" t="s">
        <v>75</v>
      </c>
      <c r="M7" s="42" t="s">
        <v>76</v>
      </c>
      <c r="N7" s="49"/>
      <c r="O7" s="49"/>
      <c r="P7" s="68"/>
      <c r="Q7" s="71"/>
      <c r="R7" s="68"/>
      <c r="S7" s="69"/>
      <c r="T7" s="69"/>
      <c r="U7" s="81" t="s">
        <v>93</v>
      </c>
      <c r="V7" s="72"/>
      <c r="W7" s="84" t="s">
        <v>91</v>
      </c>
    </row>
    <row r="8" hidden="1">
      <c r="A8" s="33" t="s">
        <v>95</v>
      </c>
      <c r="B8" s="75" t="s">
        <v>65</v>
      </c>
      <c r="C8" s="35" t="str">
        <f>IF(B8="","",(VLOOKUP(B8,'Dados de PN'!$A:$B,2,0)))</f>
        <v>RIVET SOLID</v>
      </c>
      <c r="D8" s="35" t="s">
        <v>31</v>
      </c>
      <c r="E8" s="42" t="s">
        <v>32</v>
      </c>
      <c r="F8" s="78" t="s">
        <v>98</v>
      </c>
      <c r="G8" s="86">
        <v>500.0</v>
      </c>
      <c r="H8" s="78">
        <v>1.4119172E7</v>
      </c>
      <c r="I8" s="43" t="s">
        <v>85</v>
      </c>
      <c r="J8" s="42" t="s">
        <v>37</v>
      </c>
      <c r="K8" s="46">
        <v>45747.0</v>
      </c>
      <c r="L8" s="35" t="s">
        <v>75</v>
      </c>
      <c r="M8" s="42" t="s">
        <v>76</v>
      </c>
      <c r="N8" s="49"/>
      <c r="O8" s="49"/>
      <c r="P8" s="68"/>
      <c r="Q8" s="71"/>
      <c r="R8" s="68"/>
      <c r="S8" s="69"/>
      <c r="T8" s="69"/>
      <c r="U8" s="81" t="s">
        <v>93</v>
      </c>
      <c r="V8" s="72"/>
      <c r="W8" s="84" t="s">
        <v>91</v>
      </c>
    </row>
    <row r="9" hidden="1">
      <c r="A9" s="33" t="s">
        <v>100</v>
      </c>
      <c r="B9" s="75" t="s">
        <v>67</v>
      </c>
      <c r="C9" s="35" t="str">
        <f>IF(B9="","",(VLOOKUP(B9,'Dados de PN'!$A:$B,2,0)))</f>
        <v>RIVET, SOLID</v>
      </c>
      <c r="D9" s="35" t="s">
        <v>31</v>
      </c>
      <c r="E9" s="42" t="s">
        <v>32</v>
      </c>
      <c r="F9" s="78" t="s">
        <v>71</v>
      </c>
      <c r="G9" s="44">
        <f>VALUE(SUBSTITUTE(F9," EA",""))</f>
        <v>100</v>
      </c>
      <c r="H9" s="78">
        <v>1.4118815E7</v>
      </c>
      <c r="I9" s="43" t="s">
        <v>85</v>
      </c>
      <c r="J9" s="42" t="s">
        <v>37</v>
      </c>
      <c r="K9" s="46">
        <v>45747.0</v>
      </c>
      <c r="L9" s="35" t="s">
        <v>75</v>
      </c>
      <c r="M9" s="42" t="s">
        <v>76</v>
      </c>
      <c r="N9" s="49"/>
      <c r="O9" s="49"/>
      <c r="P9" s="68"/>
      <c r="Q9" s="71"/>
      <c r="R9" s="68"/>
      <c r="S9" s="69"/>
      <c r="T9" s="69"/>
      <c r="U9" s="81" t="s">
        <v>93</v>
      </c>
      <c r="V9" s="72"/>
      <c r="W9" s="84" t="s">
        <v>91</v>
      </c>
    </row>
    <row r="10" hidden="1">
      <c r="A10" s="33" t="s">
        <v>107</v>
      </c>
      <c r="B10" s="75" t="s">
        <v>69</v>
      </c>
      <c r="C10" s="35" t="str">
        <f>IF(B10="","",(VLOOKUP(B10,'Dados de PN'!$A:$B,2,0)))</f>
        <v>RIVET, SOLID</v>
      </c>
      <c r="D10" s="35" t="s">
        <v>31</v>
      </c>
      <c r="E10" s="42" t="s">
        <v>32</v>
      </c>
      <c r="F10" s="78" t="s">
        <v>108</v>
      </c>
      <c r="G10" s="86">
        <v>1.0</v>
      </c>
      <c r="H10" s="78">
        <v>1.4118717E7</v>
      </c>
      <c r="I10" s="43" t="s">
        <v>85</v>
      </c>
      <c r="J10" s="42" t="s">
        <v>37</v>
      </c>
      <c r="K10" s="46">
        <v>45747.0</v>
      </c>
      <c r="L10" s="35" t="s">
        <v>75</v>
      </c>
      <c r="M10" s="42" t="s">
        <v>76</v>
      </c>
      <c r="N10" s="49"/>
      <c r="O10" s="49"/>
      <c r="P10" s="68"/>
      <c r="Q10" s="71"/>
      <c r="R10" s="68"/>
      <c r="S10" s="69"/>
      <c r="T10" s="69"/>
      <c r="U10" s="81" t="s">
        <v>93</v>
      </c>
      <c r="V10" s="72"/>
      <c r="W10" s="84" t="s">
        <v>91</v>
      </c>
    </row>
    <row r="11" hidden="1">
      <c r="A11" s="33" t="s">
        <v>110</v>
      </c>
      <c r="B11" s="75" t="s">
        <v>70</v>
      </c>
      <c r="C11" s="35" t="str">
        <f>IF(B11="","",(VLOOKUP(B11,'Dados de PN'!$A:$B,2,0)))</f>
        <v>RIVET, SOLID</v>
      </c>
      <c r="D11" s="35" t="s">
        <v>31</v>
      </c>
      <c r="E11" s="42" t="s">
        <v>32</v>
      </c>
      <c r="F11" s="78" t="s">
        <v>108</v>
      </c>
      <c r="G11" s="86">
        <v>1.0</v>
      </c>
      <c r="H11" s="78">
        <v>1.4118631E7</v>
      </c>
      <c r="I11" s="43" t="s">
        <v>85</v>
      </c>
      <c r="J11" s="42" t="s">
        <v>37</v>
      </c>
      <c r="K11" s="46">
        <v>45747.0</v>
      </c>
      <c r="L11" s="35" t="s">
        <v>75</v>
      </c>
      <c r="M11" s="42" t="s">
        <v>76</v>
      </c>
      <c r="N11" s="49"/>
      <c r="O11" s="49"/>
      <c r="P11" s="68"/>
      <c r="Q11" s="71"/>
      <c r="R11" s="68"/>
      <c r="S11" s="69"/>
      <c r="T11" s="69"/>
      <c r="U11" s="81" t="s">
        <v>93</v>
      </c>
      <c r="V11" s="72"/>
      <c r="W11" s="84" t="s">
        <v>91</v>
      </c>
    </row>
    <row r="12" hidden="1">
      <c r="A12" s="33" t="s">
        <v>117</v>
      </c>
      <c r="B12" s="75" t="s">
        <v>72</v>
      </c>
      <c r="C12" s="35" t="str">
        <f>IF(B12="","",(VLOOKUP(B12,'Dados de PN'!$A:$B,2,0)))</f>
        <v>RIVET, SOLID</v>
      </c>
      <c r="D12" s="35" t="s">
        <v>31</v>
      </c>
      <c r="E12" s="42" t="s">
        <v>32</v>
      </c>
      <c r="F12" s="78" t="s">
        <v>108</v>
      </c>
      <c r="G12" s="86">
        <v>1.0</v>
      </c>
      <c r="H12" s="78">
        <v>1.4118223E7</v>
      </c>
      <c r="I12" s="43" t="s">
        <v>85</v>
      </c>
      <c r="J12" s="42" t="s">
        <v>37</v>
      </c>
      <c r="K12" s="46">
        <v>45747.0</v>
      </c>
      <c r="L12" s="35" t="s">
        <v>75</v>
      </c>
      <c r="M12" s="42" t="s">
        <v>76</v>
      </c>
      <c r="N12" s="49"/>
      <c r="O12" s="49"/>
      <c r="P12" s="68"/>
      <c r="Q12" s="71"/>
      <c r="R12" s="68"/>
      <c r="S12" s="69"/>
      <c r="T12" s="69"/>
      <c r="U12" s="81" t="s">
        <v>93</v>
      </c>
      <c r="V12" s="72"/>
      <c r="W12" s="84" t="s">
        <v>91</v>
      </c>
    </row>
    <row r="13" hidden="1">
      <c r="A13" s="36" t="s">
        <v>121</v>
      </c>
      <c r="B13" s="91" t="s">
        <v>73</v>
      </c>
      <c r="C13" s="37" t="str">
        <f>IF(B13="","",(VLOOKUP(B13,'Dados de PN'!$A:$B,2,0)))</f>
        <v>RIVET SOLID</v>
      </c>
      <c r="D13" s="37" t="s">
        <v>31</v>
      </c>
      <c r="E13" s="41" t="s">
        <v>32</v>
      </c>
      <c r="F13" s="93" t="s">
        <v>124</v>
      </c>
      <c r="G13" s="44">
        <f t="shared" ref="G13:G97" si="2">VALUE(SUBSTITUTE(F13," EA",""))</f>
        <v>50</v>
      </c>
      <c r="H13" s="93">
        <v>1.4117687E7</v>
      </c>
      <c r="I13" s="47" t="s">
        <v>85</v>
      </c>
      <c r="J13" s="41" t="s">
        <v>37</v>
      </c>
      <c r="K13" s="53">
        <v>45747.0</v>
      </c>
      <c r="L13" s="37" t="s">
        <v>75</v>
      </c>
      <c r="M13" s="41" t="s">
        <v>76</v>
      </c>
      <c r="N13" s="58"/>
      <c r="O13" s="58"/>
      <c r="P13" s="68"/>
      <c r="Q13" s="71"/>
      <c r="R13" s="68"/>
      <c r="S13" s="69"/>
      <c r="T13" s="69"/>
      <c r="U13" s="73"/>
      <c r="V13" s="80"/>
      <c r="W13" s="84" t="s">
        <v>91</v>
      </c>
      <c r="X13" s="4"/>
      <c r="Y13" s="4"/>
      <c r="Z13" s="4"/>
      <c r="AA13" s="4"/>
      <c r="AB13" s="4"/>
      <c r="AC13" s="4"/>
      <c r="AD13" s="4"/>
    </row>
    <row r="14">
      <c r="A14" s="36" t="s">
        <v>129</v>
      </c>
      <c r="B14" s="37" t="s">
        <v>79</v>
      </c>
      <c r="C14" s="37" t="str">
        <f>IF(B14="","",(VLOOKUP(B14,'Dados de PN'!$A:$B,2,0)))</f>
        <v>ALTIMETER</v>
      </c>
      <c r="D14" s="37" t="s">
        <v>31</v>
      </c>
      <c r="E14" s="41" t="s">
        <v>81</v>
      </c>
      <c r="F14" s="41" t="s">
        <v>34</v>
      </c>
      <c r="G14" s="44">
        <f t="shared" si="2"/>
        <v>1</v>
      </c>
      <c r="H14" s="41">
        <v>1.4305088E7</v>
      </c>
      <c r="I14" s="47" t="s">
        <v>132</v>
      </c>
      <c r="J14" s="41" t="s">
        <v>37</v>
      </c>
      <c r="K14" s="53">
        <v>45762.0</v>
      </c>
      <c r="L14" s="37" t="s">
        <v>133</v>
      </c>
      <c r="M14" s="41" t="s">
        <v>76</v>
      </c>
      <c r="N14" s="58"/>
      <c r="O14" s="58"/>
      <c r="P14" s="52"/>
      <c r="Q14" s="90"/>
      <c r="R14" s="52"/>
      <c r="S14" s="69"/>
      <c r="T14" s="69"/>
      <c r="U14" s="73"/>
      <c r="V14" s="76"/>
      <c r="W14" s="76"/>
      <c r="X14" s="4"/>
      <c r="Y14" s="4"/>
      <c r="Z14" s="4"/>
      <c r="AA14" s="4"/>
      <c r="AB14" s="4"/>
      <c r="AC14" s="4"/>
      <c r="AD14" s="4"/>
    </row>
    <row r="15">
      <c r="A15" s="36" t="s">
        <v>146</v>
      </c>
      <c r="B15" s="37" t="s">
        <v>87</v>
      </c>
      <c r="C15" s="37" t="str">
        <f>IF(B15="","",(VLOOKUP(B15,'Dados de PN'!$A:$B,2,0)))</f>
        <v>INSULATOR</v>
      </c>
      <c r="D15" s="37" t="s">
        <v>31</v>
      </c>
      <c r="E15" s="41" t="s">
        <v>32</v>
      </c>
      <c r="F15" s="41" t="s">
        <v>34</v>
      </c>
      <c r="G15" s="44">
        <f t="shared" si="2"/>
        <v>1</v>
      </c>
      <c r="H15" s="41">
        <v>1.4309534E7</v>
      </c>
      <c r="I15" s="47" t="s">
        <v>151</v>
      </c>
      <c r="J15" s="41" t="s">
        <v>37</v>
      </c>
      <c r="K15" s="53">
        <v>45763.0</v>
      </c>
      <c r="L15" s="37" t="s">
        <v>152</v>
      </c>
      <c r="M15" s="41" t="s">
        <v>61</v>
      </c>
      <c r="N15" s="58"/>
      <c r="O15" s="58"/>
      <c r="P15" s="68"/>
      <c r="Q15" s="71"/>
      <c r="R15" s="68"/>
      <c r="S15" s="69"/>
      <c r="T15" s="69"/>
      <c r="U15" s="73"/>
      <c r="V15" s="76"/>
      <c r="W15" s="76"/>
      <c r="X15" s="4"/>
      <c r="Y15" s="4"/>
      <c r="Z15" s="4"/>
      <c r="AA15" s="4"/>
      <c r="AB15" s="4"/>
      <c r="AC15" s="4"/>
      <c r="AD15" s="4"/>
    </row>
    <row r="16">
      <c r="A16" s="36" t="s">
        <v>155</v>
      </c>
      <c r="B16" s="37" t="s">
        <v>89</v>
      </c>
      <c r="C16" s="37" t="str">
        <f>IF(B16="","",(VLOOKUP(B16,'Dados de PN'!$A:$B,2,0)))</f>
        <v>INSULATOR</v>
      </c>
      <c r="D16" s="37" t="s">
        <v>31</v>
      </c>
      <c r="E16" s="41" t="s">
        <v>32</v>
      </c>
      <c r="F16" s="41" t="s">
        <v>34</v>
      </c>
      <c r="G16" s="44">
        <f t="shared" si="2"/>
        <v>1</v>
      </c>
      <c r="H16" s="41">
        <v>1.4316808E7</v>
      </c>
      <c r="I16" s="47" t="s">
        <v>151</v>
      </c>
      <c r="J16" s="41" t="s">
        <v>37</v>
      </c>
      <c r="K16" s="53">
        <v>45763.0</v>
      </c>
      <c r="L16" s="37" t="s">
        <v>152</v>
      </c>
      <c r="M16" s="41" t="s">
        <v>61</v>
      </c>
      <c r="N16" s="58"/>
      <c r="O16" s="58"/>
      <c r="P16" s="68"/>
      <c r="Q16" s="71"/>
      <c r="R16" s="68"/>
      <c r="S16" s="69"/>
      <c r="T16" s="69"/>
      <c r="U16" s="73"/>
      <c r="V16" s="76"/>
      <c r="W16" s="76"/>
      <c r="X16" s="4"/>
      <c r="Y16" s="4"/>
      <c r="Z16" s="4"/>
      <c r="AA16" s="4"/>
      <c r="AB16" s="4"/>
      <c r="AC16" s="4"/>
      <c r="AD16" s="4"/>
    </row>
    <row r="17">
      <c r="A17" s="36" t="s">
        <v>163</v>
      </c>
      <c r="B17" s="37" t="s">
        <v>96</v>
      </c>
      <c r="C17" s="37" t="str">
        <f>IF(B17="","",(VLOOKUP(B17,'Dados de PN'!$A:$B,2,0)))</f>
        <v>BEARING,ROLLER,NEEDLE</v>
      </c>
      <c r="D17" s="37" t="s">
        <v>31</v>
      </c>
      <c r="E17" s="41" t="s">
        <v>32</v>
      </c>
      <c r="F17" s="41" t="s">
        <v>164</v>
      </c>
      <c r="G17" s="44">
        <f t="shared" si="2"/>
        <v>2</v>
      </c>
      <c r="H17" s="41">
        <v>1.4478457E7</v>
      </c>
      <c r="I17" s="47" t="s">
        <v>166</v>
      </c>
      <c r="J17" s="41" t="s">
        <v>37</v>
      </c>
      <c r="K17" s="53">
        <v>45783.0</v>
      </c>
      <c r="L17" s="37" t="s">
        <v>168</v>
      </c>
      <c r="M17" s="41" t="s">
        <v>169</v>
      </c>
      <c r="N17" s="58"/>
      <c r="O17" s="58"/>
      <c r="P17" s="68"/>
      <c r="Q17" s="71"/>
      <c r="R17" s="68"/>
      <c r="S17" s="69"/>
      <c r="T17" s="69"/>
      <c r="U17" s="73"/>
      <c r="V17" s="76"/>
      <c r="W17" s="76"/>
      <c r="X17" s="4"/>
      <c r="Y17" s="4"/>
      <c r="Z17" s="4"/>
      <c r="AA17" s="4"/>
      <c r="AB17" s="4"/>
      <c r="AC17" s="4"/>
      <c r="AD17" s="4"/>
    </row>
    <row r="18">
      <c r="A18" s="36" t="s">
        <v>170</v>
      </c>
      <c r="B18" s="37" t="s">
        <v>171</v>
      </c>
      <c r="C18" s="37" t="str">
        <f>IF(B18="","",(VLOOKUP(B18,'Dados de PN'!$A:$B,2,0)))</f>
        <v>BUSHING,SLEEVE</v>
      </c>
      <c r="D18" s="37" t="s">
        <v>31</v>
      </c>
      <c r="E18" s="41" t="s">
        <v>32</v>
      </c>
      <c r="F18" s="41" t="s">
        <v>164</v>
      </c>
      <c r="G18" s="44">
        <f t="shared" si="2"/>
        <v>2</v>
      </c>
      <c r="H18" s="41">
        <v>1.4478396E7</v>
      </c>
      <c r="I18" s="47" t="s">
        <v>166</v>
      </c>
      <c r="J18" s="41" t="s">
        <v>37</v>
      </c>
      <c r="K18" s="53">
        <v>45783.0</v>
      </c>
      <c r="L18" s="37" t="s">
        <v>168</v>
      </c>
      <c r="M18" s="41" t="s">
        <v>169</v>
      </c>
      <c r="N18" s="58"/>
      <c r="O18" s="58"/>
      <c r="P18" s="68"/>
      <c r="Q18" s="71"/>
      <c r="R18" s="68"/>
      <c r="S18" s="69"/>
      <c r="T18" s="69"/>
      <c r="U18" s="73"/>
      <c r="V18" s="76"/>
      <c r="W18" s="76"/>
      <c r="X18" s="4"/>
      <c r="Y18" s="4"/>
      <c r="Z18" s="4"/>
      <c r="AA18" s="4"/>
      <c r="AB18" s="4"/>
      <c r="AC18" s="4"/>
      <c r="AD18" s="4"/>
    </row>
    <row r="19">
      <c r="A19" s="33" t="s">
        <v>173</v>
      </c>
      <c r="B19" s="35" t="s">
        <v>102</v>
      </c>
      <c r="C19" s="35" t="str">
        <f>IF(B19="","",(VLOOKUP(B19,'Dados de PN'!$A:$B,2,0)))</f>
        <v>AUTOPILOT COMPUTER/FLIGHT DIRECTOT</v>
      </c>
      <c r="D19" s="35" t="s">
        <v>31</v>
      </c>
      <c r="E19" s="42" t="s">
        <v>81</v>
      </c>
      <c r="F19" s="42" t="s">
        <v>34</v>
      </c>
      <c r="G19" s="44">
        <f t="shared" si="2"/>
        <v>1</v>
      </c>
      <c r="H19" s="42">
        <v>6.85240004653E11</v>
      </c>
      <c r="I19" s="43" t="s">
        <v>175</v>
      </c>
      <c r="J19" s="42" t="s">
        <v>37</v>
      </c>
      <c r="K19" s="46">
        <v>45784.0</v>
      </c>
      <c r="L19" s="35" t="s">
        <v>152</v>
      </c>
      <c r="M19" s="42" t="s">
        <v>61</v>
      </c>
      <c r="N19" s="49"/>
      <c r="O19" s="49"/>
      <c r="P19" s="98" t="s">
        <v>102</v>
      </c>
      <c r="Q19" s="99" t="s">
        <v>104</v>
      </c>
      <c r="R19" s="99" t="s">
        <v>176</v>
      </c>
      <c r="S19" s="69"/>
      <c r="T19" s="101">
        <v>45845.0</v>
      </c>
      <c r="U19" s="102" t="s">
        <v>177</v>
      </c>
      <c r="V19" s="83"/>
      <c r="W19" s="84" t="s">
        <v>83</v>
      </c>
    </row>
    <row r="20">
      <c r="A20" s="36" t="s">
        <v>178</v>
      </c>
      <c r="B20" s="37" t="s">
        <v>111</v>
      </c>
      <c r="C20" s="37" t="str">
        <f>IF(B20="","",(VLOOKUP(B20,'Dados de PN'!$A:$B,2,0)))</f>
        <v>HOSE ASSY</v>
      </c>
      <c r="D20" s="37" t="s">
        <v>31</v>
      </c>
      <c r="E20" s="41" t="s">
        <v>32</v>
      </c>
      <c r="F20" s="41" t="s">
        <v>34</v>
      </c>
      <c r="G20" s="44">
        <f t="shared" si="2"/>
        <v>1</v>
      </c>
      <c r="H20" s="41">
        <v>6.85250006026E11</v>
      </c>
      <c r="I20" s="47" t="s">
        <v>175</v>
      </c>
      <c r="J20" s="41" t="s">
        <v>37</v>
      </c>
      <c r="K20" s="53">
        <v>45784.0</v>
      </c>
      <c r="L20" s="37" t="s">
        <v>183</v>
      </c>
      <c r="M20" s="41" t="s">
        <v>61</v>
      </c>
      <c r="N20" s="58"/>
      <c r="O20" s="58"/>
      <c r="P20" s="68"/>
      <c r="Q20" s="71"/>
      <c r="R20" s="68"/>
      <c r="S20" s="69"/>
      <c r="T20" s="69"/>
      <c r="U20" s="73"/>
      <c r="V20" s="76"/>
      <c r="W20" s="76"/>
      <c r="X20" s="4"/>
      <c r="Y20" s="4"/>
      <c r="Z20" s="4"/>
      <c r="AA20" s="4"/>
      <c r="AB20" s="4"/>
      <c r="AC20" s="4"/>
      <c r="AD20" s="4"/>
    </row>
    <row r="21">
      <c r="A21" s="36" t="s">
        <v>186</v>
      </c>
      <c r="B21" s="37" t="s">
        <v>114</v>
      </c>
      <c r="C21" s="37" t="str">
        <f>IF(B21="","",(VLOOKUP(B21,'Dados de PN'!$A:$B,2,0)))</f>
        <v>NUT,SELF-LOCKING,HEXAGON</v>
      </c>
      <c r="D21" s="37" t="s">
        <v>31</v>
      </c>
      <c r="E21" s="41" t="s">
        <v>32</v>
      </c>
      <c r="F21" s="41" t="s">
        <v>187</v>
      </c>
      <c r="G21" s="44">
        <f t="shared" si="2"/>
        <v>16</v>
      </c>
      <c r="H21" s="41">
        <v>1.4481761E7</v>
      </c>
      <c r="I21" s="47" t="s">
        <v>188</v>
      </c>
      <c r="J21" s="41" t="s">
        <v>37</v>
      </c>
      <c r="K21" s="53">
        <v>45784.0</v>
      </c>
      <c r="L21" s="37" t="s">
        <v>116</v>
      </c>
      <c r="M21" s="41" t="s">
        <v>61</v>
      </c>
      <c r="N21" s="58"/>
      <c r="O21" s="58"/>
      <c r="P21" s="68"/>
      <c r="Q21" s="71"/>
      <c r="R21" s="68"/>
      <c r="S21" s="69"/>
      <c r="T21" s="69"/>
      <c r="U21" s="73"/>
      <c r="V21" s="76"/>
      <c r="W21" s="76"/>
      <c r="X21" s="4"/>
      <c r="Y21" s="4"/>
      <c r="Z21" s="4"/>
      <c r="AA21" s="4"/>
      <c r="AB21" s="4"/>
      <c r="AC21" s="4"/>
      <c r="AD21" s="4"/>
    </row>
    <row r="22">
      <c r="A22" s="33" t="s">
        <v>193</v>
      </c>
      <c r="B22" s="35" t="s">
        <v>114</v>
      </c>
      <c r="C22" s="35" t="str">
        <f>IF(B22="","",(VLOOKUP(B22,'Dados de PN'!$A:$B,2,0)))</f>
        <v>NUT,SELF-LOCKING,HEXAGON</v>
      </c>
      <c r="D22" s="35" t="s">
        <v>31</v>
      </c>
      <c r="E22" s="42" t="s">
        <v>32</v>
      </c>
      <c r="F22" s="42" t="s">
        <v>196</v>
      </c>
      <c r="G22" s="44">
        <f t="shared" si="2"/>
        <v>8</v>
      </c>
      <c r="H22" s="42">
        <v>1.4482166E7</v>
      </c>
      <c r="I22" s="43" t="s">
        <v>197</v>
      </c>
      <c r="J22" s="42" t="s">
        <v>37</v>
      </c>
      <c r="K22" s="46">
        <v>45784.0</v>
      </c>
      <c r="L22" s="35" t="s">
        <v>199</v>
      </c>
      <c r="M22" s="42" t="s">
        <v>61</v>
      </c>
      <c r="N22" s="49"/>
      <c r="O22" s="49"/>
      <c r="P22" s="98" t="s">
        <v>118</v>
      </c>
      <c r="Q22" s="99" t="s">
        <v>119</v>
      </c>
      <c r="R22" s="99" t="s">
        <v>120</v>
      </c>
      <c r="S22" s="69"/>
      <c r="T22" s="101">
        <v>45938.0</v>
      </c>
      <c r="U22" s="102" t="s">
        <v>202</v>
      </c>
      <c r="V22" s="60"/>
      <c r="W22" s="84" t="s">
        <v>83</v>
      </c>
    </row>
    <row r="23">
      <c r="A23" s="33" t="s">
        <v>204</v>
      </c>
      <c r="B23" s="35" t="s">
        <v>122</v>
      </c>
      <c r="C23" s="35" t="str">
        <f>IF(B23="","",(VLOOKUP(B23,'Dados de PN'!$A:$B,2,0)))</f>
        <v>TRANSMISSION ASSY</v>
      </c>
      <c r="D23" s="35" t="s">
        <v>31</v>
      </c>
      <c r="E23" s="42" t="s">
        <v>32</v>
      </c>
      <c r="F23" s="42" t="s">
        <v>34</v>
      </c>
      <c r="G23" s="44">
        <f t="shared" si="2"/>
        <v>1</v>
      </c>
      <c r="H23" s="42">
        <v>1.4530282E7</v>
      </c>
      <c r="I23" s="43" t="s">
        <v>207</v>
      </c>
      <c r="J23" s="42" t="s">
        <v>37</v>
      </c>
      <c r="K23" s="46">
        <v>45789.0</v>
      </c>
      <c r="L23" s="35" t="s">
        <v>168</v>
      </c>
      <c r="M23" s="42" t="s">
        <v>169</v>
      </c>
      <c r="N23" s="49"/>
      <c r="O23" s="49"/>
      <c r="P23" s="104" t="s">
        <v>122</v>
      </c>
      <c r="Q23" s="99" t="s">
        <v>210</v>
      </c>
      <c r="R23" s="104" t="s">
        <v>126</v>
      </c>
      <c r="S23" s="69"/>
      <c r="T23" s="105">
        <v>45868.0</v>
      </c>
      <c r="U23" s="102" t="s">
        <v>212</v>
      </c>
      <c r="V23" s="60"/>
      <c r="W23" s="84" t="s">
        <v>83</v>
      </c>
    </row>
    <row r="24">
      <c r="A24" s="33" t="s">
        <v>215</v>
      </c>
      <c r="B24" s="35" t="s">
        <v>127</v>
      </c>
      <c r="C24" s="35" t="str">
        <f>IF(B24="","",(VLOOKUP(B24,'Dados de PN'!$A:$B,2,0)))</f>
        <v>MICROPHONE,MAGNETIC</v>
      </c>
      <c r="D24" s="35" t="s">
        <v>31</v>
      </c>
      <c r="E24" s="42" t="s">
        <v>54</v>
      </c>
      <c r="F24" s="42" t="s">
        <v>34</v>
      </c>
      <c r="G24" s="44">
        <f t="shared" si="2"/>
        <v>1</v>
      </c>
      <c r="H24" s="42">
        <v>1.4530445E7</v>
      </c>
      <c r="I24" s="43" t="s">
        <v>219</v>
      </c>
      <c r="J24" s="42" t="s">
        <v>37</v>
      </c>
      <c r="K24" s="46">
        <v>45789.0</v>
      </c>
      <c r="L24" s="35" t="s">
        <v>168</v>
      </c>
      <c r="M24" s="42" t="s">
        <v>169</v>
      </c>
      <c r="N24" s="49"/>
      <c r="O24" s="49"/>
      <c r="P24" s="104" t="s">
        <v>127</v>
      </c>
      <c r="Q24" s="99" t="s">
        <v>130</v>
      </c>
      <c r="R24" s="104" t="s">
        <v>220</v>
      </c>
      <c r="S24" s="69"/>
      <c r="T24" s="105">
        <v>45982.0</v>
      </c>
      <c r="U24" s="108" t="s">
        <v>221</v>
      </c>
      <c r="V24" s="60"/>
      <c r="W24" s="84" t="s">
        <v>83</v>
      </c>
    </row>
    <row r="25">
      <c r="A25" s="36" t="s">
        <v>224</v>
      </c>
      <c r="B25" s="37" t="s">
        <v>138</v>
      </c>
      <c r="C25" s="37" t="str">
        <f>IF(B25="","",(VLOOKUP(B25,'Dados de PN'!$A:$B,2,0)))</f>
        <v>COMPUTADOR DO PILOTO AUTOMÁTICO</v>
      </c>
      <c r="D25" s="37" t="s">
        <v>228</v>
      </c>
      <c r="E25" s="41" t="s">
        <v>81</v>
      </c>
      <c r="F25" s="41" t="s">
        <v>34</v>
      </c>
      <c r="G25" s="44">
        <f t="shared" si="2"/>
        <v>1</v>
      </c>
      <c r="H25" s="41">
        <v>6.9425000186E11</v>
      </c>
      <c r="I25" s="47" t="s">
        <v>231</v>
      </c>
      <c r="J25" s="41" t="s">
        <v>37</v>
      </c>
      <c r="K25" s="53">
        <v>45791.0</v>
      </c>
      <c r="L25" s="37" t="s">
        <v>232</v>
      </c>
      <c r="M25" s="41" t="s">
        <v>234</v>
      </c>
      <c r="N25" s="58"/>
      <c r="O25" s="58"/>
      <c r="P25" s="52"/>
      <c r="Q25" s="90"/>
      <c r="R25" s="52"/>
      <c r="S25" s="69"/>
      <c r="T25" s="69"/>
      <c r="U25" s="73"/>
      <c r="V25" s="76"/>
      <c r="W25" s="76"/>
      <c r="X25" s="4"/>
      <c r="Y25" s="4"/>
      <c r="Z25" s="4"/>
      <c r="AA25" s="4"/>
      <c r="AB25" s="4"/>
      <c r="AC25" s="4"/>
      <c r="AD25" s="4"/>
    </row>
    <row r="26">
      <c r="A26" s="36" t="s">
        <v>237</v>
      </c>
      <c r="B26" s="37" t="s">
        <v>147</v>
      </c>
      <c r="C26" s="37" t="str">
        <f>IF(B26="","",(VLOOKUP(B26,'Dados de PN'!$A:$B,2,0)))</f>
        <v>INDICATOR,HORIZONTAL SITUATION</v>
      </c>
      <c r="D26" s="37" t="s">
        <v>149</v>
      </c>
      <c r="E26" s="41" t="s">
        <v>81</v>
      </c>
      <c r="F26" s="41" t="s">
        <v>34</v>
      </c>
      <c r="G26" s="44">
        <f t="shared" si="2"/>
        <v>1</v>
      </c>
      <c r="H26" s="41">
        <v>1.4741958E7</v>
      </c>
      <c r="I26" s="47" t="s">
        <v>242</v>
      </c>
      <c r="J26" s="41" t="s">
        <v>37</v>
      </c>
      <c r="K26" s="53">
        <v>45814.0</v>
      </c>
      <c r="L26" s="37" t="s">
        <v>150</v>
      </c>
      <c r="M26" s="41" t="s">
        <v>51</v>
      </c>
      <c r="N26" s="58"/>
      <c r="O26" s="58"/>
      <c r="P26" s="68"/>
      <c r="Q26" s="71"/>
      <c r="R26" s="68"/>
      <c r="S26" s="69"/>
      <c r="T26" s="69"/>
      <c r="U26" s="73"/>
      <c r="V26" s="76"/>
      <c r="W26" s="76"/>
      <c r="X26" s="4"/>
      <c r="Y26" s="4"/>
      <c r="Z26" s="4"/>
      <c r="AA26" s="4"/>
      <c r="AB26" s="4"/>
      <c r="AC26" s="4"/>
      <c r="AD26" s="4"/>
    </row>
    <row r="27">
      <c r="A27" s="36" t="s">
        <v>249</v>
      </c>
      <c r="B27" s="37" t="s">
        <v>153</v>
      </c>
      <c r="C27" s="37" t="str">
        <f>IF(B27="","",(VLOOKUP(B27,'Dados de PN'!$A:$B,2,0)))</f>
        <v>ANEL-O</v>
      </c>
      <c r="D27" s="91"/>
      <c r="E27" s="41" t="s">
        <v>32</v>
      </c>
      <c r="F27" s="41" t="s">
        <v>252</v>
      </c>
      <c r="G27" s="44">
        <f t="shared" si="2"/>
        <v>4</v>
      </c>
      <c r="H27" s="41">
        <v>6.8525000789E11</v>
      </c>
      <c r="I27" s="47" t="s">
        <v>254</v>
      </c>
      <c r="J27" s="41" t="s">
        <v>256</v>
      </c>
      <c r="K27" s="53">
        <v>45819.0</v>
      </c>
      <c r="L27" s="37" t="s">
        <v>60</v>
      </c>
      <c r="M27" s="41" t="s">
        <v>61</v>
      </c>
      <c r="N27" s="58"/>
      <c r="O27" s="58"/>
      <c r="P27" s="68"/>
      <c r="Q27" s="71"/>
      <c r="R27" s="68"/>
      <c r="S27" s="69"/>
      <c r="T27" s="69"/>
      <c r="U27" s="73"/>
      <c r="V27" s="76"/>
      <c r="W27" s="76"/>
      <c r="X27" s="4"/>
      <c r="Y27" s="4"/>
      <c r="Z27" s="4"/>
      <c r="AA27" s="4"/>
      <c r="AB27" s="4"/>
      <c r="AC27" s="4"/>
      <c r="AD27" s="4"/>
    </row>
    <row r="28">
      <c r="A28" s="33" t="s">
        <v>259</v>
      </c>
      <c r="B28" s="35" t="s">
        <v>156</v>
      </c>
      <c r="C28" s="35" t="str">
        <f>IF(B28="","",(VLOOKUP(B28,'Dados de PN'!$A:$B,2,0)))</f>
        <v>CONJUNTO DE FREIO</v>
      </c>
      <c r="D28" s="75"/>
      <c r="E28" s="42" t="s">
        <v>81</v>
      </c>
      <c r="F28" s="42" t="s">
        <v>34</v>
      </c>
      <c r="G28" s="44">
        <f t="shared" si="2"/>
        <v>1</v>
      </c>
      <c r="H28" s="42">
        <v>6.93250000848E11</v>
      </c>
      <c r="I28" s="43" t="s">
        <v>262</v>
      </c>
      <c r="J28" s="42" t="s">
        <v>37</v>
      </c>
      <c r="K28" s="46">
        <v>45821.0</v>
      </c>
      <c r="L28" s="35" t="s">
        <v>263</v>
      </c>
      <c r="M28" s="42" t="s">
        <v>51</v>
      </c>
      <c r="N28" s="49"/>
      <c r="O28" s="49"/>
      <c r="P28" s="125" t="s">
        <v>158</v>
      </c>
      <c r="Q28" s="99" t="s">
        <v>159</v>
      </c>
      <c r="R28" s="104" t="s">
        <v>266</v>
      </c>
      <c r="S28" s="69"/>
      <c r="T28" s="101">
        <v>45876.0</v>
      </c>
      <c r="U28" s="102" t="s">
        <v>268</v>
      </c>
      <c r="V28" s="60"/>
      <c r="W28" s="84" t="s">
        <v>83</v>
      </c>
    </row>
    <row r="29">
      <c r="A29" s="36" t="s">
        <v>271</v>
      </c>
      <c r="B29" s="37" t="s">
        <v>161</v>
      </c>
      <c r="C29" s="37" t="str">
        <f>IF(B29="","",(VLOOKUP(B29,'Dados de PN'!$A:$B,2,0)))</f>
        <v>CABLE ASSY-FLAP INDICATOR</v>
      </c>
      <c r="D29" s="37" t="s">
        <v>31</v>
      </c>
      <c r="E29" s="41" t="s">
        <v>32</v>
      </c>
      <c r="F29" s="41" t="s">
        <v>34</v>
      </c>
      <c r="G29" s="44">
        <f t="shared" si="2"/>
        <v>1</v>
      </c>
      <c r="H29" s="41">
        <v>3.13250016636E11</v>
      </c>
      <c r="I29" s="47" t="s">
        <v>277</v>
      </c>
      <c r="J29" s="41" t="s">
        <v>37</v>
      </c>
      <c r="K29" s="53">
        <v>45824.0</v>
      </c>
      <c r="L29" s="37" t="s">
        <v>50</v>
      </c>
      <c r="M29" s="41" t="s">
        <v>51</v>
      </c>
      <c r="N29" s="58"/>
      <c r="O29" s="58"/>
      <c r="P29" s="68"/>
      <c r="Q29" s="71"/>
      <c r="R29" s="68"/>
      <c r="S29" s="69"/>
      <c r="T29" s="69"/>
      <c r="U29" s="73"/>
      <c r="V29" s="76"/>
      <c r="W29" s="76"/>
      <c r="X29" s="4"/>
      <c r="Y29" s="4"/>
      <c r="Z29" s="4"/>
      <c r="AA29" s="4"/>
      <c r="AB29" s="4"/>
      <c r="AC29" s="4"/>
      <c r="AD29" s="4"/>
    </row>
    <row r="30">
      <c r="A30" s="36" t="s">
        <v>281</v>
      </c>
      <c r="B30" s="126" t="s">
        <v>165</v>
      </c>
      <c r="C30" s="37" t="str">
        <f>IF(B30="","",(VLOOKUP(B30,'Dados de PN'!$A:$B,2,0)))</f>
        <v>IND OIL TEMP/P</v>
      </c>
      <c r="D30" s="127">
        <v>890716.0</v>
      </c>
      <c r="E30" s="41" t="s">
        <v>81</v>
      </c>
      <c r="F30" s="41" t="s">
        <v>34</v>
      </c>
      <c r="G30" s="44">
        <f t="shared" si="2"/>
        <v>1</v>
      </c>
      <c r="H30" s="41">
        <v>1.4791313E7</v>
      </c>
      <c r="I30" s="47" t="s">
        <v>287</v>
      </c>
      <c r="J30" s="41" t="s">
        <v>37</v>
      </c>
      <c r="K30" s="53">
        <v>45825.0</v>
      </c>
      <c r="L30" s="37" t="s">
        <v>290</v>
      </c>
      <c r="M30" s="41" t="s">
        <v>169</v>
      </c>
      <c r="N30" s="58"/>
      <c r="O30" s="58"/>
      <c r="P30" s="68"/>
      <c r="Q30" s="71"/>
      <c r="R30" s="68"/>
      <c r="S30" s="69"/>
      <c r="T30" s="69"/>
      <c r="U30" s="73"/>
      <c r="V30" s="76"/>
      <c r="W30" s="76"/>
      <c r="X30" s="4"/>
      <c r="Y30" s="4"/>
      <c r="Z30" s="4"/>
      <c r="AA30" s="4"/>
      <c r="AB30" s="4"/>
      <c r="AC30" s="4"/>
      <c r="AD30" s="4"/>
    </row>
    <row r="31">
      <c r="A31" s="36" t="s">
        <v>291</v>
      </c>
      <c r="B31" s="37" t="s">
        <v>172</v>
      </c>
      <c r="C31" s="37" t="str">
        <f>IF(B31="","",(VLOOKUP(B31,'Dados de PN'!$A:$B,2,0)))</f>
        <v>SENSOR, FUEL LEVEL SHORT</v>
      </c>
      <c r="D31" s="37" t="s">
        <v>31</v>
      </c>
      <c r="E31" s="41" t="s">
        <v>32</v>
      </c>
      <c r="F31" s="41" t="s">
        <v>34</v>
      </c>
      <c r="G31" s="44">
        <f t="shared" si="2"/>
        <v>1</v>
      </c>
      <c r="H31" s="41">
        <v>1.4915782E7</v>
      </c>
      <c r="I31" s="47" t="s">
        <v>295</v>
      </c>
      <c r="J31" s="41" t="s">
        <v>37</v>
      </c>
      <c r="K31" s="53">
        <v>45836.0</v>
      </c>
      <c r="L31" s="37" t="s">
        <v>50</v>
      </c>
      <c r="M31" s="41" t="s">
        <v>51</v>
      </c>
      <c r="N31" s="58"/>
      <c r="O31" s="58"/>
      <c r="P31" s="68"/>
      <c r="Q31" s="71"/>
      <c r="R31" s="68"/>
      <c r="S31" s="69"/>
      <c r="T31" s="69"/>
      <c r="U31" s="73"/>
      <c r="V31" s="76"/>
      <c r="W31" s="76"/>
      <c r="X31" s="4"/>
      <c r="Y31" s="4"/>
      <c r="Z31" s="4"/>
      <c r="AA31" s="4"/>
      <c r="AB31" s="4"/>
      <c r="AC31" s="4"/>
      <c r="AD31" s="4"/>
    </row>
    <row r="32">
      <c r="A32" s="33" t="s">
        <v>300</v>
      </c>
      <c r="B32" s="35" t="s">
        <v>179</v>
      </c>
      <c r="C32" s="35" t="str">
        <f>IF(B32="","",(VLOOKUP(B32,'Dados de PN'!$A:$B,2,0)))</f>
        <v>BOLT,INTERNAL WRENCHING</v>
      </c>
      <c r="D32" s="35" t="s">
        <v>31</v>
      </c>
      <c r="E32" s="42" t="s">
        <v>32</v>
      </c>
      <c r="F32" s="42" t="s">
        <v>164</v>
      </c>
      <c r="G32" s="44">
        <f t="shared" si="2"/>
        <v>2</v>
      </c>
      <c r="H32" s="42">
        <v>3.96250014839E11</v>
      </c>
      <c r="I32" s="43" t="s">
        <v>303</v>
      </c>
      <c r="J32" s="42" t="s">
        <v>37</v>
      </c>
      <c r="K32" s="46">
        <v>45839.0</v>
      </c>
      <c r="L32" s="35" t="s">
        <v>304</v>
      </c>
      <c r="M32" s="42" t="s">
        <v>76</v>
      </c>
      <c r="N32" s="49"/>
      <c r="O32" s="49"/>
      <c r="P32" s="98" t="s">
        <v>181</v>
      </c>
      <c r="Q32" s="99" t="s">
        <v>182</v>
      </c>
      <c r="R32" s="99" t="s">
        <v>305</v>
      </c>
      <c r="S32" s="69"/>
      <c r="T32" s="101">
        <v>45912.0</v>
      </c>
      <c r="U32" s="102" t="s">
        <v>308</v>
      </c>
      <c r="V32" s="60"/>
      <c r="W32" s="84" t="s">
        <v>83</v>
      </c>
    </row>
    <row r="33">
      <c r="A33" s="36" t="s">
        <v>309</v>
      </c>
      <c r="B33" s="37" t="s">
        <v>185</v>
      </c>
      <c r="C33" s="37" t="str">
        <f>IF(B33="","",(VLOOKUP(B33,'Dados de PN'!$A:$B,2,0)))</f>
        <v>BOLT,INTERNAL WRENCHING</v>
      </c>
      <c r="D33" s="37" t="s">
        <v>31</v>
      </c>
      <c r="E33" s="41" t="s">
        <v>32</v>
      </c>
      <c r="F33" s="41" t="s">
        <v>164</v>
      </c>
      <c r="G33" s="44">
        <f t="shared" si="2"/>
        <v>2</v>
      </c>
      <c r="H33" s="41">
        <v>3.9625001484E11</v>
      </c>
      <c r="I33" s="47" t="s">
        <v>303</v>
      </c>
      <c r="J33" s="41" t="s">
        <v>37</v>
      </c>
      <c r="K33" s="53">
        <v>45839.0</v>
      </c>
      <c r="L33" s="37" t="s">
        <v>304</v>
      </c>
      <c r="M33" s="41" t="s">
        <v>76</v>
      </c>
      <c r="N33" s="58"/>
      <c r="O33" s="58"/>
      <c r="P33" s="68"/>
      <c r="Q33" s="71"/>
      <c r="R33" s="68"/>
      <c r="S33" s="69"/>
      <c r="T33" s="69"/>
      <c r="U33" s="73"/>
      <c r="V33" s="76"/>
      <c r="W33" s="76"/>
      <c r="X33" s="4"/>
      <c r="Y33" s="4"/>
      <c r="Z33" s="4"/>
      <c r="AA33" s="4"/>
      <c r="AB33" s="4"/>
      <c r="AC33" s="4"/>
      <c r="AD33" s="4"/>
    </row>
    <row r="34">
      <c r="A34" s="33" t="s">
        <v>312</v>
      </c>
      <c r="B34" s="35" t="s">
        <v>189</v>
      </c>
      <c r="C34" s="35" t="str">
        <f>IF(B34="","",(VLOOKUP(B34,'Dados de PN'!$A:$B,2,0)))</f>
        <v>FEEDBACK BEARING ASSY</v>
      </c>
      <c r="D34" s="35" t="s">
        <v>31</v>
      </c>
      <c r="E34" s="42" t="s">
        <v>32</v>
      </c>
      <c r="F34" s="42" t="s">
        <v>34</v>
      </c>
      <c r="G34" s="44">
        <f t="shared" si="2"/>
        <v>1</v>
      </c>
      <c r="H34" s="42">
        <v>1.4966758E7</v>
      </c>
      <c r="I34" s="43" t="s">
        <v>319</v>
      </c>
      <c r="J34" s="42" t="s">
        <v>37</v>
      </c>
      <c r="K34" s="46">
        <v>45845.0</v>
      </c>
      <c r="L34" s="35" t="s">
        <v>320</v>
      </c>
      <c r="M34" s="42" t="s">
        <v>321</v>
      </c>
      <c r="N34" s="49"/>
      <c r="O34" s="49"/>
      <c r="P34" s="98" t="s">
        <v>189</v>
      </c>
      <c r="Q34" s="99" t="s">
        <v>191</v>
      </c>
      <c r="R34" s="99" t="s">
        <v>192</v>
      </c>
      <c r="S34" s="69"/>
      <c r="T34" s="101">
        <v>45912.0</v>
      </c>
      <c r="U34" s="102" t="s">
        <v>323</v>
      </c>
      <c r="V34" s="60"/>
      <c r="W34" s="84" t="s">
        <v>83</v>
      </c>
    </row>
    <row r="35">
      <c r="A35" s="36" t="s">
        <v>324</v>
      </c>
      <c r="B35" s="37" t="s">
        <v>194</v>
      </c>
      <c r="C35" s="37" t="str">
        <f>IF(B35="","",(VLOOKUP(B35,'Dados de PN'!$A:$B,2,0)))</f>
        <v>TRANSMITER FUEL</v>
      </c>
      <c r="D35" s="37" t="s">
        <v>31</v>
      </c>
      <c r="E35" s="41" t="s">
        <v>32</v>
      </c>
      <c r="F35" s="41" t="s">
        <v>34</v>
      </c>
      <c r="G35" s="44">
        <f t="shared" si="2"/>
        <v>1</v>
      </c>
      <c r="H35" s="41">
        <v>1.5057806E7</v>
      </c>
      <c r="I35" s="47" t="s">
        <v>329</v>
      </c>
      <c r="J35" s="41" t="s">
        <v>37</v>
      </c>
      <c r="K35" s="53">
        <v>45856.0</v>
      </c>
      <c r="L35" s="37" t="s">
        <v>168</v>
      </c>
      <c r="M35" s="41" t="s">
        <v>169</v>
      </c>
      <c r="N35" s="58"/>
      <c r="O35" s="58"/>
      <c r="P35" s="68"/>
      <c r="Q35" s="71"/>
      <c r="R35" s="68"/>
      <c r="S35" s="69"/>
      <c r="T35" s="69"/>
      <c r="U35" s="73"/>
      <c r="V35" s="76"/>
      <c r="W35" s="76"/>
      <c r="X35" s="4"/>
      <c r="Y35" s="4"/>
      <c r="Z35" s="4"/>
      <c r="AA35" s="4"/>
      <c r="AB35" s="4"/>
      <c r="AC35" s="4"/>
      <c r="AD35" s="4"/>
    </row>
    <row r="36">
      <c r="A36" s="33" t="s">
        <v>330</v>
      </c>
      <c r="B36" s="35" t="s">
        <v>198</v>
      </c>
      <c r="C36" s="35" t="str">
        <f>IF(B36="","",(VLOOKUP(B36,'Dados de PN'!$A:$B,2,0)))</f>
        <v>SWITCH,PROXIMITY</v>
      </c>
      <c r="D36" s="35" t="s">
        <v>31</v>
      </c>
      <c r="E36" s="42" t="s">
        <v>32</v>
      </c>
      <c r="F36" s="42" t="s">
        <v>34</v>
      </c>
      <c r="G36" s="44">
        <f t="shared" si="2"/>
        <v>1</v>
      </c>
      <c r="H36" s="42">
        <v>1.5057808E7</v>
      </c>
      <c r="I36" s="43" t="s">
        <v>329</v>
      </c>
      <c r="J36" s="42" t="s">
        <v>37</v>
      </c>
      <c r="K36" s="46">
        <v>45856.0</v>
      </c>
      <c r="L36" s="35" t="s">
        <v>168</v>
      </c>
      <c r="M36" s="42" t="s">
        <v>169</v>
      </c>
      <c r="N36" s="49"/>
      <c r="O36" s="49"/>
      <c r="P36" s="98" t="s">
        <v>198</v>
      </c>
      <c r="Q36" s="99" t="s">
        <v>201</v>
      </c>
      <c r="R36" s="99" t="s">
        <v>203</v>
      </c>
      <c r="S36" s="69"/>
      <c r="T36" s="101">
        <v>45912.0</v>
      </c>
      <c r="U36" s="102" t="s">
        <v>333</v>
      </c>
      <c r="V36" s="60"/>
      <c r="W36" s="84" t="s">
        <v>83</v>
      </c>
    </row>
    <row r="37">
      <c r="A37" s="33" t="s">
        <v>334</v>
      </c>
      <c r="B37" s="35" t="s">
        <v>205</v>
      </c>
      <c r="C37" s="35" t="str">
        <f>IF(B37="","",(VLOOKUP(B37,'Dados de PN'!$A:$B,2,0)))</f>
        <v>BRACKET</v>
      </c>
      <c r="D37" s="35" t="s">
        <v>31</v>
      </c>
      <c r="E37" s="42" t="s">
        <v>32</v>
      </c>
      <c r="F37" s="42" t="s">
        <v>164</v>
      </c>
      <c r="G37" s="44">
        <f t="shared" si="2"/>
        <v>2</v>
      </c>
      <c r="H37" s="42">
        <v>1.5062865E7</v>
      </c>
      <c r="I37" s="43" t="s">
        <v>329</v>
      </c>
      <c r="J37" s="42" t="s">
        <v>37</v>
      </c>
      <c r="K37" s="46">
        <v>45856.0</v>
      </c>
      <c r="L37" s="35" t="s">
        <v>168</v>
      </c>
      <c r="M37" s="42" t="s">
        <v>169</v>
      </c>
      <c r="N37" s="49"/>
      <c r="O37" s="49"/>
      <c r="P37" s="98" t="s">
        <v>205</v>
      </c>
      <c r="Q37" s="99" t="s">
        <v>208</v>
      </c>
      <c r="R37" s="99" t="s">
        <v>203</v>
      </c>
      <c r="S37" s="69"/>
      <c r="T37" s="101">
        <v>45912.0</v>
      </c>
      <c r="U37" s="102" t="s">
        <v>333</v>
      </c>
      <c r="V37" s="60"/>
      <c r="W37" s="84" t="s">
        <v>83</v>
      </c>
    </row>
    <row r="38">
      <c r="A38" s="33" t="s">
        <v>338</v>
      </c>
      <c r="B38" s="35" t="s">
        <v>209</v>
      </c>
      <c r="C38" s="35" t="str">
        <f>IF(B38="","",(VLOOKUP(B38,'Dados de PN'!$A:$B,2,0)))</f>
        <v>BRACKET</v>
      </c>
      <c r="D38" s="35" t="s">
        <v>31</v>
      </c>
      <c r="E38" s="42" t="s">
        <v>32</v>
      </c>
      <c r="F38" s="42" t="s">
        <v>340</v>
      </c>
      <c r="G38" s="44">
        <f t="shared" si="2"/>
        <v>3</v>
      </c>
      <c r="H38" s="42">
        <v>1.5062866E7</v>
      </c>
      <c r="I38" s="43" t="s">
        <v>329</v>
      </c>
      <c r="J38" s="42" t="s">
        <v>37</v>
      </c>
      <c r="K38" s="46">
        <v>45856.0</v>
      </c>
      <c r="L38" s="35" t="s">
        <v>168</v>
      </c>
      <c r="M38" s="42" t="s">
        <v>169</v>
      </c>
      <c r="N38" s="49"/>
      <c r="O38" s="49"/>
      <c r="P38" s="98" t="s">
        <v>209</v>
      </c>
      <c r="Q38" s="99" t="s">
        <v>211</v>
      </c>
      <c r="R38" s="99" t="s">
        <v>203</v>
      </c>
      <c r="S38" s="69"/>
      <c r="T38" s="101">
        <v>45912.0</v>
      </c>
      <c r="U38" s="102" t="s">
        <v>333</v>
      </c>
      <c r="V38" s="60"/>
      <c r="W38" s="84" t="s">
        <v>83</v>
      </c>
    </row>
    <row r="39">
      <c r="A39" s="33" t="s">
        <v>343</v>
      </c>
      <c r="B39" s="35" t="s">
        <v>213</v>
      </c>
      <c r="C39" s="35" t="str">
        <f>IF(B39="","",(VLOOKUP(B39,'Dados de PN'!$A:$B,2,0)))</f>
        <v>CLAMP,HOSE</v>
      </c>
      <c r="D39" s="35" t="s">
        <v>31</v>
      </c>
      <c r="E39" s="42" t="s">
        <v>32</v>
      </c>
      <c r="F39" s="42" t="s">
        <v>346</v>
      </c>
      <c r="G39" s="44">
        <f t="shared" si="2"/>
        <v>10</v>
      </c>
      <c r="H39" s="42" t="s">
        <v>347</v>
      </c>
      <c r="I39" s="43" t="s">
        <v>329</v>
      </c>
      <c r="J39" s="42" t="s">
        <v>37</v>
      </c>
      <c r="K39" s="46">
        <v>45856.0</v>
      </c>
      <c r="L39" s="35" t="s">
        <v>168</v>
      </c>
      <c r="M39" s="42" t="s">
        <v>169</v>
      </c>
      <c r="N39" s="49"/>
      <c r="O39" s="49"/>
      <c r="P39" s="98" t="s">
        <v>213</v>
      </c>
      <c r="Q39" s="99" t="s">
        <v>216</v>
      </c>
      <c r="R39" s="99" t="s">
        <v>203</v>
      </c>
      <c r="S39" s="69"/>
      <c r="T39" s="101">
        <v>45912.0</v>
      </c>
      <c r="U39" s="102" t="s">
        <v>333</v>
      </c>
      <c r="V39" s="60"/>
      <c r="W39" s="84" t="s">
        <v>83</v>
      </c>
    </row>
    <row r="40">
      <c r="A40" s="33" t="s">
        <v>350</v>
      </c>
      <c r="B40" s="35" t="s">
        <v>217</v>
      </c>
      <c r="C40" s="35" t="str">
        <f>IF(B40="","",(VLOOKUP(B40,'Dados de PN'!$A:$B,2,0)))</f>
        <v>TRANSISTOR</v>
      </c>
      <c r="D40" s="35" t="s">
        <v>31</v>
      </c>
      <c r="E40" s="42" t="s">
        <v>32</v>
      </c>
      <c r="F40" s="42" t="s">
        <v>340</v>
      </c>
      <c r="G40" s="44">
        <f t="shared" si="2"/>
        <v>3</v>
      </c>
      <c r="H40" s="42" t="s">
        <v>351</v>
      </c>
      <c r="I40" s="43" t="s">
        <v>329</v>
      </c>
      <c r="J40" s="42" t="s">
        <v>37</v>
      </c>
      <c r="K40" s="46">
        <v>45856.0</v>
      </c>
      <c r="L40" s="35" t="s">
        <v>168</v>
      </c>
      <c r="M40" s="42" t="s">
        <v>169</v>
      </c>
      <c r="N40" s="49"/>
      <c r="O40" s="49"/>
      <c r="P40" s="98" t="s">
        <v>217</v>
      </c>
      <c r="Q40" s="99" t="s">
        <v>201</v>
      </c>
      <c r="R40" s="99" t="s">
        <v>203</v>
      </c>
      <c r="S40" s="69"/>
      <c r="T40" s="101">
        <v>45912.0</v>
      </c>
      <c r="U40" s="102" t="s">
        <v>333</v>
      </c>
      <c r="V40" s="60"/>
      <c r="W40" s="84" t="s">
        <v>83</v>
      </c>
    </row>
    <row r="41">
      <c r="A41" s="33" t="s">
        <v>354</v>
      </c>
      <c r="B41" s="35" t="s">
        <v>222</v>
      </c>
      <c r="C41" s="35" t="str">
        <f>IF(B41="","",(VLOOKUP(B41,'Dados de PN'!$A:$B,2,0)))</f>
        <v>CLIP,ELECTRICAL</v>
      </c>
      <c r="D41" s="35" t="s">
        <v>31</v>
      </c>
      <c r="E41" s="42" t="s">
        <v>32</v>
      </c>
      <c r="F41" s="42" t="s">
        <v>346</v>
      </c>
      <c r="G41" s="44">
        <f t="shared" si="2"/>
        <v>10</v>
      </c>
      <c r="H41" s="42" t="s">
        <v>357</v>
      </c>
      <c r="I41" s="43" t="s">
        <v>329</v>
      </c>
      <c r="J41" s="42" t="s">
        <v>37</v>
      </c>
      <c r="K41" s="46">
        <v>45866.0</v>
      </c>
      <c r="L41" s="35" t="s">
        <v>168</v>
      </c>
      <c r="M41" s="42" t="s">
        <v>169</v>
      </c>
      <c r="N41" s="49"/>
      <c r="O41" s="49"/>
      <c r="P41" s="98" t="s">
        <v>222</v>
      </c>
      <c r="Q41" s="99" t="s">
        <v>225</v>
      </c>
      <c r="R41" s="99" t="s">
        <v>226</v>
      </c>
      <c r="S41" s="69"/>
      <c r="T41" s="101">
        <v>45916.0</v>
      </c>
      <c r="U41" s="102" t="s">
        <v>359</v>
      </c>
      <c r="V41" s="60"/>
      <c r="W41" s="84" t="s">
        <v>83</v>
      </c>
    </row>
    <row r="42">
      <c r="A42" s="36" t="s">
        <v>361</v>
      </c>
      <c r="B42" s="37" t="s">
        <v>87</v>
      </c>
      <c r="C42" s="37" t="str">
        <f>IF(B42="","",(VLOOKUP(B42,'Dados de PN'!$A:$B,2,0)))</f>
        <v>INSULATOR</v>
      </c>
      <c r="D42" s="37" t="s">
        <v>31</v>
      </c>
      <c r="E42" s="41" t="s">
        <v>32</v>
      </c>
      <c r="F42" s="41" t="s">
        <v>164</v>
      </c>
      <c r="G42" s="44">
        <f t="shared" si="2"/>
        <v>2</v>
      </c>
      <c r="H42" s="41" t="s">
        <v>365</v>
      </c>
      <c r="I42" s="47" t="s">
        <v>329</v>
      </c>
      <c r="J42" s="41" t="s">
        <v>37</v>
      </c>
      <c r="K42" s="53">
        <v>45866.0</v>
      </c>
      <c r="L42" s="37" t="s">
        <v>168</v>
      </c>
      <c r="M42" s="41" t="s">
        <v>169</v>
      </c>
      <c r="N42" s="58"/>
      <c r="O42" s="58"/>
      <c r="P42" s="68"/>
      <c r="Q42" s="71"/>
      <c r="R42" s="68"/>
      <c r="S42" s="69"/>
      <c r="T42" s="69"/>
      <c r="U42" s="73"/>
      <c r="V42" s="76"/>
      <c r="W42" s="76"/>
      <c r="X42" s="4"/>
      <c r="Y42" s="4"/>
      <c r="Z42" s="4"/>
      <c r="AA42" s="4"/>
      <c r="AB42" s="4"/>
      <c r="AC42" s="4"/>
      <c r="AD42" s="4"/>
    </row>
    <row r="43">
      <c r="A43" s="33" t="s">
        <v>368</v>
      </c>
      <c r="B43" s="35" t="s">
        <v>217</v>
      </c>
      <c r="C43" s="35" t="str">
        <f>IF(B43="","",(VLOOKUP(B43,'Dados de PN'!$A:$B,2,0)))</f>
        <v>TRANSISTOR</v>
      </c>
      <c r="D43" s="35" t="s">
        <v>31</v>
      </c>
      <c r="E43" s="42" t="s">
        <v>32</v>
      </c>
      <c r="F43" s="42" t="s">
        <v>164</v>
      </c>
      <c r="G43" s="44">
        <f t="shared" si="2"/>
        <v>2</v>
      </c>
      <c r="H43" s="42" t="s">
        <v>371</v>
      </c>
      <c r="I43" s="43" t="s">
        <v>329</v>
      </c>
      <c r="J43" s="42" t="s">
        <v>37</v>
      </c>
      <c r="K43" s="46">
        <v>45866.0</v>
      </c>
      <c r="L43" s="35" t="s">
        <v>168</v>
      </c>
      <c r="M43" s="42" t="s">
        <v>169</v>
      </c>
      <c r="N43" s="49"/>
      <c r="O43" s="49"/>
      <c r="P43" s="98" t="s">
        <v>217</v>
      </c>
      <c r="Q43" s="99" t="s">
        <v>201</v>
      </c>
      <c r="R43" s="99" t="s">
        <v>203</v>
      </c>
      <c r="S43" s="69"/>
      <c r="T43" s="101">
        <v>45912.0</v>
      </c>
      <c r="U43" s="102" t="s">
        <v>373</v>
      </c>
      <c r="V43" s="60"/>
      <c r="W43" s="84" t="s">
        <v>83</v>
      </c>
    </row>
    <row r="44">
      <c r="A44" s="36" t="s">
        <v>375</v>
      </c>
      <c r="B44" s="37" t="s">
        <v>235</v>
      </c>
      <c r="C44" s="37" t="str">
        <f>IF(B44="","",(VLOOKUP(B44,'Dados de PN'!$A:$B,2,0)))</f>
        <v>CONTROL,DIRECTIONAL,AUTOMATIC PILOT</v>
      </c>
      <c r="D44" s="37" t="s">
        <v>376</v>
      </c>
      <c r="E44" s="41" t="s">
        <v>81</v>
      </c>
      <c r="F44" s="41" t="s">
        <v>34</v>
      </c>
      <c r="G44" s="44">
        <f t="shared" si="2"/>
        <v>1</v>
      </c>
      <c r="H44" s="41" t="s">
        <v>377</v>
      </c>
      <c r="I44" s="47" t="s">
        <v>329</v>
      </c>
      <c r="J44" s="41" t="s">
        <v>37</v>
      </c>
      <c r="K44" s="53">
        <v>45866.0</v>
      </c>
      <c r="L44" s="37" t="s">
        <v>168</v>
      </c>
      <c r="M44" s="41" t="s">
        <v>169</v>
      </c>
      <c r="N44" s="58"/>
      <c r="O44" s="58"/>
      <c r="P44" s="68"/>
      <c r="Q44" s="71"/>
      <c r="R44" s="68"/>
      <c r="S44" s="69"/>
      <c r="T44" s="69"/>
      <c r="U44" s="73"/>
      <c r="V44" s="76"/>
      <c r="W44" s="76"/>
      <c r="X44" s="4"/>
      <c r="Y44" s="4"/>
      <c r="Z44" s="4"/>
      <c r="AA44" s="4"/>
      <c r="AB44" s="4"/>
      <c r="AC44" s="4"/>
      <c r="AD44" s="4"/>
    </row>
    <row r="45">
      <c r="A45" s="33" t="s">
        <v>380</v>
      </c>
      <c r="B45" s="35" t="s">
        <v>238</v>
      </c>
      <c r="C45" s="35" t="str">
        <f>IF(B45="","",(VLOOKUP(B45,'Dados de PN'!$A:$B,2,0)))</f>
        <v>RECEPTOR</v>
      </c>
      <c r="D45" s="35" t="s">
        <v>381</v>
      </c>
      <c r="E45" s="42" t="s">
        <v>81</v>
      </c>
      <c r="F45" s="42" t="s">
        <v>34</v>
      </c>
      <c r="G45" s="44">
        <f t="shared" si="2"/>
        <v>1</v>
      </c>
      <c r="H45" s="42" t="s">
        <v>382</v>
      </c>
      <c r="I45" s="43" t="s">
        <v>329</v>
      </c>
      <c r="J45" s="42" t="s">
        <v>37</v>
      </c>
      <c r="K45" s="46">
        <v>45866.0</v>
      </c>
      <c r="L45" s="35" t="s">
        <v>168</v>
      </c>
      <c r="M45" s="42" t="s">
        <v>169</v>
      </c>
      <c r="N45" s="49"/>
      <c r="O45" s="49"/>
      <c r="P45" s="98" t="s">
        <v>243</v>
      </c>
      <c r="Q45" s="99" t="s">
        <v>244</v>
      </c>
      <c r="R45" s="99" t="s">
        <v>245</v>
      </c>
      <c r="S45" s="69"/>
      <c r="T45" s="101">
        <v>46002.0</v>
      </c>
      <c r="U45" s="108" t="s">
        <v>385</v>
      </c>
      <c r="V45" s="60"/>
      <c r="W45" s="84" t="s">
        <v>83</v>
      </c>
    </row>
    <row r="46">
      <c r="A46" s="36" t="s">
        <v>387</v>
      </c>
      <c r="B46" s="37" t="s">
        <v>247</v>
      </c>
      <c r="C46" s="37" t="str">
        <f>IF(B46="","",(VLOOKUP(B46,'Dados de PN'!$A:$B,2,0)))</f>
        <v>AFCS MODE CONTROLLER GMC 710</v>
      </c>
      <c r="D46" s="37" t="s">
        <v>389</v>
      </c>
      <c r="E46" s="41" t="s">
        <v>81</v>
      </c>
      <c r="F46" s="41" t="s">
        <v>34</v>
      </c>
      <c r="G46" s="44">
        <f t="shared" si="2"/>
        <v>1</v>
      </c>
      <c r="H46" s="41">
        <v>3.13250016954E11</v>
      </c>
      <c r="I46" s="47" t="s">
        <v>392</v>
      </c>
      <c r="J46" s="41" t="s">
        <v>37</v>
      </c>
      <c r="K46" s="53">
        <v>45882.0</v>
      </c>
      <c r="L46" s="37" t="s">
        <v>50</v>
      </c>
      <c r="M46" s="41" t="s">
        <v>51</v>
      </c>
      <c r="N46" s="58"/>
      <c r="O46" s="58"/>
      <c r="P46" s="68"/>
      <c r="Q46" s="71"/>
      <c r="R46" s="68"/>
      <c r="S46" s="69"/>
      <c r="T46" s="69"/>
      <c r="U46" s="73"/>
      <c r="V46" s="76"/>
      <c r="W46" s="76"/>
      <c r="X46" s="4"/>
      <c r="Y46" s="4"/>
      <c r="Z46" s="4"/>
      <c r="AA46" s="4"/>
      <c r="AB46" s="4"/>
      <c r="AC46" s="4"/>
      <c r="AD46" s="4"/>
    </row>
    <row r="47">
      <c r="A47" s="36" t="s">
        <v>393</v>
      </c>
      <c r="B47" s="37" t="s">
        <v>250</v>
      </c>
      <c r="C47" s="37" t="str">
        <f>IF(B47="","",(VLOOKUP(B47,'Dados de PN'!$A:$B,2,0)))</f>
        <v>POST LIGHT</v>
      </c>
      <c r="D47" s="37" t="s">
        <v>31</v>
      </c>
      <c r="E47" s="127" t="s">
        <v>32</v>
      </c>
      <c r="F47" s="41" t="s">
        <v>252</v>
      </c>
      <c r="G47" s="44">
        <f t="shared" si="2"/>
        <v>4</v>
      </c>
      <c r="H47" s="41">
        <v>1.5274927E7</v>
      </c>
      <c r="I47" s="47" t="s">
        <v>396</v>
      </c>
      <c r="J47" s="41" t="s">
        <v>37</v>
      </c>
      <c r="K47" s="53">
        <v>45882.0</v>
      </c>
      <c r="L47" s="37" t="s">
        <v>168</v>
      </c>
      <c r="M47" s="41" t="s">
        <v>169</v>
      </c>
      <c r="N47" s="58"/>
      <c r="O47" s="58"/>
      <c r="P47" s="68"/>
      <c r="Q47" s="71"/>
      <c r="R47" s="68"/>
      <c r="S47" s="69"/>
      <c r="T47" s="69"/>
      <c r="U47" s="73"/>
      <c r="V47" s="76"/>
      <c r="W47" s="76"/>
      <c r="X47" s="4"/>
      <c r="Y47" s="4"/>
      <c r="Z47" s="4"/>
      <c r="AA47" s="4"/>
      <c r="AB47" s="4"/>
      <c r="AC47" s="4"/>
      <c r="AD47" s="4"/>
    </row>
    <row r="48">
      <c r="A48" s="33" t="s">
        <v>399</v>
      </c>
      <c r="B48" s="35" t="s">
        <v>253</v>
      </c>
      <c r="C48" s="35" t="str">
        <f>IF(B48="","",(VLOOKUP(B48,'Dados de PN'!$A:$B,2,0)))</f>
        <v>TUBE 850X10</v>
      </c>
      <c r="D48" s="35" t="s">
        <v>31</v>
      </c>
      <c r="E48" s="42" t="s">
        <v>32</v>
      </c>
      <c r="F48" s="42" t="s">
        <v>164</v>
      </c>
      <c r="G48" s="44">
        <f t="shared" si="2"/>
        <v>2</v>
      </c>
      <c r="H48" s="42">
        <v>1.5329914E7</v>
      </c>
      <c r="I48" s="43" t="s">
        <v>402</v>
      </c>
      <c r="J48" s="42" t="s">
        <v>37</v>
      </c>
      <c r="K48" s="46">
        <v>45890.0</v>
      </c>
      <c r="L48" s="35" t="s">
        <v>403</v>
      </c>
      <c r="M48" s="42" t="s">
        <v>404</v>
      </c>
      <c r="N48" s="49"/>
      <c r="O48" s="49"/>
      <c r="P48" s="98" t="s">
        <v>257</v>
      </c>
      <c r="Q48" s="99" t="s">
        <v>130</v>
      </c>
      <c r="R48" s="99" t="s">
        <v>258</v>
      </c>
      <c r="S48" s="69"/>
      <c r="T48" s="101">
        <v>45944.0</v>
      </c>
      <c r="U48" s="102" t="s">
        <v>407</v>
      </c>
      <c r="V48" s="60"/>
      <c r="W48" s="84" t="s">
        <v>83</v>
      </c>
    </row>
    <row r="49">
      <c r="A49" s="36" t="s">
        <v>408</v>
      </c>
      <c r="B49" s="37" t="s">
        <v>260</v>
      </c>
      <c r="C49" s="37" t="str">
        <f>IF(B49="","",(VLOOKUP(B49,'Dados de PN'!$A:$B,2,0)))</f>
        <v>VALVE ASSY FUEL VENT</v>
      </c>
      <c r="D49" s="37" t="s">
        <v>31</v>
      </c>
      <c r="E49" s="41" t="s">
        <v>32</v>
      </c>
      <c r="F49" s="41" t="s">
        <v>34</v>
      </c>
      <c r="G49" s="44">
        <f t="shared" si="2"/>
        <v>1</v>
      </c>
      <c r="H49" s="41">
        <v>3.13250016991E11</v>
      </c>
      <c r="I49" s="47" t="s">
        <v>411</v>
      </c>
      <c r="J49" s="41" t="s">
        <v>37</v>
      </c>
      <c r="K49" s="53">
        <v>45903.0</v>
      </c>
      <c r="L49" s="37" t="s">
        <v>412</v>
      </c>
      <c r="M49" s="41" t="s">
        <v>51</v>
      </c>
      <c r="N49" s="58"/>
      <c r="O49" s="58"/>
      <c r="P49" s="68"/>
      <c r="Q49" s="71"/>
      <c r="R49" s="68"/>
      <c r="S49" s="69"/>
      <c r="T49" s="69"/>
      <c r="U49" s="73"/>
      <c r="V49" s="76"/>
      <c r="W49" s="76"/>
      <c r="X49" s="4"/>
      <c r="Y49" s="4"/>
      <c r="Z49" s="4"/>
      <c r="AA49" s="4"/>
      <c r="AB49" s="4"/>
      <c r="AC49" s="4"/>
      <c r="AD49" s="4"/>
    </row>
    <row r="50">
      <c r="A50" s="36" t="s">
        <v>413</v>
      </c>
      <c r="B50" s="37" t="s">
        <v>264</v>
      </c>
      <c r="C50" s="37" t="str">
        <f>IF(B50="","",(VLOOKUP(B50,'Dados de PN'!$A:$B,2,0)))</f>
        <v>TIE DOWM ASSY</v>
      </c>
      <c r="D50" s="37" t="s">
        <v>31</v>
      </c>
      <c r="E50" s="41" t="s">
        <v>32</v>
      </c>
      <c r="F50" s="41" t="s">
        <v>34</v>
      </c>
      <c r="G50" s="44">
        <f t="shared" si="2"/>
        <v>1</v>
      </c>
      <c r="H50" s="41">
        <v>1.5453227E7</v>
      </c>
      <c r="I50" s="47" t="s">
        <v>415</v>
      </c>
      <c r="J50" s="41" t="s">
        <v>37</v>
      </c>
      <c r="K50" s="53">
        <v>45904.0</v>
      </c>
      <c r="L50" s="37" t="s">
        <v>152</v>
      </c>
      <c r="M50" s="41" t="s">
        <v>61</v>
      </c>
      <c r="N50" s="58"/>
      <c r="O50" s="58"/>
      <c r="P50" s="68"/>
      <c r="Q50" s="71"/>
      <c r="R50" s="68"/>
      <c r="S50" s="69"/>
      <c r="T50" s="69"/>
      <c r="U50" s="73"/>
      <c r="V50" s="76"/>
      <c r="W50" s="76"/>
      <c r="X50" s="4"/>
      <c r="Y50" s="4"/>
      <c r="Z50" s="4"/>
      <c r="AA50" s="4"/>
      <c r="AB50" s="4"/>
      <c r="AC50" s="4"/>
      <c r="AD50" s="4"/>
    </row>
    <row r="51">
      <c r="A51" s="36" t="s">
        <v>417</v>
      </c>
      <c r="B51" s="37" t="s">
        <v>267</v>
      </c>
      <c r="C51" s="37" t="str">
        <f>IF(B51="","",(VLOOKUP(B51,'Dados de PN'!$A:$B,2,0)))</f>
        <v>TRUNNION ASSY GEAR LH</v>
      </c>
      <c r="D51" s="37" t="s">
        <v>270</v>
      </c>
      <c r="E51" s="41" t="s">
        <v>81</v>
      </c>
      <c r="F51" s="41" t="s">
        <v>34</v>
      </c>
      <c r="G51" s="44">
        <f t="shared" si="2"/>
        <v>1</v>
      </c>
      <c r="H51" s="41">
        <v>1.5576074E7</v>
      </c>
      <c r="I51" s="47" t="s">
        <v>418</v>
      </c>
      <c r="J51" s="41" t="s">
        <v>37</v>
      </c>
      <c r="K51" s="53">
        <v>45912.0</v>
      </c>
      <c r="L51" s="37" t="s">
        <v>183</v>
      </c>
      <c r="M51" s="41" t="s">
        <v>61</v>
      </c>
      <c r="N51" s="58"/>
      <c r="O51" s="58"/>
      <c r="P51" s="68"/>
      <c r="Q51" s="71"/>
      <c r="R51" s="68"/>
      <c r="S51" s="69"/>
      <c r="T51" s="69"/>
      <c r="U51" s="73"/>
      <c r="V51" s="76"/>
      <c r="W51" s="76"/>
      <c r="X51" s="4"/>
      <c r="Y51" s="4"/>
      <c r="Z51" s="4"/>
      <c r="AA51" s="4"/>
      <c r="AB51" s="4"/>
      <c r="AC51" s="4"/>
      <c r="AD51" s="4"/>
    </row>
    <row r="52">
      <c r="A52" s="36" t="s">
        <v>420</v>
      </c>
      <c r="B52" s="37" t="s">
        <v>275</v>
      </c>
      <c r="C52" s="37" t="str">
        <f>IF(B52="","",(VLOOKUP(B52,'Dados de PN'!$A:$B,2,0)))</f>
        <v>STATIC WICK</v>
      </c>
      <c r="D52" s="37" t="s">
        <v>31</v>
      </c>
      <c r="E52" s="41" t="s">
        <v>32</v>
      </c>
      <c r="F52" s="41" t="s">
        <v>346</v>
      </c>
      <c r="G52" s="44">
        <f t="shared" si="2"/>
        <v>10</v>
      </c>
      <c r="H52" s="41">
        <v>3.86250012764E11</v>
      </c>
      <c r="I52" s="47" t="s">
        <v>421</v>
      </c>
      <c r="J52" s="41" t="s">
        <v>37</v>
      </c>
      <c r="K52" s="53">
        <v>45925.0</v>
      </c>
      <c r="L52" s="37" t="s">
        <v>422</v>
      </c>
      <c r="M52" s="41" t="s">
        <v>423</v>
      </c>
      <c r="N52" s="58"/>
      <c r="O52" s="58"/>
      <c r="P52" s="68"/>
      <c r="Q52" s="71"/>
      <c r="R52" s="68"/>
      <c r="S52" s="69"/>
      <c r="T52" s="69"/>
      <c r="U52" s="102" t="s">
        <v>424</v>
      </c>
      <c r="V52" s="136"/>
      <c r="W52" s="76"/>
      <c r="X52" s="4"/>
      <c r="Y52" s="4"/>
      <c r="Z52" s="4"/>
      <c r="AA52" s="4"/>
      <c r="AB52" s="4"/>
      <c r="AC52" s="4"/>
      <c r="AD52" s="4"/>
    </row>
    <row r="53">
      <c r="A53" s="36" t="s">
        <v>425</v>
      </c>
      <c r="B53" s="37" t="s">
        <v>282</v>
      </c>
      <c r="C53" s="37" t="str">
        <f>IF(B53="","",(VLOOKUP(B53,'Dados de PN'!$A:$B,2,0)))</f>
        <v>SENSOR, FUEL LEVEL</v>
      </c>
      <c r="D53" s="37" t="s">
        <v>284</v>
      </c>
      <c r="E53" s="41" t="s">
        <v>32</v>
      </c>
      <c r="F53" s="41" t="s">
        <v>34</v>
      </c>
      <c r="G53" s="44">
        <f t="shared" si="2"/>
        <v>1</v>
      </c>
      <c r="H53" s="41">
        <v>3.1325001706E11</v>
      </c>
      <c r="I53" s="47" t="s">
        <v>427</v>
      </c>
      <c r="J53" s="41" t="s">
        <v>37</v>
      </c>
      <c r="K53" s="53">
        <v>45924.0</v>
      </c>
      <c r="L53" s="37" t="s">
        <v>412</v>
      </c>
      <c r="M53" s="41" t="s">
        <v>51</v>
      </c>
      <c r="N53" s="58"/>
      <c r="O53" s="58"/>
      <c r="P53" s="68"/>
      <c r="Q53" s="71"/>
      <c r="R53" s="68"/>
      <c r="S53" s="69"/>
      <c r="T53" s="69"/>
      <c r="U53" s="73"/>
      <c r="V53" s="76"/>
      <c r="W53" s="76"/>
      <c r="X53" s="4"/>
      <c r="Y53" s="4"/>
      <c r="Z53" s="4"/>
      <c r="AA53" s="4"/>
      <c r="AB53" s="4"/>
      <c r="AC53" s="4"/>
      <c r="AD53" s="4"/>
    </row>
    <row r="54">
      <c r="A54" s="36" t="s">
        <v>428</v>
      </c>
      <c r="B54" s="37" t="s">
        <v>288</v>
      </c>
      <c r="C54" s="37" t="str">
        <f>IF(B54="","",(VLOOKUP(B54,'Dados de PN'!$A:$B,2,0)))</f>
        <v>LOW L SWITCH</v>
      </c>
      <c r="D54" s="37" t="s">
        <v>31</v>
      </c>
      <c r="E54" s="41" t="s">
        <v>32</v>
      </c>
      <c r="F54" s="41" t="s">
        <v>34</v>
      </c>
      <c r="G54" s="44">
        <f t="shared" si="2"/>
        <v>1</v>
      </c>
      <c r="H54" s="41">
        <v>3.13250017063E11</v>
      </c>
      <c r="I54" s="47" t="s">
        <v>421</v>
      </c>
      <c r="J54" s="41" t="s">
        <v>37</v>
      </c>
      <c r="K54" s="53">
        <v>45930.0</v>
      </c>
      <c r="L54" s="37" t="s">
        <v>431</v>
      </c>
      <c r="M54" s="41" t="s">
        <v>51</v>
      </c>
      <c r="N54" s="58"/>
      <c r="O54" s="58"/>
      <c r="P54" s="68"/>
      <c r="Q54" s="71"/>
      <c r="R54" s="68"/>
      <c r="S54" s="69"/>
      <c r="T54" s="69"/>
      <c r="U54" s="73"/>
      <c r="V54" s="76"/>
      <c r="W54" s="76"/>
      <c r="X54" s="4"/>
      <c r="Y54" s="4"/>
      <c r="Z54" s="4"/>
      <c r="AA54" s="4"/>
      <c r="AB54" s="4"/>
      <c r="AC54" s="4"/>
      <c r="AD54" s="4"/>
    </row>
    <row r="55">
      <c r="A55" s="36" t="s">
        <v>433</v>
      </c>
      <c r="B55" s="37" t="s">
        <v>292</v>
      </c>
      <c r="C55" s="37" t="str">
        <f>IF(B55="","",(VLOOKUP(B55,'Dados de PN'!$A:$B,2,0)))</f>
        <v>CAP</v>
      </c>
      <c r="D55" s="37" t="s">
        <v>31</v>
      </c>
      <c r="E55" s="41" t="s">
        <v>32</v>
      </c>
      <c r="F55" s="41" t="s">
        <v>34</v>
      </c>
      <c r="G55" s="44">
        <f t="shared" si="2"/>
        <v>1</v>
      </c>
      <c r="H55" s="41">
        <v>6.85250009964E11</v>
      </c>
      <c r="I55" s="47" t="s">
        <v>434</v>
      </c>
      <c r="J55" s="41" t="s">
        <v>37</v>
      </c>
      <c r="K55" s="53">
        <v>45930.0</v>
      </c>
      <c r="L55" s="37" t="s">
        <v>183</v>
      </c>
      <c r="M55" s="41" t="s">
        <v>61</v>
      </c>
      <c r="N55" s="58"/>
      <c r="O55" s="58"/>
      <c r="P55" s="68"/>
      <c r="Q55" s="71"/>
      <c r="R55" s="68"/>
      <c r="S55" s="69"/>
      <c r="T55" s="69"/>
      <c r="U55" s="73"/>
      <c r="V55" s="76"/>
      <c r="W55" s="76"/>
      <c r="X55" s="4"/>
      <c r="Y55" s="4"/>
      <c r="Z55" s="4"/>
      <c r="AA55" s="4"/>
      <c r="AB55" s="4"/>
      <c r="AC55" s="4"/>
      <c r="AD55" s="4"/>
    </row>
    <row r="56">
      <c r="A56" s="36" t="s">
        <v>437</v>
      </c>
      <c r="B56" s="37" t="s">
        <v>297</v>
      </c>
      <c r="C56" s="37" t="str">
        <f>IF(B56="","",(VLOOKUP(B56,'Dados de PN'!$A:$B,2,0)))</f>
        <v>TRUNION ASSY-RH-MAIN GEAR</v>
      </c>
      <c r="D56" s="37" t="s">
        <v>440</v>
      </c>
      <c r="E56" s="41" t="s">
        <v>81</v>
      </c>
      <c r="F56" s="41" t="s">
        <v>34</v>
      </c>
      <c r="G56" s="44">
        <f t="shared" si="2"/>
        <v>1</v>
      </c>
      <c r="H56" s="41">
        <v>1.5737266E7</v>
      </c>
      <c r="I56" s="47" t="s">
        <v>443</v>
      </c>
      <c r="J56" s="41" t="s">
        <v>37</v>
      </c>
      <c r="K56" s="53">
        <v>45931.0</v>
      </c>
      <c r="L56" s="37" t="s">
        <v>60</v>
      </c>
      <c r="M56" s="41" t="s">
        <v>61</v>
      </c>
      <c r="N56" s="137">
        <v>2.02567113026298E14</v>
      </c>
      <c r="O56" s="137" t="s">
        <v>446</v>
      </c>
      <c r="P56" s="133"/>
      <c r="Q56" s="71"/>
      <c r="R56" s="68"/>
      <c r="S56" s="69"/>
      <c r="T56" s="69"/>
      <c r="U56" s="73"/>
      <c r="V56" s="76"/>
      <c r="W56" s="76"/>
      <c r="X56" s="4"/>
      <c r="Y56" s="4"/>
      <c r="Z56" s="4"/>
      <c r="AA56" s="4"/>
      <c r="AB56" s="4"/>
      <c r="AC56" s="4"/>
      <c r="AD56" s="4"/>
    </row>
    <row r="57">
      <c r="A57" s="36" t="s">
        <v>450</v>
      </c>
      <c r="B57" s="37" t="s">
        <v>301</v>
      </c>
      <c r="C57" s="37" t="str">
        <f>IF(B57="","",(VLOOKUP(B57,'Dados de PN'!$A:$B,2,0)))</f>
        <v>TRUNNION ASSY</v>
      </c>
      <c r="D57" s="37" t="s">
        <v>117</v>
      </c>
      <c r="E57" s="41" t="s">
        <v>81</v>
      </c>
      <c r="F57" s="41" t="s">
        <v>34</v>
      </c>
      <c r="G57" s="44">
        <f t="shared" si="2"/>
        <v>1</v>
      </c>
      <c r="H57" s="41">
        <v>1.5737271E7</v>
      </c>
      <c r="I57" s="47" t="s">
        <v>443</v>
      </c>
      <c r="J57" s="41" t="s">
        <v>37</v>
      </c>
      <c r="K57" s="53">
        <v>45931.0</v>
      </c>
      <c r="L57" s="37" t="s">
        <v>60</v>
      </c>
      <c r="M57" s="41" t="s">
        <v>61</v>
      </c>
      <c r="N57" s="137">
        <v>2.02567113026298E14</v>
      </c>
      <c r="O57" s="137" t="s">
        <v>446</v>
      </c>
      <c r="P57" s="68"/>
      <c r="Q57" s="71"/>
      <c r="R57" s="68"/>
      <c r="S57" s="69"/>
      <c r="T57" s="69"/>
      <c r="U57" s="102" t="s">
        <v>455</v>
      </c>
      <c r="V57" s="136"/>
      <c r="W57" s="76"/>
      <c r="X57" s="4"/>
      <c r="Y57" s="4"/>
      <c r="Z57" s="4"/>
      <c r="AA57" s="4"/>
      <c r="AB57" s="4"/>
      <c r="AC57" s="4"/>
      <c r="AD57" s="4"/>
    </row>
    <row r="58">
      <c r="A58" s="36" t="s">
        <v>456</v>
      </c>
      <c r="B58" s="37" t="s">
        <v>457</v>
      </c>
      <c r="C58" s="37" t="str">
        <f>IF(B58="","",(VLOOKUP(B58,'Dados de PN'!$A:$B,2,0)))</f>
        <v>WASHER,FLAT</v>
      </c>
      <c r="D58" s="37" t="s">
        <v>31</v>
      </c>
      <c r="E58" s="41" t="s">
        <v>32</v>
      </c>
      <c r="F58" s="41" t="s">
        <v>164</v>
      </c>
      <c r="G58" s="44">
        <f t="shared" si="2"/>
        <v>2</v>
      </c>
      <c r="H58" s="41">
        <v>1.5735958E7</v>
      </c>
      <c r="I58" s="47" t="s">
        <v>443</v>
      </c>
      <c r="J58" s="41" t="s">
        <v>37</v>
      </c>
      <c r="K58" s="53">
        <v>45931.0</v>
      </c>
      <c r="L58" s="37" t="s">
        <v>60</v>
      </c>
      <c r="M58" s="41" t="s">
        <v>61</v>
      </c>
      <c r="N58" s="137">
        <v>2.02567113026298E14</v>
      </c>
      <c r="O58" s="137" t="s">
        <v>446</v>
      </c>
      <c r="P58" s="68"/>
      <c r="Q58" s="71"/>
      <c r="R58" s="68"/>
      <c r="S58" s="69"/>
      <c r="T58" s="69"/>
      <c r="U58" s="73"/>
      <c r="V58" s="76"/>
      <c r="W58" s="76"/>
      <c r="X58" s="4"/>
      <c r="Y58" s="4"/>
      <c r="Z58" s="4"/>
      <c r="AA58" s="4"/>
      <c r="AB58" s="4"/>
      <c r="AC58" s="4"/>
      <c r="AD58" s="4"/>
    </row>
    <row r="59">
      <c r="A59" s="36" t="s">
        <v>462</v>
      </c>
      <c r="B59" s="37" t="s">
        <v>310</v>
      </c>
      <c r="C59" s="37" t="str">
        <f>IF(B59="","",(VLOOKUP(B59,'Dados de PN'!$A:$B,2,0)))</f>
        <v>HOSE ASSEMBLY,NONMETALLIC</v>
      </c>
      <c r="D59" s="37" t="s">
        <v>31</v>
      </c>
      <c r="E59" s="41" t="s">
        <v>32</v>
      </c>
      <c r="F59" s="41" t="s">
        <v>34</v>
      </c>
      <c r="G59" s="44">
        <f t="shared" si="2"/>
        <v>1</v>
      </c>
      <c r="H59" s="41">
        <v>1.5746456E7</v>
      </c>
      <c r="I59" s="47" t="s">
        <v>464</v>
      </c>
      <c r="J59" s="41" t="s">
        <v>37</v>
      </c>
      <c r="K59" s="53">
        <v>45931.0</v>
      </c>
      <c r="L59" s="37" t="s">
        <v>403</v>
      </c>
      <c r="M59" s="41" t="s">
        <v>61</v>
      </c>
      <c r="N59" s="137">
        <v>2.02567113026365E14</v>
      </c>
      <c r="O59" s="137" t="s">
        <v>465</v>
      </c>
      <c r="P59" s="68"/>
      <c r="Q59" s="71"/>
      <c r="R59" s="68"/>
      <c r="S59" s="69"/>
      <c r="T59" s="69"/>
      <c r="U59" s="73"/>
      <c r="V59" s="76"/>
      <c r="W59" s="76"/>
      <c r="X59" s="4"/>
      <c r="Y59" s="4"/>
      <c r="Z59" s="4"/>
      <c r="AA59" s="4"/>
      <c r="AB59" s="4"/>
      <c r="AC59" s="4"/>
      <c r="AD59" s="4"/>
    </row>
    <row r="60">
      <c r="A60" s="33" t="s">
        <v>468</v>
      </c>
      <c r="B60" s="35" t="s">
        <v>313</v>
      </c>
      <c r="C60" s="35" t="str">
        <f>IF(B60="","",(VLOOKUP(B60,'Dados de PN'!$A:$B,2,0)))</f>
        <v>AIRSPEED INDICATOR</v>
      </c>
      <c r="D60" s="35" t="s">
        <v>315</v>
      </c>
      <c r="E60" s="42" t="s">
        <v>81</v>
      </c>
      <c r="F60" s="42" t="s">
        <v>34</v>
      </c>
      <c r="G60" s="44">
        <f t="shared" si="2"/>
        <v>1</v>
      </c>
      <c r="H60" s="42">
        <v>1.5787463E7</v>
      </c>
      <c r="I60" s="43" t="s">
        <v>471</v>
      </c>
      <c r="J60" s="42" t="s">
        <v>37</v>
      </c>
      <c r="K60" s="46">
        <v>45937.0</v>
      </c>
      <c r="L60" s="35" t="s">
        <v>183</v>
      </c>
      <c r="M60" s="42" t="s">
        <v>61</v>
      </c>
      <c r="N60" s="49"/>
      <c r="O60" s="49"/>
      <c r="P60" s="98" t="s">
        <v>313</v>
      </c>
      <c r="Q60" s="99" t="s">
        <v>317</v>
      </c>
      <c r="R60" s="99" t="s">
        <v>318</v>
      </c>
      <c r="S60" s="69"/>
      <c r="T60" s="101">
        <v>45965.0</v>
      </c>
      <c r="U60" s="108" t="s">
        <v>472</v>
      </c>
      <c r="V60" s="60"/>
      <c r="W60" s="84" t="s">
        <v>83</v>
      </c>
    </row>
    <row r="61">
      <c r="A61" s="36" t="s">
        <v>474</v>
      </c>
      <c r="B61" s="37" t="s">
        <v>322</v>
      </c>
      <c r="C61" s="37" t="str">
        <f>IF(B61="","",(VLOOKUP(B61,'Dados de PN'!$A:$B,2,0)))</f>
        <v>SENSOR, FUEL LEVEL</v>
      </c>
      <c r="D61" s="37" t="s">
        <v>31</v>
      </c>
      <c r="E61" s="41" t="s">
        <v>32</v>
      </c>
      <c r="F61" s="41" t="s">
        <v>34</v>
      </c>
      <c r="G61" s="44">
        <f t="shared" si="2"/>
        <v>1</v>
      </c>
      <c r="H61" s="41">
        <v>3.13250017009E11</v>
      </c>
      <c r="I61" s="47" t="s">
        <v>476</v>
      </c>
      <c r="J61" s="41" t="s">
        <v>37</v>
      </c>
      <c r="K61" s="53">
        <v>45938.0</v>
      </c>
      <c r="L61" s="37" t="s">
        <v>412</v>
      </c>
      <c r="M61" s="41" t="s">
        <v>51</v>
      </c>
      <c r="N61" s="58"/>
      <c r="O61" s="58"/>
      <c r="P61" s="76"/>
      <c r="Q61" s="58"/>
      <c r="R61" s="76"/>
      <c r="S61" s="76"/>
      <c r="T61" s="76"/>
      <c r="U61" s="73"/>
      <c r="V61" s="76"/>
      <c r="W61" s="76"/>
      <c r="X61" s="4"/>
      <c r="Y61" s="4"/>
      <c r="Z61" s="4"/>
      <c r="AA61" s="4"/>
      <c r="AB61" s="4"/>
      <c r="AC61" s="4"/>
      <c r="AD61" s="4"/>
    </row>
    <row r="62">
      <c r="A62" s="36" t="s">
        <v>479</v>
      </c>
      <c r="B62" s="37" t="s">
        <v>325</v>
      </c>
      <c r="C62" s="37" t="str">
        <f>IF(B62="","",(VLOOKUP(B62,'Dados de PN'!$A:$B,2,0)))</f>
        <v>CABLE ASSY-RUDDER LEFT AFT</v>
      </c>
      <c r="D62" s="37" t="s">
        <v>31</v>
      </c>
      <c r="E62" s="41" t="s">
        <v>32</v>
      </c>
      <c r="F62" s="41" t="s">
        <v>34</v>
      </c>
      <c r="G62" s="44">
        <f t="shared" si="2"/>
        <v>1</v>
      </c>
      <c r="H62" s="41">
        <v>1.578152E7</v>
      </c>
      <c r="I62" s="47" t="s">
        <v>480</v>
      </c>
      <c r="J62" s="41" t="s">
        <v>37</v>
      </c>
      <c r="K62" s="53">
        <v>45939.0</v>
      </c>
      <c r="L62" s="37" t="s">
        <v>60</v>
      </c>
      <c r="M62" s="41" t="s">
        <v>61</v>
      </c>
      <c r="N62" s="58"/>
      <c r="O62" s="58"/>
      <c r="P62" s="76"/>
      <c r="Q62" s="58"/>
      <c r="R62" s="76"/>
      <c r="S62" s="76"/>
      <c r="T62" s="76"/>
      <c r="U62" s="73"/>
      <c r="V62" s="76"/>
      <c r="W62" s="76"/>
      <c r="X62" s="4"/>
      <c r="Y62" s="4"/>
      <c r="Z62" s="4"/>
      <c r="AA62" s="4"/>
      <c r="AB62" s="4"/>
      <c r="AC62" s="4"/>
      <c r="AD62" s="4"/>
    </row>
    <row r="63">
      <c r="A63" s="36" t="s">
        <v>483</v>
      </c>
      <c r="B63" s="37" t="s">
        <v>327</v>
      </c>
      <c r="C63" s="37" t="str">
        <f>IF(B63="","",(VLOOKUP(B63,'Dados de PN'!$A:$B,2,0)))</f>
        <v>SPACER</v>
      </c>
      <c r="D63" s="37" t="s">
        <v>31</v>
      </c>
      <c r="E63" s="41" t="s">
        <v>32</v>
      </c>
      <c r="F63" s="41" t="s">
        <v>164</v>
      </c>
      <c r="G63" s="44">
        <f t="shared" si="2"/>
        <v>2</v>
      </c>
      <c r="H63" s="41">
        <v>1.5781491E7</v>
      </c>
      <c r="I63" s="47" t="s">
        <v>480</v>
      </c>
      <c r="J63" s="41" t="s">
        <v>37</v>
      </c>
      <c r="K63" s="53">
        <v>45939.0</v>
      </c>
      <c r="L63" s="37" t="s">
        <v>60</v>
      </c>
      <c r="M63" s="41" t="s">
        <v>61</v>
      </c>
      <c r="N63" s="58"/>
      <c r="O63" s="58"/>
      <c r="P63" s="76"/>
      <c r="Q63" s="58"/>
      <c r="R63" s="76"/>
      <c r="S63" s="76"/>
      <c r="T63" s="76"/>
      <c r="U63" s="73"/>
      <c r="V63" s="76"/>
      <c r="W63" s="76"/>
      <c r="X63" s="4"/>
      <c r="Y63" s="4"/>
      <c r="Z63" s="4"/>
      <c r="AA63" s="4"/>
      <c r="AB63" s="4"/>
      <c r="AC63" s="4"/>
      <c r="AD63" s="4"/>
    </row>
    <row r="64">
      <c r="A64" s="36" t="s">
        <v>493</v>
      </c>
      <c r="B64" s="37" t="s">
        <v>327</v>
      </c>
      <c r="C64" s="37" t="str">
        <f>IF(B64="","",(VLOOKUP(B64,'Dados de PN'!$A:$B,2,0)))</f>
        <v>SPACER</v>
      </c>
      <c r="D64" s="37" t="s">
        <v>31</v>
      </c>
      <c r="E64" s="41" t="s">
        <v>32</v>
      </c>
      <c r="F64" s="41" t="s">
        <v>164</v>
      </c>
      <c r="G64" s="44">
        <f t="shared" si="2"/>
        <v>2</v>
      </c>
      <c r="H64" s="41">
        <v>1.5781465E7</v>
      </c>
      <c r="I64" s="47" t="s">
        <v>480</v>
      </c>
      <c r="J64" s="41" t="s">
        <v>37</v>
      </c>
      <c r="K64" s="53">
        <v>45939.0</v>
      </c>
      <c r="L64" s="37" t="s">
        <v>183</v>
      </c>
      <c r="M64" s="41" t="s">
        <v>61</v>
      </c>
      <c r="N64" s="58"/>
      <c r="O64" s="58"/>
      <c r="P64" s="76"/>
      <c r="Q64" s="58"/>
      <c r="R64" s="76"/>
      <c r="S64" s="76"/>
      <c r="T64" s="76"/>
      <c r="U64" s="73"/>
      <c r="V64" s="76"/>
      <c r="W64" s="76"/>
      <c r="X64" s="4"/>
      <c r="Y64" s="4"/>
      <c r="Z64" s="4"/>
      <c r="AA64" s="4"/>
      <c r="AB64" s="4"/>
      <c r="AC64" s="4"/>
      <c r="AD64" s="4"/>
    </row>
    <row r="65">
      <c r="A65" s="36" t="s">
        <v>502</v>
      </c>
      <c r="B65" s="37" t="s">
        <v>331</v>
      </c>
      <c r="C65" s="37" t="str">
        <f>IF(B65="","",(VLOOKUP(B65,'Dados de PN'!$A:$B,2,0)))</f>
        <v>PIN,LOCK</v>
      </c>
      <c r="D65" s="37" t="s">
        <v>31</v>
      </c>
      <c r="E65" s="41" t="s">
        <v>32</v>
      </c>
      <c r="F65" s="41" t="s">
        <v>196</v>
      </c>
      <c r="G65" s="44">
        <f t="shared" si="2"/>
        <v>8</v>
      </c>
      <c r="H65" s="41">
        <v>1.5815693E7</v>
      </c>
      <c r="I65" s="47" t="s">
        <v>505</v>
      </c>
      <c r="J65" s="41" t="s">
        <v>37</v>
      </c>
      <c r="K65" s="141">
        <v>45940.0</v>
      </c>
      <c r="L65" s="37" t="s">
        <v>60</v>
      </c>
      <c r="M65" s="41" t="s">
        <v>61</v>
      </c>
      <c r="N65" s="58"/>
      <c r="O65" s="58"/>
      <c r="P65" s="76"/>
      <c r="Q65" s="58"/>
      <c r="R65" s="76"/>
      <c r="S65" s="76"/>
      <c r="T65" s="76"/>
      <c r="U65" s="73"/>
      <c r="V65" s="76"/>
      <c r="W65" s="76"/>
      <c r="X65" s="4"/>
      <c r="Y65" s="4"/>
      <c r="Z65" s="4"/>
      <c r="AA65" s="4"/>
      <c r="AB65" s="4"/>
      <c r="AC65" s="4"/>
      <c r="AD65" s="4"/>
    </row>
    <row r="66">
      <c r="A66" s="36" t="s">
        <v>508</v>
      </c>
      <c r="B66" s="37" t="s">
        <v>335</v>
      </c>
      <c r="C66" s="37" t="str">
        <f>IF(B66="","",(VLOOKUP(B66,'Dados de PN'!$A:$B,2,0)))</f>
        <v>GROMMET</v>
      </c>
      <c r="D66" s="37" t="s">
        <v>31</v>
      </c>
      <c r="E66" s="41" t="s">
        <v>32</v>
      </c>
      <c r="F66" s="41" t="s">
        <v>513</v>
      </c>
      <c r="G66" s="44">
        <f t="shared" si="2"/>
        <v>40</v>
      </c>
      <c r="H66" s="127">
        <v>3.86250012806E11</v>
      </c>
      <c r="I66" s="47" t="s">
        <v>421</v>
      </c>
      <c r="J66" s="41" t="s">
        <v>37</v>
      </c>
      <c r="K66" s="141">
        <v>45943.0</v>
      </c>
      <c r="L66" s="37" t="s">
        <v>422</v>
      </c>
      <c r="M66" s="41" t="s">
        <v>423</v>
      </c>
      <c r="N66" s="58"/>
      <c r="O66" s="58"/>
      <c r="P66" s="76"/>
      <c r="Q66" s="58"/>
      <c r="R66" s="76"/>
      <c r="S66" s="76"/>
      <c r="T66" s="76"/>
      <c r="U66" s="102" t="s">
        <v>516</v>
      </c>
      <c r="V66" s="136"/>
      <c r="W66" s="76"/>
      <c r="X66" s="4"/>
      <c r="Y66" s="4"/>
      <c r="Z66" s="4"/>
      <c r="AA66" s="4"/>
      <c r="AB66" s="4"/>
      <c r="AC66" s="4"/>
      <c r="AD66" s="4"/>
    </row>
    <row r="67">
      <c r="A67" s="36" t="s">
        <v>517</v>
      </c>
      <c r="B67" s="37" t="s">
        <v>337</v>
      </c>
      <c r="C67" s="37" t="str">
        <f>IF(B67="","",(VLOOKUP(B67,'Dados de PN'!$A:$B,2,0)))</f>
        <v>IND DE COMANDO DE VOO</v>
      </c>
      <c r="D67" s="37" t="s">
        <v>31</v>
      </c>
      <c r="E67" s="41" t="s">
        <v>81</v>
      </c>
      <c r="F67" s="41" t="s">
        <v>34</v>
      </c>
      <c r="G67" s="44">
        <f t="shared" si="2"/>
        <v>1</v>
      </c>
      <c r="H67" s="41">
        <v>1.5832582E7</v>
      </c>
      <c r="I67" s="47" t="s">
        <v>520</v>
      </c>
      <c r="J67" s="41" t="s">
        <v>37</v>
      </c>
      <c r="K67" s="141">
        <v>45943.0</v>
      </c>
      <c r="L67" s="37" t="s">
        <v>232</v>
      </c>
      <c r="M67" s="41" t="s">
        <v>61</v>
      </c>
      <c r="N67" s="58"/>
      <c r="O67" s="58"/>
      <c r="P67" s="76"/>
      <c r="Q67" s="58"/>
      <c r="R67" s="76"/>
      <c r="S67" s="76"/>
      <c r="T67" s="76"/>
      <c r="U67" s="73"/>
      <c r="V67" s="76"/>
      <c r="W67" s="76"/>
      <c r="X67" s="4"/>
      <c r="Y67" s="4"/>
      <c r="Z67" s="4"/>
      <c r="AA67" s="4"/>
      <c r="AB67" s="4"/>
      <c r="AC67" s="4"/>
      <c r="AD67" s="4"/>
    </row>
    <row r="68">
      <c r="A68" s="36" t="s">
        <v>523</v>
      </c>
      <c r="B68" s="37" t="s">
        <v>341</v>
      </c>
      <c r="C68" s="37" t="str">
        <f>IF(B68="","",(VLOOKUP(B68,'Dados de PN'!$A:$B,2,0)))</f>
        <v>CONNECTOR,PLUG,ELECTRICAL</v>
      </c>
      <c r="D68" s="37" t="s">
        <v>31</v>
      </c>
      <c r="E68" s="41" t="s">
        <v>32</v>
      </c>
      <c r="F68" s="41" t="s">
        <v>164</v>
      </c>
      <c r="G68" s="44">
        <f t="shared" si="2"/>
        <v>2</v>
      </c>
      <c r="H68" s="41">
        <v>1.5820993E7</v>
      </c>
      <c r="I68" s="47" t="s">
        <v>531</v>
      </c>
      <c r="J68" s="41" t="s">
        <v>37</v>
      </c>
      <c r="K68" s="141">
        <v>45943.0</v>
      </c>
      <c r="L68" s="37" t="s">
        <v>168</v>
      </c>
      <c r="M68" s="41" t="s">
        <v>169</v>
      </c>
      <c r="N68" s="58"/>
      <c r="O68" s="58"/>
      <c r="P68" s="76"/>
      <c r="Q68" s="58"/>
      <c r="R68" s="76"/>
      <c r="S68" s="76"/>
      <c r="T68" s="76"/>
      <c r="U68" s="73"/>
      <c r="V68" s="76"/>
      <c r="W68" s="76"/>
      <c r="X68" s="4"/>
      <c r="Y68" s="4"/>
      <c r="Z68" s="4"/>
      <c r="AA68" s="4"/>
      <c r="AB68" s="4"/>
      <c r="AC68" s="4"/>
      <c r="AD68" s="4"/>
    </row>
    <row r="69">
      <c r="A69" s="36" t="s">
        <v>536</v>
      </c>
      <c r="B69" s="37" t="s">
        <v>344</v>
      </c>
      <c r="C69" s="37" t="str">
        <f>IF(B69="","",(VLOOKUP(B69,'Dados de PN'!$A:$B,2,0)))</f>
        <v>CILINDRO DE FREIO</v>
      </c>
      <c r="D69" s="37" t="s">
        <v>537</v>
      </c>
      <c r="E69" s="41" t="s">
        <v>54</v>
      </c>
      <c r="F69" s="41" t="s">
        <v>34</v>
      </c>
      <c r="G69" s="44">
        <f t="shared" si="2"/>
        <v>1</v>
      </c>
      <c r="H69" s="41">
        <v>1.5983589E7</v>
      </c>
      <c r="I69" s="47" t="s">
        <v>538</v>
      </c>
      <c r="J69" s="41" t="s">
        <v>37</v>
      </c>
      <c r="K69" s="141">
        <v>45961.0</v>
      </c>
      <c r="L69" s="37" t="s">
        <v>133</v>
      </c>
      <c r="M69" s="41" t="s">
        <v>539</v>
      </c>
      <c r="N69" s="137">
        <v>2.02567113029541E14</v>
      </c>
      <c r="O69" s="137" t="s">
        <v>540</v>
      </c>
      <c r="P69" s="76"/>
      <c r="Q69" s="58"/>
      <c r="R69" s="76"/>
      <c r="S69" s="76"/>
      <c r="T69" s="147">
        <v>46176.0</v>
      </c>
      <c r="U69" s="102" t="s">
        <v>730</v>
      </c>
      <c r="V69" s="136" t="s">
        <v>731</v>
      </c>
      <c r="W69" s="84" t="s">
        <v>83</v>
      </c>
      <c r="X69" s="4"/>
      <c r="Y69" s="4"/>
      <c r="Z69" s="4"/>
      <c r="AA69" s="4"/>
      <c r="AB69" s="4"/>
      <c r="AC69" s="4"/>
      <c r="AD69" s="4"/>
    </row>
    <row r="70">
      <c r="A70" s="36" t="s">
        <v>541</v>
      </c>
      <c r="B70" s="37" t="s">
        <v>348</v>
      </c>
      <c r="C70" s="37" t="str">
        <f>IF(B70="","",(VLOOKUP(B70,'Dados de PN'!$A:$B,2,0)))</f>
        <v>CONNECTOR,RECEPTACLE,ELECTRICAL</v>
      </c>
      <c r="D70" s="37" t="s">
        <v>31</v>
      </c>
      <c r="E70" s="41" t="s">
        <v>32</v>
      </c>
      <c r="F70" s="41" t="s">
        <v>164</v>
      </c>
      <c r="G70" s="44">
        <f t="shared" si="2"/>
        <v>2</v>
      </c>
      <c r="H70" s="41">
        <v>1.5996602E7</v>
      </c>
      <c r="I70" s="47" t="s">
        <v>542</v>
      </c>
      <c r="J70" s="41" t="s">
        <v>256</v>
      </c>
      <c r="K70" s="53">
        <v>45965.0</v>
      </c>
      <c r="L70" s="37" t="s">
        <v>543</v>
      </c>
      <c r="M70" s="41" t="s">
        <v>544</v>
      </c>
      <c r="N70" s="58"/>
      <c r="O70" s="58"/>
      <c r="P70" s="76"/>
      <c r="Q70" s="58"/>
      <c r="R70" s="76"/>
      <c r="S70" s="76"/>
      <c r="T70" s="76"/>
      <c r="U70" s="73"/>
      <c r="V70" s="76"/>
      <c r="W70" s="76"/>
      <c r="X70" s="4"/>
      <c r="Y70" s="4"/>
      <c r="Z70" s="4"/>
      <c r="AA70" s="4"/>
      <c r="AB70" s="4"/>
      <c r="AC70" s="4"/>
      <c r="AD70" s="4"/>
    </row>
    <row r="71">
      <c r="A71" s="36" t="s">
        <v>546</v>
      </c>
      <c r="B71" s="37" t="s">
        <v>352</v>
      </c>
      <c r="C71" s="37" t="str">
        <f>IF(B71="","",(VLOOKUP(B71,'Dados de PN'!$A:$B,2,0)))</f>
        <v>CIRCUIT BREAKE</v>
      </c>
      <c r="D71" s="37" t="s">
        <v>31</v>
      </c>
      <c r="E71" s="41" t="s">
        <v>32</v>
      </c>
      <c r="F71" s="41" t="s">
        <v>34</v>
      </c>
      <c r="G71" s="44">
        <f t="shared" si="2"/>
        <v>1</v>
      </c>
      <c r="H71" s="41">
        <v>6.90250002091E11</v>
      </c>
      <c r="I71" s="47" t="s">
        <v>550</v>
      </c>
      <c r="J71" s="41" t="s">
        <v>37</v>
      </c>
      <c r="K71" s="53">
        <v>45965.0</v>
      </c>
      <c r="L71" s="37" t="s">
        <v>543</v>
      </c>
      <c r="M71" s="41" t="s">
        <v>544</v>
      </c>
      <c r="N71" s="58"/>
      <c r="O71" s="58"/>
      <c r="P71" s="76"/>
      <c r="Q71" s="58"/>
      <c r="R71" s="76"/>
      <c r="S71" s="76"/>
      <c r="T71" s="76"/>
      <c r="U71" s="73"/>
      <c r="V71" s="76"/>
      <c r="W71" s="76"/>
      <c r="X71" s="4"/>
      <c r="Y71" s="4"/>
      <c r="Z71" s="4"/>
      <c r="AA71" s="4"/>
      <c r="AB71" s="4"/>
      <c r="AC71" s="4"/>
      <c r="AD71" s="4"/>
    </row>
    <row r="72">
      <c r="A72" s="36" t="s">
        <v>551</v>
      </c>
      <c r="B72" s="37" t="s">
        <v>355</v>
      </c>
      <c r="C72" s="37" t="str">
        <f>IF(B72="","",(VLOOKUP(B72,'Dados de PN'!$A:$B,2,0)))</f>
        <v>HORIZ. GYRO-STADBY</v>
      </c>
      <c r="D72" s="37" t="s">
        <v>31</v>
      </c>
      <c r="E72" s="41" t="s">
        <v>81</v>
      </c>
      <c r="F72" s="41" t="s">
        <v>34</v>
      </c>
      <c r="G72" s="44">
        <f t="shared" si="2"/>
        <v>1</v>
      </c>
      <c r="H72" s="41">
        <v>3.86250012861E11</v>
      </c>
      <c r="I72" s="47" t="s">
        <v>550</v>
      </c>
      <c r="J72" s="41" t="s">
        <v>37</v>
      </c>
      <c r="K72" s="53">
        <v>45965.0</v>
      </c>
      <c r="L72" s="37" t="s">
        <v>422</v>
      </c>
      <c r="M72" s="41" t="s">
        <v>423</v>
      </c>
      <c r="N72" s="58"/>
      <c r="O72" s="58"/>
      <c r="P72" s="76"/>
      <c r="Q72" s="58"/>
      <c r="R72" s="76"/>
      <c r="S72" s="76"/>
      <c r="T72" s="76"/>
      <c r="U72" s="73"/>
      <c r="V72" s="76"/>
      <c r="W72" s="76"/>
      <c r="X72" s="4"/>
      <c r="Y72" s="4"/>
      <c r="Z72" s="4"/>
      <c r="AA72" s="4"/>
      <c r="AB72" s="4"/>
      <c r="AC72" s="4"/>
      <c r="AD72" s="4"/>
    </row>
    <row r="73">
      <c r="A73" s="36" t="s">
        <v>556</v>
      </c>
      <c r="B73" s="37" t="s">
        <v>358</v>
      </c>
      <c r="C73" s="37" t="str">
        <f>IF(B73="","",(VLOOKUP(B73,'Dados de PN'!$A:$B,2,0)))</f>
        <v>LOCKNUT,TUBE FITTING</v>
      </c>
      <c r="D73" s="37" t="s">
        <v>31</v>
      </c>
      <c r="E73" s="41" t="s">
        <v>32</v>
      </c>
      <c r="F73" s="41" t="s">
        <v>164</v>
      </c>
      <c r="G73" s="44">
        <f t="shared" si="2"/>
        <v>2</v>
      </c>
      <c r="H73" s="41">
        <v>1.6026728E7</v>
      </c>
      <c r="I73" s="47" t="s">
        <v>557</v>
      </c>
      <c r="J73" s="41" t="s">
        <v>37</v>
      </c>
      <c r="K73" s="53">
        <v>45967.0</v>
      </c>
      <c r="L73" s="37" t="s">
        <v>168</v>
      </c>
      <c r="M73" s="41" t="s">
        <v>169</v>
      </c>
      <c r="N73" s="58"/>
      <c r="O73" s="58"/>
      <c r="P73" s="76"/>
      <c r="Q73" s="58"/>
      <c r="R73" s="76"/>
      <c r="S73" s="76"/>
      <c r="T73" s="76"/>
      <c r="U73" s="73"/>
      <c r="V73" s="76"/>
      <c r="W73" s="76"/>
      <c r="X73" s="4"/>
      <c r="Y73" s="4"/>
      <c r="Z73" s="4"/>
      <c r="AA73" s="4"/>
      <c r="AB73" s="4"/>
      <c r="AC73" s="4"/>
      <c r="AD73" s="4"/>
    </row>
    <row r="74">
      <c r="A74" s="36" t="s">
        <v>559</v>
      </c>
      <c r="B74" s="37" t="s">
        <v>362</v>
      </c>
      <c r="C74" s="37" t="str">
        <f>IF(B74="","",(VLOOKUP(B74,'Dados de PN'!$A:$B,2,0)))</f>
        <v>NUT,SELF-LOCKING,SLOTTED,HEXAGON</v>
      </c>
      <c r="D74" s="37" t="s">
        <v>31</v>
      </c>
      <c r="E74" s="41" t="s">
        <v>32</v>
      </c>
      <c r="F74" s="41" t="s">
        <v>164</v>
      </c>
      <c r="G74" s="44">
        <f t="shared" si="2"/>
        <v>2</v>
      </c>
      <c r="H74" s="41">
        <v>6.85250010171E11</v>
      </c>
      <c r="I74" s="47" t="s">
        <v>560</v>
      </c>
      <c r="J74" s="41" t="s">
        <v>37</v>
      </c>
      <c r="K74" s="53">
        <v>45967.0</v>
      </c>
      <c r="L74" s="37" t="s">
        <v>183</v>
      </c>
      <c r="M74" s="41" t="s">
        <v>61</v>
      </c>
      <c r="N74" s="58"/>
      <c r="O74" s="58"/>
      <c r="P74" s="76"/>
      <c r="Q74" s="58"/>
      <c r="R74" s="76"/>
      <c r="S74" s="76"/>
      <c r="T74" s="76"/>
      <c r="U74" s="73"/>
      <c r="V74" s="76"/>
      <c r="W74" s="76"/>
      <c r="X74" s="4"/>
      <c r="Y74" s="4"/>
      <c r="Z74" s="4"/>
      <c r="AA74" s="4"/>
      <c r="AB74" s="4"/>
      <c r="AC74" s="4"/>
      <c r="AD74" s="4"/>
    </row>
    <row r="75">
      <c r="A75" s="36" t="s">
        <v>562</v>
      </c>
      <c r="B75" s="37" t="s">
        <v>364</v>
      </c>
      <c r="C75" s="37" t="str">
        <f>IF(B75="","",(VLOOKUP(B75,'Dados de PN'!$A:$B,2,0)))</f>
        <v>NUT,SELF-LOCKING,SLOTTED,HEXAGON</v>
      </c>
      <c r="D75" s="37" t="s">
        <v>31</v>
      </c>
      <c r="E75" s="41" t="s">
        <v>32</v>
      </c>
      <c r="F75" s="41" t="s">
        <v>164</v>
      </c>
      <c r="G75" s="44">
        <f t="shared" si="2"/>
        <v>2</v>
      </c>
      <c r="H75" s="41">
        <v>1.6016631E7</v>
      </c>
      <c r="I75" s="47" t="s">
        <v>560</v>
      </c>
      <c r="J75" s="41" t="s">
        <v>37</v>
      </c>
      <c r="K75" s="53">
        <v>45967.0</v>
      </c>
      <c r="L75" s="37" t="s">
        <v>183</v>
      </c>
      <c r="M75" s="41" t="s">
        <v>61</v>
      </c>
      <c r="N75" s="58"/>
      <c r="O75" s="58"/>
      <c r="P75" s="76"/>
      <c r="Q75" s="58"/>
      <c r="R75" s="76"/>
      <c r="S75" s="76"/>
      <c r="T75" s="76"/>
      <c r="U75" s="73"/>
      <c r="V75" s="76"/>
      <c r="W75" s="76"/>
      <c r="X75" s="4"/>
      <c r="Y75" s="4"/>
      <c r="Z75" s="4"/>
      <c r="AA75" s="4"/>
      <c r="AB75" s="4"/>
      <c r="AC75" s="4"/>
      <c r="AD75" s="4"/>
    </row>
    <row r="76">
      <c r="A76" s="36" t="s">
        <v>565</v>
      </c>
      <c r="B76" s="37" t="s">
        <v>366</v>
      </c>
      <c r="C76" s="37" t="str">
        <f>IF(B76="","",(VLOOKUP(B76,'Dados de PN'!$A:$B,2,0)))</f>
        <v>SWITCH-ELEC TR</v>
      </c>
      <c r="D76" s="37" t="s">
        <v>31</v>
      </c>
      <c r="E76" s="41" t="s">
        <v>32</v>
      </c>
      <c r="F76" s="41" t="s">
        <v>164</v>
      </c>
      <c r="G76" s="44">
        <f t="shared" si="2"/>
        <v>2</v>
      </c>
      <c r="H76" s="41">
        <v>3.13250017133E11</v>
      </c>
      <c r="I76" s="47" t="s">
        <v>571</v>
      </c>
      <c r="J76" s="41" t="s">
        <v>37</v>
      </c>
      <c r="K76" s="53">
        <v>45967.0</v>
      </c>
      <c r="L76" s="37" t="s">
        <v>431</v>
      </c>
      <c r="M76" s="41" t="s">
        <v>51</v>
      </c>
      <c r="N76" s="58"/>
      <c r="O76" s="58"/>
      <c r="P76" s="76"/>
      <c r="Q76" s="58"/>
      <c r="R76" s="76"/>
      <c r="S76" s="76"/>
      <c r="T76" s="76"/>
      <c r="U76" s="73"/>
      <c r="V76" s="76"/>
      <c r="W76" s="76"/>
      <c r="X76" s="4"/>
      <c r="Y76" s="4"/>
      <c r="Z76" s="4"/>
      <c r="AA76" s="4"/>
      <c r="AB76" s="4"/>
      <c r="AC76" s="4"/>
      <c r="AD76" s="4"/>
    </row>
    <row r="77">
      <c r="A77" s="36" t="s">
        <v>574</v>
      </c>
      <c r="B77" s="37" t="s">
        <v>369</v>
      </c>
      <c r="C77" s="37" t="str">
        <f>IF(B77="","",(VLOOKUP(B77,'Dados de PN'!$A:$B,2,0)))</f>
        <v>WHEEL HALF ASSY</v>
      </c>
      <c r="D77" s="37" t="s">
        <v>31</v>
      </c>
      <c r="E77" s="41" t="s">
        <v>81</v>
      </c>
      <c r="F77" s="41" t="s">
        <v>34</v>
      </c>
      <c r="G77" s="44">
        <f t="shared" si="2"/>
        <v>1</v>
      </c>
      <c r="H77" s="37" t="s">
        <v>576</v>
      </c>
      <c r="I77" s="47" t="s">
        <v>577</v>
      </c>
      <c r="J77" s="41" t="s">
        <v>37</v>
      </c>
      <c r="K77" s="53">
        <v>45968.0</v>
      </c>
      <c r="L77" s="37" t="s">
        <v>372</v>
      </c>
      <c r="M77" s="41" t="s">
        <v>61</v>
      </c>
      <c r="N77" s="58"/>
      <c r="O77" s="58"/>
      <c r="P77" s="76"/>
      <c r="Q77" s="58"/>
      <c r="R77" s="76"/>
      <c r="S77" s="76"/>
      <c r="T77" s="76"/>
      <c r="U77" s="73"/>
      <c r="V77" s="76"/>
      <c r="W77" s="76"/>
      <c r="X77" s="4"/>
      <c r="Y77" s="4"/>
      <c r="Z77" s="4"/>
      <c r="AA77" s="4"/>
      <c r="AB77" s="4"/>
      <c r="AC77" s="4"/>
      <c r="AD77" s="4"/>
    </row>
    <row r="78">
      <c r="A78" s="36" t="s">
        <v>578</v>
      </c>
      <c r="B78" s="37" t="s">
        <v>374</v>
      </c>
      <c r="C78" s="37" t="str">
        <f>IF(B78="","",(VLOOKUP(B78,'Dados de PN'!$A:$B,2,0)))</f>
        <v>WHEEL HALF ASSY</v>
      </c>
      <c r="D78" s="37" t="s">
        <v>31</v>
      </c>
      <c r="E78" s="41" t="s">
        <v>81</v>
      </c>
      <c r="F78" s="41" t="s">
        <v>340</v>
      </c>
      <c r="G78" s="44">
        <f t="shared" si="2"/>
        <v>3</v>
      </c>
      <c r="H78" s="37" t="s">
        <v>581</v>
      </c>
      <c r="I78" s="47" t="s">
        <v>577</v>
      </c>
      <c r="J78" s="41" t="s">
        <v>37</v>
      </c>
      <c r="K78" s="53">
        <v>45968.0</v>
      </c>
      <c r="L78" s="37" t="s">
        <v>372</v>
      </c>
      <c r="M78" s="41" t="s">
        <v>61</v>
      </c>
      <c r="N78" s="58"/>
      <c r="O78" s="58"/>
      <c r="P78" s="76"/>
      <c r="Q78" s="58"/>
      <c r="R78" s="76"/>
      <c r="S78" s="76"/>
      <c r="T78" s="76"/>
      <c r="U78" s="73"/>
      <c r="V78" s="76"/>
      <c r="W78" s="76"/>
      <c r="X78" s="4"/>
      <c r="Y78" s="4"/>
      <c r="Z78" s="4"/>
      <c r="AA78" s="4"/>
      <c r="AB78" s="4"/>
      <c r="AC78" s="4"/>
      <c r="AD78" s="4"/>
    </row>
    <row r="79">
      <c r="A79" s="36" t="s">
        <v>583</v>
      </c>
      <c r="B79" s="37" t="s">
        <v>378</v>
      </c>
      <c r="C79" s="37" t="str">
        <f>IF(B79="","",(VLOOKUP(B79,'Dados de PN'!$A:$B,2,0)))</f>
        <v>WHEEL HALF ASSY</v>
      </c>
      <c r="D79" s="37" t="s">
        <v>31</v>
      </c>
      <c r="E79" s="41" t="s">
        <v>81</v>
      </c>
      <c r="F79" s="41" t="s">
        <v>34</v>
      </c>
      <c r="G79" s="44">
        <f t="shared" si="2"/>
        <v>1</v>
      </c>
      <c r="H79" s="37" t="s">
        <v>584</v>
      </c>
      <c r="I79" s="47" t="s">
        <v>577</v>
      </c>
      <c r="J79" s="41" t="s">
        <v>37</v>
      </c>
      <c r="K79" s="53">
        <v>45968.0</v>
      </c>
      <c r="L79" s="37" t="s">
        <v>372</v>
      </c>
      <c r="M79" s="41" t="s">
        <v>61</v>
      </c>
      <c r="N79" s="58"/>
      <c r="O79" s="58"/>
      <c r="P79" s="76"/>
      <c r="Q79" s="58"/>
      <c r="R79" s="76"/>
      <c r="S79" s="76"/>
      <c r="T79" s="76"/>
      <c r="U79" s="73"/>
      <c r="V79" s="76"/>
      <c r="W79" s="76"/>
      <c r="X79" s="4"/>
      <c r="Y79" s="4"/>
      <c r="Z79" s="4"/>
      <c r="AA79" s="4"/>
      <c r="AB79" s="4"/>
      <c r="AC79" s="4"/>
      <c r="AD79" s="4"/>
    </row>
    <row r="80">
      <c r="A80" s="36" t="s">
        <v>589</v>
      </c>
      <c r="B80" s="37" t="s">
        <v>379</v>
      </c>
      <c r="C80" s="37" t="str">
        <f>IF(B80="","",(VLOOKUP(B80,'Dados de PN'!$A:$B,2,0)))</f>
        <v>WHEEL HALF ASSY</v>
      </c>
      <c r="D80" s="37" t="s">
        <v>31</v>
      </c>
      <c r="E80" s="41" t="s">
        <v>81</v>
      </c>
      <c r="F80" s="41" t="s">
        <v>34</v>
      </c>
      <c r="G80" s="44">
        <f t="shared" si="2"/>
        <v>1</v>
      </c>
      <c r="H80" s="37" t="s">
        <v>591</v>
      </c>
      <c r="I80" s="47" t="s">
        <v>577</v>
      </c>
      <c r="J80" s="41" t="s">
        <v>37</v>
      </c>
      <c r="K80" s="53">
        <v>45968.0</v>
      </c>
      <c r="L80" s="37" t="s">
        <v>372</v>
      </c>
      <c r="M80" s="41" t="s">
        <v>61</v>
      </c>
      <c r="N80" s="58"/>
      <c r="O80" s="58"/>
      <c r="P80" s="76"/>
      <c r="Q80" s="58"/>
      <c r="R80" s="76"/>
      <c r="S80" s="76"/>
      <c r="T80" s="76"/>
      <c r="U80" s="73"/>
      <c r="V80" s="76"/>
      <c r="W80" s="76"/>
      <c r="X80" s="4"/>
      <c r="Y80" s="4"/>
      <c r="Z80" s="4"/>
      <c r="AA80" s="4"/>
      <c r="AB80" s="4"/>
      <c r="AC80" s="4"/>
      <c r="AD80" s="4"/>
    </row>
    <row r="81">
      <c r="A81" s="36" t="s">
        <v>593</v>
      </c>
      <c r="B81" s="37" t="s">
        <v>383</v>
      </c>
      <c r="C81" s="37" t="str">
        <f>IF(B81="","",(VLOOKUP(B81,'Dados de PN'!$A:$B,2,0)))</f>
        <v>ANTENNA KIT-DME/TRANSPONDER FOR USE WITH A CARGO POD.</v>
      </c>
      <c r="D81" s="37" t="s">
        <v>31</v>
      </c>
      <c r="E81" s="41" t="s">
        <v>32</v>
      </c>
      <c r="F81" s="41" t="s">
        <v>34</v>
      </c>
      <c r="G81" s="44">
        <f t="shared" si="2"/>
        <v>1</v>
      </c>
      <c r="H81" s="37" t="s">
        <v>594</v>
      </c>
      <c r="I81" s="47" t="s">
        <v>577</v>
      </c>
      <c r="J81" s="41" t="s">
        <v>37</v>
      </c>
      <c r="K81" s="53">
        <v>45968.0</v>
      </c>
      <c r="L81" s="37" t="s">
        <v>372</v>
      </c>
      <c r="M81" s="41" t="s">
        <v>61</v>
      </c>
      <c r="N81" s="58"/>
      <c r="O81" s="58"/>
      <c r="P81" s="76"/>
      <c r="Q81" s="58"/>
      <c r="R81" s="76"/>
      <c r="S81" s="76"/>
      <c r="T81" s="76"/>
      <c r="U81" s="73"/>
      <c r="V81" s="76"/>
      <c r="W81" s="76"/>
      <c r="X81" s="4"/>
      <c r="Y81" s="4"/>
      <c r="Z81" s="4"/>
      <c r="AA81" s="4"/>
      <c r="AB81" s="4"/>
      <c r="AC81" s="4"/>
      <c r="AD81" s="4"/>
    </row>
    <row r="82">
      <c r="A82" s="36" t="s">
        <v>598</v>
      </c>
      <c r="B82" s="37" t="s">
        <v>386</v>
      </c>
      <c r="C82" s="37" t="str">
        <f>IF(B82="","",(VLOOKUP(B82,'Dados de PN'!$A:$B,2,0)))</f>
        <v>VALVE OIL DRAI</v>
      </c>
      <c r="D82" s="37" t="s">
        <v>31</v>
      </c>
      <c r="E82" s="41" t="s">
        <v>32</v>
      </c>
      <c r="F82" s="41" t="s">
        <v>34</v>
      </c>
      <c r="G82" s="44">
        <f t="shared" si="2"/>
        <v>1</v>
      </c>
      <c r="H82" s="41">
        <v>1.605536E7</v>
      </c>
      <c r="I82" s="47" t="s">
        <v>600</v>
      </c>
      <c r="J82" s="41" t="s">
        <v>37</v>
      </c>
      <c r="K82" s="141">
        <v>45973.0</v>
      </c>
      <c r="L82" s="37" t="s">
        <v>604</v>
      </c>
      <c r="M82" s="41" t="s">
        <v>51</v>
      </c>
      <c r="N82" s="58"/>
      <c r="O82" s="58"/>
      <c r="P82" s="76"/>
      <c r="Q82" s="58"/>
      <c r="R82" s="76"/>
      <c r="S82" s="76"/>
      <c r="T82" s="76"/>
      <c r="U82" s="73"/>
      <c r="V82" s="76"/>
      <c r="W82" s="76"/>
      <c r="X82" s="4"/>
      <c r="Y82" s="4"/>
      <c r="Z82" s="4"/>
      <c r="AA82" s="4"/>
      <c r="AB82" s="4"/>
      <c r="AC82" s="4"/>
      <c r="AD82" s="4"/>
    </row>
    <row r="83">
      <c r="A83" s="36" t="s">
        <v>605</v>
      </c>
      <c r="B83" s="37" t="s">
        <v>390</v>
      </c>
      <c r="C83" s="37" t="str">
        <f>IF(B83="","",(VLOOKUP(B83,'Dados de PN'!$A:$B,2,0)))</f>
        <v>SCREW,MACHINE</v>
      </c>
      <c r="D83" s="37" t="s">
        <v>31</v>
      </c>
      <c r="E83" s="41" t="s">
        <v>32</v>
      </c>
      <c r="F83" s="41" t="s">
        <v>34</v>
      </c>
      <c r="G83" s="44">
        <f t="shared" si="2"/>
        <v>1</v>
      </c>
      <c r="H83" s="41">
        <v>1.6075059E7</v>
      </c>
      <c r="I83" s="47" t="s">
        <v>611</v>
      </c>
      <c r="J83" s="41" t="s">
        <v>37</v>
      </c>
      <c r="K83" s="141">
        <v>45974.0</v>
      </c>
      <c r="L83" s="37" t="s">
        <v>612</v>
      </c>
      <c r="M83" s="41" t="s">
        <v>549</v>
      </c>
      <c r="N83" s="58"/>
      <c r="O83" s="58"/>
      <c r="P83" s="76"/>
      <c r="Q83" s="58"/>
      <c r="R83" s="76"/>
      <c r="S83" s="76"/>
      <c r="T83" s="76"/>
      <c r="U83" s="73"/>
      <c r="V83" s="76"/>
      <c r="W83" s="76"/>
      <c r="X83" s="4"/>
      <c r="Y83" s="4"/>
      <c r="Z83" s="4"/>
      <c r="AA83" s="4"/>
      <c r="AB83" s="4"/>
      <c r="AC83" s="4"/>
      <c r="AD83" s="4"/>
    </row>
    <row r="84">
      <c r="A84" s="36" t="s">
        <v>613</v>
      </c>
      <c r="B84" s="37" t="s">
        <v>394</v>
      </c>
      <c r="C84" s="37" t="str">
        <f>IF(B84="","",(VLOOKUP(B84,'Dados de PN'!$A:$B,2,0)))</f>
        <v>SCREW</v>
      </c>
      <c r="D84" s="37" t="s">
        <v>31</v>
      </c>
      <c r="E84" s="41" t="s">
        <v>32</v>
      </c>
      <c r="F84" s="41" t="s">
        <v>346</v>
      </c>
      <c r="G84" s="44">
        <f t="shared" si="2"/>
        <v>10</v>
      </c>
      <c r="H84" s="41">
        <v>1.6026082E7</v>
      </c>
      <c r="I84" s="47" t="s">
        <v>614</v>
      </c>
      <c r="J84" s="41" t="s">
        <v>37</v>
      </c>
      <c r="K84" s="141">
        <v>45975.0</v>
      </c>
      <c r="L84" s="37" t="s">
        <v>152</v>
      </c>
      <c r="M84" s="41" t="s">
        <v>61</v>
      </c>
      <c r="N84" s="58"/>
      <c r="O84" s="58"/>
      <c r="P84" s="76"/>
      <c r="Q84" s="58"/>
      <c r="R84" s="76"/>
      <c r="S84" s="76"/>
      <c r="T84" s="76"/>
      <c r="U84" s="73"/>
      <c r="V84" s="76"/>
      <c r="W84" s="76"/>
      <c r="X84" s="4"/>
      <c r="Y84" s="4"/>
      <c r="Z84" s="4"/>
      <c r="AA84" s="4"/>
      <c r="AB84" s="4"/>
      <c r="AC84" s="4"/>
      <c r="AD84" s="4"/>
    </row>
    <row r="85">
      <c r="A85" s="36" t="s">
        <v>617</v>
      </c>
      <c r="B85" s="37" t="s">
        <v>397</v>
      </c>
      <c r="C85" s="37" t="str">
        <f>IF(B85="","",(VLOOKUP(B85,'Dados de PN'!$A:$B,2,0)))</f>
        <v>SCREW MACHINE</v>
      </c>
      <c r="D85" s="37" t="s">
        <v>31</v>
      </c>
      <c r="E85" s="41" t="s">
        <v>32</v>
      </c>
      <c r="F85" s="41" t="s">
        <v>124</v>
      </c>
      <c r="G85" s="44">
        <f t="shared" si="2"/>
        <v>50</v>
      </c>
      <c r="H85" s="41">
        <v>1.6089349E7</v>
      </c>
      <c r="I85" s="47" t="s">
        <v>614</v>
      </c>
      <c r="J85" s="41" t="s">
        <v>37</v>
      </c>
      <c r="K85" s="141">
        <v>45975.0</v>
      </c>
      <c r="L85" s="37" t="s">
        <v>152</v>
      </c>
      <c r="M85" s="41" t="s">
        <v>61</v>
      </c>
      <c r="N85" s="58"/>
      <c r="O85" s="58"/>
      <c r="P85" s="76"/>
      <c r="Q85" s="58"/>
      <c r="R85" s="76"/>
      <c r="S85" s="76"/>
      <c r="T85" s="76"/>
      <c r="U85" s="73"/>
      <c r="V85" s="76"/>
      <c r="W85" s="76"/>
      <c r="X85" s="4"/>
      <c r="Y85" s="4"/>
      <c r="Z85" s="4"/>
      <c r="AA85" s="4"/>
      <c r="AB85" s="4"/>
      <c r="AC85" s="4"/>
      <c r="AD85" s="4"/>
    </row>
    <row r="86">
      <c r="A86" s="36" t="s">
        <v>622</v>
      </c>
      <c r="B86" s="37" t="s">
        <v>400</v>
      </c>
      <c r="C86" s="37" t="str">
        <f>IF(B86="","",(VLOOKUP(B86,'Dados de PN'!$A:$B,2,0)))</f>
        <v>SLAVING ACCESS,SPEC</v>
      </c>
      <c r="D86" s="37" t="s">
        <v>624</v>
      </c>
      <c r="E86" s="41" t="s">
        <v>81</v>
      </c>
      <c r="F86" s="41" t="s">
        <v>34</v>
      </c>
      <c r="G86" s="44">
        <f t="shared" si="2"/>
        <v>1</v>
      </c>
      <c r="H86" s="41">
        <v>1.6134646E7</v>
      </c>
      <c r="I86" s="47" t="s">
        <v>625</v>
      </c>
      <c r="J86" s="41" t="s">
        <v>37</v>
      </c>
      <c r="K86" s="141">
        <v>45982.0</v>
      </c>
      <c r="L86" s="37" t="s">
        <v>403</v>
      </c>
      <c r="M86" s="41" t="s">
        <v>404</v>
      </c>
      <c r="N86" s="58"/>
      <c r="O86" s="58"/>
      <c r="P86" s="76"/>
      <c r="Q86" s="58"/>
      <c r="R86" s="76"/>
      <c r="S86" s="76"/>
      <c r="T86" s="76"/>
      <c r="U86" s="73"/>
      <c r="V86" s="76"/>
      <c r="W86" s="76"/>
      <c r="X86" s="4"/>
      <c r="Y86" s="4"/>
      <c r="Z86" s="4"/>
      <c r="AA86" s="4"/>
      <c r="AB86" s="4"/>
      <c r="AC86" s="4"/>
      <c r="AD86" s="4"/>
    </row>
    <row r="87">
      <c r="A87" s="36" t="s">
        <v>628</v>
      </c>
      <c r="B87" s="37" t="s">
        <v>405</v>
      </c>
      <c r="C87" s="37" t="str">
        <f>IF(B87="","",(VLOOKUP(B87,'Dados de PN'!$A:$B,2,0)))</f>
        <v>CONTROL INDICATOR</v>
      </c>
      <c r="D87" s="37" t="s">
        <v>636</v>
      </c>
      <c r="E87" s="41" t="s">
        <v>81</v>
      </c>
      <c r="F87" s="41" t="s">
        <v>34</v>
      </c>
      <c r="G87" s="44">
        <f t="shared" si="2"/>
        <v>1</v>
      </c>
      <c r="H87" s="41">
        <v>1.6134346E7</v>
      </c>
      <c r="I87" s="47" t="s">
        <v>625</v>
      </c>
      <c r="J87" s="41" t="s">
        <v>37</v>
      </c>
      <c r="K87" s="141">
        <v>45982.0</v>
      </c>
      <c r="L87" s="37" t="s">
        <v>403</v>
      </c>
      <c r="M87" s="41" t="s">
        <v>404</v>
      </c>
      <c r="N87" s="58"/>
      <c r="O87" s="58"/>
      <c r="P87" s="76"/>
      <c r="Q87" s="58"/>
      <c r="R87" s="76"/>
      <c r="S87" s="76"/>
      <c r="T87" s="76"/>
      <c r="U87" s="73"/>
      <c r="V87" s="76"/>
      <c r="W87" s="76"/>
      <c r="X87" s="4"/>
      <c r="Y87" s="4"/>
      <c r="Z87" s="4"/>
      <c r="AA87" s="4"/>
      <c r="AB87" s="4"/>
      <c r="AC87" s="4"/>
      <c r="AD87" s="4"/>
    </row>
    <row r="88">
      <c r="A88" s="36" t="s">
        <v>640</v>
      </c>
      <c r="B88" s="37" t="s">
        <v>409</v>
      </c>
      <c r="C88" s="37" t="str">
        <f>IF(B88="","",(VLOOKUP(B88,'Dados de PN'!$A:$B,2,0)))</f>
        <v>AIRSPEED INDICATOR</v>
      </c>
      <c r="D88" s="37" t="s">
        <v>410</v>
      </c>
      <c r="E88" s="41" t="s">
        <v>81</v>
      </c>
      <c r="F88" s="41" t="s">
        <v>34</v>
      </c>
      <c r="G88" s="44">
        <f t="shared" si="2"/>
        <v>1</v>
      </c>
      <c r="H88" s="41">
        <v>1.6146341E7</v>
      </c>
      <c r="I88" s="47" t="s">
        <v>644</v>
      </c>
      <c r="J88" s="41" t="s">
        <v>37</v>
      </c>
      <c r="K88" s="141">
        <v>45985.0</v>
      </c>
      <c r="L88" s="37" t="s">
        <v>168</v>
      </c>
      <c r="M88" s="41" t="s">
        <v>169</v>
      </c>
      <c r="N88" s="58"/>
      <c r="O88" s="58"/>
      <c r="P88" s="76"/>
      <c r="Q88" s="58"/>
      <c r="R88" s="76"/>
      <c r="S88" s="76"/>
      <c r="T88" s="76"/>
      <c r="U88" s="73"/>
      <c r="V88" s="76"/>
      <c r="W88" s="76"/>
      <c r="X88" s="4"/>
      <c r="Y88" s="4"/>
      <c r="Z88" s="4"/>
      <c r="AA88" s="4"/>
      <c r="AB88" s="4"/>
      <c r="AC88" s="4"/>
      <c r="AD88" s="4"/>
    </row>
    <row r="89">
      <c r="A89" s="36" t="s">
        <v>649</v>
      </c>
      <c r="B89" s="37" t="s">
        <v>172</v>
      </c>
      <c r="C89" s="37" t="str">
        <f>IF(B89="","",(VLOOKUP(B89,'Dados de PN'!$A:$B,2,0)))</f>
        <v>SENSOR, FUEL LEVEL SHORT</v>
      </c>
      <c r="D89" s="37" t="s">
        <v>414</v>
      </c>
      <c r="E89" s="41" t="s">
        <v>32</v>
      </c>
      <c r="F89" s="41" t="s">
        <v>34</v>
      </c>
      <c r="G89" s="44">
        <f t="shared" si="2"/>
        <v>1</v>
      </c>
      <c r="H89" s="41">
        <v>3.96250015798E11</v>
      </c>
      <c r="I89" s="47" t="s">
        <v>653</v>
      </c>
      <c r="J89" s="41" t="s">
        <v>37</v>
      </c>
      <c r="K89" s="141">
        <v>45985.0</v>
      </c>
      <c r="L89" s="37" t="s">
        <v>304</v>
      </c>
      <c r="M89" s="41" t="s">
        <v>76</v>
      </c>
      <c r="N89" s="58"/>
      <c r="O89" s="58"/>
      <c r="P89" s="76"/>
      <c r="Q89" s="58"/>
      <c r="R89" s="76"/>
      <c r="S89" s="76"/>
      <c r="T89" s="76"/>
      <c r="U89" s="73"/>
      <c r="V89" s="76"/>
      <c r="W89" s="76"/>
      <c r="X89" s="4"/>
      <c r="Y89" s="4"/>
      <c r="Z89" s="4"/>
      <c r="AA89" s="4"/>
      <c r="AB89" s="4"/>
      <c r="AC89" s="4"/>
      <c r="AD89" s="4"/>
    </row>
    <row r="90">
      <c r="A90" s="36" t="s">
        <v>656</v>
      </c>
      <c r="B90" s="37" t="s">
        <v>400</v>
      </c>
      <c r="C90" s="37" t="str">
        <f>IF(B90="","",(VLOOKUP(B90,'Dados de PN'!$A:$B,2,0)))</f>
        <v>SLAVING ACCESS,SPEC</v>
      </c>
      <c r="D90" s="37" t="s">
        <v>657</v>
      </c>
      <c r="E90" s="41" t="s">
        <v>81</v>
      </c>
      <c r="F90" s="41" t="s">
        <v>34</v>
      </c>
      <c r="G90" s="44">
        <f t="shared" si="2"/>
        <v>1</v>
      </c>
      <c r="H90" s="41">
        <v>1.615863E7</v>
      </c>
      <c r="I90" s="47" t="s">
        <v>644</v>
      </c>
      <c r="J90" s="41" t="s">
        <v>37</v>
      </c>
      <c r="K90" s="141">
        <v>45986.0</v>
      </c>
      <c r="L90" s="37" t="s">
        <v>168</v>
      </c>
      <c r="M90" s="41" t="s">
        <v>169</v>
      </c>
      <c r="N90" s="58"/>
      <c r="O90" s="58"/>
      <c r="P90" s="76"/>
      <c r="Q90" s="58"/>
      <c r="R90" s="76"/>
      <c r="S90" s="76"/>
      <c r="T90" s="76"/>
      <c r="U90" s="73"/>
      <c r="V90" s="76"/>
      <c r="W90" s="76"/>
      <c r="X90" s="4"/>
      <c r="Y90" s="4"/>
      <c r="Z90" s="4"/>
      <c r="AA90" s="4"/>
      <c r="AB90" s="4"/>
      <c r="AC90" s="4"/>
      <c r="AD90" s="4"/>
    </row>
    <row r="91">
      <c r="A91" s="36" t="s">
        <v>662</v>
      </c>
      <c r="B91" s="155" t="s">
        <v>664</v>
      </c>
      <c r="C91" s="37" t="str">
        <f>IF(B91="","",(VLOOKUP(B91,'Dados de PN'!$A:$B,2,0)))</f>
        <v>CONTROL SERVO</v>
      </c>
      <c r="D91" s="156"/>
      <c r="E91" s="136" t="s">
        <v>81</v>
      </c>
      <c r="F91" s="41" t="s">
        <v>34</v>
      </c>
      <c r="G91" s="44">
        <f t="shared" si="2"/>
        <v>1</v>
      </c>
      <c r="H91" s="41">
        <v>6.85250010243E11</v>
      </c>
      <c r="I91" s="137" t="s">
        <v>677</v>
      </c>
      <c r="J91" s="136" t="s">
        <v>37</v>
      </c>
      <c r="K91" s="141">
        <v>45992.0</v>
      </c>
      <c r="L91" s="155" t="s">
        <v>152</v>
      </c>
      <c r="M91" s="136" t="s">
        <v>61</v>
      </c>
      <c r="N91" s="58"/>
      <c r="O91" s="58"/>
      <c r="P91" s="76"/>
      <c r="Q91" s="58"/>
      <c r="R91" s="76"/>
      <c r="S91" s="76"/>
      <c r="T91" s="76"/>
      <c r="U91" s="102"/>
      <c r="V91" s="76"/>
      <c r="W91" s="76"/>
      <c r="X91" s="4"/>
      <c r="Y91" s="4"/>
      <c r="Z91" s="4"/>
      <c r="AA91" s="4"/>
      <c r="AB91" s="4"/>
      <c r="AC91" s="4"/>
      <c r="AD91" s="4"/>
    </row>
    <row r="92">
      <c r="A92" s="36" t="s">
        <v>679</v>
      </c>
      <c r="B92" s="155" t="s">
        <v>491</v>
      </c>
      <c r="C92" s="37" t="str">
        <f>IF(B92="","",(VLOOKUP(B92,'Dados de PN'!$A:$B,2,0)))</f>
        <v>RECEIVER TRANSMITTER</v>
      </c>
      <c r="D92" s="156"/>
      <c r="E92" s="136" t="s">
        <v>81</v>
      </c>
      <c r="F92" s="41" t="s">
        <v>34</v>
      </c>
      <c r="G92" s="44">
        <f t="shared" si="2"/>
        <v>1</v>
      </c>
      <c r="H92" s="41">
        <v>6.90250002095E11</v>
      </c>
      <c r="I92" s="137" t="s">
        <v>677</v>
      </c>
      <c r="J92" s="136" t="s">
        <v>37</v>
      </c>
      <c r="K92" s="141">
        <v>45992.0</v>
      </c>
      <c r="L92" s="155" t="s">
        <v>543</v>
      </c>
      <c r="M92" s="136" t="s">
        <v>544</v>
      </c>
      <c r="N92" s="58"/>
      <c r="O92" s="58"/>
      <c r="P92" s="76"/>
      <c r="Q92" s="58"/>
      <c r="R92" s="76"/>
      <c r="S92" s="76"/>
      <c r="T92" s="76"/>
      <c r="U92" s="102"/>
      <c r="V92" s="76"/>
      <c r="W92" s="76"/>
      <c r="X92" s="4"/>
      <c r="Y92" s="4"/>
      <c r="Z92" s="4"/>
      <c r="AA92" s="4"/>
      <c r="AB92" s="4"/>
      <c r="AC92" s="4"/>
      <c r="AD92" s="4"/>
    </row>
    <row r="93">
      <c r="A93" s="33" t="s">
        <v>688</v>
      </c>
      <c r="B93" s="139" t="s">
        <v>429</v>
      </c>
      <c r="C93" s="35" t="str">
        <f>IF(B93="","",(VLOOKUP(B93,'Dados de PN'!$A:$B,2,0)))</f>
        <v>IND RDR 200 IN</v>
      </c>
      <c r="D93" s="139" t="s">
        <v>691</v>
      </c>
      <c r="E93" s="83" t="s">
        <v>81</v>
      </c>
      <c r="F93" s="42" t="s">
        <v>34</v>
      </c>
      <c r="G93" s="44">
        <f t="shared" si="2"/>
        <v>1</v>
      </c>
      <c r="H93" s="42">
        <v>1.6243997E7</v>
      </c>
      <c r="I93" s="43" t="s">
        <v>695</v>
      </c>
      <c r="J93" s="42" t="s">
        <v>37</v>
      </c>
      <c r="K93" s="134">
        <v>45996.0</v>
      </c>
      <c r="L93" s="139" t="s">
        <v>168</v>
      </c>
      <c r="M93" s="83" t="s">
        <v>169</v>
      </c>
      <c r="N93" s="49"/>
      <c r="O93" s="132" t="s">
        <v>696</v>
      </c>
      <c r="P93" s="158" t="s">
        <v>429</v>
      </c>
      <c r="Q93" s="143" t="s">
        <v>432</v>
      </c>
      <c r="R93" s="143" t="s">
        <v>220</v>
      </c>
      <c r="S93" s="144"/>
      <c r="T93" s="145">
        <v>45979.0</v>
      </c>
      <c r="U93" s="108" t="s">
        <v>702</v>
      </c>
      <c r="V93" s="60"/>
      <c r="W93" s="84" t="s">
        <v>83</v>
      </c>
    </row>
    <row r="94">
      <c r="A94" s="36" t="s">
        <v>704</v>
      </c>
      <c r="B94" s="155" t="s">
        <v>435</v>
      </c>
      <c r="C94" s="37" t="str">
        <f>IF(B94="","",(VLOOKUP(B94,'Dados de PN'!$A:$B,2,0)))</f>
        <v>AIR COMPRESSOR</v>
      </c>
      <c r="D94" s="155" t="s">
        <v>706</v>
      </c>
      <c r="E94" s="136" t="s">
        <v>81</v>
      </c>
      <c r="F94" s="41" t="s">
        <v>34</v>
      </c>
      <c r="G94" s="44">
        <f t="shared" si="2"/>
        <v>1</v>
      </c>
      <c r="H94" s="41">
        <v>1.6275401E7</v>
      </c>
      <c r="I94" s="137" t="s">
        <v>707</v>
      </c>
      <c r="J94" s="41" t="s">
        <v>37</v>
      </c>
      <c r="K94" s="141">
        <v>46002.0</v>
      </c>
      <c r="L94" s="155" t="s">
        <v>612</v>
      </c>
      <c r="M94" s="136" t="s">
        <v>549</v>
      </c>
      <c r="N94" s="58"/>
      <c r="O94" s="58"/>
      <c r="P94" s="160"/>
      <c r="Q94" s="161"/>
      <c r="R94" s="160"/>
      <c r="S94" s="162"/>
      <c r="T94" s="162"/>
      <c r="U94" s="73"/>
      <c r="V94" s="76"/>
      <c r="W94" s="76"/>
      <c r="X94" s="4"/>
      <c r="Y94" s="4"/>
      <c r="Z94" s="4"/>
      <c r="AA94" s="4"/>
      <c r="AB94" s="4"/>
      <c r="AC94" s="4"/>
      <c r="AD94" s="4"/>
    </row>
    <row r="95">
      <c r="A95" s="36" t="s">
        <v>711</v>
      </c>
      <c r="B95" s="155" t="s">
        <v>438</v>
      </c>
      <c r="C95" s="37" t="str">
        <f>IF(B95="","",(VLOOKUP(B95,'Dados de PN'!$A:$B,2,0)))</f>
        <v>BOLT, MACHINE</v>
      </c>
      <c r="D95" s="4"/>
      <c r="E95" s="136" t="s">
        <v>32</v>
      </c>
      <c r="F95" s="136" t="s">
        <v>34</v>
      </c>
      <c r="G95" s="44">
        <f t="shared" si="2"/>
        <v>1</v>
      </c>
      <c r="H95" s="41">
        <v>3.86250012959E11</v>
      </c>
      <c r="I95" s="137" t="s">
        <v>715</v>
      </c>
      <c r="J95" s="41" t="s">
        <v>37</v>
      </c>
      <c r="K95" s="141">
        <v>46007.0</v>
      </c>
      <c r="L95" s="155" t="s">
        <v>422</v>
      </c>
      <c r="M95" s="136" t="s">
        <v>423</v>
      </c>
      <c r="N95" s="58"/>
      <c r="O95" s="58"/>
      <c r="P95" s="160"/>
      <c r="Q95" s="161"/>
      <c r="R95" s="160"/>
      <c r="S95" s="162"/>
      <c r="T95" s="162"/>
      <c r="U95" s="73"/>
      <c r="V95" s="76"/>
      <c r="W95" s="76"/>
      <c r="X95" s="4"/>
      <c r="Y95" s="4"/>
      <c r="Z95" s="4"/>
      <c r="AA95" s="4"/>
      <c r="AB95" s="4"/>
      <c r="AC95" s="4"/>
      <c r="AD95" s="4"/>
    </row>
    <row r="96">
      <c r="A96" s="36" t="s">
        <v>719</v>
      </c>
      <c r="B96" s="155" t="s">
        <v>441</v>
      </c>
      <c r="C96" s="37" t="str">
        <f>IF(B96="","",(VLOOKUP(B96,'Dados de PN'!$A:$B,2,0)))</f>
        <v>SPRING ASSY GAS</v>
      </c>
      <c r="D96" s="155" t="s">
        <v>31</v>
      </c>
      <c r="E96" s="136" t="s">
        <v>32</v>
      </c>
      <c r="F96" s="41" t="s">
        <v>34</v>
      </c>
      <c r="G96" s="44">
        <f t="shared" si="2"/>
        <v>1</v>
      </c>
      <c r="H96" s="41">
        <v>3.86250012963E11</v>
      </c>
      <c r="I96" s="137" t="s">
        <v>723</v>
      </c>
      <c r="J96" s="41" t="s">
        <v>37</v>
      </c>
      <c r="K96" s="141">
        <v>46007.0</v>
      </c>
      <c r="L96" s="155" t="s">
        <v>422</v>
      </c>
      <c r="M96" s="136" t="s">
        <v>423</v>
      </c>
      <c r="N96" s="58"/>
      <c r="O96" s="58"/>
      <c r="P96" s="160"/>
      <c r="Q96" s="161"/>
      <c r="R96" s="160"/>
      <c r="S96" s="162"/>
      <c r="T96" s="162"/>
      <c r="U96" s="73"/>
      <c r="V96" s="76"/>
      <c r="W96" s="76"/>
      <c r="X96" s="4"/>
      <c r="Y96" s="4"/>
      <c r="Z96" s="4"/>
      <c r="AA96" s="4"/>
      <c r="AB96" s="4"/>
      <c r="AC96" s="4"/>
      <c r="AD96" s="4"/>
    </row>
    <row r="97">
      <c r="A97" s="36" t="s">
        <v>724</v>
      </c>
      <c r="B97" s="155" t="s">
        <v>444</v>
      </c>
      <c r="C97" s="37" t="str">
        <f>IF(B97="","",(VLOOKUP(B97,'Dados de PN'!$A:$B,2,0)))</f>
        <v>HDG KNOB</v>
      </c>
      <c r="D97" s="155" t="s">
        <v>31</v>
      </c>
      <c r="E97" s="136" t="s">
        <v>32</v>
      </c>
      <c r="F97" s="41" t="s">
        <v>34</v>
      </c>
      <c r="G97" s="44">
        <f t="shared" si="2"/>
        <v>1</v>
      </c>
      <c r="H97" s="41">
        <v>1.6326465E7</v>
      </c>
      <c r="I97" s="137" t="s">
        <v>727</v>
      </c>
      <c r="J97" s="41" t="s">
        <v>37</v>
      </c>
      <c r="K97" s="141">
        <v>46008.0</v>
      </c>
      <c r="L97" s="155" t="s">
        <v>290</v>
      </c>
      <c r="M97" s="136" t="s">
        <v>169</v>
      </c>
      <c r="N97" s="58"/>
      <c r="O97" s="137" t="s">
        <v>696</v>
      </c>
      <c r="P97" s="160"/>
      <c r="Q97" s="161"/>
      <c r="R97" s="160"/>
      <c r="S97" s="162"/>
      <c r="T97" s="162"/>
      <c r="U97" s="73"/>
      <c r="V97" s="76"/>
      <c r="W97" s="76"/>
      <c r="X97" s="4"/>
      <c r="Y97" s="4"/>
      <c r="Z97" s="4"/>
      <c r="AA97" s="4"/>
      <c r="AB97" s="4"/>
      <c r="AC97" s="4"/>
      <c r="AD97" s="4"/>
    </row>
    <row r="98">
      <c r="A98" s="33" t="s">
        <v>732</v>
      </c>
      <c r="B98" s="139" t="s">
        <v>447</v>
      </c>
      <c r="C98" s="35" t="str">
        <f>IF(B98="","",(VLOOKUP(B98,'Dados de PN'!$A:$B,2,0)))</f>
        <v>NIPPLE,TUBE</v>
      </c>
      <c r="D98" s="139" t="s">
        <v>31</v>
      </c>
      <c r="E98" s="83" t="s">
        <v>32</v>
      </c>
      <c r="F98" s="42" t="s">
        <v>736</v>
      </c>
      <c r="G98" s="86">
        <v>1.0</v>
      </c>
      <c r="H98" s="42">
        <v>3.13250017311E11</v>
      </c>
      <c r="I98" s="132" t="s">
        <v>737</v>
      </c>
      <c r="J98" s="42" t="s">
        <v>37</v>
      </c>
      <c r="K98" s="134">
        <v>46029.0</v>
      </c>
      <c r="L98" s="139" t="s">
        <v>38</v>
      </c>
      <c r="M98" s="83" t="s">
        <v>51</v>
      </c>
      <c r="N98" s="49"/>
      <c r="O98" s="49"/>
      <c r="P98" s="148" t="s">
        <v>447</v>
      </c>
      <c r="Q98" s="146"/>
      <c r="R98" s="143" t="s">
        <v>449</v>
      </c>
      <c r="S98" s="144"/>
      <c r="T98" s="145">
        <v>46030.0</v>
      </c>
      <c r="U98" s="108" t="s">
        <v>741</v>
      </c>
      <c r="V98" s="60"/>
      <c r="W98" s="84" t="s">
        <v>83</v>
      </c>
    </row>
    <row r="99">
      <c r="A99" s="36" t="s">
        <v>743</v>
      </c>
      <c r="B99" s="155" t="s">
        <v>451</v>
      </c>
      <c r="C99" s="37" t="str">
        <f>IF(B99="","",(VLOOKUP(B99,'Dados de PN'!$A:$B,2,0)))</f>
        <v>CONJUNTO DE MOTOR E ATUADOR DE FLAP</v>
      </c>
      <c r="D99" s="155" t="s">
        <v>31</v>
      </c>
      <c r="E99" s="136" t="s">
        <v>81</v>
      </c>
      <c r="F99" s="41" t="s">
        <v>34</v>
      </c>
      <c r="G99" s="44">
        <f t="shared" ref="G99:G206" si="3">VALUE(SUBSTITUTE(F99," EA",""))</f>
        <v>1</v>
      </c>
      <c r="H99" s="41" t="s">
        <v>745</v>
      </c>
      <c r="I99" s="137" t="s">
        <v>746</v>
      </c>
      <c r="J99" s="41" t="s">
        <v>37</v>
      </c>
      <c r="K99" s="141">
        <v>46029.0</v>
      </c>
      <c r="L99" s="155" t="s">
        <v>50</v>
      </c>
      <c r="M99" s="136" t="s">
        <v>51</v>
      </c>
      <c r="N99" s="58"/>
      <c r="O99" s="58"/>
      <c r="P99" s="160"/>
      <c r="Q99" s="161"/>
      <c r="R99" s="160"/>
      <c r="S99" s="162"/>
      <c r="T99" s="162"/>
      <c r="U99" s="73"/>
      <c r="V99" s="76"/>
      <c r="W99" s="76"/>
      <c r="X99" s="4"/>
      <c r="Y99" s="4"/>
      <c r="Z99" s="4"/>
      <c r="AA99" s="4"/>
      <c r="AB99" s="4"/>
      <c r="AC99" s="4"/>
      <c r="AD99" s="4"/>
    </row>
    <row r="100">
      <c r="A100" s="36" t="s">
        <v>748</v>
      </c>
      <c r="B100" s="155" t="s">
        <v>453</v>
      </c>
      <c r="C100" s="37" t="str">
        <f>IF(B100="","",(VLOOKUP(B100,'Dados de PN'!$A:$B,2,0)))</f>
        <v>BOMBA DE COMBUSTÍVEL</v>
      </c>
      <c r="D100" s="155" t="s">
        <v>31</v>
      </c>
      <c r="E100" s="136" t="s">
        <v>81</v>
      </c>
      <c r="F100" s="41" t="s">
        <v>34</v>
      </c>
      <c r="G100" s="44">
        <f t="shared" si="3"/>
        <v>1</v>
      </c>
      <c r="H100" s="41">
        <v>1.642849E7</v>
      </c>
      <c r="I100" s="137" t="s">
        <v>750</v>
      </c>
      <c r="J100" s="41" t="s">
        <v>37</v>
      </c>
      <c r="K100" s="141">
        <v>46034.0</v>
      </c>
      <c r="L100" s="155" t="s">
        <v>290</v>
      </c>
      <c r="M100" s="136" t="s">
        <v>169</v>
      </c>
      <c r="N100" s="58"/>
      <c r="O100" s="58"/>
      <c r="P100" s="160"/>
      <c r="Q100" s="161"/>
      <c r="R100" s="160"/>
      <c r="S100" s="162"/>
      <c r="T100" s="162"/>
      <c r="U100" s="73"/>
      <c r="V100" s="76"/>
      <c r="W100" s="76"/>
      <c r="X100" s="4"/>
      <c r="Y100" s="4"/>
      <c r="Z100" s="4"/>
      <c r="AA100" s="4"/>
      <c r="AB100" s="4"/>
      <c r="AC100" s="4"/>
      <c r="AD100" s="4"/>
    </row>
    <row r="101">
      <c r="A101" s="36" t="s">
        <v>754</v>
      </c>
      <c r="B101" s="155" t="s">
        <v>458</v>
      </c>
      <c r="C101" s="37" t="str">
        <f>IF(B101="","",(VLOOKUP(B101,'Dados de PN'!$A:$B,2,0)))</f>
        <v>DISPLAY UNIT GDU</v>
      </c>
      <c r="D101" s="155" t="s">
        <v>31</v>
      </c>
      <c r="E101" s="136" t="s">
        <v>81</v>
      </c>
      <c r="F101" s="41" t="s">
        <v>758</v>
      </c>
      <c r="G101" s="44">
        <f t="shared" si="3"/>
        <v>1</v>
      </c>
      <c r="H101" s="41">
        <v>1.6428515E7</v>
      </c>
      <c r="I101" s="137" t="s">
        <v>760</v>
      </c>
      <c r="J101" s="41" t="s">
        <v>37</v>
      </c>
      <c r="K101" s="141">
        <v>46034.0</v>
      </c>
      <c r="L101" s="155" t="s">
        <v>133</v>
      </c>
      <c r="M101" s="136" t="s">
        <v>76</v>
      </c>
      <c r="N101" s="58"/>
      <c r="O101" s="58"/>
      <c r="P101" s="14"/>
      <c r="Q101" s="165"/>
      <c r="R101" s="160"/>
      <c r="S101" s="162"/>
      <c r="T101" s="162"/>
      <c r="U101" s="73"/>
      <c r="V101" s="76"/>
      <c r="W101" s="76"/>
      <c r="X101" s="4"/>
      <c r="Y101" s="4"/>
      <c r="Z101" s="4"/>
      <c r="AA101" s="4"/>
      <c r="AB101" s="4"/>
      <c r="AC101" s="4"/>
      <c r="AD101" s="4"/>
    </row>
    <row r="102">
      <c r="A102" s="36" t="s">
        <v>768</v>
      </c>
      <c r="B102" s="155" t="s">
        <v>460</v>
      </c>
      <c r="C102" s="37" t="str">
        <f>IF(B102="","",(VLOOKUP(B102,'Dados de PN'!$A:$B,2,0)))</f>
        <v>HOSE,AIR DUCT</v>
      </c>
      <c r="D102" s="155"/>
      <c r="E102" s="136" t="s">
        <v>32</v>
      </c>
      <c r="F102" s="41" t="s">
        <v>34</v>
      </c>
      <c r="G102" s="44">
        <f t="shared" si="3"/>
        <v>1</v>
      </c>
      <c r="H102" s="41">
        <v>1.6436319E7</v>
      </c>
      <c r="I102" s="137" t="s">
        <v>770</v>
      </c>
      <c r="J102" s="41" t="s">
        <v>37</v>
      </c>
      <c r="K102" s="141">
        <v>46035.0</v>
      </c>
      <c r="L102" s="155" t="s">
        <v>290</v>
      </c>
      <c r="M102" s="136" t="s">
        <v>169</v>
      </c>
      <c r="N102" s="58"/>
      <c r="O102" s="58"/>
      <c r="P102" s="160"/>
      <c r="Q102" s="161"/>
      <c r="R102" s="160"/>
      <c r="S102" s="162"/>
      <c r="T102" s="162"/>
      <c r="U102" s="73"/>
      <c r="V102" s="76"/>
      <c r="W102" s="76"/>
      <c r="X102" s="4"/>
      <c r="Y102" s="4"/>
      <c r="Z102" s="4"/>
      <c r="AA102" s="4"/>
      <c r="AB102" s="4"/>
      <c r="AC102" s="4"/>
      <c r="AD102" s="4"/>
    </row>
    <row r="103">
      <c r="A103" s="36" t="s">
        <v>771</v>
      </c>
      <c r="B103" s="155" t="s">
        <v>772</v>
      </c>
      <c r="C103" s="37" t="str">
        <f>IF(B103="","",(VLOOKUP(B103,'Dados de PN'!$A:$B,2,0)))</f>
        <v>LAMP, INCANDESCENT</v>
      </c>
      <c r="D103" s="155"/>
      <c r="E103" s="136" t="s">
        <v>32</v>
      </c>
      <c r="F103" s="41" t="s">
        <v>34</v>
      </c>
      <c r="G103" s="44">
        <f t="shared" si="3"/>
        <v>1</v>
      </c>
      <c r="H103" s="41">
        <v>6.9026E11</v>
      </c>
      <c r="I103" s="137" t="s">
        <v>776</v>
      </c>
      <c r="J103" s="41" t="s">
        <v>37</v>
      </c>
      <c r="K103" s="141">
        <v>46036.0</v>
      </c>
      <c r="L103" s="155">
        <v>2727.0</v>
      </c>
      <c r="M103" s="136" t="s">
        <v>544</v>
      </c>
      <c r="N103" s="58"/>
      <c r="O103" s="58"/>
      <c r="P103" s="160"/>
      <c r="Q103" s="161"/>
      <c r="R103" s="160"/>
      <c r="S103" s="162"/>
      <c r="T103" s="162"/>
      <c r="U103" s="73"/>
      <c r="V103" s="76"/>
      <c r="W103" s="76"/>
      <c r="X103" s="4"/>
      <c r="Y103" s="4"/>
      <c r="Z103" s="4"/>
      <c r="AA103" s="4"/>
      <c r="AB103" s="4"/>
      <c r="AC103" s="4"/>
      <c r="AD103" s="4"/>
    </row>
    <row r="104">
      <c r="A104" s="36" t="s">
        <v>777</v>
      </c>
      <c r="B104" s="155" t="s">
        <v>466</v>
      </c>
      <c r="C104" s="37" t="str">
        <f>IF(B104="","",(VLOOKUP(B104,'Dados de PN'!$A:$B,2,0)))</f>
        <v>VENT BLOWER ASSY</v>
      </c>
      <c r="D104" s="155"/>
      <c r="E104" s="136" t="s">
        <v>32</v>
      </c>
      <c r="F104" s="41" t="s">
        <v>34</v>
      </c>
      <c r="G104" s="44">
        <f t="shared" si="3"/>
        <v>1</v>
      </c>
      <c r="H104" s="41">
        <v>6.9026E11</v>
      </c>
      <c r="I104" s="137" t="s">
        <v>776</v>
      </c>
      <c r="J104" s="41" t="s">
        <v>37</v>
      </c>
      <c r="K104" s="141">
        <v>46036.0</v>
      </c>
      <c r="L104" s="155">
        <v>2727.0</v>
      </c>
      <c r="M104" s="136" t="s">
        <v>544</v>
      </c>
      <c r="N104" s="58"/>
      <c r="O104" s="58"/>
      <c r="P104" s="160"/>
      <c r="Q104" s="161"/>
      <c r="R104" s="160"/>
      <c r="S104" s="162"/>
      <c r="T104" s="162"/>
      <c r="U104" s="73"/>
      <c r="V104" s="76"/>
      <c r="W104" s="76"/>
      <c r="X104" s="4"/>
      <c r="Y104" s="4"/>
      <c r="Z104" s="4"/>
      <c r="AA104" s="4"/>
      <c r="AB104" s="4"/>
      <c r="AC104" s="4"/>
      <c r="AD104" s="4"/>
    </row>
    <row r="105">
      <c r="A105" s="36" t="s">
        <v>782</v>
      </c>
      <c r="B105" s="155" t="s">
        <v>469</v>
      </c>
      <c r="C105" s="37" t="str">
        <f>IF(B105="","",(VLOOKUP(B105,'Dados de PN'!$A:$B,2,0)))</f>
        <v>SWITCH, REMOTE</v>
      </c>
      <c r="D105" s="155"/>
      <c r="E105" s="136" t="s">
        <v>32</v>
      </c>
      <c r="F105" s="41" t="s">
        <v>34</v>
      </c>
      <c r="G105" s="44">
        <f t="shared" si="3"/>
        <v>1</v>
      </c>
      <c r="H105" s="41">
        <v>3.9626E11</v>
      </c>
      <c r="I105" s="137" t="s">
        <v>785</v>
      </c>
      <c r="J105" s="41" t="s">
        <v>37</v>
      </c>
      <c r="K105" s="141">
        <v>46036.0</v>
      </c>
      <c r="L105" s="155">
        <v>2733.0</v>
      </c>
      <c r="M105" s="136" t="s">
        <v>76</v>
      </c>
      <c r="N105" s="58"/>
      <c r="O105" s="58"/>
      <c r="P105" s="160"/>
      <c r="Q105" s="161"/>
      <c r="R105" s="160"/>
      <c r="S105" s="162"/>
      <c r="T105" s="162"/>
      <c r="U105" s="73"/>
      <c r="V105" s="76"/>
      <c r="W105" s="76"/>
      <c r="X105" s="4"/>
      <c r="Y105" s="4"/>
      <c r="Z105" s="4"/>
      <c r="AA105" s="4"/>
      <c r="AB105" s="4"/>
      <c r="AC105" s="4"/>
      <c r="AD105" s="4"/>
    </row>
    <row r="106">
      <c r="A106" s="36" t="s">
        <v>786</v>
      </c>
      <c r="B106" s="155" t="s">
        <v>473</v>
      </c>
      <c r="C106" s="37" t="str">
        <f>IF(B106="","",(VLOOKUP(B106,'Dados de PN'!$A:$B,2,0)))</f>
        <v>SWITCH-ELEC TR</v>
      </c>
      <c r="D106" s="155"/>
      <c r="E106" s="136" t="s">
        <v>32</v>
      </c>
      <c r="F106" s="41" t="s">
        <v>34</v>
      </c>
      <c r="G106" s="44">
        <f t="shared" si="3"/>
        <v>1</v>
      </c>
      <c r="H106" s="41" t="s">
        <v>475</v>
      </c>
      <c r="I106" s="137" t="s">
        <v>789</v>
      </c>
      <c r="J106" s="41" t="s">
        <v>37</v>
      </c>
      <c r="K106" s="141">
        <v>46036.0</v>
      </c>
      <c r="L106" s="155" t="s">
        <v>604</v>
      </c>
      <c r="M106" s="136" t="s">
        <v>51</v>
      </c>
      <c r="N106" s="58"/>
      <c r="O106" s="58"/>
      <c r="P106" s="160"/>
      <c r="Q106" s="161"/>
      <c r="R106" s="160"/>
      <c r="S106" s="162"/>
      <c r="T106" s="162"/>
      <c r="U106" s="73"/>
      <c r="V106" s="76"/>
      <c r="W106" s="76"/>
      <c r="X106" s="4"/>
      <c r="Y106" s="4"/>
      <c r="Z106" s="4"/>
      <c r="AA106" s="4"/>
      <c r="AB106" s="4"/>
      <c r="AC106" s="4"/>
      <c r="AD106" s="4"/>
    </row>
    <row r="107">
      <c r="A107" s="36" t="s">
        <v>790</v>
      </c>
      <c r="B107" s="155" t="s">
        <v>161</v>
      </c>
      <c r="C107" s="37" t="str">
        <f>IF(B107="","",(VLOOKUP(B107,'Dados de PN'!$A:$B,2,0)))</f>
        <v>CABLE ASSY-FLAP INDICATOR</v>
      </c>
      <c r="D107" s="155"/>
      <c r="E107" s="136" t="s">
        <v>32</v>
      </c>
      <c r="F107" s="41" t="s">
        <v>34</v>
      </c>
      <c r="G107" s="44">
        <f t="shared" si="3"/>
        <v>1</v>
      </c>
      <c r="H107" s="41">
        <v>1.6455693E7</v>
      </c>
      <c r="I107" s="137" t="s">
        <v>789</v>
      </c>
      <c r="J107" s="41" t="s">
        <v>37</v>
      </c>
      <c r="K107" s="141">
        <v>46036.0</v>
      </c>
      <c r="L107" s="155" t="s">
        <v>604</v>
      </c>
      <c r="M107" s="136" t="s">
        <v>51</v>
      </c>
      <c r="N107" s="58"/>
      <c r="O107" s="58"/>
      <c r="P107" s="160"/>
      <c r="Q107" s="161"/>
      <c r="R107" s="160"/>
      <c r="S107" s="162"/>
      <c r="T107" s="162"/>
      <c r="U107" s="73"/>
      <c r="V107" s="76"/>
      <c r="W107" s="76"/>
      <c r="X107" s="4"/>
      <c r="Y107" s="4"/>
      <c r="Z107" s="4"/>
      <c r="AA107" s="4"/>
      <c r="AB107" s="4"/>
      <c r="AC107" s="4"/>
      <c r="AD107" s="4"/>
    </row>
    <row r="108">
      <c r="A108" s="36" t="s">
        <v>795</v>
      </c>
      <c r="B108" s="155" t="s">
        <v>477</v>
      </c>
      <c r="C108" s="37" t="str">
        <f>IF(B108="","",(VLOOKUP(B108,'Dados de PN'!$A:$B,2,0)))</f>
        <v>RETAINER,PACKING</v>
      </c>
      <c r="D108" s="155"/>
      <c r="E108" s="136" t="s">
        <v>32</v>
      </c>
      <c r="F108" s="41" t="s">
        <v>34</v>
      </c>
      <c r="G108" s="44">
        <f t="shared" si="3"/>
        <v>1</v>
      </c>
      <c r="H108" s="41">
        <v>1.6463749E7</v>
      </c>
      <c r="I108" s="137" t="s">
        <v>727</v>
      </c>
      <c r="J108" s="41" t="s">
        <v>37</v>
      </c>
      <c r="K108" s="141">
        <v>46036.0</v>
      </c>
      <c r="L108" s="155" t="s">
        <v>290</v>
      </c>
      <c r="M108" s="136" t="s">
        <v>169</v>
      </c>
      <c r="N108" s="58"/>
      <c r="O108" s="58"/>
      <c r="P108" s="160"/>
      <c r="Q108" s="161"/>
      <c r="R108" s="160"/>
      <c r="S108" s="162"/>
      <c r="T108" s="162"/>
      <c r="U108" s="73"/>
      <c r="V108" s="76"/>
      <c r="W108" s="76"/>
      <c r="X108" s="4"/>
      <c r="Y108" s="4"/>
      <c r="Z108" s="4"/>
      <c r="AA108" s="4"/>
      <c r="AB108" s="4"/>
      <c r="AC108" s="4"/>
      <c r="AD108" s="4"/>
    </row>
    <row r="109">
      <c r="A109" s="36" t="s">
        <v>798</v>
      </c>
      <c r="B109" s="155" t="s">
        <v>477</v>
      </c>
      <c r="C109" s="37" t="str">
        <f>IF(B109="","",(VLOOKUP(B109,'Dados de PN'!$A:$B,2,0)))</f>
        <v>RETAINER,PACKING</v>
      </c>
      <c r="D109" s="155"/>
      <c r="E109" s="136" t="s">
        <v>32</v>
      </c>
      <c r="F109" s="41" t="s">
        <v>34</v>
      </c>
      <c r="G109" s="44">
        <f t="shared" si="3"/>
        <v>1</v>
      </c>
      <c r="H109" s="41">
        <v>1.6479594E7</v>
      </c>
      <c r="I109" s="137" t="s">
        <v>802</v>
      </c>
      <c r="J109" s="41" t="s">
        <v>37</v>
      </c>
      <c r="K109" s="141">
        <v>46043.0</v>
      </c>
      <c r="L109" s="155" t="s">
        <v>304</v>
      </c>
      <c r="M109" s="136" t="s">
        <v>76</v>
      </c>
      <c r="N109" s="58"/>
      <c r="O109" s="58"/>
      <c r="P109" s="160"/>
      <c r="Q109" s="161"/>
      <c r="R109" s="160"/>
      <c r="S109" s="162"/>
      <c r="T109" s="162"/>
      <c r="U109" s="73"/>
      <c r="V109" s="76"/>
      <c r="W109" s="76"/>
      <c r="X109" s="4"/>
      <c r="Y109" s="4"/>
      <c r="Z109" s="4"/>
      <c r="AA109" s="4"/>
      <c r="AB109" s="4"/>
      <c r="AC109" s="4"/>
      <c r="AD109" s="4"/>
    </row>
    <row r="110">
      <c r="A110" s="36" t="s">
        <v>804</v>
      </c>
      <c r="B110" s="155" t="s">
        <v>481</v>
      </c>
      <c r="C110" s="37" t="str">
        <f>IF(B110="","",(VLOOKUP(B110,'Dados de PN'!$A:$B,2,0)))</f>
        <v>INDICATOR - OIL TEMP</v>
      </c>
      <c r="D110" s="155"/>
      <c r="E110" s="136" t="s">
        <v>81</v>
      </c>
      <c r="F110" s="41" t="s">
        <v>758</v>
      </c>
      <c r="G110" s="44">
        <f t="shared" si="3"/>
        <v>1</v>
      </c>
      <c r="H110" s="41">
        <v>3.29260018825E11</v>
      </c>
      <c r="I110" s="137" t="s">
        <v>805</v>
      </c>
      <c r="J110" s="41" t="s">
        <v>37</v>
      </c>
      <c r="K110" s="141">
        <v>46043.0</v>
      </c>
      <c r="L110" s="155" t="s">
        <v>290</v>
      </c>
      <c r="M110" s="136" t="s">
        <v>169</v>
      </c>
      <c r="N110" s="58"/>
      <c r="O110" s="58"/>
      <c r="P110" s="160"/>
      <c r="Q110" s="161"/>
      <c r="R110" s="160"/>
      <c r="S110" s="162"/>
      <c r="T110" s="162"/>
      <c r="U110" s="73"/>
      <c r="V110" s="76"/>
      <c r="W110" s="76"/>
      <c r="X110" s="4"/>
      <c r="Y110" s="4"/>
      <c r="Z110" s="4"/>
      <c r="AA110" s="4"/>
      <c r="AB110" s="4"/>
      <c r="AC110" s="4"/>
      <c r="AD110" s="4"/>
    </row>
    <row r="111">
      <c r="A111" s="36" t="s">
        <v>808</v>
      </c>
      <c r="B111" s="155" t="s">
        <v>484</v>
      </c>
      <c r="C111" s="37" t="str">
        <f>IF(B111="","",(VLOOKUP(B111,'Dados de PN'!$A:$B,2,0)))</f>
        <v>INDICATOR FUEL</v>
      </c>
      <c r="D111" s="155"/>
      <c r="E111" s="136" t="s">
        <v>81</v>
      </c>
      <c r="F111" s="41" t="s">
        <v>758</v>
      </c>
      <c r="G111" s="44">
        <f t="shared" si="3"/>
        <v>1</v>
      </c>
      <c r="H111" s="41">
        <v>3.29260018826E11</v>
      </c>
      <c r="I111" s="137" t="s">
        <v>811</v>
      </c>
      <c r="J111" s="41" t="s">
        <v>37</v>
      </c>
      <c r="K111" s="141">
        <v>46043.0</v>
      </c>
      <c r="L111" s="155" t="s">
        <v>290</v>
      </c>
      <c r="M111" s="136" t="s">
        <v>169</v>
      </c>
      <c r="N111" s="58"/>
      <c r="O111" s="58"/>
      <c r="P111" s="169" t="s">
        <v>484</v>
      </c>
      <c r="Q111" s="170" t="s">
        <v>486</v>
      </c>
      <c r="R111" s="170" t="s">
        <v>487</v>
      </c>
      <c r="S111" s="162"/>
      <c r="T111" s="171">
        <v>45805.0</v>
      </c>
      <c r="U111" s="102" t="s">
        <v>815</v>
      </c>
      <c r="V111" s="136"/>
      <c r="W111" s="76"/>
      <c r="X111" s="4"/>
      <c r="Y111" s="4"/>
      <c r="Z111" s="4"/>
      <c r="AA111" s="4"/>
      <c r="AB111" s="4"/>
      <c r="AC111" s="4"/>
      <c r="AD111" s="4"/>
    </row>
    <row r="112">
      <c r="A112" s="33" t="s">
        <v>817</v>
      </c>
      <c r="B112" s="139" t="s">
        <v>489</v>
      </c>
      <c r="C112" s="35" t="str">
        <f>IF(B112="","",(VLOOKUP(B112,'Dados de PN'!$A:$B,2,0)))</f>
        <v>TRANSCEIVER</v>
      </c>
      <c r="D112" s="139"/>
      <c r="E112" s="83" t="s">
        <v>81</v>
      </c>
      <c r="F112" s="42" t="s">
        <v>758</v>
      </c>
      <c r="G112" s="44">
        <f t="shared" si="3"/>
        <v>1</v>
      </c>
      <c r="H112" s="42">
        <v>1.6494618E7</v>
      </c>
      <c r="I112" s="132" t="s">
        <v>820</v>
      </c>
      <c r="J112" s="42" t="s">
        <v>37</v>
      </c>
      <c r="K112" s="134">
        <v>46043.0</v>
      </c>
      <c r="L112" s="139" t="s">
        <v>152</v>
      </c>
      <c r="M112" s="83" t="s">
        <v>61</v>
      </c>
      <c r="N112" s="49"/>
      <c r="O112" s="49"/>
      <c r="P112" s="148" t="s">
        <v>491</v>
      </c>
      <c r="Q112" s="143" t="s">
        <v>492</v>
      </c>
      <c r="R112" s="148" t="s">
        <v>494</v>
      </c>
      <c r="S112" s="144"/>
      <c r="T112" s="145">
        <v>45959.0</v>
      </c>
      <c r="U112" s="108" t="s">
        <v>821</v>
      </c>
      <c r="V112" s="83"/>
      <c r="W112" s="84" t="s">
        <v>83</v>
      </c>
    </row>
    <row r="113">
      <c r="A113" s="36" t="s">
        <v>822</v>
      </c>
      <c r="B113" s="155" t="s">
        <v>495</v>
      </c>
      <c r="C113" s="37" t="str">
        <f>IF(B113="","",(VLOOKUP(B113,'Dados de PN'!$A:$B,2,0)))</f>
        <v>CONTROL UNIT ASSY-GENERATOR</v>
      </c>
      <c r="D113" s="155"/>
      <c r="E113" s="136" t="s">
        <v>81</v>
      </c>
      <c r="F113" s="41" t="s">
        <v>34</v>
      </c>
      <c r="G113" s="44">
        <f t="shared" si="3"/>
        <v>1</v>
      </c>
      <c r="H113" s="41" t="s">
        <v>828</v>
      </c>
      <c r="I113" s="137" t="s">
        <v>820</v>
      </c>
      <c r="J113" s="41" t="s">
        <v>37</v>
      </c>
      <c r="K113" s="141">
        <v>46044.0</v>
      </c>
      <c r="L113" s="155">
        <v>2719.0</v>
      </c>
      <c r="M113" s="136" t="s">
        <v>61</v>
      </c>
      <c r="N113" s="58"/>
      <c r="O113" s="58"/>
      <c r="P113" s="169" t="s">
        <v>497</v>
      </c>
      <c r="Q113" s="170" t="s">
        <v>498</v>
      </c>
      <c r="R113" s="170" t="s">
        <v>499</v>
      </c>
      <c r="S113" s="162"/>
      <c r="T113" s="174">
        <v>46052.0</v>
      </c>
      <c r="U113" s="102" t="s">
        <v>830</v>
      </c>
      <c r="V113" s="136"/>
      <c r="W113" s="76"/>
      <c r="X113" s="76"/>
      <c r="Y113" s="76"/>
      <c r="Z113" s="76"/>
      <c r="AA113" s="76"/>
      <c r="AB113" s="76"/>
      <c r="AC113" s="76"/>
      <c r="AD113" s="76"/>
    </row>
    <row r="114">
      <c r="A114" s="36" t="s">
        <v>832</v>
      </c>
      <c r="B114" s="155" t="s">
        <v>500</v>
      </c>
      <c r="C114" s="37" t="str">
        <f>IF(B114="","",(VLOOKUP(B114,'Dados de PN'!$A:$B,2,0)))</f>
        <v>CABLE ASSY</v>
      </c>
      <c r="D114" s="155" t="s">
        <v>31</v>
      </c>
      <c r="E114" s="136" t="s">
        <v>32</v>
      </c>
      <c r="F114" s="41" t="s">
        <v>34</v>
      </c>
      <c r="G114" s="44">
        <f t="shared" si="3"/>
        <v>1</v>
      </c>
      <c r="H114" s="41">
        <v>1.6525969E7</v>
      </c>
      <c r="I114" s="137" t="s">
        <v>542</v>
      </c>
      <c r="J114" s="41" t="s">
        <v>37</v>
      </c>
      <c r="K114" s="141">
        <v>46049.0</v>
      </c>
      <c r="L114" s="155" t="s">
        <v>543</v>
      </c>
      <c r="M114" s="136" t="s">
        <v>544</v>
      </c>
      <c r="N114" s="58"/>
      <c r="O114" s="58"/>
      <c r="P114" s="160"/>
      <c r="Q114" s="161"/>
      <c r="R114" s="160"/>
      <c r="S114" s="162"/>
      <c r="T114" s="162"/>
      <c r="U114" s="73"/>
      <c r="V114" s="76"/>
      <c r="W114" s="76"/>
      <c r="X114" s="76"/>
      <c r="Y114" s="76"/>
      <c r="Z114" s="76"/>
      <c r="AA114" s="76"/>
      <c r="AB114" s="76"/>
      <c r="AC114" s="76"/>
      <c r="AD114" s="76"/>
    </row>
    <row r="115">
      <c r="A115" s="36" t="s">
        <v>836</v>
      </c>
      <c r="B115" s="155" t="s">
        <v>503</v>
      </c>
      <c r="C115" s="37" t="str">
        <f>IF(B115="","",(VLOOKUP(B115,'Dados de PN'!$A:$B,2,0)))</f>
        <v>CONTROL ASSY</v>
      </c>
      <c r="D115" s="155" t="s">
        <v>31</v>
      </c>
      <c r="E115" s="136" t="s">
        <v>32</v>
      </c>
      <c r="F115" s="41" t="s">
        <v>34</v>
      </c>
      <c r="G115" s="44">
        <f t="shared" si="3"/>
        <v>1</v>
      </c>
      <c r="H115" s="41">
        <v>1.6525969E7</v>
      </c>
      <c r="I115" s="137" t="s">
        <v>838</v>
      </c>
      <c r="J115" s="41" t="s">
        <v>37</v>
      </c>
      <c r="K115" s="141">
        <v>46049.0</v>
      </c>
      <c r="L115" s="37" t="s">
        <v>422</v>
      </c>
      <c r="M115" s="41" t="s">
        <v>423</v>
      </c>
      <c r="N115" s="58"/>
      <c r="O115" s="58"/>
      <c r="P115" s="14"/>
      <c r="Q115" s="165"/>
      <c r="R115" s="14"/>
      <c r="S115" s="162"/>
      <c r="T115" s="162"/>
      <c r="U115" s="73"/>
      <c r="V115" s="76"/>
      <c r="W115" s="76"/>
      <c r="X115" s="76"/>
      <c r="Y115" s="76"/>
      <c r="Z115" s="76"/>
      <c r="AA115" s="76"/>
      <c r="AB115" s="76"/>
      <c r="AC115" s="76"/>
      <c r="AD115" s="76"/>
    </row>
    <row r="116">
      <c r="A116" s="36" t="s">
        <v>841</v>
      </c>
      <c r="B116" s="155" t="s">
        <v>506</v>
      </c>
      <c r="C116" s="37" t="str">
        <f>IF(B116="","",(VLOOKUP(B116,'Dados de PN'!$A:$B,2,0)))</f>
        <v>TUBE-DRAIN</v>
      </c>
      <c r="D116" s="155" t="s">
        <v>31</v>
      </c>
      <c r="E116" s="136" t="s">
        <v>32</v>
      </c>
      <c r="F116" s="41" t="s">
        <v>34</v>
      </c>
      <c r="G116" s="44">
        <f t="shared" si="3"/>
        <v>1</v>
      </c>
      <c r="H116" s="155" t="s">
        <v>842</v>
      </c>
      <c r="I116" s="137" t="s">
        <v>843</v>
      </c>
      <c r="J116" s="41" t="s">
        <v>37</v>
      </c>
      <c r="K116" s="141">
        <v>46050.0</v>
      </c>
      <c r="L116" s="37" t="s">
        <v>422</v>
      </c>
      <c r="M116" s="41" t="s">
        <v>423</v>
      </c>
      <c r="N116" s="58"/>
      <c r="O116" s="58"/>
      <c r="P116" s="14"/>
      <c r="Q116" s="165"/>
      <c r="R116" s="14"/>
      <c r="S116" s="162"/>
      <c r="T116" s="162"/>
      <c r="U116" s="73"/>
      <c r="V116" s="76"/>
      <c r="W116" s="76"/>
      <c r="X116" s="76"/>
      <c r="Y116" s="76"/>
      <c r="Z116" s="76"/>
      <c r="AA116" s="76"/>
      <c r="AB116" s="76"/>
      <c r="AC116" s="76"/>
      <c r="AD116" s="76"/>
    </row>
    <row r="117">
      <c r="A117" s="36" t="s">
        <v>847</v>
      </c>
      <c r="B117" s="155" t="s">
        <v>509</v>
      </c>
      <c r="C117" s="37" t="str">
        <f>IF(B117="","",(VLOOKUP(B117,'Dados de PN'!$A:$B,2,0)))</f>
        <v>BOLT U</v>
      </c>
      <c r="D117" s="155" t="s">
        <v>31</v>
      </c>
      <c r="E117" s="136" t="s">
        <v>32</v>
      </c>
      <c r="F117" s="41" t="s">
        <v>164</v>
      </c>
      <c r="G117" s="44">
        <f t="shared" si="3"/>
        <v>2</v>
      </c>
      <c r="H117" s="155" t="s">
        <v>851</v>
      </c>
      <c r="I117" s="137" t="s">
        <v>843</v>
      </c>
      <c r="J117" s="41" t="s">
        <v>37</v>
      </c>
      <c r="K117" s="141">
        <v>46050.0</v>
      </c>
      <c r="L117" s="37" t="s">
        <v>422</v>
      </c>
      <c r="M117" s="41" t="s">
        <v>423</v>
      </c>
      <c r="N117" s="58"/>
      <c r="O117" s="58"/>
      <c r="P117" s="169" t="s">
        <v>509</v>
      </c>
      <c r="Q117" s="170" t="s">
        <v>511</v>
      </c>
      <c r="R117" s="170" t="s">
        <v>512</v>
      </c>
      <c r="S117" s="162"/>
      <c r="T117" s="174">
        <v>46048.0</v>
      </c>
      <c r="U117" s="102" t="s">
        <v>852</v>
      </c>
      <c r="V117" s="76"/>
      <c r="W117" s="76"/>
      <c r="X117" s="76"/>
      <c r="Y117" s="76"/>
      <c r="Z117" s="76"/>
      <c r="AA117" s="76"/>
      <c r="AB117" s="76"/>
      <c r="AC117" s="76"/>
      <c r="AD117" s="76"/>
    </row>
    <row r="118">
      <c r="A118" s="36" t="s">
        <v>856</v>
      </c>
      <c r="B118" s="155" t="s">
        <v>514</v>
      </c>
      <c r="C118" s="37" t="str">
        <f>IF(B118="","",(VLOOKUP(B118,'Dados de PN'!$A:$B,2,0)))</f>
        <v>SPRING</v>
      </c>
      <c r="D118" s="155" t="s">
        <v>31</v>
      </c>
      <c r="E118" s="136" t="s">
        <v>32</v>
      </c>
      <c r="F118" s="41" t="s">
        <v>164</v>
      </c>
      <c r="G118" s="44">
        <f t="shared" si="3"/>
        <v>2</v>
      </c>
      <c r="H118" s="155" t="s">
        <v>858</v>
      </c>
      <c r="I118" s="137" t="s">
        <v>843</v>
      </c>
      <c r="J118" s="41" t="s">
        <v>37</v>
      </c>
      <c r="K118" s="141">
        <v>46050.0</v>
      </c>
      <c r="L118" s="37" t="s">
        <v>422</v>
      </c>
      <c r="M118" s="41" t="s">
        <v>423</v>
      </c>
      <c r="N118" s="58"/>
      <c r="O118" s="58"/>
      <c r="P118" s="76"/>
      <c r="Q118" s="58"/>
      <c r="R118" s="76"/>
      <c r="S118" s="76"/>
      <c r="T118" s="76"/>
      <c r="U118" s="73"/>
      <c r="V118" s="76"/>
      <c r="W118" s="76"/>
      <c r="X118" s="76"/>
      <c r="Y118" s="76"/>
      <c r="Z118" s="76"/>
      <c r="AA118" s="76"/>
      <c r="AB118" s="76"/>
      <c r="AC118" s="76"/>
      <c r="AD118" s="76"/>
    </row>
    <row r="119">
      <c r="A119" s="36" t="s">
        <v>864</v>
      </c>
      <c r="B119" s="155" t="s">
        <v>518</v>
      </c>
      <c r="C119" s="37" t="str">
        <f>IF(B119="","",(VLOOKUP(B119,'Dados de PN'!$A:$B,2,0)))</f>
        <v>CABLE NIPPLE,ELECTRICAL</v>
      </c>
      <c r="D119" s="155" t="s">
        <v>31</v>
      </c>
      <c r="E119" s="136" t="s">
        <v>32</v>
      </c>
      <c r="F119" s="136" t="s">
        <v>346</v>
      </c>
      <c r="G119" s="44">
        <f t="shared" si="3"/>
        <v>10</v>
      </c>
      <c r="H119" s="41">
        <v>3.86260013052E11</v>
      </c>
      <c r="I119" s="137" t="s">
        <v>866</v>
      </c>
      <c r="J119" s="136" t="s">
        <v>37</v>
      </c>
      <c r="K119" s="141">
        <v>46063.0</v>
      </c>
      <c r="L119" s="37" t="s">
        <v>422</v>
      </c>
      <c r="M119" s="41" t="s">
        <v>423</v>
      </c>
      <c r="N119" s="137">
        <v>2.02667113005149E14</v>
      </c>
      <c r="O119" s="58"/>
      <c r="P119" s="76"/>
      <c r="Q119" s="58"/>
      <c r="R119" s="76"/>
      <c r="S119" s="76"/>
      <c r="T119" s="76"/>
      <c r="U119" s="73"/>
      <c r="V119" s="76"/>
      <c r="W119" s="76"/>
      <c r="X119" s="76"/>
      <c r="Y119" s="76"/>
      <c r="Z119" s="76"/>
      <c r="AA119" s="76"/>
      <c r="AB119" s="76"/>
      <c r="AC119" s="76"/>
      <c r="AD119" s="76"/>
    </row>
    <row r="120">
      <c r="A120" s="36" t="s">
        <v>869</v>
      </c>
      <c r="B120" s="155" t="s">
        <v>521</v>
      </c>
      <c r="C120" s="37" t="str">
        <f>IF(B120="","",(VLOOKUP(B120,'Dados de PN'!$A:$B,2,0)))</f>
        <v>MOTOR,DIRECT CURRENT</v>
      </c>
      <c r="D120" s="155" t="s">
        <v>31</v>
      </c>
      <c r="E120" s="136" t="s">
        <v>32</v>
      </c>
      <c r="F120" s="136" t="s">
        <v>34</v>
      </c>
      <c r="G120" s="44">
        <f t="shared" si="3"/>
        <v>1</v>
      </c>
      <c r="H120" s="41">
        <v>3.1325001755E11</v>
      </c>
      <c r="I120" s="137" t="s">
        <v>871</v>
      </c>
      <c r="J120" s="136" t="s">
        <v>37</v>
      </c>
      <c r="K120" s="141">
        <v>46028.0</v>
      </c>
      <c r="L120" s="155" t="s">
        <v>263</v>
      </c>
      <c r="M120" s="136" t="s">
        <v>51</v>
      </c>
      <c r="N120" s="58"/>
      <c r="O120" s="58"/>
      <c r="P120" s="76"/>
      <c r="Q120" s="58"/>
      <c r="R120" s="76"/>
      <c r="S120" s="76"/>
      <c r="T120" s="76"/>
      <c r="U120" s="73"/>
      <c r="V120" s="76"/>
      <c r="W120" s="76"/>
      <c r="X120" s="76"/>
      <c r="Y120" s="76"/>
      <c r="Z120" s="76"/>
      <c r="AA120" s="76"/>
      <c r="AB120" s="76"/>
      <c r="AC120" s="76"/>
      <c r="AD120" s="76"/>
    </row>
    <row r="121">
      <c r="A121" s="36" t="s">
        <v>875</v>
      </c>
      <c r="B121" s="155" t="s">
        <v>980</v>
      </c>
      <c r="C121" s="37" t="str">
        <f>IF(B121="","",(VLOOKUP(B121,'Dados de PN'!$A:$B,2,0)))</f>
        <v>GDU 1040A REPLACEMENT KNOB KIT</v>
      </c>
      <c r="D121" s="155"/>
      <c r="E121" s="136" t="s">
        <v>32</v>
      </c>
      <c r="F121" s="136" t="s">
        <v>340</v>
      </c>
      <c r="G121" s="44">
        <f t="shared" si="3"/>
        <v>3</v>
      </c>
      <c r="H121" s="41">
        <v>3.13260017677E11</v>
      </c>
      <c r="I121" s="137" t="s">
        <v>981</v>
      </c>
      <c r="J121" s="136" t="s">
        <v>37</v>
      </c>
      <c r="K121" s="53">
        <v>46062.0</v>
      </c>
      <c r="L121" s="155" t="s">
        <v>50</v>
      </c>
      <c r="M121" s="136" t="s">
        <v>51</v>
      </c>
      <c r="N121" s="58"/>
      <c r="O121" s="58"/>
      <c r="P121" s="76"/>
      <c r="Q121" s="58"/>
      <c r="R121" s="76"/>
      <c r="S121" s="76"/>
      <c r="T121" s="76"/>
      <c r="U121" s="73"/>
      <c r="V121" s="76"/>
      <c r="W121" s="76"/>
      <c r="X121" s="76"/>
      <c r="Y121" s="76"/>
      <c r="Z121" s="76"/>
      <c r="AA121" s="76"/>
      <c r="AB121" s="76"/>
      <c r="AC121" s="76"/>
      <c r="AD121" s="76"/>
    </row>
    <row r="122">
      <c r="A122" s="36" t="s">
        <v>881</v>
      </c>
      <c r="B122" s="155" t="s">
        <v>524</v>
      </c>
      <c r="C122" s="37" t="str">
        <f>IF(B122="","",(VLOOKUP(B122,'Dados de PN'!$A:$B,2,0)))</f>
        <v>OIL COOLER-LARGE</v>
      </c>
      <c r="D122" s="155" t="s">
        <v>876</v>
      </c>
      <c r="E122" s="136" t="s">
        <v>81</v>
      </c>
      <c r="F122" s="136" t="s">
        <v>34</v>
      </c>
      <c r="G122" s="44">
        <f t="shared" si="3"/>
        <v>1</v>
      </c>
      <c r="H122" s="41">
        <v>1.6693774E7</v>
      </c>
      <c r="I122" s="137" t="s">
        <v>879</v>
      </c>
      <c r="J122" s="136" t="s">
        <v>37</v>
      </c>
      <c r="K122" s="141">
        <v>46065.0</v>
      </c>
      <c r="L122" s="155" t="s">
        <v>183</v>
      </c>
      <c r="M122" s="136" t="s">
        <v>61</v>
      </c>
      <c r="N122" s="58"/>
      <c r="O122" s="58"/>
      <c r="P122" s="76"/>
      <c r="Q122" s="58"/>
      <c r="R122" s="76"/>
      <c r="S122" s="76"/>
      <c r="T122" s="76"/>
      <c r="U122" s="73"/>
      <c r="V122" s="76"/>
      <c r="W122" s="76"/>
      <c r="X122" s="76"/>
      <c r="Y122" s="76"/>
      <c r="Z122" s="76"/>
      <c r="AA122" s="76"/>
      <c r="AB122" s="76"/>
      <c r="AC122" s="76"/>
      <c r="AD122" s="76"/>
    </row>
    <row r="123">
      <c r="A123" s="36" t="s">
        <v>892</v>
      </c>
      <c r="B123" s="177" t="s">
        <v>527</v>
      </c>
      <c r="C123" s="37" t="str">
        <f>IF(B123="","",(VLOOKUP(B123,'Dados de PN'!$A:$B,2,0)))</f>
        <v>GOVERNOR,OVERSPEED</v>
      </c>
      <c r="D123" s="155" t="s">
        <v>529</v>
      </c>
      <c r="E123" s="136" t="s">
        <v>81</v>
      </c>
      <c r="F123" s="136" t="s">
        <v>34</v>
      </c>
      <c r="G123" s="44">
        <f t="shared" si="3"/>
        <v>1</v>
      </c>
      <c r="H123" s="41">
        <v>1.6693775E7</v>
      </c>
      <c r="I123" s="137" t="s">
        <v>879</v>
      </c>
      <c r="J123" s="136" t="s">
        <v>37</v>
      </c>
      <c r="K123" s="141">
        <v>46065.0</v>
      </c>
      <c r="L123" s="155" t="s">
        <v>183</v>
      </c>
      <c r="M123" s="136" t="s">
        <v>61</v>
      </c>
      <c r="N123" s="58"/>
      <c r="O123" s="58"/>
      <c r="P123" s="76"/>
      <c r="Q123" s="58"/>
      <c r="R123" s="136" t="s">
        <v>982</v>
      </c>
      <c r="S123" s="76"/>
      <c r="T123" s="76"/>
      <c r="U123" s="73"/>
      <c r="V123" s="153" t="s">
        <v>532</v>
      </c>
      <c r="W123" s="76"/>
      <c r="X123" s="76"/>
      <c r="Y123" s="76"/>
      <c r="Z123" s="76"/>
      <c r="AA123" s="76"/>
      <c r="AB123" s="76"/>
      <c r="AC123" s="76"/>
      <c r="AD123" s="76"/>
    </row>
    <row r="124">
      <c r="A124" s="36" t="s">
        <v>897</v>
      </c>
      <c r="B124" s="155" t="s">
        <v>534</v>
      </c>
      <c r="C124" s="37" t="str">
        <f>IF(B124="","",(VLOOKUP(B124,'Dados de PN'!$A:$B,2,0)))</f>
        <v>VALVE,SAFETY RELIEF</v>
      </c>
      <c r="D124" s="155" t="s">
        <v>31</v>
      </c>
      <c r="E124" s="136" t="s">
        <v>32</v>
      </c>
      <c r="F124" s="136" t="s">
        <v>34</v>
      </c>
      <c r="G124" s="44">
        <f t="shared" si="3"/>
        <v>1</v>
      </c>
      <c r="H124" s="41">
        <v>6.8526001085E11</v>
      </c>
      <c r="I124" s="137" t="s">
        <v>895</v>
      </c>
      <c r="J124" s="136" t="s">
        <v>37</v>
      </c>
      <c r="K124" s="141">
        <v>46065.0</v>
      </c>
      <c r="L124" s="155" t="s">
        <v>60</v>
      </c>
      <c r="M124" s="136" t="s">
        <v>61</v>
      </c>
      <c r="N124" s="58"/>
      <c r="O124" s="58"/>
      <c r="P124" s="76"/>
      <c r="Q124" s="58"/>
      <c r="R124" s="76"/>
      <c r="S124" s="76"/>
      <c r="T124" s="76"/>
      <c r="U124" s="73"/>
      <c r="V124" s="76"/>
      <c r="W124" s="76"/>
      <c r="X124" s="76"/>
      <c r="Y124" s="76"/>
      <c r="Z124" s="76"/>
      <c r="AA124" s="76"/>
      <c r="AB124" s="76"/>
      <c r="AC124" s="76"/>
      <c r="AD124" s="76"/>
    </row>
    <row r="125">
      <c r="A125" s="36" t="s">
        <v>904</v>
      </c>
      <c r="B125" s="155" t="s">
        <v>534</v>
      </c>
      <c r="C125" s="37" t="str">
        <f>IF(B125="","",(VLOOKUP(B125,'Dados de PN'!$A:$B,2,0)))</f>
        <v>VALVE,SAFETY RELIEF</v>
      </c>
      <c r="D125" s="155" t="s">
        <v>31</v>
      </c>
      <c r="E125" s="136" t="s">
        <v>32</v>
      </c>
      <c r="F125" s="136" t="s">
        <v>34</v>
      </c>
      <c r="G125" s="44">
        <f t="shared" si="3"/>
        <v>1</v>
      </c>
      <c r="H125" s="41">
        <v>6.85260010851E11</v>
      </c>
      <c r="I125" s="137" t="s">
        <v>899</v>
      </c>
      <c r="J125" s="136" t="s">
        <v>37</v>
      </c>
      <c r="K125" s="141">
        <v>46065.0</v>
      </c>
      <c r="L125" s="155" t="s">
        <v>183</v>
      </c>
      <c r="M125" s="136" t="s">
        <v>61</v>
      </c>
      <c r="N125" s="58"/>
      <c r="O125" s="58"/>
      <c r="P125" s="76"/>
      <c r="Q125" s="58"/>
      <c r="R125" s="76"/>
      <c r="S125" s="76"/>
      <c r="T125" s="76"/>
      <c r="U125" s="73"/>
      <c r="V125" s="76"/>
      <c r="W125" s="76"/>
      <c r="X125" s="76"/>
      <c r="Y125" s="76"/>
      <c r="Z125" s="76"/>
      <c r="AA125" s="76"/>
      <c r="AB125" s="76"/>
      <c r="AC125" s="76"/>
      <c r="AD125" s="76"/>
    </row>
    <row r="126">
      <c r="A126" s="36" t="s">
        <v>913</v>
      </c>
      <c r="B126" s="155" t="s">
        <v>905</v>
      </c>
      <c r="C126" s="37" t="str">
        <f>IF(B126="","",(VLOOKUP(B126,'Dados de PN'!$A:$B,2,0)))</f>
        <v>GYRO HORIZON</v>
      </c>
      <c r="D126" s="155" t="s">
        <v>907</v>
      </c>
      <c r="E126" s="136" t="s">
        <v>81</v>
      </c>
      <c r="F126" s="136" t="s">
        <v>34</v>
      </c>
      <c r="G126" s="44">
        <f t="shared" si="3"/>
        <v>1</v>
      </c>
      <c r="H126" s="41">
        <v>1.6694288E7</v>
      </c>
      <c r="I126" s="47" t="s">
        <v>908</v>
      </c>
      <c r="J126" s="136" t="s">
        <v>37</v>
      </c>
      <c r="K126" s="53">
        <v>46066.0</v>
      </c>
      <c r="L126" s="155" t="s">
        <v>168</v>
      </c>
      <c r="M126" s="136" t="s">
        <v>169</v>
      </c>
      <c r="N126" s="58"/>
      <c r="O126" s="58"/>
      <c r="P126" s="76"/>
      <c r="Q126" s="58"/>
      <c r="R126" s="76"/>
      <c r="S126" s="76"/>
      <c r="T126" s="76"/>
      <c r="U126" s="73"/>
      <c r="V126" s="76"/>
      <c r="W126" s="76"/>
      <c r="X126" s="76"/>
      <c r="Y126" s="76"/>
      <c r="Z126" s="76"/>
      <c r="AA126" s="76"/>
      <c r="AB126" s="76"/>
      <c r="AC126" s="76"/>
      <c r="AD126" s="76"/>
    </row>
    <row r="127">
      <c r="A127" s="36" t="s">
        <v>918</v>
      </c>
      <c r="B127" s="155" t="s">
        <v>547</v>
      </c>
      <c r="C127" s="37" t="str">
        <f>IF(B127="","",(VLOOKUP(B127,'Dados de PN'!$A:$B,2,0)))</f>
        <v>THERMOSTAT</v>
      </c>
      <c r="D127" s="155"/>
      <c r="E127" s="136" t="s">
        <v>32</v>
      </c>
      <c r="F127" s="136" t="s">
        <v>34</v>
      </c>
      <c r="G127" s="44">
        <f t="shared" si="3"/>
        <v>1</v>
      </c>
      <c r="H127" s="41">
        <v>3.84260009358E11</v>
      </c>
      <c r="I127" s="137" t="s">
        <v>917</v>
      </c>
      <c r="J127" s="136" t="s">
        <v>37</v>
      </c>
      <c r="K127" s="53">
        <v>46073.0</v>
      </c>
      <c r="L127" s="155" t="s">
        <v>612</v>
      </c>
      <c r="M127" s="136" t="s">
        <v>549</v>
      </c>
      <c r="N127" s="58"/>
      <c r="O127" s="58"/>
      <c r="P127" s="76"/>
      <c r="Q127" s="58"/>
      <c r="R127" s="76"/>
      <c r="S127" s="76"/>
      <c r="T127" s="76"/>
      <c r="U127" s="73"/>
      <c r="V127" s="76"/>
      <c r="W127" s="76"/>
      <c r="X127" s="76"/>
      <c r="Y127" s="76"/>
      <c r="Z127" s="76"/>
      <c r="AA127" s="76"/>
      <c r="AB127" s="76"/>
      <c r="AC127" s="76"/>
      <c r="AD127" s="76"/>
    </row>
    <row r="128">
      <c r="A128" s="36" t="s">
        <v>931</v>
      </c>
      <c r="B128" s="37" t="s">
        <v>369</v>
      </c>
      <c r="C128" s="37" t="str">
        <f>IF(B128="","",(VLOOKUP(B128,'Dados de PN'!$A:$B,2,0)))</f>
        <v>WHEEL HALF ASSY</v>
      </c>
      <c r="D128" s="155"/>
      <c r="E128" s="136" t="s">
        <v>81</v>
      </c>
      <c r="F128" s="136" t="s">
        <v>34</v>
      </c>
      <c r="G128" s="44">
        <f t="shared" si="3"/>
        <v>1</v>
      </c>
      <c r="H128" s="37" t="s">
        <v>922</v>
      </c>
      <c r="I128" s="137" t="s">
        <v>923</v>
      </c>
      <c r="J128" s="136" t="s">
        <v>37</v>
      </c>
      <c r="K128" s="53">
        <v>46073.0</v>
      </c>
      <c r="L128" s="155" t="s">
        <v>168</v>
      </c>
      <c r="M128" s="136" t="s">
        <v>169</v>
      </c>
      <c r="N128" s="58"/>
      <c r="O128" s="58"/>
      <c r="P128" s="178" t="s">
        <v>369</v>
      </c>
      <c r="Q128" s="137" t="s">
        <v>926</v>
      </c>
      <c r="R128" s="136" t="s">
        <v>554</v>
      </c>
      <c r="S128" s="76"/>
      <c r="T128" s="147">
        <v>45889.0</v>
      </c>
      <c r="U128" s="102" t="s">
        <v>930</v>
      </c>
      <c r="V128" s="76"/>
      <c r="W128" s="76"/>
      <c r="X128" s="76"/>
      <c r="Y128" s="76"/>
      <c r="Z128" s="76"/>
      <c r="AA128" s="76"/>
      <c r="AB128" s="76"/>
      <c r="AC128" s="76"/>
      <c r="AD128" s="76"/>
    </row>
    <row r="129">
      <c r="A129" s="36" t="s">
        <v>937</v>
      </c>
      <c r="B129" s="37" t="s">
        <v>374</v>
      </c>
      <c r="C129" s="37" t="str">
        <f>IF(B129="","",(VLOOKUP(B129,'Dados de PN'!$A:$B,2,0)))</f>
        <v>WHEEL HALF ASSY</v>
      </c>
      <c r="D129" s="155"/>
      <c r="E129" s="136" t="s">
        <v>81</v>
      </c>
      <c r="F129" s="136" t="s">
        <v>34</v>
      </c>
      <c r="G129" s="44">
        <f t="shared" si="3"/>
        <v>1</v>
      </c>
      <c r="H129" s="37" t="s">
        <v>934</v>
      </c>
      <c r="I129" s="137" t="s">
        <v>923</v>
      </c>
      <c r="J129" s="136" t="s">
        <v>37</v>
      </c>
      <c r="K129" s="53">
        <v>46073.0</v>
      </c>
      <c r="L129" s="155" t="s">
        <v>168</v>
      </c>
      <c r="M129" s="136" t="s">
        <v>169</v>
      </c>
      <c r="N129" s="58"/>
      <c r="O129" s="58"/>
      <c r="P129" s="76"/>
      <c r="Q129" s="58"/>
      <c r="R129" s="76"/>
      <c r="S129" s="76"/>
      <c r="T129" s="76"/>
      <c r="U129" s="73"/>
      <c r="V129" s="76"/>
      <c r="W129" s="76"/>
      <c r="X129" s="76"/>
      <c r="Y129" s="76"/>
      <c r="Z129" s="76"/>
      <c r="AA129" s="76"/>
      <c r="AB129" s="76"/>
      <c r="AC129" s="76"/>
      <c r="AD129" s="76"/>
    </row>
    <row r="130">
      <c r="A130" s="36" t="s">
        <v>942</v>
      </c>
      <c r="B130" s="37" t="s">
        <v>257</v>
      </c>
      <c r="C130" s="37" t="str">
        <f>IF(B130="","",(VLOOKUP(B130,'Dados de PN'!$A:$B,2,0)))</f>
        <v>INNER TUBE,PNEUMATIC TIRE,AIRCRAFT</v>
      </c>
      <c r="D130" s="155"/>
      <c r="E130" s="136" t="s">
        <v>32</v>
      </c>
      <c r="F130" s="136" t="s">
        <v>34</v>
      </c>
      <c r="G130" s="44">
        <f t="shared" si="3"/>
        <v>1</v>
      </c>
      <c r="H130" s="37" t="s">
        <v>938</v>
      </c>
      <c r="I130" s="137" t="s">
        <v>923</v>
      </c>
      <c r="J130" s="136" t="s">
        <v>37</v>
      </c>
      <c r="K130" s="53">
        <v>46073.0</v>
      </c>
      <c r="L130" s="155" t="s">
        <v>168</v>
      </c>
      <c r="M130" s="136" t="s">
        <v>169</v>
      </c>
      <c r="N130" s="58"/>
      <c r="O130" s="58"/>
      <c r="P130" s="76"/>
      <c r="Q130" s="58"/>
      <c r="R130" s="76"/>
      <c r="S130" s="76"/>
      <c r="T130" s="76"/>
      <c r="U130" s="73"/>
      <c r="V130" s="76"/>
      <c r="W130" s="76"/>
      <c r="X130" s="76"/>
      <c r="Y130" s="76"/>
      <c r="Z130" s="76"/>
      <c r="AA130" s="76"/>
      <c r="AB130" s="76"/>
      <c r="AC130" s="76"/>
      <c r="AD130" s="76"/>
    </row>
    <row r="131">
      <c r="A131" s="36" t="s">
        <v>946</v>
      </c>
      <c r="B131" s="37" t="s">
        <v>240</v>
      </c>
      <c r="C131" s="37" t="str">
        <f>IF(B131="","",(VLOOKUP(B131,'Dados de PN'!$A:$B,2,0)))</f>
        <v>PNEU PRINCIPAL 8.50-10 08PR TT FCIII MLG</v>
      </c>
      <c r="D131" s="155"/>
      <c r="E131" s="136" t="s">
        <v>32</v>
      </c>
      <c r="F131" s="136" t="s">
        <v>34</v>
      </c>
      <c r="G131" s="44">
        <f t="shared" si="3"/>
        <v>1</v>
      </c>
      <c r="H131" s="37" t="s">
        <v>944</v>
      </c>
      <c r="I131" s="137" t="s">
        <v>923</v>
      </c>
      <c r="J131" s="136" t="s">
        <v>37</v>
      </c>
      <c r="K131" s="53">
        <v>46073.0</v>
      </c>
      <c r="L131" s="155" t="s">
        <v>168</v>
      </c>
      <c r="M131" s="136" t="s">
        <v>169</v>
      </c>
      <c r="N131" s="58"/>
      <c r="O131" s="58"/>
      <c r="P131" s="76"/>
      <c r="Q131" s="58"/>
      <c r="R131" s="76"/>
      <c r="S131" s="76"/>
      <c r="T131" s="76"/>
      <c r="U131" s="73"/>
      <c r="V131" s="76"/>
      <c r="W131" s="76"/>
      <c r="X131" s="76"/>
      <c r="Y131" s="76"/>
      <c r="Z131" s="76"/>
      <c r="AA131" s="76"/>
      <c r="AB131" s="76"/>
      <c r="AC131" s="76"/>
      <c r="AD131" s="76"/>
    </row>
    <row r="132">
      <c r="A132" s="36" t="s">
        <v>949</v>
      </c>
      <c r="B132" s="37" t="s">
        <v>563</v>
      </c>
      <c r="C132" s="37" t="str">
        <f>IF(B132="","",(VLOOKUP(B132,'Dados de PN'!$A:$B,2,0)))</f>
        <v>NUT,PLAIN,HEXAGON</v>
      </c>
      <c r="D132" s="155"/>
      <c r="E132" s="136" t="s">
        <v>32</v>
      </c>
      <c r="F132" s="136" t="s">
        <v>794</v>
      </c>
      <c r="G132" s="44">
        <f t="shared" si="3"/>
        <v>6</v>
      </c>
      <c r="H132" s="37" t="s">
        <v>948</v>
      </c>
      <c r="I132" s="137" t="s">
        <v>923</v>
      </c>
      <c r="J132" s="136" t="s">
        <v>37</v>
      </c>
      <c r="K132" s="53">
        <v>46073.0</v>
      </c>
      <c r="L132" s="155" t="s">
        <v>168</v>
      </c>
      <c r="M132" s="136" t="s">
        <v>169</v>
      </c>
      <c r="N132" s="58"/>
      <c r="O132" s="58"/>
      <c r="P132" s="76"/>
      <c r="Q132" s="58"/>
      <c r="R132" s="76"/>
      <c r="S132" s="76"/>
      <c r="T132" s="76"/>
      <c r="U132" s="73"/>
      <c r="V132" s="76"/>
      <c r="W132" s="76"/>
      <c r="X132" s="76"/>
      <c r="Y132" s="76"/>
      <c r="Z132" s="76"/>
      <c r="AA132" s="76"/>
      <c r="AB132" s="76"/>
      <c r="AC132" s="76"/>
      <c r="AD132" s="76"/>
    </row>
    <row r="133">
      <c r="A133" s="36" t="s">
        <v>957</v>
      </c>
      <c r="B133" s="155" t="s">
        <v>566</v>
      </c>
      <c r="C133" s="37" t="str">
        <f>IF(B133="","",(VLOOKUP(B133,'Dados de PN'!$A:$B,2,0)))</f>
        <v>SUCTION GAGE</v>
      </c>
      <c r="D133" s="155" t="s">
        <v>568</v>
      </c>
      <c r="E133" s="136" t="s">
        <v>32</v>
      </c>
      <c r="F133" s="136" t="s">
        <v>34</v>
      </c>
      <c r="G133" s="44">
        <f t="shared" si="3"/>
        <v>1</v>
      </c>
      <c r="H133" s="41">
        <v>1.6783067E7</v>
      </c>
      <c r="I133" s="137" t="s">
        <v>952</v>
      </c>
      <c r="J133" s="136" t="s">
        <v>37</v>
      </c>
      <c r="K133" s="53">
        <v>46077.0</v>
      </c>
      <c r="L133" s="155" t="s">
        <v>953</v>
      </c>
      <c r="M133" s="136" t="s">
        <v>570</v>
      </c>
      <c r="N133" s="58"/>
      <c r="O133" s="58"/>
      <c r="P133" s="76"/>
      <c r="Q133" s="58"/>
      <c r="R133" s="76"/>
      <c r="S133" s="76"/>
      <c r="T133" s="76"/>
      <c r="U133" s="73"/>
      <c r="V133" s="76"/>
      <c r="W133" s="76"/>
      <c r="X133" s="76"/>
      <c r="Y133" s="76"/>
      <c r="Z133" s="76"/>
      <c r="AA133" s="76"/>
      <c r="AB133" s="76"/>
      <c r="AC133" s="76"/>
      <c r="AD133" s="76"/>
    </row>
    <row r="134">
      <c r="A134" s="36" t="s">
        <v>962</v>
      </c>
      <c r="B134" s="155" t="s">
        <v>572</v>
      </c>
      <c r="C134" s="37" t="str">
        <f>IF(B134="","",(VLOOKUP(B134,'Dados de PN'!$A:$B,2,0)))</f>
        <v>PIN,STRAIGHT,HEADED</v>
      </c>
      <c r="D134" s="155"/>
      <c r="E134" s="136" t="s">
        <v>32</v>
      </c>
      <c r="F134" s="136" t="s">
        <v>34</v>
      </c>
      <c r="G134" s="44">
        <f t="shared" si="3"/>
        <v>1</v>
      </c>
      <c r="H134" s="41">
        <v>3.13260017745E11</v>
      </c>
      <c r="I134" s="137" t="s">
        <v>959</v>
      </c>
      <c r="J134" s="136" t="s">
        <v>37</v>
      </c>
      <c r="K134" s="53">
        <v>46079.0</v>
      </c>
      <c r="L134" s="155" t="s">
        <v>961</v>
      </c>
      <c r="M134" s="136" t="s">
        <v>51</v>
      </c>
      <c r="N134" s="58"/>
      <c r="O134" s="58"/>
      <c r="P134" s="76"/>
      <c r="Q134" s="58"/>
      <c r="R134" s="76"/>
      <c r="S134" s="76"/>
      <c r="T134" s="76"/>
      <c r="U134" s="73"/>
      <c r="V134" s="76"/>
      <c r="W134" s="76"/>
      <c r="X134" s="76"/>
      <c r="Y134" s="76"/>
      <c r="Z134" s="76"/>
      <c r="AA134" s="76"/>
      <c r="AB134" s="76"/>
      <c r="AC134" s="76"/>
      <c r="AD134" s="76"/>
    </row>
    <row r="135">
      <c r="A135" s="36" t="s">
        <v>968</v>
      </c>
      <c r="B135" s="155" t="s">
        <v>378</v>
      </c>
      <c r="C135" s="37" t="str">
        <f>IF(B135="","",(VLOOKUP(B135,'Dados de PN'!$A:$B,2,0)))</f>
        <v>WHEEL HALF ASSY</v>
      </c>
      <c r="D135" s="155"/>
      <c r="E135" s="136" t="s">
        <v>81</v>
      </c>
      <c r="F135" s="136" t="s">
        <v>34</v>
      </c>
      <c r="G135" s="44">
        <f t="shared" si="3"/>
        <v>1</v>
      </c>
      <c r="H135" s="37" t="s">
        <v>965</v>
      </c>
      <c r="I135" s="137" t="s">
        <v>652</v>
      </c>
      <c r="J135" s="136" t="s">
        <v>37</v>
      </c>
      <c r="K135" s="53">
        <v>46080.0</v>
      </c>
      <c r="L135" s="155" t="s">
        <v>612</v>
      </c>
      <c r="M135" s="136" t="s">
        <v>549</v>
      </c>
      <c r="N135" s="58"/>
      <c r="O135" s="58"/>
      <c r="P135" s="76"/>
      <c r="Q135" s="58"/>
      <c r="R135" s="76"/>
      <c r="S135" s="76"/>
      <c r="T135" s="76"/>
      <c r="U135" s="73"/>
      <c r="V135" s="76"/>
      <c r="W135" s="76"/>
      <c r="X135" s="76"/>
      <c r="Y135" s="76"/>
      <c r="Z135" s="76"/>
      <c r="AA135" s="76"/>
      <c r="AB135" s="76"/>
      <c r="AC135" s="76"/>
      <c r="AD135" s="76"/>
    </row>
    <row r="136">
      <c r="A136" s="36" t="s">
        <v>970</v>
      </c>
      <c r="B136" s="155" t="s">
        <v>379</v>
      </c>
      <c r="C136" s="37" t="str">
        <f>IF(B136="","",(VLOOKUP(B136,'Dados de PN'!$A:$B,2,0)))</f>
        <v>WHEEL HALF ASSY</v>
      </c>
      <c r="D136" s="155"/>
      <c r="E136" s="136" t="s">
        <v>81</v>
      </c>
      <c r="F136" s="136" t="s">
        <v>34</v>
      </c>
      <c r="G136" s="44">
        <f t="shared" si="3"/>
        <v>1</v>
      </c>
      <c r="H136" s="41">
        <v>1.6843795E7</v>
      </c>
      <c r="I136" s="179" t="s">
        <v>652</v>
      </c>
      <c r="J136" s="180" t="s">
        <v>37</v>
      </c>
      <c r="K136" s="181">
        <v>46080.0</v>
      </c>
      <c r="L136" s="156" t="s">
        <v>612</v>
      </c>
      <c r="M136" s="76" t="s">
        <v>549</v>
      </c>
      <c r="N136" s="58"/>
      <c r="O136" s="58"/>
      <c r="P136" s="76"/>
      <c r="Q136" s="58"/>
      <c r="R136" s="76"/>
      <c r="S136" s="76"/>
      <c r="T136" s="76"/>
      <c r="U136" s="73"/>
      <c r="V136" s="76"/>
      <c r="W136" s="76"/>
      <c r="X136" s="76"/>
      <c r="Y136" s="76"/>
      <c r="Z136" s="76"/>
      <c r="AA136" s="76"/>
      <c r="AB136" s="76"/>
      <c r="AC136" s="76"/>
      <c r="AD136" s="76"/>
    </row>
    <row r="137">
      <c r="A137" s="36" t="s">
        <v>972</v>
      </c>
      <c r="B137" s="155" t="s">
        <v>582</v>
      </c>
      <c r="C137" s="37" t="str">
        <f>IF(B137="","",(VLOOKUP(B137,'Dados de PN'!$A:$B,2,0)))</f>
        <v>HOSE ASSY</v>
      </c>
      <c r="D137" s="155"/>
      <c r="E137" s="136" t="s">
        <v>32</v>
      </c>
      <c r="F137" s="136" t="s">
        <v>34</v>
      </c>
      <c r="G137" s="44">
        <f t="shared" si="3"/>
        <v>1</v>
      </c>
      <c r="H137" s="37" t="s">
        <v>971</v>
      </c>
      <c r="I137" s="179" t="s">
        <v>652</v>
      </c>
      <c r="J137" s="180" t="s">
        <v>37</v>
      </c>
      <c r="K137" s="181">
        <v>46080.0</v>
      </c>
      <c r="L137" s="156" t="s">
        <v>612</v>
      </c>
      <c r="M137" s="76" t="s">
        <v>549</v>
      </c>
      <c r="N137" s="58"/>
      <c r="O137" s="58"/>
      <c r="P137" s="76"/>
      <c r="Q137" s="58"/>
      <c r="R137" s="76"/>
      <c r="S137" s="76"/>
      <c r="T137" s="76"/>
      <c r="U137" s="73"/>
      <c r="V137" s="76"/>
      <c r="W137" s="76"/>
      <c r="X137" s="76"/>
      <c r="Y137" s="76"/>
      <c r="Z137" s="76"/>
      <c r="AA137" s="76"/>
      <c r="AB137" s="76"/>
      <c r="AC137" s="76"/>
      <c r="AD137" s="76"/>
    </row>
    <row r="138">
      <c r="A138" s="36" t="s">
        <v>975</v>
      </c>
      <c r="B138" s="155" t="s">
        <v>585</v>
      </c>
      <c r="C138" s="37" t="str">
        <f>IF(B138="","",(VLOOKUP(B138,'Dados de PN'!$A:$B,2,0)))</f>
        <v>CLAMP,LOOP</v>
      </c>
      <c r="D138" s="155"/>
      <c r="E138" s="136" t="s">
        <v>32</v>
      </c>
      <c r="F138" s="136" t="s">
        <v>346</v>
      </c>
      <c r="G138" s="44">
        <f t="shared" si="3"/>
        <v>10</v>
      </c>
      <c r="H138" s="41">
        <v>1.6844147E7</v>
      </c>
      <c r="I138" s="137" t="s">
        <v>973</v>
      </c>
      <c r="J138" s="180" t="s">
        <v>37</v>
      </c>
      <c r="K138" s="181">
        <v>46080.0</v>
      </c>
      <c r="L138" s="155" t="s">
        <v>588</v>
      </c>
      <c r="M138" s="136" t="s">
        <v>61</v>
      </c>
      <c r="N138" s="58"/>
      <c r="O138" s="58"/>
      <c r="P138" s="76"/>
      <c r="Q138" s="58"/>
      <c r="R138" s="76"/>
      <c r="S138" s="76"/>
      <c r="T138" s="76"/>
      <c r="U138" s="73"/>
      <c r="V138" s="76"/>
      <c r="W138" s="76"/>
      <c r="X138" s="76"/>
      <c r="Y138" s="76"/>
      <c r="Z138" s="76"/>
      <c r="AA138" s="76"/>
      <c r="AB138" s="76"/>
      <c r="AC138" s="76"/>
      <c r="AD138" s="76"/>
    </row>
    <row r="139">
      <c r="A139" s="36" t="s">
        <v>977</v>
      </c>
      <c r="B139" s="155" t="s">
        <v>590</v>
      </c>
      <c r="C139" s="37" t="str">
        <f>IF(B139="","",(VLOOKUP(B139,'Dados de PN'!$A:$B,2,0)))</f>
        <v>PIN,SPRING</v>
      </c>
      <c r="D139" s="155"/>
      <c r="E139" s="136" t="s">
        <v>32</v>
      </c>
      <c r="F139" s="41" t="s">
        <v>164</v>
      </c>
      <c r="G139" s="44">
        <f t="shared" si="3"/>
        <v>2</v>
      </c>
      <c r="H139" s="37" t="s">
        <v>976</v>
      </c>
      <c r="I139" s="137" t="s">
        <v>973</v>
      </c>
      <c r="J139" s="180" t="s">
        <v>37</v>
      </c>
      <c r="K139" s="181">
        <v>46080.0</v>
      </c>
      <c r="L139" s="155" t="s">
        <v>588</v>
      </c>
      <c r="M139" s="136" t="s">
        <v>61</v>
      </c>
      <c r="N139" s="58"/>
      <c r="O139" s="58"/>
      <c r="P139" s="76"/>
      <c r="Q139" s="58"/>
      <c r="R139" s="76"/>
      <c r="S139" s="76"/>
      <c r="T139" s="76"/>
      <c r="U139" s="73"/>
      <c r="V139" s="76"/>
      <c r="W139" s="76"/>
      <c r="X139" s="76"/>
      <c r="Y139" s="76"/>
      <c r="Z139" s="76"/>
      <c r="AA139" s="76"/>
      <c r="AB139" s="76"/>
      <c r="AC139" s="76"/>
      <c r="AD139" s="76"/>
    </row>
    <row r="140">
      <c r="A140" s="36" t="s">
        <v>595</v>
      </c>
      <c r="B140" s="155" t="s">
        <v>572</v>
      </c>
      <c r="C140" s="37" t="str">
        <f>IF(B140="","",(VLOOKUP(B140,'Dados de PN'!$A:$B,2,0)))</f>
        <v>PIN,STRAIGHT,HEADED</v>
      </c>
      <c r="D140" s="155"/>
      <c r="E140" s="136" t="s">
        <v>32</v>
      </c>
      <c r="F140" s="136" t="s">
        <v>34</v>
      </c>
      <c r="G140" s="44">
        <f t="shared" si="3"/>
        <v>1</v>
      </c>
      <c r="H140" s="41">
        <v>3.13260017745E11</v>
      </c>
      <c r="I140" s="137" t="s">
        <v>959</v>
      </c>
      <c r="J140" s="180" t="s">
        <v>37</v>
      </c>
      <c r="K140" s="53">
        <v>46078.0</v>
      </c>
      <c r="L140" s="155" t="s">
        <v>961</v>
      </c>
      <c r="M140" s="136" t="s">
        <v>51</v>
      </c>
      <c r="N140" s="137">
        <v>2.02667113005464E14</v>
      </c>
      <c r="O140" s="58"/>
      <c r="P140" s="76"/>
      <c r="Q140" s="58"/>
      <c r="R140" s="76"/>
      <c r="S140" s="76"/>
      <c r="T140" s="76"/>
      <c r="U140" s="102" t="s">
        <v>979</v>
      </c>
      <c r="V140" s="76"/>
      <c r="W140" s="76"/>
      <c r="X140" s="76"/>
      <c r="Y140" s="76"/>
      <c r="Z140" s="76"/>
      <c r="AA140" s="76"/>
      <c r="AB140" s="76"/>
      <c r="AC140" s="76"/>
      <c r="AD140" s="76"/>
    </row>
    <row r="141">
      <c r="A141" s="36" t="s">
        <v>601</v>
      </c>
      <c r="B141" s="155" t="s">
        <v>596</v>
      </c>
      <c r="C141" s="37" t="str">
        <f>IF(B141="","",(VLOOKUP(B141,'Dados de PN'!$A:$B,2,0)))</f>
        <v>VENT WINDOK ASSY</v>
      </c>
      <c r="D141" s="155"/>
      <c r="E141" s="136" t="s">
        <v>32</v>
      </c>
      <c r="F141" s="41" t="s">
        <v>34</v>
      </c>
      <c r="G141" s="44">
        <f t="shared" si="3"/>
        <v>1</v>
      </c>
      <c r="H141" s="41">
        <v>1.6907743E7</v>
      </c>
      <c r="I141" s="137" t="s">
        <v>599</v>
      </c>
      <c r="J141" s="180" t="s">
        <v>37</v>
      </c>
      <c r="K141" s="53">
        <v>46092.0</v>
      </c>
      <c r="L141" s="155" t="s">
        <v>133</v>
      </c>
      <c r="M141" s="136" t="s">
        <v>76</v>
      </c>
      <c r="N141" s="58"/>
      <c r="O141" s="58"/>
      <c r="P141" s="76"/>
      <c r="Q141" s="58"/>
      <c r="R141" s="76"/>
      <c r="S141" s="76"/>
      <c r="T141" s="76"/>
      <c r="U141" s="102"/>
      <c r="V141" s="76"/>
      <c r="W141" s="76"/>
      <c r="X141" s="76"/>
      <c r="Y141" s="76"/>
      <c r="Z141" s="76"/>
      <c r="AA141" s="76"/>
      <c r="AB141" s="76"/>
      <c r="AC141" s="76"/>
      <c r="AD141" s="76"/>
    </row>
    <row r="142">
      <c r="A142" s="36" t="s">
        <v>606</v>
      </c>
      <c r="B142" s="155" t="s">
        <v>602</v>
      </c>
      <c r="C142" s="37" t="str">
        <f>IF(B142="","",(VLOOKUP(B142,'Dados de PN'!$A:$B,2,0)))</f>
        <v>SEAL</v>
      </c>
      <c r="D142" s="155"/>
      <c r="E142" s="136" t="s">
        <v>32</v>
      </c>
      <c r="F142" s="136" t="s">
        <v>34</v>
      </c>
      <c r="G142" s="44">
        <f t="shared" si="3"/>
        <v>1</v>
      </c>
      <c r="H142" s="41">
        <v>1.690776E7</v>
      </c>
      <c r="I142" s="137" t="s">
        <v>599</v>
      </c>
      <c r="J142" s="180" t="s">
        <v>37</v>
      </c>
      <c r="K142" s="53">
        <v>46092.0</v>
      </c>
      <c r="L142" s="155" t="s">
        <v>133</v>
      </c>
      <c r="M142" s="136" t="s">
        <v>76</v>
      </c>
      <c r="N142" s="58"/>
      <c r="O142" s="58"/>
      <c r="P142" s="76"/>
      <c r="Q142" s="58"/>
      <c r="R142" s="76"/>
      <c r="S142" s="76"/>
      <c r="T142" s="76"/>
      <c r="U142" s="102"/>
      <c r="V142" s="76"/>
      <c r="W142" s="76"/>
      <c r="X142" s="76"/>
      <c r="Y142" s="76"/>
      <c r="Z142" s="76"/>
      <c r="AA142" s="76"/>
      <c r="AB142" s="76"/>
      <c r="AC142" s="76"/>
      <c r="AD142" s="76"/>
    </row>
    <row r="143">
      <c r="A143" s="36" t="s">
        <v>618</v>
      </c>
      <c r="B143" s="155" t="s">
        <v>607</v>
      </c>
      <c r="C143" s="37" t="str">
        <f>IF(B143="","",(VLOOKUP(B143,'Dados de PN'!$A:$B,2,0)))</f>
        <v>DUCT-FLEX</v>
      </c>
      <c r="D143" s="155"/>
      <c r="E143" s="136" t="s">
        <v>32</v>
      </c>
      <c r="F143" s="136" t="s">
        <v>34</v>
      </c>
      <c r="G143" s="44">
        <f t="shared" si="3"/>
        <v>1</v>
      </c>
      <c r="H143" s="41">
        <v>1.690778E7</v>
      </c>
      <c r="I143" s="137" t="s">
        <v>599</v>
      </c>
      <c r="J143" s="180" t="s">
        <v>37</v>
      </c>
      <c r="K143" s="53">
        <v>46092.0</v>
      </c>
      <c r="L143" s="155" t="s">
        <v>133</v>
      </c>
      <c r="M143" s="136" t="s">
        <v>76</v>
      </c>
      <c r="N143" s="58"/>
      <c r="O143" s="58"/>
      <c r="P143" s="76"/>
      <c r="Q143" s="58"/>
      <c r="R143" s="76"/>
      <c r="S143" s="76"/>
      <c r="T143" s="76"/>
      <c r="U143" s="73"/>
      <c r="V143" s="76"/>
      <c r="W143" s="76"/>
      <c r="X143" s="76"/>
      <c r="Y143" s="76"/>
      <c r="Z143" s="76"/>
      <c r="AA143" s="76"/>
      <c r="AB143" s="76"/>
      <c r="AC143" s="76"/>
      <c r="AD143" s="76"/>
    </row>
    <row r="144">
      <c r="A144" s="36" t="s">
        <v>621</v>
      </c>
      <c r="B144" s="155" t="s">
        <v>610</v>
      </c>
      <c r="C144" s="37" t="str">
        <f>IF(B144="","",(VLOOKUP(B144,'Dados de PN'!$A:$B,2,0)))</f>
        <v>RING AY-ENGINE MOUNT</v>
      </c>
      <c r="D144" s="155" t="s">
        <v>615</v>
      </c>
      <c r="E144" s="136" t="s">
        <v>81</v>
      </c>
      <c r="F144" s="136" t="s">
        <v>34</v>
      </c>
      <c r="G144" s="44">
        <f t="shared" si="3"/>
        <v>1</v>
      </c>
      <c r="H144" s="41">
        <v>1.6920585E7</v>
      </c>
      <c r="I144" s="137" t="s">
        <v>616</v>
      </c>
      <c r="J144" s="180" t="s">
        <v>37</v>
      </c>
      <c r="K144" s="53">
        <v>46092.0</v>
      </c>
      <c r="L144" s="155" t="s">
        <v>133</v>
      </c>
      <c r="M144" s="136" t="s">
        <v>76</v>
      </c>
      <c r="N144" s="58"/>
      <c r="O144" s="58"/>
      <c r="P144" s="76"/>
      <c r="Q144" s="58"/>
      <c r="R144" s="76"/>
      <c r="S144" s="76"/>
      <c r="T144" s="76"/>
      <c r="U144" s="73"/>
      <c r="V144" s="76"/>
      <c r="W144" s="76"/>
      <c r="X144" s="76"/>
      <c r="Y144" s="76"/>
      <c r="Z144" s="76"/>
      <c r="AA144" s="76"/>
      <c r="AB144" s="76"/>
      <c r="AC144" s="76"/>
      <c r="AD144" s="76"/>
    </row>
    <row r="145">
      <c r="A145" s="36" t="s">
        <v>629</v>
      </c>
      <c r="B145" s="155" t="s">
        <v>111</v>
      </c>
      <c r="C145" s="37" t="str">
        <f>IF(B145="","",(VLOOKUP(B145,'Dados de PN'!$A:$B,2,0)))</f>
        <v>HOSE ASSY</v>
      </c>
      <c r="D145" s="155"/>
      <c r="E145" s="136" t="s">
        <v>32</v>
      </c>
      <c r="F145" s="136" t="s">
        <v>34</v>
      </c>
      <c r="G145" s="44">
        <f t="shared" si="3"/>
        <v>1</v>
      </c>
      <c r="H145" s="41" t="s">
        <v>619</v>
      </c>
      <c r="I145" s="137" t="s">
        <v>620</v>
      </c>
      <c r="J145" s="180" t="s">
        <v>37</v>
      </c>
      <c r="K145" s="53">
        <v>46090.0</v>
      </c>
      <c r="L145" s="155">
        <v>2709.0</v>
      </c>
      <c r="M145" s="136" t="s">
        <v>169</v>
      </c>
      <c r="N145" s="58"/>
      <c r="O145" s="58"/>
      <c r="P145" s="76"/>
      <c r="Q145" s="58"/>
      <c r="R145" s="76"/>
      <c r="S145" s="76"/>
      <c r="T145" s="76"/>
      <c r="U145" s="102"/>
      <c r="V145" s="76"/>
      <c r="W145" s="76"/>
      <c r="X145" s="76"/>
      <c r="Y145" s="76"/>
      <c r="Z145" s="76"/>
      <c r="AA145" s="76"/>
      <c r="AB145" s="76"/>
      <c r="AC145" s="76"/>
      <c r="AD145" s="76"/>
    </row>
    <row r="146">
      <c r="A146" s="36" t="s">
        <v>632</v>
      </c>
      <c r="B146" s="155" t="s">
        <v>378</v>
      </c>
      <c r="C146" s="37" t="str">
        <f>IF(B146="","",(VLOOKUP(B146,'Dados de PN'!$A:$B,2,0)))</f>
        <v>WHEEL HALF ASSY</v>
      </c>
      <c r="D146" s="155"/>
      <c r="E146" s="136" t="s">
        <v>81</v>
      </c>
      <c r="F146" s="136" t="s">
        <v>34</v>
      </c>
      <c r="G146" s="44">
        <f t="shared" si="3"/>
        <v>1</v>
      </c>
      <c r="H146" s="41" t="s">
        <v>626</v>
      </c>
      <c r="I146" s="137" t="s">
        <v>627</v>
      </c>
      <c r="J146" s="180" t="s">
        <v>37</v>
      </c>
      <c r="K146" s="53">
        <v>46094.0</v>
      </c>
      <c r="L146" s="155" t="s">
        <v>422</v>
      </c>
      <c r="M146" s="136" t="s">
        <v>423</v>
      </c>
      <c r="N146" s="58"/>
      <c r="O146" s="58"/>
      <c r="P146" s="76"/>
      <c r="Q146" s="58"/>
      <c r="R146" s="76"/>
      <c r="S146" s="76"/>
      <c r="T146" s="76"/>
      <c r="U146" s="102"/>
      <c r="V146" s="76"/>
      <c r="W146" s="76"/>
      <c r="X146" s="76"/>
      <c r="Y146" s="76"/>
      <c r="Z146" s="76"/>
      <c r="AA146" s="76"/>
      <c r="AB146" s="76"/>
      <c r="AC146" s="76"/>
      <c r="AD146" s="76"/>
    </row>
    <row r="147">
      <c r="A147" s="36" t="s">
        <v>637</v>
      </c>
      <c r="B147" s="155" t="s">
        <v>379</v>
      </c>
      <c r="C147" s="37" t="str">
        <f>IF(B147="","",(VLOOKUP(B147,'Dados de PN'!$A:$B,2,0)))</f>
        <v>WHEEL HALF ASSY</v>
      </c>
      <c r="D147" s="155"/>
      <c r="E147" s="136" t="s">
        <v>81</v>
      </c>
      <c r="F147" s="136" t="s">
        <v>34</v>
      </c>
      <c r="G147" s="44">
        <f t="shared" si="3"/>
        <v>1</v>
      </c>
      <c r="H147" s="41" t="s">
        <v>631</v>
      </c>
      <c r="I147" s="137" t="s">
        <v>627</v>
      </c>
      <c r="J147" s="180" t="s">
        <v>37</v>
      </c>
      <c r="K147" s="53">
        <v>46094.0</v>
      </c>
      <c r="L147" s="155" t="s">
        <v>422</v>
      </c>
      <c r="M147" s="136" t="s">
        <v>423</v>
      </c>
      <c r="N147" s="58"/>
      <c r="O147" s="58"/>
      <c r="P147" s="76"/>
      <c r="Q147" s="58"/>
      <c r="R147" s="76"/>
      <c r="S147" s="76"/>
      <c r="T147" s="76"/>
      <c r="U147" s="102"/>
      <c r="V147" s="76"/>
      <c r="W147" s="76"/>
      <c r="X147" s="76"/>
      <c r="Y147" s="76"/>
      <c r="Z147" s="76"/>
      <c r="AA147" s="76"/>
      <c r="AB147" s="76"/>
      <c r="AC147" s="76"/>
      <c r="AD147" s="76"/>
    </row>
    <row r="148">
      <c r="A148" s="36" t="s">
        <v>641</v>
      </c>
      <c r="B148" s="155" t="s">
        <v>633</v>
      </c>
      <c r="C148" s="37" t="str">
        <f>IF(B148="","",(VLOOKUP(B148,'Dados de PN'!$A:$B,2,0)))</f>
        <v>AXLE-MAIN GEAR</v>
      </c>
      <c r="D148" s="155"/>
      <c r="E148" s="136" t="s">
        <v>81</v>
      </c>
      <c r="F148" s="136" t="s">
        <v>164</v>
      </c>
      <c r="G148" s="44">
        <f t="shared" si="3"/>
        <v>2</v>
      </c>
      <c r="H148" s="41" t="s">
        <v>635</v>
      </c>
      <c r="I148" s="137" t="s">
        <v>627</v>
      </c>
      <c r="J148" s="180" t="s">
        <v>37</v>
      </c>
      <c r="K148" s="53">
        <v>46094.0</v>
      </c>
      <c r="L148" s="155" t="s">
        <v>422</v>
      </c>
      <c r="M148" s="136" t="s">
        <v>423</v>
      </c>
      <c r="N148" s="58"/>
      <c r="O148" s="58"/>
      <c r="P148" s="76"/>
      <c r="Q148" s="58"/>
      <c r="R148" s="76"/>
      <c r="S148" s="76"/>
      <c r="T148" s="76"/>
      <c r="U148" s="102"/>
      <c r="V148" s="76"/>
      <c r="W148" s="76"/>
      <c r="X148" s="76"/>
      <c r="Y148" s="76"/>
      <c r="Z148" s="76"/>
      <c r="AA148" s="76"/>
      <c r="AB148" s="76"/>
      <c r="AC148" s="76"/>
      <c r="AD148" s="76"/>
    </row>
    <row r="149">
      <c r="A149" s="36" t="s">
        <v>645</v>
      </c>
      <c r="B149" s="155" t="s">
        <v>484</v>
      </c>
      <c r="C149" s="37" t="str">
        <f>IF(B149="","",(VLOOKUP(B149,'Dados de PN'!$A:$B,2,0)))</f>
        <v>INDICATOR FUEL</v>
      </c>
      <c r="D149" s="155"/>
      <c r="E149" s="136" t="s">
        <v>81</v>
      </c>
      <c r="F149" s="136" t="s">
        <v>164</v>
      </c>
      <c r="G149" s="44">
        <f t="shared" si="3"/>
        <v>2</v>
      </c>
      <c r="H149" s="41">
        <v>1.6908363E7</v>
      </c>
      <c r="I149" s="137" t="s">
        <v>639</v>
      </c>
      <c r="J149" s="182" t="s">
        <v>37</v>
      </c>
      <c r="K149" s="53">
        <v>46097.0</v>
      </c>
      <c r="L149" s="155" t="s">
        <v>290</v>
      </c>
      <c r="M149" s="136" t="s">
        <v>169</v>
      </c>
      <c r="N149" s="58"/>
      <c r="O149" s="58"/>
      <c r="P149" s="76"/>
      <c r="Q149" s="58"/>
      <c r="R149" s="76"/>
      <c r="S149" s="76"/>
      <c r="T149" s="76"/>
      <c r="U149" s="73"/>
      <c r="V149" s="76"/>
      <c r="W149" s="76"/>
      <c r="X149" s="76"/>
      <c r="Y149" s="76"/>
      <c r="Z149" s="76"/>
      <c r="AA149" s="76"/>
      <c r="AB149" s="76"/>
      <c r="AC149" s="76"/>
      <c r="AD149" s="76"/>
    </row>
    <row r="150">
      <c r="A150" s="36" t="s">
        <v>650</v>
      </c>
      <c r="B150" s="155" t="s">
        <v>489</v>
      </c>
      <c r="C150" s="37" t="str">
        <f>IF(B150="","",(VLOOKUP(B150,'Dados de PN'!$A:$B,2,0)))</f>
        <v>TRANSCEIVER</v>
      </c>
      <c r="D150" s="155"/>
      <c r="E150" s="136" t="s">
        <v>81</v>
      </c>
      <c r="F150" s="136" t="s">
        <v>34</v>
      </c>
      <c r="G150" s="44">
        <f t="shared" si="3"/>
        <v>1</v>
      </c>
      <c r="H150" s="41">
        <v>1.6953491E7</v>
      </c>
      <c r="I150" s="137" t="s">
        <v>643</v>
      </c>
      <c r="J150" s="182" t="s">
        <v>37</v>
      </c>
      <c r="K150" s="53">
        <v>46097.0</v>
      </c>
      <c r="L150" s="155" t="s">
        <v>290</v>
      </c>
      <c r="M150" s="136" t="s">
        <v>169</v>
      </c>
      <c r="N150" s="58"/>
      <c r="O150" s="58"/>
      <c r="P150" s="76"/>
      <c r="Q150" s="58"/>
      <c r="R150" s="76"/>
      <c r="S150" s="76"/>
      <c r="T150" s="76"/>
      <c r="U150" s="73"/>
      <c r="V150" s="76"/>
      <c r="W150" s="76"/>
      <c r="X150" s="76"/>
      <c r="Y150" s="76"/>
      <c r="Z150" s="76"/>
      <c r="AA150" s="76"/>
      <c r="AB150" s="76"/>
      <c r="AC150" s="76"/>
      <c r="AD150" s="76"/>
    </row>
    <row r="151">
      <c r="A151" s="36" t="s">
        <v>654</v>
      </c>
      <c r="B151" s="155" t="s">
        <v>646</v>
      </c>
      <c r="C151" s="37" t="str">
        <f>IF(B151="","",(VLOOKUP(B151,'Dados de PN'!$A:$B,2,0)))</f>
        <v>KNOB</v>
      </c>
      <c r="D151" s="155"/>
      <c r="E151" s="136" t="s">
        <v>32</v>
      </c>
      <c r="F151" s="136" t="s">
        <v>34</v>
      </c>
      <c r="G151" s="44">
        <f t="shared" si="3"/>
        <v>1</v>
      </c>
      <c r="H151" s="41">
        <v>1.6959989E7</v>
      </c>
      <c r="I151" s="137" t="s">
        <v>648</v>
      </c>
      <c r="J151" s="180" t="s">
        <v>37</v>
      </c>
      <c r="K151" s="53">
        <v>46098.0</v>
      </c>
      <c r="L151" s="155" t="s">
        <v>133</v>
      </c>
      <c r="M151" s="136" t="s">
        <v>76</v>
      </c>
      <c r="N151" s="58"/>
      <c r="O151" s="58"/>
      <c r="P151" s="76"/>
      <c r="Q151" s="58"/>
      <c r="R151" s="76"/>
      <c r="S151" s="76"/>
      <c r="T151" s="76"/>
      <c r="U151" s="73"/>
      <c r="V151" s="76"/>
      <c r="W151" s="76"/>
      <c r="X151" s="76"/>
      <c r="Y151" s="76"/>
      <c r="Z151" s="76"/>
      <c r="AA151" s="76"/>
      <c r="AB151" s="76"/>
      <c r="AC151" s="76"/>
      <c r="AD151" s="76"/>
    </row>
    <row r="152">
      <c r="A152" s="36" t="s">
        <v>658</v>
      </c>
      <c r="B152" s="183" t="s">
        <v>378</v>
      </c>
      <c r="C152" s="37" t="str">
        <f>IF(B152="","",(VLOOKUP(B152,'Dados de PN'!$A:$B,2,0)))</f>
        <v>WHEEL HALF ASSY</v>
      </c>
      <c r="D152" s="155"/>
      <c r="E152" s="136" t="s">
        <v>81</v>
      </c>
      <c r="F152" s="136" t="s">
        <v>164</v>
      </c>
      <c r="G152" s="44">
        <f t="shared" si="3"/>
        <v>2</v>
      </c>
      <c r="H152" s="155" t="s">
        <v>651</v>
      </c>
      <c r="I152" s="137" t="s">
        <v>652</v>
      </c>
      <c r="J152" s="180" t="s">
        <v>37</v>
      </c>
      <c r="K152" s="53">
        <v>46100.0</v>
      </c>
      <c r="L152" s="155" t="s">
        <v>588</v>
      </c>
      <c r="M152" s="136" t="s">
        <v>61</v>
      </c>
      <c r="N152" s="58"/>
      <c r="O152" s="58"/>
      <c r="P152" s="76"/>
      <c r="Q152" s="58"/>
      <c r="R152" s="76"/>
      <c r="S152" s="76"/>
      <c r="T152" s="76"/>
      <c r="U152" s="73"/>
      <c r="V152" s="76"/>
      <c r="W152" s="76"/>
      <c r="X152" s="76"/>
      <c r="Y152" s="76"/>
      <c r="Z152" s="76"/>
      <c r="AA152" s="76"/>
      <c r="AB152" s="76"/>
      <c r="AC152" s="76"/>
      <c r="AD152" s="76"/>
    </row>
    <row r="153">
      <c r="A153" s="36" t="s">
        <v>663</v>
      </c>
      <c r="B153" s="183" t="s">
        <v>379</v>
      </c>
      <c r="C153" s="37" t="str">
        <f>IF(B153="","",(VLOOKUP(B153,'Dados de PN'!$A:$B,2,0)))</f>
        <v>WHEEL HALF ASSY</v>
      </c>
      <c r="D153" s="155"/>
      <c r="E153" s="136" t="s">
        <v>81</v>
      </c>
      <c r="F153" s="136" t="s">
        <v>164</v>
      </c>
      <c r="G153" s="44">
        <f t="shared" si="3"/>
        <v>2</v>
      </c>
      <c r="H153" s="155" t="s">
        <v>655</v>
      </c>
      <c r="I153" s="137" t="s">
        <v>652</v>
      </c>
      <c r="J153" s="180" t="s">
        <v>37</v>
      </c>
      <c r="K153" s="53">
        <v>46100.0</v>
      </c>
      <c r="L153" s="155" t="s">
        <v>588</v>
      </c>
      <c r="M153" s="136" t="s">
        <v>61</v>
      </c>
      <c r="N153" s="58"/>
      <c r="O153" s="58"/>
      <c r="P153" s="76"/>
      <c r="Q153" s="58"/>
      <c r="R153" s="76"/>
      <c r="S153" s="76"/>
      <c r="T153" s="76"/>
      <c r="U153" s="73"/>
      <c r="V153" s="76"/>
      <c r="W153" s="76"/>
      <c r="X153" s="76"/>
      <c r="Y153" s="76"/>
      <c r="Z153" s="76"/>
      <c r="AA153" s="76"/>
      <c r="AB153" s="76"/>
      <c r="AC153" s="76"/>
      <c r="AD153" s="76"/>
    </row>
    <row r="154">
      <c r="A154" s="36" t="s">
        <v>669</v>
      </c>
      <c r="B154" s="183" t="s">
        <v>659</v>
      </c>
      <c r="C154" s="37" t="str">
        <f>IF(B154="","",(VLOOKUP(B154,'Dados de PN'!$A:$B,2,0)))</f>
        <v>EXTINGUISHER,FIRE</v>
      </c>
      <c r="D154" s="155"/>
      <c r="E154" s="136" t="s">
        <v>54</v>
      </c>
      <c r="F154" s="136" t="s">
        <v>34</v>
      </c>
      <c r="G154" s="44">
        <f t="shared" si="3"/>
        <v>1</v>
      </c>
      <c r="H154" s="155" t="s">
        <v>661</v>
      </c>
      <c r="I154" s="137" t="s">
        <v>652</v>
      </c>
      <c r="J154" s="180" t="s">
        <v>37</v>
      </c>
      <c r="K154" s="53">
        <v>46100.0</v>
      </c>
      <c r="L154" s="156" t="s">
        <v>612</v>
      </c>
      <c r="M154" s="76" t="s">
        <v>549</v>
      </c>
      <c r="N154" s="58"/>
      <c r="O154" s="58"/>
      <c r="P154" s="76"/>
      <c r="Q154" s="58"/>
      <c r="R154" s="76"/>
      <c r="S154" s="76"/>
      <c r="T154" s="147">
        <v>46176.0</v>
      </c>
      <c r="U154" s="102" t="s">
        <v>730</v>
      </c>
      <c r="V154" s="136" t="s">
        <v>731</v>
      </c>
      <c r="W154" s="84" t="s">
        <v>83</v>
      </c>
      <c r="X154" s="76"/>
      <c r="Y154" s="76"/>
      <c r="Z154" s="76"/>
      <c r="AA154" s="76"/>
      <c r="AB154" s="76"/>
      <c r="AC154" s="76"/>
      <c r="AD154" s="76"/>
    </row>
    <row r="155">
      <c r="A155" s="36" t="s">
        <v>673</v>
      </c>
      <c r="B155" s="155" t="s">
        <v>665</v>
      </c>
      <c r="C155" s="37" t="str">
        <f>IF(B155="","",(VLOOKUP(B155,'Dados de PN'!$A:$B,2,0)))</f>
        <v>CONTROL INDICATOR</v>
      </c>
      <c r="D155" s="155"/>
      <c r="E155" s="136" t="s">
        <v>81</v>
      </c>
      <c r="F155" s="136" t="s">
        <v>34</v>
      </c>
      <c r="G155" s="44">
        <f t="shared" si="3"/>
        <v>1</v>
      </c>
      <c r="H155" s="155" t="s">
        <v>667</v>
      </c>
      <c r="I155" s="137" t="s">
        <v>668</v>
      </c>
      <c r="J155" s="180" t="s">
        <v>37</v>
      </c>
      <c r="K155" s="53">
        <v>46101.0</v>
      </c>
      <c r="L155" s="184" t="s">
        <v>403</v>
      </c>
      <c r="M155" s="136" t="s">
        <v>404</v>
      </c>
      <c r="N155" s="58"/>
      <c r="O155" s="58"/>
      <c r="P155" s="76"/>
      <c r="Q155" s="58"/>
      <c r="R155" s="76"/>
      <c r="S155" s="76"/>
      <c r="T155" s="76"/>
      <c r="U155" s="73"/>
      <c r="V155" s="76"/>
      <c r="W155" s="76"/>
      <c r="X155" s="76"/>
      <c r="Y155" s="76"/>
      <c r="Z155" s="76"/>
      <c r="AA155" s="76"/>
      <c r="AB155" s="76"/>
      <c r="AC155" s="76"/>
      <c r="AD155" s="76"/>
    </row>
    <row r="156">
      <c r="A156" s="36" t="s">
        <v>678</v>
      </c>
      <c r="B156" s="155" t="s">
        <v>670</v>
      </c>
      <c r="C156" s="37" t="str">
        <f>IF(B156="","",(VLOOKUP(B156,'Dados de PN'!$A:$B,2,0)))</f>
        <v>AUDIO CONTROL PANEL</v>
      </c>
      <c r="D156" s="155"/>
      <c r="E156" s="136" t="s">
        <v>81</v>
      </c>
      <c r="F156" s="136" t="s">
        <v>34</v>
      </c>
      <c r="G156" s="44">
        <f t="shared" si="3"/>
        <v>1</v>
      </c>
      <c r="H156" s="155" t="s">
        <v>672</v>
      </c>
      <c r="I156" s="185" t="s">
        <v>668</v>
      </c>
      <c r="J156" s="180" t="s">
        <v>37</v>
      </c>
      <c r="K156" s="53">
        <v>46101.0</v>
      </c>
      <c r="L156" s="184" t="s">
        <v>403</v>
      </c>
      <c r="M156" s="136" t="s">
        <v>404</v>
      </c>
      <c r="N156" s="58"/>
      <c r="O156" s="58"/>
      <c r="P156" s="76"/>
      <c r="Q156" s="58"/>
      <c r="R156" s="76"/>
      <c r="S156" s="76"/>
      <c r="T156" s="76"/>
      <c r="U156" s="73"/>
      <c r="V156" s="76"/>
      <c r="W156" s="76"/>
      <c r="X156" s="76"/>
      <c r="Y156" s="76"/>
      <c r="Z156" s="76"/>
      <c r="AA156" s="76"/>
      <c r="AB156" s="76"/>
      <c r="AC156" s="76"/>
      <c r="AD156" s="76"/>
    </row>
    <row r="157">
      <c r="A157" s="36" t="s">
        <v>682</v>
      </c>
      <c r="B157" s="155" t="s">
        <v>674</v>
      </c>
      <c r="C157" s="37" t="str">
        <f>IF(B157="","",(VLOOKUP(B157,'Dados de PN'!$A:$B,2,0)))</f>
        <v>SERVO MOUNT</v>
      </c>
      <c r="D157" s="155"/>
      <c r="E157" s="136" t="s">
        <v>81</v>
      </c>
      <c r="F157" s="136" t="s">
        <v>34</v>
      </c>
      <c r="G157" s="44">
        <f t="shared" si="3"/>
        <v>1</v>
      </c>
      <c r="H157" s="155" t="s">
        <v>676</v>
      </c>
      <c r="I157" s="137" t="s">
        <v>668</v>
      </c>
      <c r="J157" s="180" t="s">
        <v>37</v>
      </c>
      <c r="K157" s="53">
        <v>46101.0</v>
      </c>
      <c r="L157" s="184" t="s">
        <v>403</v>
      </c>
      <c r="M157" s="136" t="s">
        <v>404</v>
      </c>
      <c r="N157" s="58"/>
      <c r="O157" s="58"/>
      <c r="P157" s="76"/>
      <c r="Q157" s="58"/>
      <c r="R157" s="76"/>
      <c r="S157" s="76"/>
      <c r="T157" s="76"/>
      <c r="U157" s="73"/>
      <c r="V157" s="76"/>
      <c r="W157" s="76"/>
      <c r="X157" s="76"/>
      <c r="Y157" s="76"/>
      <c r="Z157" s="76"/>
      <c r="AA157" s="76"/>
      <c r="AB157" s="76"/>
      <c r="AC157" s="76"/>
      <c r="AD157" s="76"/>
    </row>
    <row r="158">
      <c r="A158" s="36" t="s">
        <v>686</v>
      </c>
      <c r="B158" s="155" t="s">
        <v>473</v>
      </c>
      <c r="C158" s="37" t="str">
        <f>IF(B158="","",(VLOOKUP(B158,'Dados de PN'!$A:$B,2,0)))</f>
        <v>SWITCH-ELEC TR</v>
      </c>
      <c r="D158" s="155"/>
      <c r="E158" s="136" t="s">
        <v>32</v>
      </c>
      <c r="F158" s="136" t="s">
        <v>34</v>
      </c>
      <c r="G158" s="44">
        <f t="shared" si="3"/>
        <v>1</v>
      </c>
      <c r="H158" s="41" t="s">
        <v>680</v>
      </c>
      <c r="I158" s="137" t="s">
        <v>681</v>
      </c>
      <c r="J158" s="180" t="s">
        <v>37</v>
      </c>
      <c r="K158" s="53">
        <v>46101.0</v>
      </c>
      <c r="L158" s="155" t="s">
        <v>75</v>
      </c>
      <c r="M158" s="136" t="s">
        <v>76</v>
      </c>
      <c r="N158" s="58"/>
      <c r="O158" s="58"/>
      <c r="P158" s="76"/>
      <c r="Q158" s="58"/>
      <c r="R158" s="76"/>
      <c r="S158" s="76"/>
      <c r="T158" s="76"/>
      <c r="U158" s="73"/>
      <c r="V158" s="76"/>
      <c r="W158" s="76"/>
      <c r="X158" s="76"/>
      <c r="Y158" s="76"/>
      <c r="Z158" s="76"/>
      <c r="AA158" s="76"/>
      <c r="AB158" s="76"/>
      <c r="AC158" s="76"/>
      <c r="AD158" s="76"/>
    </row>
    <row r="159">
      <c r="A159" s="36" t="s">
        <v>692</v>
      </c>
      <c r="B159" s="155" t="s">
        <v>683</v>
      </c>
      <c r="C159" s="37" t="str">
        <f>IF(B159="","",(VLOOKUP(B159,'Dados de PN'!$A:$B,2,0)))</f>
        <v>NUT,PLAIN,HEXAGON</v>
      </c>
      <c r="D159" s="155"/>
      <c r="E159" s="136" t="s">
        <v>32</v>
      </c>
      <c r="F159" s="136" t="s">
        <v>164</v>
      </c>
      <c r="G159" s="44">
        <f t="shared" si="3"/>
        <v>2</v>
      </c>
      <c r="H159" s="37" t="s">
        <v>684</v>
      </c>
      <c r="I159" s="137" t="s">
        <v>685</v>
      </c>
      <c r="J159" s="180" t="s">
        <v>37</v>
      </c>
      <c r="K159" s="53">
        <v>46101.0</v>
      </c>
      <c r="L159" s="155" t="s">
        <v>60</v>
      </c>
      <c r="M159" s="136" t="s">
        <v>61</v>
      </c>
      <c r="N159" s="58"/>
      <c r="O159" s="58"/>
      <c r="P159" s="76"/>
      <c r="Q159" s="58"/>
      <c r="R159" s="76"/>
      <c r="S159" s="76"/>
      <c r="T159" s="76"/>
      <c r="U159" s="73"/>
      <c r="V159" s="76"/>
      <c r="W159" s="76"/>
      <c r="X159" s="76"/>
      <c r="Y159" s="76"/>
      <c r="Z159" s="76"/>
      <c r="AA159" s="76"/>
      <c r="AB159" s="76"/>
      <c r="AC159" s="76"/>
      <c r="AD159" s="76"/>
    </row>
    <row r="160">
      <c r="A160" s="36" t="s">
        <v>697</v>
      </c>
      <c r="B160" s="155" t="s">
        <v>687</v>
      </c>
      <c r="C160" s="37" t="str">
        <f>IF(B160="","",(VLOOKUP(B160,'Dados de PN'!$A:$B,2,0)))</f>
        <v>TUBE ASSY LH</v>
      </c>
      <c r="D160" s="155"/>
      <c r="E160" s="136" t="s">
        <v>32</v>
      </c>
      <c r="F160" s="136" t="s">
        <v>164</v>
      </c>
      <c r="G160" s="44">
        <f t="shared" si="3"/>
        <v>2</v>
      </c>
      <c r="H160" s="37" t="s">
        <v>690</v>
      </c>
      <c r="I160" s="137" t="s">
        <v>685</v>
      </c>
      <c r="J160" s="180" t="s">
        <v>37</v>
      </c>
      <c r="K160" s="53">
        <v>46101.0</v>
      </c>
      <c r="L160" s="155" t="s">
        <v>60</v>
      </c>
      <c r="M160" s="136" t="s">
        <v>61</v>
      </c>
      <c r="N160" s="58"/>
      <c r="O160" s="58"/>
      <c r="P160" s="76"/>
      <c r="Q160" s="58"/>
      <c r="R160" s="76"/>
      <c r="S160" s="76"/>
      <c r="T160" s="76"/>
      <c r="U160" s="73"/>
      <c r="V160" s="76"/>
      <c r="W160" s="76"/>
      <c r="X160" s="76"/>
      <c r="Y160" s="76"/>
      <c r="Z160" s="76"/>
      <c r="AA160" s="76"/>
      <c r="AB160" s="76"/>
      <c r="AC160" s="76"/>
      <c r="AD160" s="76"/>
    </row>
    <row r="161">
      <c r="A161" s="36" t="s">
        <v>609</v>
      </c>
      <c r="B161" s="155" t="s">
        <v>693</v>
      </c>
      <c r="C161" s="37" t="str">
        <f>IF(B161="","",(VLOOKUP(B161,'Dados de PN'!$A:$B,2,0)))</f>
        <v>066-3046-07</v>
      </c>
      <c r="D161" s="155"/>
      <c r="E161" s="136" t="s">
        <v>32</v>
      </c>
      <c r="F161" s="136" t="s">
        <v>34</v>
      </c>
      <c r="G161" s="44">
        <f t="shared" si="3"/>
        <v>1</v>
      </c>
      <c r="H161" s="37" t="s">
        <v>694</v>
      </c>
      <c r="I161" s="137" t="s">
        <v>685</v>
      </c>
      <c r="J161" s="180" t="s">
        <v>37</v>
      </c>
      <c r="K161" s="53">
        <v>46101.0</v>
      </c>
      <c r="L161" s="155" t="s">
        <v>60</v>
      </c>
      <c r="M161" s="136" t="s">
        <v>61</v>
      </c>
      <c r="N161" s="58"/>
      <c r="O161" s="58"/>
      <c r="P161" s="76"/>
      <c r="Q161" s="58"/>
      <c r="R161" s="76"/>
      <c r="S161" s="76"/>
      <c r="T161" s="76"/>
      <c r="U161" s="73"/>
      <c r="V161" s="76"/>
      <c r="W161" s="76"/>
      <c r="X161" s="76"/>
      <c r="Y161" s="76"/>
      <c r="Z161" s="76"/>
      <c r="AA161" s="76"/>
      <c r="AB161" s="76"/>
      <c r="AC161" s="76"/>
      <c r="AD161" s="76"/>
    </row>
    <row r="162">
      <c r="A162" s="36" t="s">
        <v>708</v>
      </c>
      <c r="B162" s="155" t="s">
        <v>698</v>
      </c>
      <c r="C162" s="37" t="str">
        <f>IF(B162="","",(VLOOKUP(B162,'Dados de PN'!$A:$B,2,0)))</f>
        <v>TRANSMITTER</v>
      </c>
      <c r="D162" s="155"/>
      <c r="E162" s="136" t="s">
        <v>81</v>
      </c>
      <c r="F162" s="136" t="s">
        <v>34</v>
      </c>
      <c r="G162" s="44">
        <f t="shared" si="3"/>
        <v>1</v>
      </c>
      <c r="H162" s="37" t="s">
        <v>700</v>
      </c>
      <c r="I162" s="137" t="s">
        <v>701</v>
      </c>
      <c r="J162" s="180" t="s">
        <v>37</v>
      </c>
      <c r="K162" s="53">
        <v>46101.0</v>
      </c>
      <c r="L162" s="155" t="s">
        <v>183</v>
      </c>
      <c r="M162" s="136" t="s">
        <v>61</v>
      </c>
      <c r="N162" s="58"/>
      <c r="O162" s="58"/>
      <c r="P162" s="76"/>
      <c r="Q162" s="58"/>
      <c r="R162" s="76"/>
      <c r="S162" s="76"/>
      <c r="T162" s="76"/>
      <c r="U162" s="73"/>
      <c r="V162" s="76"/>
      <c r="W162" s="76"/>
      <c r="X162" s="76"/>
      <c r="Y162" s="76"/>
      <c r="Z162" s="76"/>
      <c r="AA162" s="76"/>
      <c r="AB162" s="76"/>
      <c r="AC162" s="76"/>
      <c r="AD162" s="76"/>
    </row>
    <row r="163">
      <c r="A163" s="36" t="s">
        <v>712</v>
      </c>
      <c r="B163" s="155" t="s">
        <v>610</v>
      </c>
      <c r="C163" s="37" t="str">
        <f>IF(B163="","",(VLOOKUP(B163,'Dados de PN'!$A:$B,2,0)))</f>
        <v>RING AY-ENGINE MOUNT</v>
      </c>
      <c r="D163" s="155"/>
      <c r="E163" s="136" t="s">
        <v>81</v>
      </c>
      <c r="F163" s="136" t="s">
        <v>34</v>
      </c>
      <c r="G163" s="44">
        <f t="shared" si="3"/>
        <v>1</v>
      </c>
      <c r="H163" s="41">
        <v>1.713128E7</v>
      </c>
      <c r="I163" s="137" t="s">
        <v>705</v>
      </c>
      <c r="J163" s="180" t="s">
        <v>37</v>
      </c>
      <c r="K163" s="53">
        <v>46113.0</v>
      </c>
      <c r="L163" s="155" t="s">
        <v>304</v>
      </c>
      <c r="M163" s="136" t="s">
        <v>76</v>
      </c>
      <c r="N163" s="58"/>
      <c r="O163" s="58"/>
      <c r="P163" s="76"/>
      <c r="Q163" s="58"/>
      <c r="R163" s="76"/>
      <c r="S163" s="76"/>
      <c r="T163" s="76"/>
      <c r="U163" s="73"/>
      <c r="V163" s="76"/>
      <c r="W163" s="76"/>
      <c r="X163" s="76"/>
      <c r="Y163" s="76"/>
      <c r="Z163" s="76"/>
      <c r="AA163" s="76"/>
      <c r="AB163" s="76"/>
      <c r="AC163" s="76"/>
      <c r="AD163" s="76"/>
    </row>
    <row r="164">
      <c r="A164" s="36" t="s">
        <v>716</v>
      </c>
      <c r="B164" s="155" t="s">
        <v>400</v>
      </c>
      <c r="C164" s="37" t="str">
        <f>IF(B164="","",(VLOOKUP(B164,'Dados de PN'!$A:$B,2,0)))</f>
        <v>SLAVING ACCESS,SPEC</v>
      </c>
      <c r="D164" s="155"/>
      <c r="E164" s="136" t="s">
        <v>81</v>
      </c>
      <c r="F164" s="136" t="s">
        <v>34</v>
      </c>
      <c r="G164" s="44">
        <f t="shared" si="3"/>
        <v>1</v>
      </c>
      <c r="H164" s="41">
        <v>6.8526001145E11</v>
      </c>
      <c r="I164" s="137" t="s">
        <v>810</v>
      </c>
      <c r="J164" s="180" t="s">
        <v>37</v>
      </c>
      <c r="K164" s="53">
        <v>46119.0</v>
      </c>
      <c r="L164" s="155" t="s">
        <v>183</v>
      </c>
      <c r="M164" s="136" t="s">
        <v>61</v>
      </c>
      <c r="N164" s="58"/>
      <c r="O164" s="58"/>
      <c r="P164" s="76"/>
      <c r="Q164" s="58"/>
      <c r="R164" s="76"/>
      <c r="S164" s="76"/>
      <c r="T164" s="76"/>
      <c r="U164" s="73"/>
      <c r="V164" s="76"/>
      <c r="W164" s="76"/>
      <c r="X164" s="76"/>
      <c r="Y164" s="76"/>
      <c r="Z164" s="76"/>
      <c r="AA164" s="76"/>
      <c r="AB164" s="76"/>
      <c r="AC164" s="76"/>
      <c r="AD164" s="76"/>
    </row>
    <row r="165">
      <c r="A165" s="36" t="s">
        <v>720</v>
      </c>
      <c r="B165" s="155" t="s">
        <v>845</v>
      </c>
      <c r="C165" s="37" t="str">
        <f>IF(B165="","",(VLOOKUP(B165,'Dados de PN'!$A:$B,2,0)))</f>
        <v>INDICATOR TRUE</v>
      </c>
      <c r="D165" s="155"/>
      <c r="E165" s="136" t="s">
        <v>81</v>
      </c>
      <c r="F165" s="136" t="s">
        <v>34</v>
      </c>
      <c r="G165" s="44">
        <f t="shared" si="3"/>
        <v>1</v>
      </c>
      <c r="H165" s="41">
        <v>6.85260011448E11</v>
      </c>
      <c r="I165" s="137" t="s">
        <v>810</v>
      </c>
      <c r="J165" s="180" t="s">
        <v>37</v>
      </c>
      <c r="K165" s="53">
        <v>46119.0</v>
      </c>
      <c r="L165" s="155" t="s">
        <v>60</v>
      </c>
      <c r="M165" s="136" t="s">
        <v>61</v>
      </c>
      <c r="N165" s="58"/>
      <c r="O165" s="58"/>
      <c r="P165" s="76"/>
      <c r="Q165" s="58"/>
      <c r="R165" s="76"/>
      <c r="S165" s="76"/>
      <c r="T165" s="76"/>
      <c r="U165" s="73"/>
      <c r="V165" s="76"/>
      <c r="W165" s="76"/>
      <c r="X165" s="76"/>
      <c r="Y165" s="76"/>
      <c r="Z165" s="76"/>
      <c r="AA165" s="76"/>
      <c r="AB165" s="76"/>
      <c r="AC165" s="76"/>
      <c r="AD165" s="76"/>
    </row>
    <row r="166">
      <c r="A166" s="36" t="s">
        <v>725</v>
      </c>
      <c r="B166" s="155" t="s">
        <v>860</v>
      </c>
      <c r="C166" s="37" t="str">
        <f>IF(B166="","",(VLOOKUP(B166,'Dados de PN'!$A:$B,2,0)))</f>
        <v>ALTERNATOR CONTROL UNIT ASSY</v>
      </c>
      <c r="D166" s="155"/>
      <c r="E166" s="136" t="s">
        <v>54</v>
      </c>
      <c r="F166" s="136" t="s">
        <v>34</v>
      </c>
      <c r="G166" s="44">
        <f t="shared" si="3"/>
        <v>1</v>
      </c>
      <c r="H166" s="41">
        <v>6.85260011449E11</v>
      </c>
      <c r="I166" s="137" t="s">
        <v>810</v>
      </c>
      <c r="J166" s="180" t="s">
        <v>37</v>
      </c>
      <c r="K166" s="53">
        <v>46119.0</v>
      </c>
      <c r="L166" s="155" t="s">
        <v>183</v>
      </c>
      <c r="M166" s="136" t="s">
        <v>61</v>
      </c>
      <c r="N166" s="58"/>
      <c r="O166" s="58"/>
      <c r="P166" s="76"/>
      <c r="Q166" s="58"/>
      <c r="R166" s="76"/>
      <c r="S166" s="76"/>
      <c r="T166" s="76"/>
      <c r="U166" s="73"/>
      <c r="V166" s="76"/>
      <c r="W166" s="76"/>
      <c r="X166" s="76"/>
      <c r="Y166" s="76"/>
      <c r="Z166" s="76"/>
      <c r="AA166" s="76"/>
      <c r="AB166" s="76"/>
      <c r="AC166" s="76"/>
      <c r="AD166" s="76"/>
    </row>
    <row r="167">
      <c r="A167" s="36" t="s">
        <v>728</v>
      </c>
      <c r="B167" s="155" t="s">
        <v>400</v>
      </c>
      <c r="C167" s="37" t="str">
        <f>IF(B167="","",(VLOOKUP(B167,'Dados de PN'!$A:$B,2,0)))</f>
        <v>SLAVING ACCESS,SPEC</v>
      </c>
      <c r="D167" s="155"/>
      <c r="E167" s="136" t="s">
        <v>81</v>
      </c>
      <c r="F167" s="136" t="s">
        <v>34</v>
      </c>
      <c r="G167" s="44">
        <f t="shared" si="3"/>
        <v>1</v>
      </c>
      <c r="H167" s="41">
        <v>6.85260011452E11</v>
      </c>
      <c r="I167" s="137" t="s">
        <v>810</v>
      </c>
      <c r="J167" s="180" t="s">
        <v>37</v>
      </c>
      <c r="K167" s="53">
        <v>46119.0</v>
      </c>
      <c r="L167" s="155" t="s">
        <v>60</v>
      </c>
      <c r="M167" s="136" t="s">
        <v>61</v>
      </c>
      <c r="N167" s="58"/>
      <c r="O167" s="58"/>
      <c r="P167" s="76"/>
      <c r="Q167" s="58"/>
      <c r="R167" s="76"/>
      <c r="S167" s="76"/>
      <c r="T167" s="76"/>
      <c r="U167" s="73"/>
      <c r="V167" s="76"/>
      <c r="W167" s="76"/>
      <c r="X167" s="76"/>
      <c r="Y167" s="76"/>
      <c r="Z167" s="76"/>
      <c r="AA167" s="76"/>
      <c r="AB167" s="76"/>
      <c r="AC167" s="76"/>
      <c r="AD167" s="76"/>
    </row>
    <row r="168">
      <c r="A168" s="36" t="s">
        <v>733</v>
      </c>
      <c r="B168" s="155" t="s">
        <v>983</v>
      </c>
      <c r="C168" s="37" t="str">
        <f>IF(B168="","",(VLOOKUP(B168,'Dados de PN'!$A:$B,2,0)))</f>
        <v>TURN AND BANK</v>
      </c>
      <c r="D168" s="155"/>
      <c r="E168" s="136" t="s">
        <v>81</v>
      </c>
      <c r="F168" s="136" t="s">
        <v>34</v>
      </c>
      <c r="G168" s="44">
        <f t="shared" si="3"/>
        <v>1</v>
      </c>
      <c r="H168" s="41">
        <v>6.85260011453E11</v>
      </c>
      <c r="I168" s="137" t="s">
        <v>810</v>
      </c>
      <c r="J168" s="180" t="s">
        <v>37</v>
      </c>
      <c r="K168" s="53">
        <v>46119.0</v>
      </c>
      <c r="L168" s="155" t="s">
        <v>60</v>
      </c>
      <c r="M168" s="136" t="s">
        <v>61</v>
      </c>
      <c r="N168" s="58"/>
      <c r="O168" s="58"/>
      <c r="P168" s="76"/>
      <c r="Q168" s="58"/>
      <c r="R168" s="76"/>
      <c r="S168" s="76"/>
      <c r="T168" s="76"/>
      <c r="U168" s="73"/>
      <c r="V168" s="76"/>
      <c r="W168" s="76"/>
      <c r="X168" s="76"/>
      <c r="Y168" s="76"/>
      <c r="Z168" s="76"/>
      <c r="AA168" s="76"/>
      <c r="AB168" s="76"/>
      <c r="AC168" s="76"/>
      <c r="AD168" s="76"/>
    </row>
    <row r="169">
      <c r="A169" s="36" t="s">
        <v>738</v>
      </c>
      <c r="B169" s="155" t="s">
        <v>984</v>
      </c>
      <c r="C169" s="37" t="str">
        <f>IF(B169="","",(VLOOKUP(B169,'Dados de PN'!$A:$B,2,0)))</f>
        <v>ENGINE MOUNT WELD ASSEMBLY</v>
      </c>
      <c r="D169" s="155" t="s">
        <v>985</v>
      </c>
      <c r="E169" s="136" t="s">
        <v>54</v>
      </c>
      <c r="F169" s="155" t="s">
        <v>34</v>
      </c>
      <c r="G169" s="44">
        <f t="shared" si="3"/>
        <v>1</v>
      </c>
      <c r="H169" s="41">
        <v>1.7153041E7</v>
      </c>
      <c r="I169" s="137" t="s">
        <v>710</v>
      </c>
      <c r="J169" s="180" t="s">
        <v>37</v>
      </c>
      <c r="K169" s="53">
        <v>46120.0</v>
      </c>
      <c r="L169" s="155" t="s">
        <v>953</v>
      </c>
      <c r="M169" s="136" t="s">
        <v>570</v>
      </c>
      <c r="N169" s="58"/>
      <c r="O169" s="58"/>
      <c r="P169" s="76"/>
      <c r="Q169" s="58"/>
      <c r="R169" s="76"/>
      <c r="S169" s="76"/>
      <c r="T169" s="76"/>
      <c r="U169" s="73"/>
      <c r="V169" s="76"/>
      <c r="W169" s="76"/>
      <c r="X169" s="76"/>
      <c r="Y169" s="76"/>
      <c r="Z169" s="76"/>
      <c r="AA169" s="76"/>
      <c r="AB169" s="76"/>
      <c r="AC169" s="76"/>
      <c r="AD169" s="76"/>
    </row>
    <row r="170">
      <c r="A170" s="36" t="s">
        <v>742</v>
      </c>
      <c r="B170" s="155" t="s">
        <v>610</v>
      </c>
      <c r="C170" s="37" t="str">
        <f>IF(B170="","",(VLOOKUP(B170,'Dados de PN'!$A:$B,2,0)))</f>
        <v>RING AY-ENGINE MOUNT</v>
      </c>
      <c r="D170" s="155" t="s">
        <v>986</v>
      </c>
      <c r="E170" s="136" t="s">
        <v>54</v>
      </c>
      <c r="F170" s="155" t="s">
        <v>34</v>
      </c>
      <c r="G170" s="44">
        <f t="shared" si="3"/>
        <v>1</v>
      </c>
      <c r="H170" s="41">
        <v>1.7153048E7</v>
      </c>
      <c r="I170" s="137" t="s">
        <v>710</v>
      </c>
      <c r="J170" s="180" t="s">
        <v>37</v>
      </c>
      <c r="K170" s="53">
        <v>46120.0</v>
      </c>
      <c r="L170" s="155" t="s">
        <v>953</v>
      </c>
      <c r="M170" s="136" t="s">
        <v>570</v>
      </c>
      <c r="N170" s="58"/>
      <c r="O170" s="58"/>
      <c r="P170" s="76"/>
      <c r="Q170" s="58"/>
      <c r="R170" s="76"/>
      <c r="S170" s="76"/>
      <c r="T170" s="76"/>
      <c r="U170" s="73"/>
      <c r="V170" s="76"/>
      <c r="W170" s="76"/>
      <c r="X170" s="76"/>
      <c r="Y170" s="76"/>
      <c r="Z170" s="76"/>
      <c r="AA170" s="76"/>
      <c r="AB170" s="76"/>
      <c r="AC170" s="76"/>
      <c r="AD170" s="76"/>
    </row>
    <row r="171">
      <c r="A171" s="36" t="s">
        <v>744</v>
      </c>
      <c r="B171" s="155" t="s">
        <v>181</v>
      </c>
      <c r="C171" s="37" t="str">
        <f>IF(B171="","",(VLOOKUP(B171,'Dados de PN'!$A:$B,2,0)))</f>
        <v>BOLT</v>
      </c>
      <c r="D171" s="155"/>
      <c r="E171" s="136" t="s">
        <v>32</v>
      </c>
      <c r="F171" s="136" t="s">
        <v>164</v>
      </c>
      <c r="G171" s="44">
        <f t="shared" si="3"/>
        <v>2</v>
      </c>
      <c r="H171" s="41">
        <v>1.7155047E7</v>
      </c>
      <c r="I171" s="137" t="s">
        <v>710</v>
      </c>
      <c r="J171" s="180" t="s">
        <v>37</v>
      </c>
      <c r="K171" s="53">
        <v>46120.0</v>
      </c>
      <c r="L171" s="155" t="s">
        <v>953</v>
      </c>
      <c r="M171" s="136" t="s">
        <v>570</v>
      </c>
      <c r="N171" s="58"/>
      <c r="O171" s="58"/>
      <c r="P171" s="76"/>
      <c r="Q171" s="58"/>
      <c r="R171" s="76"/>
      <c r="S171" s="76"/>
      <c r="T171" s="76"/>
      <c r="U171" s="73"/>
      <c r="V171" s="76"/>
      <c r="W171" s="76"/>
      <c r="X171" s="76"/>
      <c r="Y171" s="76"/>
      <c r="Z171" s="76"/>
      <c r="AA171" s="76"/>
      <c r="AB171" s="76"/>
      <c r="AC171" s="76"/>
      <c r="AD171" s="76"/>
    </row>
    <row r="172">
      <c r="A172" s="36" t="s">
        <v>747</v>
      </c>
      <c r="B172" s="155" t="s">
        <v>713</v>
      </c>
      <c r="C172" s="37" t="str">
        <f>IF(B172="","",(VLOOKUP(B172,'Dados de PN'!$A:$B,2,0)))</f>
        <v>NUT, SELF-LOCKING, HEXAGON</v>
      </c>
      <c r="D172" s="155"/>
      <c r="E172" s="136" t="s">
        <v>32</v>
      </c>
      <c r="F172" s="136" t="s">
        <v>164</v>
      </c>
      <c r="G172" s="44">
        <f t="shared" si="3"/>
        <v>2</v>
      </c>
      <c r="H172" s="41">
        <v>1.7154695E7</v>
      </c>
      <c r="I172" s="137" t="s">
        <v>710</v>
      </c>
      <c r="J172" s="180" t="s">
        <v>37</v>
      </c>
      <c r="K172" s="53">
        <v>46120.0</v>
      </c>
      <c r="L172" s="155" t="s">
        <v>953</v>
      </c>
      <c r="M172" s="136" t="s">
        <v>570</v>
      </c>
      <c r="N172" s="58"/>
      <c r="O172" s="58"/>
      <c r="P172" s="76"/>
      <c r="Q172" s="58"/>
      <c r="R172" s="76"/>
      <c r="S172" s="76"/>
      <c r="T172" s="76"/>
      <c r="U172" s="73"/>
      <c r="V172" s="76"/>
      <c r="W172" s="76"/>
      <c r="X172" s="76"/>
      <c r="Y172" s="76"/>
      <c r="Z172" s="76"/>
      <c r="AA172" s="76"/>
      <c r="AB172" s="76"/>
      <c r="AC172" s="76"/>
      <c r="AD172" s="76"/>
    </row>
    <row r="173">
      <c r="A173" s="36" t="s">
        <v>751</v>
      </c>
      <c r="B173" s="155" t="s">
        <v>717</v>
      </c>
      <c r="C173" s="37" t="str">
        <f>IF(B173="","",(VLOOKUP(B173,'Dados de PN'!$A:$B,2,0)))</f>
        <v>WASHER, FLAT</v>
      </c>
      <c r="D173" s="155"/>
      <c r="E173" s="136" t="s">
        <v>32</v>
      </c>
      <c r="F173" s="136" t="s">
        <v>164</v>
      </c>
      <c r="G173" s="44">
        <f t="shared" si="3"/>
        <v>2</v>
      </c>
      <c r="H173" s="41">
        <v>1.7154706E7</v>
      </c>
      <c r="I173" s="137" t="s">
        <v>710</v>
      </c>
      <c r="J173" s="180" t="s">
        <v>37</v>
      </c>
      <c r="K173" s="53">
        <v>46120.0</v>
      </c>
      <c r="L173" s="155" t="s">
        <v>953</v>
      </c>
      <c r="M173" s="136" t="s">
        <v>570</v>
      </c>
      <c r="N173" s="58"/>
      <c r="O173" s="58"/>
      <c r="P173" s="76"/>
      <c r="Q173" s="58"/>
      <c r="R173" s="76"/>
      <c r="S173" s="76"/>
      <c r="T173" s="76"/>
      <c r="U173" s="73"/>
      <c r="V173" s="76"/>
      <c r="W173" s="76"/>
      <c r="X173" s="76"/>
      <c r="Y173" s="76"/>
      <c r="Z173" s="76"/>
      <c r="AA173" s="76"/>
      <c r="AB173" s="76"/>
      <c r="AC173" s="76"/>
      <c r="AD173" s="76"/>
    </row>
    <row r="174">
      <c r="A174" s="36" t="s">
        <v>755</v>
      </c>
      <c r="B174" s="155" t="s">
        <v>721</v>
      </c>
      <c r="C174" s="37" t="str">
        <f>IF(B174="","",(VLOOKUP(B174,'Dados de PN'!$A:$B,2,0)))</f>
        <v>WASHER, RECESSED</v>
      </c>
      <c r="D174" s="155"/>
      <c r="E174" s="136" t="s">
        <v>32</v>
      </c>
      <c r="F174" s="155" t="s">
        <v>252</v>
      </c>
      <c r="G174" s="44">
        <f t="shared" si="3"/>
        <v>4</v>
      </c>
      <c r="H174" s="41">
        <v>1.715475E7</v>
      </c>
      <c r="I174" s="137" t="s">
        <v>710</v>
      </c>
      <c r="J174" s="180" t="s">
        <v>37</v>
      </c>
      <c r="K174" s="53">
        <v>46120.0</v>
      </c>
      <c r="L174" s="155" t="s">
        <v>953</v>
      </c>
      <c r="M174" s="136" t="s">
        <v>570</v>
      </c>
      <c r="N174" s="58"/>
      <c r="O174" s="58"/>
      <c r="P174" s="76"/>
      <c r="Q174" s="58"/>
      <c r="R174" s="76"/>
      <c r="S174" s="76"/>
      <c r="T174" s="76"/>
      <c r="U174" s="73"/>
      <c r="V174" s="76"/>
      <c r="W174" s="76"/>
      <c r="X174" s="76"/>
      <c r="Y174" s="76"/>
      <c r="Z174" s="76"/>
      <c r="AA174" s="76"/>
      <c r="AB174" s="76"/>
      <c r="AC174" s="76"/>
      <c r="AD174" s="76"/>
    </row>
    <row r="175">
      <c r="A175" s="36" t="s">
        <v>761</v>
      </c>
      <c r="B175" s="155" t="s">
        <v>726</v>
      </c>
      <c r="C175" s="37" t="str">
        <f>IF(B175="","",(VLOOKUP(B175,'Dados de PN'!$A:$B,2,0)))</f>
        <v>BOLT, MACHINE</v>
      </c>
      <c r="D175" s="155"/>
      <c r="E175" s="136" t="s">
        <v>32</v>
      </c>
      <c r="F175" s="155" t="s">
        <v>34</v>
      </c>
      <c r="G175" s="44">
        <f t="shared" si="3"/>
        <v>1</v>
      </c>
      <c r="H175" s="41">
        <v>1.7154753E7</v>
      </c>
      <c r="I175" s="137" t="s">
        <v>710</v>
      </c>
      <c r="J175" s="180" t="s">
        <v>37</v>
      </c>
      <c r="K175" s="53">
        <v>46120.0</v>
      </c>
      <c r="L175" s="155" t="s">
        <v>953</v>
      </c>
      <c r="M175" s="136" t="s">
        <v>570</v>
      </c>
      <c r="N175" s="58"/>
      <c r="O175" s="58"/>
      <c r="P175" s="76"/>
      <c r="Q175" s="58"/>
      <c r="R175" s="76"/>
      <c r="S175" s="76"/>
      <c r="T175" s="76"/>
      <c r="U175" s="73"/>
      <c r="V175" s="76"/>
      <c r="W175" s="76"/>
      <c r="X175" s="76"/>
      <c r="Y175" s="76"/>
      <c r="Z175" s="76"/>
      <c r="AA175" s="76"/>
      <c r="AB175" s="76"/>
      <c r="AC175" s="76"/>
      <c r="AD175" s="76"/>
    </row>
    <row r="176">
      <c r="A176" s="36" t="s">
        <v>764</v>
      </c>
      <c r="B176" s="155" t="s">
        <v>729</v>
      </c>
      <c r="C176" s="37" t="str">
        <f>IF(B176="","",(VLOOKUP(B176,'Dados de PN'!$A:$B,2,0)))</f>
        <v>WASHER, FLAT</v>
      </c>
      <c r="D176" s="155"/>
      <c r="E176" s="136" t="s">
        <v>32</v>
      </c>
      <c r="F176" s="136" t="s">
        <v>164</v>
      </c>
      <c r="G176" s="44">
        <f t="shared" si="3"/>
        <v>2</v>
      </c>
      <c r="H176" s="41">
        <v>1.7154695E7</v>
      </c>
      <c r="I176" s="137" t="s">
        <v>710</v>
      </c>
      <c r="J176" s="180" t="s">
        <v>37</v>
      </c>
      <c r="K176" s="53">
        <v>46120.0</v>
      </c>
      <c r="L176" s="155" t="s">
        <v>953</v>
      </c>
      <c r="M176" s="136" t="s">
        <v>570</v>
      </c>
      <c r="N176" s="58"/>
      <c r="O176" s="58"/>
      <c r="P176" s="76"/>
      <c r="Q176" s="58"/>
      <c r="R176" s="76"/>
      <c r="S176" s="76"/>
      <c r="T176" s="76"/>
      <c r="U176" s="73"/>
      <c r="V176" s="76"/>
      <c r="W176" s="76"/>
      <c r="X176" s="76"/>
      <c r="Y176" s="76"/>
      <c r="Z176" s="76"/>
      <c r="AA176" s="76"/>
      <c r="AB176" s="76"/>
      <c r="AC176" s="76"/>
      <c r="AD176" s="76"/>
    </row>
    <row r="177">
      <c r="A177" s="36" t="s">
        <v>769</v>
      </c>
      <c r="B177" s="155" t="s">
        <v>734</v>
      </c>
      <c r="C177" s="37" t="str">
        <f>IF(B177="","",(VLOOKUP(B177,'Dados de PN'!$A:$B,2,0)))</f>
        <v>WASHER</v>
      </c>
      <c r="D177" s="155"/>
      <c r="E177" s="136" t="s">
        <v>32</v>
      </c>
      <c r="F177" s="155" t="s">
        <v>34</v>
      </c>
      <c r="G177" s="44">
        <f t="shared" si="3"/>
        <v>1</v>
      </c>
      <c r="H177" s="41">
        <v>1.715499E7</v>
      </c>
      <c r="I177" s="137" t="s">
        <v>710</v>
      </c>
      <c r="J177" s="180" t="s">
        <v>37</v>
      </c>
      <c r="K177" s="53">
        <v>46120.0</v>
      </c>
      <c r="L177" s="155" t="s">
        <v>953</v>
      </c>
      <c r="M177" s="136" t="s">
        <v>570</v>
      </c>
      <c r="N177" s="58"/>
      <c r="O177" s="58"/>
      <c r="P177" s="76"/>
      <c r="Q177" s="58"/>
      <c r="R177" s="76"/>
      <c r="S177" s="76"/>
      <c r="T177" s="76"/>
      <c r="U177" s="73"/>
      <c r="V177" s="76"/>
      <c r="W177" s="76"/>
      <c r="X177" s="76"/>
      <c r="Y177" s="76"/>
      <c r="Z177" s="76"/>
      <c r="AA177" s="76"/>
      <c r="AB177" s="76"/>
      <c r="AC177" s="76"/>
      <c r="AD177" s="76"/>
    </row>
    <row r="178">
      <c r="A178" s="36" t="s">
        <v>773</v>
      </c>
      <c r="B178" s="155" t="s">
        <v>739</v>
      </c>
      <c r="C178" s="37" t="str">
        <f>IF(B178="","",(VLOOKUP(B178,'Dados de PN'!$A:$B,2,0)))</f>
        <v>NUT, SELF-LOCKING</v>
      </c>
      <c r="D178" s="155"/>
      <c r="E178" s="136" t="s">
        <v>32</v>
      </c>
      <c r="F178" s="155" t="s">
        <v>34</v>
      </c>
      <c r="G178" s="44">
        <f t="shared" si="3"/>
        <v>1</v>
      </c>
      <c r="H178" s="41">
        <v>1.7154998E7</v>
      </c>
      <c r="I178" s="137" t="s">
        <v>710</v>
      </c>
      <c r="J178" s="180" t="s">
        <v>37</v>
      </c>
      <c r="K178" s="53">
        <v>46120.0</v>
      </c>
      <c r="L178" s="155" t="s">
        <v>953</v>
      </c>
      <c r="M178" s="136" t="s">
        <v>570</v>
      </c>
      <c r="N178" s="58"/>
      <c r="O178" s="58"/>
      <c r="P178" s="76"/>
      <c r="Q178" s="58"/>
      <c r="R178" s="76"/>
      <c r="S178" s="76"/>
      <c r="T178" s="76"/>
      <c r="U178" s="73"/>
      <c r="V178" s="76"/>
      <c r="W178" s="76"/>
      <c r="X178" s="76"/>
      <c r="Y178" s="76"/>
      <c r="Z178" s="76"/>
      <c r="AA178" s="76"/>
      <c r="AB178" s="76"/>
      <c r="AC178" s="76"/>
      <c r="AD178" s="76"/>
    </row>
    <row r="179">
      <c r="A179" s="36" t="s">
        <v>778</v>
      </c>
      <c r="B179" s="155" t="s">
        <v>185</v>
      </c>
      <c r="C179" s="37" t="str">
        <f>IF(B179="","",(VLOOKUP(B179,'Dados de PN'!$A:$B,2,0)))</f>
        <v>BOLT,INTERNAL WRENCHING</v>
      </c>
      <c r="D179" s="155"/>
      <c r="E179" s="136" t="s">
        <v>32</v>
      </c>
      <c r="F179" s="136" t="s">
        <v>164</v>
      </c>
      <c r="G179" s="44">
        <f t="shared" si="3"/>
        <v>2</v>
      </c>
      <c r="H179" s="41">
        <v>1.7155038E7</v>
      </c>
      <c r="I179" s="137" t="s">
        <v>710</v>
      </c>
      <c r="J179" s="180" t="s">
        <v>37</v>
      </c>
      <c r="K179" s="53">
        <v>46120.0</v>
      </c>
      <c r="L179" s="155" t="s">
        <v>953</v>
      </c>
      <c r="M179" s="136" t="s">
        <v>570</v>
      </c>
      <c r="N179" s="58"/>
      <c r="O179" s="58"/>
      <c r="P179" s="76"/>
      <c r="Q179" s="58"/>
      <c r="R179" s="76"/>
      <c r="S179" s="76"/>
      <c r="T179" s="76"/>
      <c r="U179" s="73"/>
      <c r="V179" s="76"/>
      <c r="W179" s="76"/>
      <c r="X179" s="76"/>
      <c r="Y179" s="76"/>
      <c r="Z179" s="76"/>
      <c r="AA179" s="76"/>
      <c r="AB179" s="76"/>
      <c r="AC179" s="76"/>
      <c r="AD179" s="76"/>
    </row>
    <row r="180">
      <c r="A180" s="36" t="s">
        <v>780</v>
      </c>
      <c r="B180" s="155" t="s">
        <v>659</v>
      </c>
      <c r="C180" s="37" t="str">
        <f>IF(B180="","",(VLOOKUP(B180,'Dados de PN'!$A:$B,2,0)))</f>
        <v>EXTINGUISHER,FIRE</v>
      </c>
      <c r="D180" s="155"/>
      <c r="E180" s="136" t="s">
        <v>54</v>
      </c>
      <c r="F180" s="136" t="s">
        <v>34</v>
      </c>
      <c r="G180" s="44">
        <f t="shared" si="3"/>
        <v>1</v>
      </c>
      <c r="H180" s="41">
        <v>1.7183414E7</v>
      </c>
      <c r="I180" s="137" t="s">
        <v>652</v>
      </c>
      <c r="J180" s="136" t="s">
        <v>37</v>
      </c>
      <c r="K180" s="53">
        <v>46121.0</v>
      </c>
      <c r="L180" s="155" t="s">
        <v>422</v>
      </c>
      <c r="M180" s="136" t="s">
        <v>423</v>
      </c>
      <c r="N180" s="58"/>
      <c r="O180" s="58"/>
      <c r="P180" s="76"/>
      <c r="Q180" s="58"/>
      <c r="R180" s="76"/>
      <c r="S180" s="76"/>
      <c r="T180" s="147">
        <v>46176.0</v>
      </c>
      <c r="U180" s="102" t="s">
        <v>730</v>
      </c>
      <c r="V180" s="136" t="s">
        <v>731</v>
      </c>
      <c r="W180" s="84" t="s">
        <v>83</v>
      </c>
      <c r="X180" s="76"/>
      <c r="Y180" s="76"/>
      <c r="Z180" s="76"/>
      <c r="AA180" s="76"/>
      <c r="AB180" s="76"/>
      <c r="AC180" s="76"/>
      <c r="AD180" s="76"/>
    </row>
    <row r="181">
      <c r="A181" s="36" t="s">
        <v>783</v>
      </c>
      <c r="B181" s="37" t="s">
        <v>235</v>
      </c>
      <c r="C181" s="37" t="str">
        <f>IF(B181="","",(VLOOKUP(B181,'Dados de PN'!$A:$B,2,0)))</f>
        <v>CONTROL,DIRECTIONAL,AUTOMATIC PILOT</v>
      </c>
      <c r="D181" s="155"/>
      <c r="E181" s="136" t="s">
        <v>81</v>
      </c>
      <c r="F181" s="136" t="s">
        <v>34</v>
      </c>
      <c r="G181" s="44">
        <f t="shared" si="3"/>
        <v>1</v>
      </c>
      <c r="H181" s="155" t="s">
        <v>987</v>
      </c>
      <c r="I181" s="137" t="s">
        <v>749</v>
      </c>
      <c r="J181" s="136" t="s">
        <v>37</v>
      </c>
      <c r="K181" s="53">
        <v>46121.0</v>
      </c>
      <c r="L181" s="155" t="s">
        <v>988</v>
      </c>
      <c r="M181" s="136" t="s">
        <v>61</v>
      </c>
      <c r="N181" s="58"/>
      <c r="O181" s="58"/>
      <c r="P181" s="76"/>
      <c r="Q181" s="58"/>
      <c r="R181" s="76"/>
      <c r="S181" s="76"/>
      <c r="T181" s="76"/>
      <c r="U181" s="73"/>
      <c r="V181" s="76"/>
      <c r="W181" s="76"/>
      <c r="X181" s="76"/>
      <c r="Y181" s="76"/>
      <c r="Z181" s="76"/>
      <c r="AA181" s="76"/>
      <c r="AB181" s="76"/>
      <c r="AC181" s="76"/>
      <c r="AD181" s="76"/>
    </row>
    <row r="182">
      <c r="A182" s="36" t="s">
        <v>787</v>
      </c>
      <c r="B182" s="37" t="s">
        <v>752</v>
      </c>
      <c r="C182" s="37" t="str">
        <f>IF(B182="","",(VLOOKUP(B182,'Dados de PN'!$A:$B,2,0)))</f>
        <v>PLATE</v>
      </c>
      <c r="D182" s="155"/>
      <c r="E182" s="136" t="s">
        <v>81</v>
      </c>
      <c r="F182" s="136" t="s">
        <v>34</v>
      </c>
      <c r="G182" s="44">
        <f t="shared" si="3"/>
        <v>1</v>
      </c>
      <c r="H182" s="155" t="s">
        <v>989</v>
      </c>
      <c r="I182" s="137" t="s">
        <v>749</v>
      </c>
      <c r="J182" s="136" t="s">
        <v>37</v>
      </c>
      <c r="K182" s="53">
        <v>46121.0</v>
      </c>
      <c r="L182" s="155" t="s">
        <v>183</v>
      </c>
      <c r="M182" s="136" t="s">
        <v>61</v>
      </c>
      <c r="N182" s="58"/>
      <c r="O182" s="58"/>
      <c r="P182" s="76"/>
      <c r="Q182" s="58"/>
      <c r="R182" s="76"/>
      <c r="S182" s="76"/>
      <c r="T182" s="76"/>
      <c r="U182" s="73"/>
      <c r="V182" s="76"/>
      <c r="W182" s="76"/>
      <c r="X182" s="76"/>
      <c r="Y182" s="76"/>
      <c r="Z182" s="76"/>
      <c r="AA182" s="76"/>
      <c r="AB182" s="76"/>
      <c r="AC182" s="76"/>
      <c r="AD182" s="76"/>
    </row>
    <row r="183">
      <c r="A183" s="36" t="s">
        <v>791</v>
      </c>
      <c r="B183" s="37" t="s">
        <v>756</v>
      </c>
      <c r="C183" s="37" t="str">
        <f>IF(B183="","",(VLOOKUP(B183,'Dados de PN'!$A:$B,2,0)))</f>
        <v>INDICADOR RMI</v>
      </c>
      <c r="D183" s="155"/>
      <c r="E183" s="136" t="s">
        <v>81</v>
      </c>
      <c r="F183" s="136" t="s">
        <v>164</v>
      </c>
      <c r="G183" s="44">
        <f t="shared" si="3"/>
        <v>2</v>
      </c>
      <c r="H183" s="155" t="s">
        <v>990</v>
      </c>
      <c r="I183" s="137" t="s">
        <v>749</v>
      </c>
      <c r="J183" s="136" t="s">
        <v>37</v>
      </c>
      <c r="K183" s="53">
        <v>46121.0</v>
      </c>
      <c r="L183" s="155" t="s">
        <v>759</v>
      </c>
      <c r="M183" s="136" t="s">
        <v>61</v>
      </c>
      <c r="N183" s="58"/>
      <c r="O183" s="58"/>
      <c r="P183" s="76"/>
      <c r="Q183" s="58"/>
      <c r="R183" s="76"/>
      <c r="S183" s="76"/>
      <c r="T183" s="76"/>
      <c r="U183" s="73"/>
      <c r="V183" s="76"/>
      <c r="W183" s="76"/>
      <c r="X183" s="76"/>
      <c r="Y183" s="76"/>
      <c r="Z183" s="76"/>
      <c r="AA183" s="76"/>
      <c r="AB183" s="76"/>
      <c r="AC183" s="76"/>
      <c r="AD183" s="76"/>
    </row>
    <row r="184">
      <c r="A184" s="36" t="s">
        <v>796</v>
      </c>
      <c r="B184" s="37" t="s">
        <v>762</v>
      </c>
      <c r="C184" s="37" t="str">
        <f>IF(B184="","",(VLOOKUP(B184,'Dados de PN'!$A:$B,2,0)))</f>
        <v>ANTENA</v>
      </c>
      <c r="D184" s="155"/>
      <c r="E184" s="136" t="s">
        <v>81</v>
      </c>
      <c r="F184" s="136" t="s">
        <v>34</v>
      </c>
      <c r="G184" s="44">
        <f t="shared" si="3"/>
        <v>1</v>
      </c>
      <c r="H184" s="155" t="s">
        <v>991</v>
      </c>
      <c r="I184" s="137" t="s">
        <v>749</v>
      </c>
      <c r="J184" s="136" t="s">
        <v>37</v>
      </c>
      <c r="K184" s="53">
        <v>46121.0</v>
      </c>
      <c r="L184" s="155" t="s">
        <v>183</v>
      </c>
      <c r="M184" s="136" t="s">
        <v>61</v>
      </c>
      <c r="N184" s="58"/>
      <c r="O184" s="58"/>
      <c r="P184" s="76"/>
      <c r="Q184" s="58"/>
      <c r="R184" s="76"/>
      <c r="S184" s="76"/>
      <c r="T184" s="76"/>
      <c r="U184" s="73"/>
      <c r="V184" s="76"/>
      <c r="W184" s="76"/>
      <c r="X184" s="76"/>
      <c r="Y184" s="76"/>
      <c r="Z184" s="76"/>
      <c r="AA184" s="76"/>
      <c r="AB184" s="76"/>
      <c r="AC184" s="76"/>
      <c r="AD184" s="76"/>
    </row>
    <row r="185">
      <c r="A185" s="36" t="s">
        <v>799</v>
      </c>
      <c r="B185" s="155" t="s">
        <v>765</v>
      </c>
      <c r="C185" s="37" t="str">
        <f>IF(B185="","",(VLOOKUP(B185,'Dados de PN'!$A:$B,2,0)))</f>
        <v>LINE ASSY-INSTRUMENT TO TEE</v>
      </c>
      <c r="D185" s="155"/>
      <c r="E185" s="136" t="s">
        <v>32</v>
      </c>
      <c r="F185" s="136" t="s">
        <v>34</v>
      </c>
      <c r="G185" s="44">
        <f t="shared" si="3"/>
        <v>1</v>
      </c>
      <c r="H185" s="155" t="s">
        <v>992</v>
      </c>
      <c r="I185" s="137" t="s">
        <v>767</v>
      </c>
      <c r="J185" s="136" t="s">
        <v>37</v>
      </c>
      <c r="K185" s="53">
        <v>46122.0</v>
      </c>
      <c r="L185" s="155" t="s">
        <v>290</v>
      </c>
      <c r="M185" s="136" t="s">
        <v>169</v>
      </c>
      <c r="N185" s="58"/>
      <c r="O185" s="58"/>
      <c r="P185" s="76"/>
      <c r="Q185" s="58"/>
      <c r="R185" s="76"/>
      <c r="S185" s="76"/>
      <c r="T185" s="76"/>
      <c r="U185" s="73"/>
      <c r="V185" s="76"/>
      <c r="W185" s="76"/>
      <c r="X185" s="76"/>
      <c r="Y185" s="76"/>
      <c r="Z185" s="76"/>
      <c r="AA185" s="76"/>
      <c r="AB185" s="76"/>
      <c r="AC185" s="76"/>
      <c r="AD185" s="76"/>
    </row>
    <row r="186">
      <c r="A186" s="36" t="s">
        <v>803</v>
      </c>
      <c r="B186" s="155" t="s">
        <v>765</v>
      </c>
      <c r="C186" s="37" t="str">
        <f>IF(B186="","",(VLOOKUP(B186,'Dados de PN'!$A:$B,2,0)))</f>
        <v>LINE ASSY-INSTRUMENT TO TEE</v>
      </c>
      <c r="D186" s="155"/>
      <c r="E186" s="136" t="s">
        <v>32</v>
      </c>
      <c r="F186" s="136" t="s">
        <v>34</v>
      </c>
      <c r="G186" s="44">
        <f t="shared" si="3"/>
        <v>1</v>
      </c>
      <c r="H186" s="155" t="s">
        <v>993</v>
      </c>
      <c r="I186" s="137" t="s">
        <v>767</v>
      </c>
      <c r="J186" s="136" t="s">
        <v>37</v>
      </c>
      <c r="K186" s="53">
        <v>46122.0</v>
      </c>
      <c r="L186" s="155" t="s">
        <v>290</v>
      </c>
      <c r="M186" s="136" t="s">
        <v>169</v>
      </c>
      <c r="N186" s="58"/>
      <c r="O186" s="58"/>
      <c r="P186" s="76"/>
      <c r="Q186" s="58"/>
      <c r="R186" s="76"/>
      <c r="S186" s="76"/>
      <c r="T186" s="76"/>
      <c r="U186" s="73"/>
      <c r="V186" s="76"/>
      <c r="W186" s="76"/>
      <c r="X186" s="76"/>
      <c r="Y186" s="76"/>
      <c r="Z186" s="76"/>
      <c r="AA186" s="76"/>
      <c r="AB186" s="76"/>
      <c r="AC186" s="76"/>
      <c r="AD186" s="76"/>
    </row>
    <row r="187">
      <c r="A187" s="36" t="s">
        <v>806</v>
      </c>
      <c r="B187" s="155" t="s">
        <v>774</v>
      </c>
      <c r="C187" s="37" t="str">
        <f>IF(B187="","",(VLOOKUP(B187,'Dados de PN'!$A:$B,2,0)))</f>
        <v>PORCA FLUTUANTE</v>
      </c>
      <c r="D187" s="155"/>
      <c r="E187" s="136" t="s">
        <v>32</v>
      </c>
      <c r="F187" s="136" t="s">
        <v>124</v>
      </c>
      <c r="G187" s="44">
        <f t="shared" si="3"/>
        <v>50</v>
      </c>
      <c r="H187" s="155" t="s">
        <v>994</v>
      </c>
      <c r="I187" s="137" t="s">
        <v>767</v>
      </c>
      <c r="J187" s="136" t="s">
        <v>37</v>
      </c>
      <c r="K187" s="53">
        <v>46122.0</v>
      </c>
      <c r="L187" s="155" t="s">
        <v>290</v>
      </c>
      <c r="M187" s="136" t="s">
        <v>169</v>
      </c>
      <c r="N187" s="58"/>
      <c r="O187" s="58"/>
      <c r="P187" s="76"/>
      <c r="Q187" s="58"/>
      <c r="R187" s="76"/>
      <c r="S187" s="76"/>
      <c r="T187" s="76"/>
      <c r="U187" s="73"/>
      <c r="V187" s="76"/>
      <c r="W187" s="76"/>
      <c r="X187" s="76"/>
      <c r="Y187" s="76"/>
      <c r="Z187" s="76"/>
      <c r="AA187" s="76"/>
      <c r="AB187" s="76"/>
      <c r="AC187" s="76"/>
      <c r="AD187" s="76"/>
    </row>
    <row r="188">
      <c r="A188" s="36" t="s">
        <v>812</v>
      </c>
      <c r="B188" s="155" t="s">
        <v>779</v>
      </c>
      <c r="C188" s="37" t="str">
        <f>IF(B188="","",(VLOOKUP(B188,'Dados de PN'!$A:$B,2,0)))</f>
        <v>BOLT</v>
      </c>
      <c r="D188" s="155"/>
      <c r="E188" s="136" t="s">
        <v>32</v>
      </c>
      <c r="F188" s="136" t="s">
        <v>34</v>
      </c>
      <c r="G188" s="44">
        <f t="shared" si="3"/>
        <v>1</v>
      </c>
      <c r="H188" s="41">
        <v>1.7187137E7</v>
      </c>
      <c r="I188" s="137" t="s">
        <v>767</v>
      </c>
      <c r="J188" s="136" t="s">
        <v>37</v>
      </c>
      <c r="K188" s="53">
        <v>46122.0</v>
      </c>
      <c r="L188" s="155" t="s">
        <v>953</v>
      </c>
      <c r="M188" s="136" t="s">
        <v>570</v>
      </c>
      <c r="N188" s="58"/>
      <c r="O188" s="58"/>
      <c r="P188" s="76"/>
      <c r="Q188" s="58"/>
      <c r="R188" s="76"/>
      <c r="S188" s="76"/>
      <c r="T188" s="76"/>
      <c r="U188" s="73"/>
      <c r="V188" s="76"/>
      <c r="W188" s="76"/>
      <c r="X188" s="76"/>
      <c r="Y188" s="76"/>
      <c r="Z188" s="76"/>
      <c r="AA188" s="76"/>
      <c r="AB188" s="76"/>
      <c r="AC188" s="76"/>
      <c r="AD188" s="76"/>
    </row>
    <row r="189">
      <c r="A189" s="36" t="s">
        <v>816</v>
      </c>
      <c r="B189" s="155" t="s">
        <v>781</v>
      </c>
      <c r="C189" s="37" t="str">
        <f>IF(B189="","",(VLOOKUP(B189,'Dados de PN'!$A:$B,2,0)))</f>
        <v>BOLT,INTERNAL WRENCHING</v>
      </c>
      <c r="D189" s="155"/>
      <c r="E189" s="136" t="s">
        <v>32</v>
      </c>
      <c r="F189" s="136" t="s">
        <v>164</v>
      </c>
      <c r="G189" s="44">
        <f t="shared" si="3"/>
        <v>2</v>
      </c>
      <c r="H189" s="41">
        <v>1.7187145E7</v>
      </c>
      <c r="I189" s="137" t="s">
        <v>767</v>
      </c>
      <c r="J189" s="136" t="s">
        <v>37</v>
      </c>
      <c r="K189" s="53">
        <v>46122.0</v>
      </c>
      <c r="L189" s="155" t="s">
        <v>953</v>
      </c>
      <c r="M189" s="136" t="s">
        <v>570</v>
      </c>
      <c r="N189" s="58"/>
      <c r="O189" s="58"/>
      <c r="P189" s="76"/>
      <c r="Q189" s="58"/>
      <c r="R189" s="76"/>
      <c r="S189" s="76"/>
      <c r="T189" s="76"/>
      <c r="U189" s="73"/>
      <c r="V189" s="76"/>
      <c r="W189" s="76"/>
      <c r="X189" s="76"/>
      <c r="Y189" s="76"/>
      <c r="Z189" s="76"/>
      <c r="AA189" s="76"/>
      <c r="AB189" s="76"/>
      <c r="AC189" s="76"/>
      <c r="AD189" s="76"/>
    </row>
    <row r="190">
      <c r="A190" s="36" t="s">
        <v>823</v>
      </c>
      <c r="B190" s="155" t="s">
        <v>784</v>
      </c>
      <c r="C190" s="37" t="str">
        <f>IF(B190="","",(VLOOKUP(B190,'Dados de PN'!$A:$B,2,0)))</f>
        <v>NUT,SELF-LOCKING,HEXAGON</v>
      </c>
      <c r="D190" s="155"/>
      <c r="E190" s="136" t="s">
        <v>32</v>
      </c>
      <c r="F190" s="155" t="s">
        <v>252</v>
      </c>
      <c r="G190" s="44">
        <f t="shared" si="3"/>
        <v>4</v>
      </c>
      <c r="H190" s="41">
        <v>1.7187148E7</v>
      </c>
      <c r="I190" s="137" t="s">
        <v>767</v>
      </c>
      <c r="J190" s="136" t="s">
        <v>37</v>
      </c>
      <c r="K190" s="53">
        <v>46122.0</v>
      </c>
      <c r="L190" s="155" t="s">
        <v>953</v>
      </c>
      <c r="M190" s="136" t="s">
        <v>570</v>
      </c>
      <c r="N190" s="58"/>
      <c r="O190" s="58"/>
      <c r="P190" s="76"/>
      <c r="Q190" s="58"/>
      <c r="R190" s="76"/>
      <c r="S190" s="76"/>
      <c r="T190" s="76"/>
      <c r="U190" s="73"/>
      <c r="V190" s="76"/>
      <c r="W190" s="76"/>
      <c r="X190" s="76"/>
      <c r="Y190" s="76"/>
      <c r="Z190" s="76"/>
      <c r="AA190" s="76"/>
      <c r="AB190" s="76"/>
      <c r="AC190" s="76"/>
      <c r="AD190" s="76"/>
    </row>
    <row r="191">
      <c r="A191" s="36" t="s">
        <v>829</v>
      </c>
      <c r="B191" s="155" t="s">
        <v>788</v>
      </c>
      <c r="C191" s="37" t="str">
        <f>IF(B191="","",(VLOOKUP(B191,'Dados de PN'!$A:$B,2,0)))</f>
        <v>BOLT,INTERNAL WRENCHING</v>
      </c>
      <c r="D191" s="155"/>
      <c r="E191" s="136" t="s">
        <v>32</v>
      </c>
      <c r="F191" s="136" t="s">
        <v>34</v>
      </c>
      <c r="G191" s="44">
        <f t="shared" si="3"/>
        <v>1</v>
      </c>
      <c r="H191" s="41">
        <v>1.7187154E7</v>
      </c>
      <c r="I191" s="137" t="s">
        <v>767</v>
      </c>
      <c r="J191" s="136" t="s">
        <v>37</v>
      </c>
      <c r="K191" s="53">
        <v>46122.0</v>
      </c>
      <c r="L191" s="155" t="s">
        <v>953</v>
      </c>
      <c r="M191" s="136" t="s">
        <v>570</v>
      </c>
      <c r="N191" s="58"/>
      <c r="O191" s="58"/>
      <c r="P191" s="76"/>
      <c r="Q191" s="58"/>
      <c r="R191" s="76"/>
      <c r="S191" s="76"/>
      <c r="T191" s="76"/>
      <c r="U191" s="73"/>
      <c r="V191" s="76"/>
      <c r="W191" s="76"/>
      <c r="X191" s="76"/>
      <c r="Y191" s="76"/>
      <c r="Z191" s="76"/>
      <c r="AA191" s="76"/>
      <c r="AB191" s="76"/>
      <c r="AC191" s="76"/>
      <c r="AD191" s="76"/>
    </row>
    <row r="192">
      <c r="A192" s="36" t="s">
        <v>833</v>
      </c>
      <c r="B192" s="155" t="s">
        <v>792</v>
      </c>
      <c r="C192" s="37" t="str">
        <f>IF(B192="","",(VLOOKUP(B192,'Dados de PN'!$A:$B,2,0)))</f>
        <v>ENGINE MOUNT</v>
      </c>
      <c r="D192" s="155"/>
      <c r="E192" s="136" t="s">
        <v>32</v>
      </c>
      <c r="F192" s="136" t="s">
        <v>794</v>
      </c>
      <c r="G192" s="44">
        <f t="shared" si="3"/>
        <v>6</v>
      </c>
      <c r="H192" s="41">
        <v>1.7187163E7</v>
      </c>
      <c r="I192" s="137" t="s">
        <v>767</v>
      </c>
      <c r="J192" s="136" t="s">
        <v>37</v>
      </c>
      <c r="K192" s="53">
        <v>46122.0</v>
      </c>
      <c r="L192" s="155" t="s">
        <v>953</v>
      </c>
      <c r="M192" s="136" t="s">
        <v>570</v>
      </c>
      <c r="N192" s="58"/>
      <c r="O192" s="58"/>
      <c r="P192" s="76"/>
      <c r="Q192" s="58"/>
      <c r="R192" s="76"/>
      <c r="S192" s="76"/>
      <c r="T192" s="76"/>
      <c r="U192" s="73"/>
      <c r="V192" s="76"/>
      <c r="W192" s="76"/>
      <c r="X192" s="76"/>
      <c r="Y192" s="76"/>
      <c r="Z192" s="76"/>
      <c r="AA192" s="76"/>
      <c r="AB192" s="76"/>
      <c r="AC192" s="76"/>
      <c r="AD192" s="76"/>
    </row>
    <row r="193">
      <c r="A193" s="36" t="s">
        <v>834</v>
      </c>
      <c r="B193" s="155" t="s">
        <v>797</v>
      </c>
      <c r="C193" s="37" t="str">
        <f>IF(B193="","",(VLOOKUP(B193,'Dados de PN'!$A:$B,2,0)))</f>
        <v>BOLT</v>
      </c>
      <c r="D193" s="155"/>
      <c r="E193" s="136" t="s">
        <v>32</v>
      </c>
      <c r="F193" s="136" t="s">
        <v>34</v>
      </c>
      <c r="G193" s="44">
        <f t="shared" si="3"/>
        <v>1</v>
      </c>
      <c r="H193" s="41">
        <v>1.7187176E7</v>
      </c>
      <c r="I193" s="137" t="s">
        <v>767</v>
      </c>
      <c r="J193" s="136" t="s">
        <v>37</v>
      </c>
      <c r="K193" s="53">
        <v>46122.0</v>
      </c>
      <c r="L193" s="155" t="s">
        <v>953</v>
      </c>
      <c r="M193" s="136" t="s">
        <v>570</v>
      </c>
      <c r="N193" s="58"/>
      <c r="O193" s="58"/>
      <c r="P193" s="76"/>
      <c r="Q193" s="58"/>
      <c r="R193" s="76"/>
      <c r="S193" s="76"/>
      <c r="T193" s="76"/>
      <c r="U193" s="73"/>
      <c r="V193" s="76"/>
      <c r="W193" s="76"/>
      <c r="X193" s="76"/>
      <c r="Y193" s="76"/>
      <c r="Z193" s="76"/>
      <c r="AA193" s="76"/>
      <c r="AB193" s="76"/>
      <c r="AC193" s="76"/>
      <c r="AD193" s="76"/>
    </row>
    <row r="194">
      <c r="A194" s="36" t="s">
        <v>839</v>
      </c>
      <c r="B194" s="155" t="s">
        <v>800</v>
      </c>
      <c r="C194" s="37" t="str">
        <f>IF(B194="","",(VLOOKUP(B194,'Dados de PN'!$A:$B,2,0)))</f>
        <v>NUT,PLAIN,CASTELLATED,HEXAGON</v>
      </c>
      <c r="D194" s="155"/>
      <c r="E194" s="136" t="s">
        <v>32</v>
      </c>
      <c r="F194" s="136" t="s">
        <v>340</v>
      </c>
      <c r="G194" s="44">
        <f t="shared" si="3"/>
        <v>3</v>
      </c>
      <c r="H194" s="41">
        <v>1.7187179E7</v>
      </c>
      <c r="I194" s="137" t="s">
        <v>767</v>
      </c>
      <c r="J194" s="136" t="s">
        <v>37</v>
      </c>
      <c r="K194" s="53">
        <v>46122.0</v>
      </c>
      <c r="L194" s="155" t="s">
        <v>953</v>
      </c>
      <c r="M194" s="136" t="s">
        <v>570</v>
      </c>
      <c r="N194" s="58"/>
      <c r="O194" s="58"/>
      <c r="P194" s="76"/>
      <c r="Q194" s="58"/>
      <c r="R194" s="76"/>
      <c r="S194" s="76"/>
      <c r="T194" s="76"/>
      <c r="U194" s="73"/>
      <c r="V194" s="76"/>
      <c r="W194" s="76"/>
      <c r="X194" s="76"/>
      <c r="Y194" s="76"/>
      <c r="Z194" s="76"/>
      <c r="AA194" s="76"/>
      <c r="AB194" s="76"/>
      <c r="AC194" s="76"/>
      <c r="AD194" s="76"/>
    </row>
    <row r="195">
      <c r="A195" s="36" t="s">
        <v>844</v>
      </c>
      <c r="B195" s="155" t="s">
        <v>800</v>
      </c>
      <c r="C195" s="37" t="str">
        <f>IF(B195="","",(VLOOKUP(B195,'Dados de PN'!$A:$B,2,0)))</f>
        <v>NUT,PLAIN,CASTELLATED,HEXAGON</v>
      </c>
      <c r="D195" s="155"/>
      <c r="E195" s="136" t="s">
        <v>32</v>
      </c>
      <c r="F195" s="136" t="s">
        <v>340</v>
      </c>
      <c r="G195" s="44">
        <f t="shared" si="3"/>
        <v>3</v>
      </c>
      <c r="H195" s="41">
        <v>1.7191995E7</v>
      </c>
      <c r="I195" s="137" t="s">
        <v>767</v>
      </c>
      <c r="J195" s="136" t="s">
        <v>37</v>
      </c>
      <c r="K195" s="53">
        <v>46122.0</v>
      </c>
      <c r="L195" s="155" t="s">
        <v>953</v>
      </c>
      <c r="M195" s="136" t="s">
        <v>570</v>
      </c>
      <c r="N195" s="58"/>
      <c r="O195" s="58"/>
      <c r="P195" s="76"/>
      <c r="Q195" s="58"/>
      <c r="R195" s="76"/>
      <c r="S195" s="76"/>
      <c r="T195" s="76"/>
      <c r="U195" s="73"/>
      <c r="V195" s="76"/>
      <c r="W195" s="76"/>
      <c r="X195" s="76"/>
      <c r="Y195" s="76"/>
      <c r="Z195" s="76"/>
      <c r="AA195" s="76"/>
      <c r="AB195" s="76"/>
      <c r="AC195" s="76"/>
      <c r="AD195" s="76"/>
    </row>
    <row r="196">
      <c r="A196" s="36" t="s">
        <v>848</v>
      </c>
      <c r="B196" s="155" t="s">
        <v>807</v>
      </c>
      <c r="C196" s="37" t="str">
        <f>IF(B196="","",(VLOOKUP(B196,'Dados de PN'!$A:$B,2,0)))</f>
        <v>HOSE ASSY TEE</v>
      </c>
      <c r="D196" s="155"/>
      <c r="E196" s="136" t="s">
        <v>32</v>
      </c>
      <c r="F196" s="136" t="s">
        <v>34</v>
      </c>
      <c r="G196" s="44">
        <f t="shared" si="3"/>
        <v>1</v>
      </c>
      <c r="H196" s="41">
        <v>3.13260018206E11</v>
      </c>
      <c r="I196" s="137" t="s">
        <v>810</v>
      </c>
      <c r="J196" s="136" t="s">
        <v>37</v>
      </c>
      <c r="K196" s="53">
        <v>46126.0</v>
      </c>
      <c r="L196" s="155" t="s">
        <v>412</v>
      </c>
      <c r="M196" s="136" t="s">
        <v>51</v>
      </c>
      <c r="N196" s="58"/>
      <c r="O196" s="58"/>
      <c r="P196" s="76"/>
      <c r="Q196" s="58"/>
      <c r="R196" s="76"/>
      <c r="S196" s="76"/>
      <c r="T196" s="76"/>
      <c r="U196" s="73"/>
      <c r="V196" s="136"/>
      <c r="W196" s="76"/>
      <c r="X196" s="76"/>
      <c r="Y196" s="76"/>
      <c r="Z196" s="76"/>
      <c r="AA196" s="76"/>
      <c r="AB196" s="76"/>
      <c r="AC196" s="76"/>
      <c r="AD196" s="76"/>
    </row>
    <row r="197">
      <c r="A197" s="36" t="s">
        <v>853</v>
      </c>
      <c r="B197" s="155" t="s">
        <v>491</v>
      </c>
      <c r="C197" s="37" t="str">
        <f>IF(B197="","",(VLOOKUP(B197,'Dados de PN'!$A:$B,2,0)))</f>
        <v>RECEIVER TRANSMITTER</v>
      </c>
      <c r="D197" s="155" t="s">
        <v>995</v>
      </c>
      <c r="E197" s="136" t="s">
        <v>81</v>
      </c>
      <c r="F197" s="136" t="s">
        <v>34</v>
      </c>
      <c r="G197" s="44">
        <f t="shared" si="3"/>
        <v>1</v>
      </c>
      <c r="H197" s="41">
        <v>1.7244405E7</v>
      </c>
      <c r="I197" s="137" t="s">
        <v>814</v>
      </c>
      <c r="J197" s="136" t="s">
        <v>37</v>
      </c>
      <c r="K197" s="53">
        <v>46128.0</v>
      </c>
      <c r="L197" s="155" t="s">
        <v>403</v>
      </c>
      <c r="M197" s="136" t="s">
        <v>404</v>
      </c>
      <c r="N197" s="58"/>
      <c r="O197" s="58"/>
      <c r="P197" s="76"/>
      <c r="Q197" s="58"/>
      <c r="R197" s="76"/>
      <c r="S197" s="76"/>
      <c r="T197" s="76"/>
      <c r="U197" s="73"/>
      <c r="V197" s="76"/>
      <c r="W197" s="76"/>
      <c r="X197" s="76"/>
      <c r="Y197" s="76"/>
      <c r="Z197" s="76"/>
      <c r="AA197" s="76"/>
      <c r="AB197" s="76"/>
      <c r="AC197" s="76"/>
      <c r="AD197" s="76"/>
    </row>
    <row r="198">
      <c r="A198" s="36" t="s">
        <v>859</v>
      </c>
      <c r="B198" s="155" t="s">
        <v>489</v>
      </c>
      <c r="C198" s="37" t="str">
        <f>IF(B198="","",(VLOOKUP(B198,'Dados de PN'!$A:$B,2,0)))</f>
        <v>TRANSCEIVER</v>
      </c>
      <c r="D198" s="155" t="s">
        <v>996</v>
      </c>
      <c r="E198" s="136" t="s">
        <v>81</v>
      </c>
      <c r="F198" s="136" t="s">
        <v>34</v>
      </c>
      <c r="G198" s="44">
        <f t="shared" si="3"/>
        <v>1</v>
      </c>
      <c r="H198" s="41">
        <v>3.29260019063E11</v>
      </c>
      <c r="I198" s="137" t="s">
        <v>819</v>
      </c>
      <c r="J198" s="136" t="s">
        <v>37</v>
      </c>
      <c r="K198" s="53">
        <v>46128.0</v>
      </c>
      <c r="L198" s="155" t="s">
        <v>290</v>
      </c>
      <c r="M198" s="136" t="s">
        <v>169</v>
      </c>
      <c r="N198" s="58"/>
      <c r="O198" s="58"/>
      <c r="P198" s="76"/>
      <c r="Q198" s="58"/>
      <c r="R198" s="76"/>
      <c r="S198" s="76"/>
      <c r="T198" s="76"/>
      <c r="U198" s="73"/>
      <c r="V198" s="76"/>
      <c r="W198" s="76"/>
      <c r="X198" s="76"/>
      <c r="Y198" s="76"/>
      <c r="Z198" s="76"/>
      <c r="AA198" s="76"/>
      <c r="AB198" s="76"/>
      <c r="AC198" s="76"/>
      <c r="AD198" s="76"/>
    </row>
    <row r="199">
      <c r="A199" s="36" t="s">
        <v>865</v>
      </c>
      <c r="B199" s="155" t="s">
        <v>824</v>
      </c>
      <c r="C199" s="37" t="str">
        <f>IF(B199="","",(VLOOKUP(B199,'Dados de PN'!$A:$B,2,0)))</f>
        <v>PIN,COTTER</v>
      </c>
      <c r="D199" s="155"/>
      <c r="E199" s="136" t="s">
        <v>32</v>
      </c>
      <c r="F199" s="136" t="s">
        <v>826</v>
      </c>
      <c r="G199" s="44">
        <f t="shared" si="3"/>
        <v>5</v>
      </c>
      <c r="H199" s="41">
        <v>1.7261012E7</v>
      </c>
      <c r="I199" s="137" t="s">
        <v>827</v>
      </c>
      <c r="J199" s="136" t="s">
        <v>256</v>
      </c>
      <c r="K199" s="53">
        <v>46128.0</v>
      </c>
      <c r="L199" s="155" t="s">
        <v>133</v>
      </c>
      <c r="M199" s="136" t="s">
        <v>76</v>
      </c>
      <c r="N199" s="58"/>
      <c r="O199" s="58"/>
      <c r="P199" s="76"/>
      <c r="Q199" s="58"/>
      <c r="R199" s="76"/>
      <c r="S199" s="76"/>
      <c r="T199" s="76"/>
      <c r="U199" s="73"/>
      <c r="V199" s="76"/>
      <c r="W199" s="76"/>
      <c r="X199" s="76"/>
      <c r="Y199" s="76"/>
      <c r="Z199" s="76"/>
      <c r="AA199" s="76"/>
      <c r="AB199" s="76"/>
      <c r="AC199" s="76"/>
      <c r="AD199" s="76"/>
    </row>
    <row r="200">
      <c r="A200" s="36" t="s">
        <v>868</v>
      </c>
      <c r="B200" s="155" t="s">
        <v>997</v>
      </c>
      <c r="C200" s="37" t="str">
        <f>IF(B200="","",(VLOOKUP(B200,'Dados de PN'!$A:$B,2,0)))</f>
        <v>SPACER</v>
      </c>
      <c r="D200" s="155"/>
      <c r="E200" s="136" t="s">
        <v>32</v>
      </c>
      <c r="F200" s="136" t="s">
        <v>164</v>
      </c>
      <c r="G200" s="44">
        <f t="shared" si="3"/>
        <v>2</v>
      </c>
      <c r="H200" s="41">
        <v>1.7276994E7</v>
      </c>
      <c r="I200" s="137" t="s">
        <v>831</v>
      </c>
      <c r="J200" s="136" t="s">
        <v>74</v>
      </c>
      <c r="K200" s="53">
        <v>46129.0</v>
      </c>
      <c r="L200" s="155" t="s">
        <v>133</v>
      </c>
      <c r="M200" s="136" t="s">
        <v>76</v>
      </c>
      <c r="N200" s="58"/>
      <c r="O200" s="58"/>
      <c r="P200" s="76"/>
      <c r="Q200" s="58"/>
      <c r="R200" s="76"/>
      <c r="S200" s="76"/>
      <c r="T200" s="76"/>
      <c r="U200" s="73"/>
      <c r="V200" s="76"/>
      <c r="W200" s="76"/>
      <c r="X200" s="76"/>
      <c r="Y200" s="76"/>
      <c r="Z200" s="76"/>
      <c r="AA200" s="76"/>
      <c r="AB200" s="76"/>
      <c r="AC200" s="76"/>
      <c r="AD200" s="76"/>
    </row>
    <row r="201">
      <c r="A201" s="36" t="s">
        <v>872</v>
      </c>
      <c r="B201" s="155" t="s">
        <v>310</v>
      </c>
      <c r="C201" s="37" t="str">
        <f>IF(B201="","",(VLOOKUP(B201,'Dados de PN'!$A:$B,2,0)))</f>
        <v>HOSE ASSEMBLY,NONMETALLIC</v>
      </c>
      <c r="D201" s="155"/>
      <c r="E201" s="136" t="s">
        <v>32</v>
      </c>
      <c r="F201" s="136" t="s">
        <v>164</v>
      </c>
      <c r="G201" s="44">
        <f t="shared" si="3"/>
        <v>2</v>
      </c>
      <c r="H201" s="41">
        <v>1.7254045E7</v>
      </c>
      <c r="I201" s="137" t="s">
        <v>749</v>
      </c>
      <c r="J201" s="136" t="s">
        <v>37</v>
      </c>
      <c r="K201" s="53">
        <v>46135.0</v>
      </c>
      <c r="L201" s="155" t="s">
        <v>320</v>
      </c>
      <c r="M201" s="136" t="s">
        <v>61</v>
      </c>
      <c r="N201" s="58"/>
      <c r="O201" s="58"/>
      <c r="P201" s="76"/>
      <c r="Q201" s="58"/>
      <c r="R201" s="76"/>
      <c r="S201" s="76"/>
      <c r="T201" s="76"/>
      <c r="U201" s="73"/>
      <c r="V201" s="76"/>
      <c r="W201" s="76"/>
      <c r="X201" s="76"/>
      <c r="Y201" s="76"/>
      <c r="Z201" s="76"/>
      <c r="AA201" s="76"/>
      <c r="AB201" s="76"/>
      <c r="AC201" s="76"/>
      <c r="AD201" s="76"/>
    </row>
    <row r="202">
      <c r="A202" s="36" t="s">
        <v>877</v>
      </c>
      <c r="B202" s="155" t="s">
        <v>835</v>
      </c>
      <c r="C202" s="37" t="str">
        <f>IF(B202="","",(VLOOKUP(B202,'Dados de PN'!$A:$B,2,0)))</f>
        <v>NUT,PLAIN,HEXAGON</v>
      </c>
      <c r="D202" s="155"/>
      <c r="E202" s="136" t="s">
        <v>32</v>
      </c>
      <c r="F202" s="155" t="s">
        <v>252</v>
      </c>
      <c r="G202" s="44">
        <f t="shared" si="3"/>
        <v>4</v>
      </c>
      <c r="H202" s="41">
        <v>1.7331826E7</v>
      </c>
      <c r="I202" s="137" t="s">
        <v>837</v>
      </c>
      <c r="J202" s="136" t="s">
        <v>37</v>
      </c>
      <c r="K202" s="53">
        <v>46139.0</v>
      </c>
      <c r="L202" s="155" t="s">
        <v>543</v>
      </c>
      <c r="M202" s="136" t="s">
        <v>544</v>
      </c>
      <c r="N202" s="58"/>
      <c r="O202" s="58"/>
      <c r="P202" s="76"/>
      <c r="Q202" s="58"/>
      <c r="R202" s="76"/>
      <c r="S202" s="76"/>
      <c r="T202" s="76"/>
      <c r="U202" s="73"/>
      <c r="V202" s="76"/>
      <c r="W202" s="76"/>
      <c r="X202" s="76"/>
      <c r="Y202" s="76"/>
      <c r="Z202" s="76"/>
      <c r="AA202" s="76"/>
      <c r="AB202" s="76"/>
      <c r="AC202" s="76"/>
      <c r="AD202" s="76"/>
    </row>
    <row r="203">
      <c r="A203" s="36" t="s">
        <v>882</v>
      </c>
      <c r="B203" s="155" t="s">
        <v>840</v>
      </c>
      <c r="C203" s="37" t="str">
        <f>IF(B203="","",(VLOOKUP(B203,'Dados de PN'!$A:$B,2,0)))</f>
        <v>ANEL-O</v>
      </c>
      <c r="D203" s="155"/>
      <c r="E203" s="136" t="s">
        <v>32</v>
      </c>
      <c r="F203" s="136" t="s">
        <v>164</v>
      </c>
      <c r="G203" s="44">
        <f t="shared" si="3"/>
        <v>2</v>
      </c>
      <c r="H203" s="41">
        <v>1.7331914E7</v>
      </c>
      <c r="I203" s="137" t="s">
        <v>837</v>
      </c>
      <c r="J203" s="136" t="s">
        <v>37</v>
      </c>
      <c r="K203" s="53">
        <v>46139.0</v>
      </c>
      <c r="L203" s="155" t="s">
        <v>543</v>
      </c>
      <c r="M203" s="136" t="s">
        <v>544</v>
      </c>
      <c r="N203" s="58"/>
      <c r="O203" s="58"/>
      <c r="P203" s="76"/>
      <c r="Q203" s="58"/>
      <c r="R203" s="76"/>
      <c r="S203" s="76"/>
      <c r="T203" s="76"/>
      <c r="U203" s="73"/>
      <c r="V203" s="76"/>
      <c r="W203" s="76"/>
      <c r="X203" s="76"/>
      <c r="Y203" s="76"/>
      <c r="Z203" s="76"/>
      <c r="AA203" s="76"/>
      <c r="AB203" s="76"/>
      <c r="AC203" s="76"/>
      <c r="AD203" s="76"/>
    </row>
    <row r="204">
      <c r="A204" s="36" t="s">
        <v>886</v>
      </c>
      <c r="B204" s="155" t="s">
        <v>845</v>
      </c>
      <c r="C204" s="37" t="str">
        <f>IF(B204="","",(VLOOKUP(B204,'Dados de PN'!$A:$B,2,0)))</f>
        <v>INDICATOR TRUE</v>
      </c>
      <c r="D204" s="155"/>
      <c r="E204" s="136" t="s">
        <v>81</v>
      </c>
      <c r="F204" s="136" t="s">
        <v>34</v>
      </c>
      <c r="G204" s="44">
        <f t="shared" si="3"/>
        <v>1</v>
      </c>
      <c r="H204" s="155" t="s">
        <v>998</v>
      </c>
      <c r="I204" s="137" t="s">
        <v>819</v>
      </c>
      <c r="J204" s="136" t="s">
        <v>37</v>
      </c>
      <c r="K204" s="53">
        <v>46139.0</v>
      </c>
      <c r="L204" s="155" t="s">
        <v>988</v>
      </c>
      <c r="M204" s="136" t="s">
        <v>169</v>
      </c>
      <c r="N204" s="58"/>
      <c r="O204" s="58"/>
      <c r="P204" s="76"/>
      <c r="Q204" s="58"/>
      <c r="R204" s="76"/>
      <c r="S204" s="76"/>
      <c r="T204" s="76"/>
      <c r="U204" s="73"/>
      <c r="V204" s="76"/>
      <c r="W204" s="76"/>
      <c r="X204" s="76"/>
      <c r="Y204" s="76"/>
      <c r="Z204" s="76"/>
      <c r="AA204" s="76"/>
      <c r="AB204" s="76"/>
      <c r="AC204" s="76"/>
      <c r="AD204" s="76"/>
    </row>
    <row r="205">
      <c r="A205" s="36" t="s">
        <v>890</v>
      </c>
      <c r="B205" s="155" t="s">
        <v>849</v>
      </c>
      <c r="C205" s="37" t="str">
        <f>IF(B205="","",(VLOOKUP(B205,'Dados de PN'!$A:$B,2,0)))</f>
        <v>FUEL TOTALIZER</v>
      </c>
      <c r="D205" s="155"/>
      <c r="E205" s="136" t="s">
        <v>81</v>
      </c>
      <c r="F205" s="136" t="s">
        <v>34</v>
      </c>
      <c r="G205" s="44">
        <f t="shared" si="3"/>
        <v>1</v>
      </c>
      <c r="H205" s="155" t="s">
        <v>999</v>
      </c>
      <c r="I205" s="137" t="s">
        <v>819</v>
      </c>
      <c r="J205" s="136" t="s">
        <v>37</v>
      </c>
      <c r="K205" s="53">
        <v>46139.0</v>
      </c>
      <c r="L205" s="155" t="s">
        <v>988</v>
      </c>
      <c r="M205" s="136" t="s">
        <v>169</v>
      </c>
      <c r="N205" s="58"/>
      <c r="O205" s="58"/>
      <c r="P205" s="76"/>
      <c r="Q205" s="58"/>
      <c r="R205" s="76"/>
      <c r="S205" s="76"/>
      <c r="T205" s="76"/>
      <c r="U205" s="73"/>
      <c r="V205" s="76"/>
      <c r="W205" s="76"/>
      <c r="X205" s="76"/>
      <c r="Y205" s="76"/>
      <c r="Z205" s="76"/>
      <c r="AA205" s="76"/>
      <c r="AB205" s="76"/>
      <c r="AC205" s="76"/>
      <c r="AD205" s="76"/>
    </row>
    <row r="206">
      <c r="A206" s="36" t="s">
        <v>893</v>
      </c>
      <c r="B206" s="155" t="s">
        <v>854</v>
      </c>
      <c r="C206" s="37" t="str">
        <f>IF(B206="","",(VLOOKUP(B206,'Dados de PN'!$A:$B,2,0)))</f>
        <v>NOSE GEAR STRUT ASSY - TALL FORK</v>
      </c>
      <c r="D206" s="155" t="s">
        <v>1000</v>
      </c>
      <c r="E206" s="136" t="s">
        <v>81</v>
      </c>
      <c r="F206" s="136" t="s">
        <v>34</v>
      </c>
      <c r="G206" s="44">
        <f t="shared" si="3"/>
        <v>1</v>
      </c>
      <c r="H206" s="41">
        <v>1.7354192E7</v>
      </c>
      <c r="I206" s="137" t="s">
        <v>857</v>
      </c>
      <c r="J206" s="136" t="s">
        <v>37</v>
      </c>
      <c r="K206" s="53">
        <v>46139.0</v>
      </c>
      <c r="L206" s="155" t="s">
        <v>60</v>
      </c>
      <c r="M206" s="136" t="s">
        <v>61</v>
      </c>
      <c r="N206" s="58"/>
      <c r="O206" s="58"/>
      <c r="P206" s="76"/>
      <c r="Q206" s="58"/>
      <c r="R206" s="76"/>
      <c r="S206" s="76"/>
      <c r="T206" s="76"/>
      <c r="U206" s="73"/>
      <c r="V206" s="76"/>
      <c r="W206" s="76"/>
      <c r="X206" s="76"/>
      <c r="Y206" s="76"/>
      <c r="Z206" s="76"/>
      <c r="AA206" s="76"/>
      <c r="AB206" s="76"/>
      <c r="AC206" s="76"/>
      <c r="AD206" s="76"/>
    </row>
    <row r="207">
      <c r="A207" s="36" t="s">
        <v>896</v>
      </c>
      <c r="B207" s="155" t="s">
        <v>860</v>
      </c>
      <c r="C207" s="37" t="str">
        <f>IF(B207="","",(VLOOKUP(B207,'Dados de PN'!$A:$B,2,0)))</f>
        <v>ALTERNATOR CONTROL UNIT ASSY</v>
      </c>
      <c r="D207" s="155" t="s">
        <v>1001</v>
      </c>
      <c r="E207" s="136" t="s">
        <v>54</v>
      </c>
      <c r="F207" s="155" t="s">
        <v>862</v>
      </c>
      <c r="G207" s="86">
        <v>1.0</v>
      </c>
      <c r="H207" s="37" t="s">
        <v>1002</v>
      </c>
      <c r="I207" s="137" t="s">
        <v>863</v>
      </c>
      <c r="J207" s="136" t="s">
        <v>37</v>
      </c>
      <c r="K207" s="53">
        <v>46141.0</v>
      </c>
      <c r="L207" s="155" t="s">
        <v>60</v>
      </c>
      <c r="M207" s="136" t="s">
        <v>61</v>
      </c>
      <c r="N207" s="58"/>
      <c r="O207" s="58"/>
      <c r="P207" s="76"/>
      <c r="Q207" s="58"/>
      <c r="R207" s="76"/>
      <c r="S207" s="76"/>
      <c r="T207" s="76"/>
      <c r="U207" s="73"/>
      <c r="V207" s="76"/>
      <c r="W207" s="76"/>
      <c r="X207" s="76"/>
      <c r="Y207" s="76"/>
      <c r="Z207" s="76"/>
      <c r="AA207" s="76"/>
      <c r="AB207" s="76"/>
      <c r="AC207" s="76"/>
      <c r="AD207" s="76"/>
    </row>
    <row r="208">
      <c r="A208" s="36" t="s">
        <v>900</v>
      </c>
      <c r="B208" s="155" t="s">
        <v>429</v>
      </c>
      <c r="C208" s="37" t="str">
        <f>IF(B208="","",(VLOOKUP(B208,'Dados de PN'!$A:$B,2,0)))</f>
        <v>IND RDR 200 IN</v>
      </c>
      <c r="D208" s="155"/>
      <c r="E208" s="136" t="s">
        <v>81</v>
      </c>
      <c r="F208" s="155" t="s">
        <v>862</v>
      </c>
      <c r="G208" s="86">
        <v>1.0</v>
      </c>
      <c r="H208" s="37" t="s">
        <v>1003</v>
      </c>
      <c r="I208" s="137" t="s">
        <v>867</v>
      </c>
      <c r="J208" s="136" t="s">
        <v>37</v>
      </c>
      <c r="K208" s="53">
        <v>46141.0</v>
      </c>
      <c r="L208" s="155" t="s">
        <v>60</v>
      </c>
      <c r="M208" s="136" t="s">
        <v>61</v>
      </c>
      <c r="N208" s="58"/>
      <c r="O208" s="58"/>
      <c r="P208" s="76"/>
      <c r="Q208" s="58"/>
      <c r="R208" s="76"/>
      <c r="S208" s="76"/>
      <c r="T208" s="76"/>
      <c r="U208" s="73"/>
      <c r="V208" s="76"/>
      <c r="W208" s="76"/>
      <c r="X208" s="76"/>
      <c r="Y208" s="76"/>
      <c r="Z208" s="76"/>
      <c r="AA208" s="76"/>
      <c r="AB208" s="76"/>
      <c r="AC208" s="76"/>
      <c r="AD208" s="76"/>
    </row>
    <row r="209">
      <c r="A209" s="36" t="s">
        <v>909</v>
      </c>
      <c r="B209" s="155" t="s">
        <v>1004</v>
      </c>
      <c r="C209" s="37" t="str">
        <f>IF(B209="","",(VLOOKUP(B209,'Dados de PN'!$A:$B,2,0)))</f>
        <v>PACKING,PREFORMED</v>
      </c>
      <c r="D209" s="155"/>
      <c r="E209" s="136" t="s">
        <v>32</v>
      </c>
      <c r="F209" s="155" t="s">
        <v>862</v>
      </c>
      <c r="G209" s="86">
        <v>1.0</v>
      </c>
      <c r="H209" s="37" t="s">
        <v>1005</v>
      </c>
      <c r="I209" s="137" t="s">
        <v>867</v>
      </c>
      <c r="J209" s="136" t="s">
        <v>37</v>
      </c>
      <c r="K209" s="53">
        <v>46141.0</v>
      </c>
      <c r="L209" s="155" t="s">
        <v>60</v>
      </c>
      <c r="M209" s="136" t="s">
        <v>61</v>
      </c>
      <c r="N209" s="58"/>
      <c r="O209" s="58"/>
      <c r="P209" s="76"/>
      <c r="Q209" s="58"/>
      <c r="R209" s="76"/>
      <c r="S209" s="76"/>
      <c r="T209" s="76"/>
      <c r="U209" s="73"/>
      <c r="V209" s="76"/>
      <c r="W209" s="76"/>
      <c r="X209" s="76"/>
      <c r="Y209" s="76"/>
      <c r="Z209" s="76"/>
      <c r="AA209" s="76"/>
      <c r="AB209" s="76"/>
      <c r="AC209" s="76"/>
      <c r="AD209" s="76"/>
    </row>
    <row r="210">
      <c r="A210" s="36" t="s">
        <v>914</v>
      </c>
      <c r="B210" s="155" t="s">
        <v>873</v>
      </c>
      <c r="C210" s="37" t="str">
        <f>IF(B210="","",(VLOOKUP(B210,'Dados de PN'!$A:$B,2,0)))</f>
        <v>WASHER</v>
      </c>
      <c r="D210" s="155"/>
      <c r="E210" s="136" t="s">
        <v>32</v>
      </c>
      <c r="F210" s="155" t="s">
        <v>874</v>
      </c>
      <c r="G210" s="86">
        <v>2.0</v>
      </c>
      <c r="H210" s="37" t="s">
        <v>1006</v>
      </c>
      <c r="I210" s="137" t="s">
        <v>867</v>
      </c>
      <c r="J210" s="136" t="s">
        <v>37</v>
      </c>
      <c r="K210" s="53">
        <v>46141.0</v>
      </c>
      <c r="L210" s="155" t="s">
        <v>60</v>
      </c>
      <c r="M210" s="136" t="s">
        <v>61</v>
      </c>
      <c r="N210" s="58"/>
      <c r="O210" s="58"/>
      <c r="P210" s="76"/>
      <c r="Q210" s="58"/>
      <c r="R210" s="76"/>
      <c r="S210" s="76"/>
      <c r="T210" s="76"/>
      <c r="U210" s="73"/>
      <c r="V210" s="76"/>
      <c r="W210" s="76"/>
      <c r="X210" s="76"/>
      <c r="Y210" s="76"/>
      <c r="Z210" s="76"/>
      <c r="AA210" s="76"/>
      <c r="AB210" s="76"/>
      <c r="AC210" s="76"/>
      <c r="AD210" s="76"/>
    </row>
    <row r="211">
      <c r="A211" s="36" t="s">
        <v>919</v>
      </c>
      <c r="B211" s="155" t="s">
        <v>878</v>
      </c>
      <c r="C211" s="37" t="str">
        <f>IF(B211="","",(VLOOKUP(B211,'Dados de PN'!$A:$B,2,0)))</f>
        <v>CLEVIS,ROD END</v>
      </c>
      <c r="D211" s="155"/>
      <c r="E211" s="136" t="s">
        <v>32</v>
      </c>
      <c r="F211" s="155" t="s">
        <v>874</v>
      </c>
      <c r="G211" s="86">
        <v>2.0</v>
      </c>
      <c r="H211" s="37" t="s">
        <v>1007</v>
      </c>
      <c r="I211" s="137" t="s">
        <v>867</v>
      </c>
      <c r="J211" s="136" t="s">
        <v>37</v>
      </c>
      <c r="K211" s="53">
        <v>46141.0</v>
      </c>
      <c r="L211" s="155" t="s">
        <v>60</v>
      </c>
      <c r="M211" s="136" t="s">
        <v>61</v>
      </c>
      <c r="N211" s="58"/>
      <c r="O211" s="58"/>
      <c r="P211" s="76"/>
      <c r="Q211" s="58"/>
      <c r="R211" s="76"/>
      <c r="S211" s="76"/>
      <c r="T211" s="76"/>
      <c r="U211" s="73"/>
      <c r="V211" s="76"/>
      <c r="W211" s="76"/>
      <c r="X211" s="76"/>
      <c r="Y211" s="76"/>
      <c r="Z211" s="76"/>
      <c r="AA211" s="76"/>
      <c r="AB211" s="76"/>
      <c r="AC211" s="76"/>
      <c r="AD211" s="76"/>
    </row>
    <row r="212">
      <c r="A212" s="36" t="s">
        <v>924</v>
      </c>
      <c r="B212" s="155" t="s">
        <v>883</v>
      </c>
      <c r="C212" s="37" t="str">
        <f>IF(B212="","",(VLOOKUP(B212,'Dados de PN'!$A:$B,2,0)))</f>
        <v>SCREW,TAPPING</v>
      </c>
      <c r="D212" s="155"/>
      <c r="E212" s="136" t="s">
        <v>32</v>
      </c>
      <c r="F212" s="155" t="s">
        <v>885</v>
      </c>
      <c r="G212" s="86">
        <v>6.0</v>
      </c>
      <c r="H212" s="37" t="s">
        <v>1008</v>
      </c>
      <c r="I212" s="137" t="s">
        <v>867</v>
      </c>
      <c r="J212" s="136" t="s">
        <v>37</v>
      </c>
      <c r="K212" s="53">
        <v>46141.0</v>
      </c>
      <c r="L212" s="155" t="s">
        <v>60</v>
      </c>
      <c r="M212" s="136" t="s">
        <v>61</v>
      </c>
      <c r="N212" s="58"/>
      <c r="O212" s="58"/>
      <c r="P212" s="76"/>
      <c r="Q212" s="58"/>
      <c r="R212" s="76"/>
      <c r="S212" s="76"/>
      <c r="T212" s="76"/>
      <c r="U212" s="73"/>
      <c r="V212" s="76"/>
      <c r="W212" s="76"/>
      <c r="X212" s="76"/>
      <c r="Y212" s="76"/>
      <c r="Z212" s="76"/>
      <c r="AA212" s="76"/>
      <c r="AB212" s="76"/>
      <c r="AC212" s="76"/>
      <c r="AD212" s="76"/>
    </row>
    <row r="213">
      <c r="A213" s="36" t="s">
        <v>928</v>
      </c>
      <c r="B213" s="155" t="s">
        <v>887</v>
      </c>
      <c r="C213" s="37" t="str">
        <f>IF(B213="","",(VLOOKUP(B213,'Dados de PN'!$A:$B,2,0)))</f>
        <v>SEAL,DOOR EMERGENCY EXIT</v>
      </c>
      <c r="D213" s="155"/>
      <c r="E213" s="136" t="s">
        <v>32</v>
      </c>
      <c r="F213" s="155" t="s">
        <v>874</v>
      </c>
      <c r="G213" s="86">
        <v>2.0</v>
      </c>
      <c r="H213" s="37" t="s">
        <v>1009</v>
      </c>
      <c r="I213" s="137" t="s">
        <v>889</v>
      </c>
      <c r="J213" s="136" t="s">
        <v>37</v>
      </c>
      <c r="K213" s="53">
        <v>46141.0</v>
      </c>
      <c r="L213" s="155" t="s">
        <v>60</v>
      </c>
      <c r="M213" s="136" t="s">
        <v>61</v>
      </c>
      <c r="N213" s="58"/>
      <c r="O213" s="58"/>
      <c r="P213" s="76"/>
      <c r="Q213" s="58"/>
      <c r="R213" s="76"/>
      <c r="S213" s="76"/>
      <c r="T213" s="76"/>
      <c r="U213" s="73"/>
      <c r="V213" s="76"/>
      <c r="W213" s="76"/>
      <c r="X213" s="76"/>
      <c r="Y213" s="76"/>
      <c r="Z213" s="76"/>
      <c r="AA213" s="76"/>
      <c r="AB213" s="76"/>
      <c r="AC213" s="76"/>
      <c r="AD213" s="76"/>
    </row>
    <row r="214">
      <c r="A214" s="36" t="s">
        <v>932</v>
      </c>
      <c r="B214" s="155" t="s">
        <v>887</v>
      </c>
      <c r="C214" s="37" t="str">
        <f>IF(B214="","",(VLOOKUP(B214,'Dados de PN'!$A:$B,2,0)))</f>
        <v>SEAL,DOOR EMERGENCY EXIT</v>
      </c>
      <c r="D214" s="155"/>
      <c r="E214" s="136" t="s">
        <v>32</v>
      </c>
      <c r="F214" s="155" t="s">
        <v>758</v>
      </c>
      <c r="G214" s="44">
        <f t="shared" ref="G214:G216" si="4">VALUE(SUBSTITUTE(F214," EA",""))</f>
        <v>1</v>
      </c>
      <c r="H214" s="37" t="s">
        <v>1010</v>
      </c>
      <c r="I214" s="137" t="s">
        <v>891</v>
      </c>
      <c r="J214" s="136" t="s">
        <v>37</v>
      </c>
      <c r="K214" s="53">
        <v>46141.0</v>
      </c>
      <c r="L214" s="155" t="s">
        <v>60</v>
      </c>
      <c r="M214" s="136" t="s">
        <v>61</v>
      </c>
      <c r="N214" s="58"/>
      <c r="O214" s="58"/>
      <c r="P214" s="76"/>
      <c r="Q214" s="58"/>
      <c r="R214" s="76"/>
      <c r="S214" s="76"/>
      <c r="T214" s="76"/>
      <c r="U214" s="73"/>
      <c r="V214" s="76"/>
      <c r="W214" s="76"/>
      <c r="X214" s="76"/>
      <c r="Y214" s="76"/>
      <c r="Z214" s="76"/>
      <c r="AA214" s="76"/>
      <c r="AB214" s="76"/>
      <c r="AC214" s="76"/>
      <c r="AD214" s="76"/>
    </row>
    <row r="215">
      <c r="A215" s="36" t="s">
        <v>935</v>
      </c>
      <c r="B215" s="155" t="s">
        <v>887</v>
      </c>
      <c r="C215" s="37" t="str">
        <f>IF(B215="","",(VLOOKUP(B215,'Dados de PN'!$A:$B,2,0)))</f>
        <v>SEAL,DOOR EMERGENCY EXIT</v>
      </c>
      <c r="D215" s="155"/>
      <c r="E215" s="136" t="s">
        <v>32</v>
      </c>
      <c r="F215" s="155" t="s">
        <v>758</v>
      </c>
      <c r="G215" s="44">
        <f t="shared" si="4"/>
        <v>1</v>
      </c>
      <c r="H215" s="37" t="s">
        <v>1011</v>
      </c>
      <c r="I215" s="137" t="s">
        <v>894</v>
      </c>
      <c r="J215" s="136" t="s">
        <v>37</v>
      </c>
      <c r="K215" s="53">
        <v>46141.0</v>
      </c>
      <c r="L215" s="155" t="s">
        <v>60</v>
      </c>
      <c r="M215" s="136" t="s">
        <v>61</v>
      </c>
      <c r="N215" s="58"/>
      <c r="O215" s="58"/>
      <c r="P215" s="76"/>
      <c r="Q215" s="58"/>
      <c r="R215" s="76"/>
      <c r="S215" s="76"/>
      <c r="T215" s="76"/>
      <c r="U215" s="73"/>
      <c r="V215" s="76"/>
      <c r="W215" s="76"/>
      <c r="X215" s="76"/>
      <c r="Y215" s="76"/>
      <c r="Z215" s="76"/>
      <c r="AA215" s="76"/>
      <c r="AB215" s="76"/>
      <c r="AC215" s="76"/>
      <c r="AD215" s="76"/>
    </row>
    <row r="216">
      <c r="A216" s="36" t="s">
        <v>939</v>
      </c>
      <c r="B216" s="155" t="s">
        <v>122</v>
      </c>
      <c r="C216" s="37" t="str">
        <f>IF(B216="","",(VLOOKUP(B216,'Dados de PN'!$A:$B,2,0)))</f>
        <v>TRANSMISSION ASSY</v>
      </c>
      <c r="D216" s="155"/>
      <c r="E216" s="136" t="s">
        <v>32</v>
      </c>
      <c r="F216" s="155" t="s">
        <v>758</v>
      </c>
      <c r="G216" s="44">
        <f t="shared" si="4"/>
        <v>1</v>
      </c>
      <c r="H216" s="41">
        <v>1.7377917E7</v>
      </c>
      <c r="I216" s="137" t="s">
        <v>898</v>
      </c>
      <c r="J216" s="136" t="s">
        <v>37</v>
      </c>
      <c r="K216" s="53">
        <v>46142.0</v>
      </c>
      <c r="L216" s="155" t="s">
        <v>263</v>
      </c>
      <c r="M216" s="136" t="s">
        <v>51</v>
      </c>
      <c r="N216" s="58"/>
      <c r="O216" s="58"/>
      <c r="P216" s="76"/>
      <c r="Q216" s="58"/>
      <c r="R216" s="76"/>
      <c r="S216" s="76"/>
      <c r="T216" s="76"/>
      <c r="U216" s="73"/>
      <c r="V216" s="76"/>
      <c r="W216" s="76"/>
      <c r="X216" s="76"/>
      <c r="Y216" s="76"/>
      <c r="Z216" s="76"/>
      <c r="AA216" s="76"/>
      <c r="AB216" s="76"/>
      <c r="AC216" s="76"/>
      <c r="AD216" s="76"/>
    </row>
    <row r="217">
      <c r="A217" s="36" t="s">
        <v>943</v>
      </c>
      <c r="B217" s="155" t="s">
        <v>901</v>
      </c>
      <c r="C217" s="37" t="str">
        <f>IF(B217="","",(VLOOKUP(B217,'Dados de PN'!$A:$B,2,0)))</f>
        <v>SELANT</v>
      </c>
      <c r="D217" s="155"/>
      <c r="E217" s="136" t="s">
        <v>32</v>
      </c>
      <c r="F217" s="136" t="s">
        <v>903</v>
      </c>
      <c r="G217" s="86">
        <v>60.0</v>
      </c>
      <c r="H217" s="41">
        <v>1.7401193E7</v>
      </c>
      <c r="I217" s="137" t="s">
        <v>906</v>
      </c>
      <c r="J217" s="136" t="s">
        <v>37</v>
      </c>
      <c r="K217" s="53">
        <v>46146.0</v>
      </c>
      <c r="L217" s="155" t="s">
        <v>133</v>
      </c>
      <c r="M217" s="136" t="s">
        <v>76</v>
      </c>
      <c r="N217" s="58"/>
      <c r="O217" s="58"/>
      <c r="P217" s="76"/>
      <c r="Q217" s="58"/>
      <c r="R217" s="76"/>
      <c r="S217" s="76"/>
      <c r="T217" s="76"/>
      <c r="U217" s="73"/>
      <c r="V217" s="76"/>
      <c r="W217" s="76"/>
      <c r="X217" s="76"/>
      <c r="Y217" s="76"/>
      <c r="Z217" s="76"/>
      <c r="AA217" s="76"/>
      <c r="AB217" s="76"/>
      <c r="AC217" s="76"/>
      <c r="AD217" s="76"/>
    </row>
    <row r="218">
      <c r="A218" s="36" t="s">
        <v>945</v>
      </c>
      <c r="B218" s="155" t="s">
        <v>910</v>
      </c>
      <c r="C218" s="37" t="str">
        <f>IF(B218="","",(VLOOKUP(B218,'Dados de PN'!$A:$B,2,0)))</f>
        <v>LATCH-BATTERY</v>
      </c>
      <c r="D218" s="155"/>
      <c r="E218" s="136" t="s">
        <v>32</v>
      </c>
      <c r="F218" s="155" t="s">
        <v>34</v>
      </c>
      <c r="G218" s="44">
        <f t="shared" ref="G218:G234" si="5">VALUE(SUBSTITUTE(F218," EA",""))</f>
        <v>1</v>
      </c>
      <c r="H218" s="41">
        <v>1.7333541E7</v>
      </c>
      <c r="I218" s="137" t="s">
        <v>912</v>
      </c>
      <c r="J218" s="136" t="s">
        <v>37</v>
      </c>
      <c r="K218" s="53">
        <v>46148.0</v>
      </c>
      <c r="L218" s="155" t="s">
        <v>988</v>
      </c>
      <c r="M218" s="136" t="s">
        <v>169</v>
      </c>
      <c r="N218" s="58"/>
      <c r="O218" s="58"/>
      <c r="P218" s="76"/>
      <c r="Q218" s="58"/>
      <c r="R218" s="76"/>
      <c r="S218" s="76"/>
      <c r="T218" s="76"/>
      <c r="U218" s="73"/>
      <c r="V218" s="76"/>
      <c r="W218" s="76"/>
      <c r="X218" s="76"/>
      <c r="Y218" s="76"/>
      <c r="Z218" s="76"/>
      <c r="AA218" s="76"/>
      <c r="AB218" s="76"/>
      <c r="AC218" s="76"/>
      <c r="AD218" s="76"/>
    </row>
    <row r="219">
      <c r="A219" s="36" t="s">
        <v>947</v>
      </c>
      <c r="B219" s="155" t="s">
        <v>915</v>
      </c>
      <c r="C219" s="37" t="str">
        <f>IF(B219="","",(VLOOKUP(B219,'Dados de PN'!$A:$B,2,0)))</f>
        <v>PORCA PLANA COM BORBOLETA</v>
      </c>
      <c r="D219" s="155"/>
      <c r="E219" s="136" t="s">
        <v>32</v>
      </c>
      <c r="F219" s="155" t="s">
        <v>252</v>
      </c>
      <c r="G219" s="44">
        <f t="shared" si="5"/>
        <v>4</v>
      </c>
      <c r="H219" s="41">
        <v>1.742819E7</v>
      </c>
      <c r="I219" s="137" t="s">
        <v>912</v>
      </c>
      <c r="J219" s="136" t="s">
        <v>37</v>
      </c>
      <c r="K219" s="53">
        <v>46148.0</v>
      </c>
      <c r="L219" s="155" t="s">
        <v>988</v>
      </c>
      <c r="M219" s="136" t="s">
        <v>169</v>
      </c>
      <c r="N219" s="58"/>
      <c r="O219" s="58"/>
      <c r="P219" s="76"/>
      <c r="Q219" s="58"/>
      <c r="R219" s="76"/>
      <c r="S219" s="76"/>
      <c r="T219" s="76"/>
      <c r="U219" s="73"/>
      <c r="V219" s="76"/>
      <c r="W219" s="76"/>
      <c r="X219" s="76"/>
      <c r="Y219" s="76"/>
      <c r="Z219" s="76"/>
      <c r="AA219" s="76"/>
      <c r="AB219" s="76"/>
      <c r="AC219" s="76"/>
      <c r="AD219" s="76"/>
    </row>
    <row r="220">
      <c r="A220" s="36" t="s">
        <v>950</v>
      </c>
      <c r="B220" s="155" t="s">
        <v>920</v>
      </c>
      <c r="C220" s="37" t="str">
        <f>IF(B220="","",(VLOOKUP(B220,'Dados de PN'!$A:$B,2,0)))</f>
        <v>ANCHOR</v>
      </c>
      <c r="D220" s="155"/>
      <c r="E220" s="136" t="s">
        <v>32</v>
      </c>
      <c r="F220" s="155" t="s">
        <v>252</v>
      </c>
      <c r="G220" s="44">
        <f t="shared" si="5"/>
        <v>4</v>
      </c>
      <c r="H220" s="41">
        <v>1.7384283E7</v>
      </c>
      <c r="I220" s="137" t="s">
        <v>912</v>
      </c>
      <c r="J220" s="136" t="s">
        <v>37</v>
      </c>
      <c r="K220" s="53">
        <v>46148.0</v>
      </c>
      <c r="L220" s="155" t="s">
        <v>988</v>
      </c>
      <c r="M220" s="136" t="s">
        <v>169</v>
      </c>
      <c r="N220" s="58"/>
      <c r="O220" s="58"/>
      <c r="P220" s="76"/>
      <c r="Q220" s="58"/>
      <c r="R220" s="76"/>
      <c r="S220" s="76"/>
      <c r="T220" s="76"/>
      <c r="U220" s="73"/>
      <c r="V220" s="76"/>
      <c r="W220" s="76"/>
      <c r="X220" s="76"/>
      <c r="Y220" s="76"/>
      <c r="Z220" s="76"/>
      <c r="AA220" s="76"/>
      <c r="AB220" s="76"/>
      <c r="AC220" s="76"/>
      <c r="AD220" s="76"/>
    </row>
    <row r="221">
      <c r="A221" s="36" t="s">
        <v>954</v>
      </c>
      <c r="B221" s="136" t="s">
        <v>925</v>
      </c>
      <c r="C221" s="37" t="str">
        <f>IF(B221="","",(VLOOKUP(B221,'Dados de PN'!$A:$B,2,0)))</f>
        <v>ANEL-O</v>
      </c>
      <c r="D221" s="155"/>
      <c r="E221" s="136" t="s">
        <v>32</v>
      </c>
      <c r="F221" s="156" t="s">
        <v>758</v>
      </c>
      <c r="G221" s="44">
        <f t="shared" si="5"/>
        <v>1</v>
      </c>
      <c r="H221" s="37" t="s">
        <v>1012</v>
      </c>
      <c r="I221" s="137" t="s">
        <v>927</v>
      </c>
      <c r="J221" s="136" t="s">
        <v>37</v>
      </c>
      <c r="K221" s="53">
        <v>46148.0</v>
      </c>
      <c r="L221" s="155" t="s">
        <v>612</v>
      </c>
      <c r="M221" s="136" t="s">
        <v>423</v>
      </c>
      <c r="N221" s="58"/>
      <c r="O221" s="58"/>
      <c r="P221" s="76"/>
      <c r="Q221" s="58"/>
      <c r="R221" s="76"/>
      <c r="S221" s="76"/>
      <c r="T221" s="76"/>
      <c r="U221" s="73"/>
      <c r="V221" s="76"/>
      <c r="W221" s="76"/>
      <c r="X221" s="76"/>
      <c r="Y221" s="76"/>
      <c r="Z221" s="76"/>
      <c r="AA221" s="76"/>
      <c r="AB221" s="76"/>
      <c r="AC221" s="76"/>
      <c r="AD221" s="76"/>
    </row>
    <row r="222">
      <c r="A222" s="36" t="s">
        <v>958</v>
      </c>
      <c r="B222" s="136" t="s">
        <v>118</v>
      </c>
      <c r="C222" s="37" t="str">
        <f>IF(B222="","",(VLOOKUP(B222,'Dados de PN'!$A:$B,2,0)))</f>
        <v>NUT,SELF-LOCKING,HEXAGON</v>
      </c>
      <c r="D222" s="155"/>
      <c r="E222" s="136" t="s">
        <v>32</v>
      </c>
      <c r="F222" s="156" t="s">
        <v>929</v>
      </c>
      <c r="G222" s="44">
        <f t="shared" si="5"/>
        <v>8</v>
      </c>
      <c r="H222" s="37" t="s">
        <v>1013</v>
      </c>
      <c r="I222" s="137" t="s">
        <v>927</v>
      </c>
      <c r="J222" s="136" t="s">
        <v>37</v>
      </c>
      <c r="K222" s="53">
        <v>46148.0</v>
      </c>
      <c r="L222" s="155" t="s">
        <v>612</v>
      </c>
      <c r="M222" s="136" t="s">
        <v>423</v>
      </c>
      <c r="N222" s="58"/>
      <c r="O222" s="58"/>
      <c r="P222" s="76"/>
      <c r="Q222" s="58"/>
      <c r="R222" s="76"/>
      <c r="S222" s="76"/>
      <c r="T222" s="76"/>
      <c r="U222" s="73"/>
      <c r="V222" s="76"/>
      <c r="W222" s="76"/>
      <c r="X222" s="76"/>
      <c r="Y222" s="76"/>
      <c r="Z222" s="76"/>
      <c r="AA222" s="76"/>
      <c r="AB222" s="76"/>
      <c r="AC222" s="76"/>
      <c r="AD222" s="76"/>
    </row>
    <row r="223">
      <c r="A223" s="36" t="s">
        <v>963</v>
      </c>
      <c r="B223" s="136" t="s">
        <v>784</v>
      </c>
      <c r="C223" s="37" t="str">
        <f>IF(B223="","",(VLOOKUP(B223,'Dados de PN'!$A:$B,2,0)))</f>
        <v>NUT,SELF-LOCKING,HEXAGON</v>
      </c>
      <c r="D223" s="155"/>
      <c r="E223" s="136" t="s">
        <v>32</v>
      </c>
      <c r="F223" s="156" t="s">
        <v>933</v>
      </c>
      <c r="G223" s="44">
        <f t="shared" si="5"/>
        <v>4</v>
      </c>
      <c r="H223" s="37" t="s">
        <v>1014</v>
      </c>
      <c r="I223" s="137" t="s">
        <v>927</v>
      </c>
      <c r="J223" s="136" t="s">
        <v>37</v>
      </c>
      <c r="K223" s="53">
        <v>46148.0</v>
      </c>
      <c r="L223" s="155" t="s">
        <v>612</v>
      </c>
      <c r="M223" s="136" t="s">
        <v>423</v>
      </c>
      <c r="N223" s="58"/>
      <c r="O223" s="58"/>
      <c r="P223" s="76"/>
      <c r="Q223" s="58"/>
      <c r="R223" s="76"/>
      <c r="S223" s="76"/>
      <c r="T223" s="76"/>
      <c r="U223" s="73"/>
      <c r="V223" s="76"/>
      <c r="W223" s="76"/>
      <c r="X223" s="76"/>
      <c r="Y223" s="76"/>
      <c r="Z223" s="76"/>
      <c r="AA223" s="76"/>
      <c r="AB223" s="76"/>
      <c r="AC223" s="76"/>
      <c r="AD223" s="76"/>
    </row>
    <row r="224">
      <c r="A224" s="36" t="s">
        <v>966</v>
      </c>
      <c r="B224" s="136" t="s">
        <v>936</v>
      </c>
      <c r="C224" s="37" t="str">
        <f>IF(B224="","",(VLOOKUP(B224,'Dados de PN'!$A:$B,2,0)))</f>
        <v>ANEL-O</v>
      </c>
      <c r="D224" s="155"/>
      <c r="E224" s="136" t="s">
        <v>32</v>
      </c>
      <c r="F224" s="156" t="s">
        <v>758</v>
      </c>
      <c r="G224" s="44">
        <f t="shared" si="5"/>
        <v>1</v>
      </c>
      <c r="H224" s="37" t="s">
        <v>1015</v>
      </c>
      <c r="I224" s="137" t="s">
        <v>927</v>
      </c>
      <c r="J224" s="136" t="s">
        <v>37</v>
      </c>
      <c r="K224" s="53">
        <v>46148.0</v>
      </c>
      <c r="L224" s="155" t="s">
        <v>612</v>
      </c>
      <c r="M224" s="136" t="s">
        <v>423</v>
      </c>
      <c r="N224" s="58"/>
      <c r="O224" s="58"/>
      <c r="P224" s="76"/>
      <c r="Q224" s="58"/>
      <c r="R224" s="76"/>
      <c r="S224" s="76"/>
      <c r="T224" s="76"/>
      <c r="U224" s="73"/>
      <c r="V224" s="76"/>
      <c r="W224" s="76"/>
      <c r="X224" s="76"/>
      <c r="Y224" s="76"/>
      <c r="Z224" s="76"/>
      <c r="AA224" s="76"/>
      <c r="AB224" s="76"/>
      <c r="AC224" s="76"/>
      <c r="AD224" s="76"/>
    </row>
    <row r="225">
      <c r="A225" s="36" t="s">
        <v>969</v>
      </c>
      <c r="B225" s="136" t="s">
        <v>940</v>
      </c>
      <c r="C225" s="37" t="str">
        <f>IF(B225="","",(VLOOKUP(B225,'Dados de PN'!$A:$B,2,0)))</f>
        <v>ANEL DE VEDAÇÃO</v>
      </c>
      <c r="D225" s="155"/>
      <c r="E225" s="136" t="s">
        <v>32</v>
      </c>
      <c r="F225" s="156" t="s">
        <v>758</v>
      </c>
      <c r="G225" s="44">
        <f t="shared" si="5"/>
        <v>1</v>
      </c>
      <c r="H225" s="37" t="s">
        <v>1016</v>
      </c>
      <c r="I225" s="137" t="s">
        <v>927</v>
      </c>
      <c r="J225" s="136" t="s">
        <v>37</v>
      </c>
      <c r="K225" s="53">
        <v>46148.0</v>
      </c>
      <c r="L225" s="155" t="s">
        <v>612</v>
      </c>
      <c r="M225" s="136" t="s">
        <v>423</v>
      </c>
      <c r="N225" s="58"/>
      <c r="O225" s="58"/>
      <c r="P225" s="76"/>
      <c r="Q225" s="58"/>
      <c r="R225" s="76"/>
      <c r="S225" s="76"/>
      <c r="T225" s="76"/>
      <c r="U225" s="73"/>
      <c r="V225" s="76"/>
      <c r="W225" s="76"/>
      <c r="X225" s="76"/>
      <c r="Y225" s="76"/>
      <c r="Z225" s="76"/>
      <c r="AA225" s="76"/>
      <c r="AB225" s="76"/>
      <c r="AC225" s="76"/>
      <c r="AD225" s="76"/>
    </row>
    <row r="226">
      <c r="A226" s="36" t="s">
        <v>1018</v>
      </c>
      <c r="B226" s="136" t="s">
        <v>721</v>
      </c>
      <c r="C226" s="37" t="str">
        <f>IF(B226="","",(VLOOKUP(B226,'Dados de PN'!$A:$B,2,0)))</f>
        <v>WASHER, RECESSED</v>
      </c>
      <c r="D226" s="155"/>
      <c r="E226" s="136" t="s">
        <v>32</v>
      </c>
      <c r="F226" s="156" t="s">
        <v>933</v>
      </c>
      <c r="G226" s="44">
        <f t="shared" si="5"/>
        <v>4</v>
      </c>
      <c r="H226" s="37" t="s">
        <v>1017</v>
      </c>
      <c r="I226" s="137" t="s">
        <v>927</v>
      </c>
      <c r="J226" s="136" t="s">
        <v>37</v>
      </c>
      <c r="K226" s="53">
        <v>46148.0</v>
      </c>
      <c r="L226" s="155" t="s">
        <v>612</v>
      </c>
      <c r="M226" s="136" t="s">
        <v>423</v>
      </c>
      <c r="N226" s="58"/>
      <c r="O226" s="58"/>
      <c r="P226" s="76"/>
      <c r="Q226" s="58"/>
      <c r="R226" s="76"/>
      <c r="S226" s="76"/>
      <c r="T226" s="76"/>
      <c r="U226" s="73"/>
      <c r="V226" s="76"/>
      <c r="W226" s="76"/>
      <c r="X226" s="76"/>
      <c r="Y226" s="76"/>
      <c r="Z226" s="76"/>
      <c r="AA226" s="76"/>
      <c r="AB226" s="76"/>
      <c r="AC226" s="76"/>
      <c r="AD226" s="76"/>
    </row>
    <row r="227">
      <c r="A227" s="36" t="s">
        <v>1020</v>
      </c>
      <c r="B227" s="136" t="s">
        <v>788</v>
      </c>
      <c r="C227" s="37" t="str">
        <f>IF(B227="","",(VLOOKUP(B227,'Dados de PN'!$A:$B,2,0)))</f>
        <v>BOLT,INTERNAL WRENCHING</v>
      </c>
      <c r="D227" s="155"/>
      <c r="E227" s="136" t="s">
        <v>32</v>
      </c>
      <c r="F227" s="156" t="s">
        <v>758</v>
      </c>
      <c r="G227" s="44">
        <f t="shared" si="5"/>
        <v>1</v>
      </c>
      <c r="H227" s="37" t="s">
        <v>1019</v>
      </c>
      <c r="I227" s="137" t="s">
        <v>927</v>
      </c>
      <c r="J227" s="136" t="s">
        <v>37</v>
      </c>
      <c r="K227" s="53">
        <v>46148.0</v>
      </c>
      <c r="L227" s="155" t="s">
        <v>612</v>
      </c>
      <c r="M227" s="136" t="s">
        <v>423</v>
      </c>
      <c r="N227" s="58"/>
      <c r="O227" s="58"/>
      <c r="P227" s="76"/>
      <c r="Q227" s="58"/>
      <c r="R227" s="76"/>
      <c r="S227" s="76"/>
      <c r="T227" s="76"/>
      <c r="U227" s="73"/>
      <c r="V227" s="76"/>
      <c r="W227" s="76"/>
      <c r="X227" s="76"/>
      <c r="Y227" s="76"/>
      <c r="Z227" s="76"/>
      <c r="AA227" s="76"/>
      <c r="AB227" s="76"/>
      <c r="AC227" s="76"/>
      <c r="AD227" s="76"/>
    </row>
    <row r="228">
      <c r="A228" s="36" t="s">
        <v>1022</v>
      </c>
      <c r="B228" s="136" t="s">
        <v>477</v>
      </c>
      <c r="C228" s="37" t="str">
        <f>IF(B228="","",(VLOOKUP(B228,'Dados de PN'!$A:$B,2,0)))</f>
        <v>RETAINER,PACKING</v>
      </c>
      <c r="D228" s="155"/>
      <c r="E228" s="136" t="s">
        <v>32</v>
      </c>
      <c r="F228" s="156" t="s">
        <v>758</v>
      </c>
      <c r="G228" s="44">
        <f t="shared" si="5"/>
        <v>1</v>
      </c>
      <c r="H228" s="37" t="s">
        <v>1021</v>
      </c>
      <c r="I228" s="137" t="s">
        <v>927</v>
      </c>
      <c r="J228" s="136" t="s">
        <v>37</v>
      </c>
      <c r="K228" s="53">
        <v>46148.0</v>
      </c>
      <c r="L228" s="155" t="s">
        <v>612</v>
      </c>
      <c r="M228" s="136" t="s">
        <v>423</v>
      </c>
      <c r="N228" s="58"/>
      <c r="O228" s="58"/>
      <c r="P228" s="76"/>
      <c r="Q228" s="58"/>
      <c r="R228" s="76"/>
      <c r="S228" s="76"/>
      <c r="T228" s="76"/>
      <c r="U228" s="73"/>
      <c r="V228" s="76"/>
      <c r="W228" s="76"/>
      <c r="X228" s="76"/>
      <c r="Y228" s="76"/>
      <c r="Z228" s="76"/>
      <c r="AA228" s="76"/>
      <c r="AB228" s="76"/>
      <c r="AC228" s="76"/>
      <c r="AD228" s="76"/>
    </row>
    <row r="229">
      <c r="A229" s="36" t="s">
        <v>1001</v>
      </c>
      <c r="B229" s="136" t="s">
        <v>951</v>
      </c>
      <c r="C229" s="37" t="str">
        <f>IF(B229="","",(VLOOKUP(B229,'Dados de PN'!$A:$B,2,0)))</f>
        <v>ANEL-O</v>
      </c>
      <c r="D229" s="155"/>
      <c r="E229" s="136" t="s">
        <v>32</v>
      </c>
      <c r="F229" s="156" t="s">
        <v>758</v>
      </c>
      <c r="G229" s="44">
        <f t="shared" si="5"/>
        <v>1</v>
      </c>
      <c r="H229" s="37" t="s">
        <v>1023</v>
      </c>
      <c r="I229" s="137" t="s">
        <v>927</v>
      </c>
      <c r="J229" s="136" t="s">
        <v>37</v>
      </c>
      <c r="K229" s="53">
        <v>46148.0</v>
      </c>
      <c r="L229" s="155" t="s">
        <v>612</v>
      </c>
      <c r="M229" s="136" t="s">
        <v>423</v>
      </c>
      <c r="N229" s="58"/>
      <c r="O229" s="58"/>
      <c r="P229" s="76"/>
      <c r="Q229" s="58"/>
      <c r="R229" s="76"/>
      <c r="S229" s="76"/>
      <c r="T229" s="76"/>
      <c r="U229" s="73"/>
      <c r="V229" s="76"/>
      <c r="W229" s="76"/>
      <c r="X229" s="76"/>
      <c r="Y229" s="76"/>
      <c r="Z229" s="76"/>
      <c r="AA229" s="76"/>
      <c r="AB229" s="76"/>
      <c r="AC229" s="76"/>
      <c r="AD229" s="76"/>
    </row>
    <row r="230">
      <c r="A230" s="36" t="s">
        <v>1025</v>
      </c>
      <c r="B230" s="136" t="s">
        <v>955</v>
      </c>
      <c r="C230" s="37" t="str">
        <f>IF(B230="","",(VLOOKUP(B230,'Dados de PN'!$A:$B,2,0)))</f>
        <v>O-RING</v>
      </c>
      <c r="D230" s="155"/>
      <c r="E230" s="136" t="s">
        <v>32</v>
      </c>
      <c r="F230" s="156" t="s">
        <v>758</v>
      </c>
      <c r="G230" s="44">
        <f t="shared" si="5"/>
        <v>1</v>
      </c>
      <c r="H230" s="37" t="s">
        <v>1024</v>
      </c>
      <c r="I230" s="137" t="s">
        <v>927</v>
      </c>
      <c r="J230" s="136" t="s">
        <v>37</v>
      </c>
      <c r="K230" s="53">
        <v>46148.0</v>
      </c>
      <c r="L230" s="155" t="s">
        <v>612</v>
      </c>
      <c r="M230" s="136" t="s">
        <v>423</v>
      </c>
      <c r="N230" s="58"/>
      <c r="O230" s="58"/>
      <c r="P230" s="76"/>
      <c r="Q230" s="58"/>
      <c r="R230" s="76"/>
      <c r="S230" s="76"/>
      <c r="T230" s="76"/>
      <c r="U230" s="73"/>
      <c r="V230" s="76"/>
      <c r="W230" s="76"/>
      <c r="X230" s="76"/>
      <c r="Y230" s="76"/>
      <c r="Z230" s="76"/>
      <c r="AA230" s="76"/>
      <c r="AB230" s="76"/>
      <c r="AC230" s="76"/>
      <c r="AD230" s="76"/>
    </row>
    <row r="231">
      <c r="A231" s="36" t="s">
        <v>1027</v>
      </c>
      <c r="B231" s="136" t="s">
        <v>960</v>
      </c>
      <c r="C231" s="37" t="str">
        <f>IF(B231="","",(VLOOKUP(B231,'Dados de PN'!$A:$B,2,0)))</f>
        <v>ANEL-O</v>
      </c>
      <c r="D231" s="155"/>
      <c r="E231" s="136" t="s">
        <v>32</v>
      </c>
      <c r="F231" s="156" t="s">
        <v>758</v>
      </c>
      <c r="G231" s="44">
        <f t="shared" si="5"/>
        <v>1</v>
      </c>
      <c r="H231" s="37" t="s">
        <v>1026</v>
      </c>
      <c r="I231" s="137" t="s">
        <v>927</v>
      </c>
      <c r="J231" s="136" t="s">
        <v>37</v>
      </c>
      <c r="K231" s="53">
        <v>46148.0</v>
      </c>
      <c r="L231" s="155" t="s">
        <v>612</v>
      </c>
      <c r="M231" s="136" t="s">
        <v>423</v>
      </c>
      <c r="N231" s="58"/>
      <c r="O231" s="58"/>
      <c r="P231" s="76"/>
      <c r="Q231" s="58"/>
      <c r="R231" s="76"/>
      <c r="S231" s="76"/>
      <c r="T231" s="76"/>
      <c r="U231" s="73"/>
      <c r="V231" s="76"/>
      <c r="W231" s="76"/>
      <c r="X231" s="76"/>
      <c r="Y231" s="76"/>
      <c r="Z231" s="76"/>
      <c r="AA231" s="76"/>
      <c r="AB231" s="76"/>
      <c r="AC231" s="76"/>
      <c r="AD231" s="76"/>
    </row>
    <row r="232">
      <c r="A232" s="36" t="s">
        <v>1029</v>
      </c>
      <c r="B232" s="136" t="s">
        <v>964</v>
      </c>
      <c r="C232" s="37" t="str">
        <f>IF(B232="","",(VLOOKUP(B232,'Dados de PN'!$A:$B,2,0)))</f>
        <v>WASHER,FLAT</v>
      </c>
      <c r="D232" s="155"/>
      <c r="E232" s="136" t="s">
        <v>32</v>
      </c>
      <c r="F232" s="156" t="s">
        <v>933</v>
      </c>
      <c r="G232" s="44">
        <f t="shared" si="5"/>
        <v>4</v>
      </c>
      <c r="H232" s="37" t="s">
        <v>1028</v>
      </c>
      <c r="I232" s="137" t="s">
        <v>927</v>
      </c>
      <c r="J232" s="136" t="s">
        <v>37</v>
      </c>
      <c r="K232" s="53">
        <v>46148.0</v>
      </c>
      <c r="L232" s="155" t="s">
        <v>612</v>
      </c>
      <c r="M232" s="136" t="s">
        <v>423</v>
      </c>
      <c r="N232" s="58"/>
      <c r="O232" s="58"/>
      <c r="P232" s="76"/>
      <c r="Q232" s="58"/>
      <c r="R232" s="76"/>
      <c r="S232" s="76"/>
      <c r="T232" s="76"/>
      <c r="U232" s="73"/>
      <c r="V232" s="76"/>
      <c r="W232" s="76"/>
      <c r="X232" s="76"/>
      <c r="Y232" s="76"/>
      <c r="Z232" s="76"/>
      <c r="AA232" s="76"/>
      <c r="AB232" s="76"/>
      <c r="AC232" s="76"/>
      <c r="AD232" s="76"/>
    </row>
    <row r="233">
      <c r="A233" s="36" t="s">
        <v>1031</v>
      </c>
      <c r="B233" s="136" t="s">
        <v>781</v>
      </c>
      <c r="C233" s="37" t="str">
        <f>IF(B233="","",(VLOOKUP(B233,'Dados de PN'!$A:$B,2,0)))</f>
        <v>BOLT,INTERNAL WRENCHING</v>
      </c>
      <c r="D233" s="155"/>
      <c r="E233" s="136" t="s">
        <v>32</v>
      </c>
      <c r="F233" s="156" t="s">
        <v>967</v>
      </c>
      <c r="G233" s="44">
        <f t="shared" si="5"/>
        <v>2</v>
      </c>
      <c r="H233" s="37" t="s">
        <v>1030</v>
      </c>
      <c r="I233" s="137" t="s">
        <v>927</v>
      </c>
      <c r="J233" s="136" t="s">
        <v>37</v>
      </c>
      <c r="K233" s="53">
        <v>46148.0</v>
      </c>
      <c r="L233" s="155" t="s">
        <v>612</v>
      </c>
      <c r="M233" s="136" t="s">
        <v>423</v>
      </c>
      <c r="N233" s="58"/>
      <c r="O233" s="58"/>
      <c r="P233" s="76"/>
      <c r="Q233" s="58"/>
      <c r="R233" s="76"/>
      <c r="S233" s="76"/>
      <c r="T233" s="76"/>
      <c r="U233" s="73"/>
      <c r="V233" s="76"/>
      <c r="W233" s="76"/>
      <c r="X233" s="76"/>
      <c r="Y233" s="76"/>
      <c r="Z233" s="76"/>
      <c r="AA233" s="76"/>
      <c r="AB233" s="76"/>
      <c r="AC233" s="76"/>
      <c r="AD233" s="76"/>
    </row>
    <row r="234">
      <c r="A234" s="36" t="s">
        <v>1033</v>
      </c>
      <c r="B234" s="136" t="s">
        <v>779</v>
      </c>
      <c r="C234" s="37" t="str">
        <f>IF(B234="","",(VLOOKUP(B234,'Dados de PN'!$A:$B,2,0)))</f>
        <v>BOLT</v>
      </c>
      <c r="D234" s="155"/>
      <c r="E234" s="136" t="s">
        <v>32</v>
      </c>
      <c r="F234" s="156" t="s">
        <v>758</v>
      </c>
      <c r="G234" s="44">
        <f t="shared" si="5"/>
        <v>1</v>
      </c>
      <c r="H234" s="37" t="s">
        <v>1032</v>
      </c>
      <c r="I234" s="137" t="s">
        <v>927</v>
      </c>
      <c r="J234" s="136" t="s">
        <v>37</v>
      </c>
      <c r="K234" s="53">
        <v>46148.0</v>
      </c>
      <c r="L234" s="155" t="s">
        <v>612</v>
      </c>
      <c r="M234" s="136" t="s">
        <v>423</v>
      </c>
      <c r="N234" s="58"/>
      <c r="O234" s="58"/>
      <c r="P234" s="76"/>
      <c r="Q234" s="58"/>
      <c r="R234" s="76"/>
      <c r="S234" s="76"/>
      <c r="T234" s="76"/>
      <c r="U234" s="73"/>
      <c r="V234" s="76"/>
      <c r="W234" s="76"/>
      <c r="X234" s="76"/>
      <c r="Y234" s="76"/>
      <c r="Z234" s="76"/>
      <c r="AA234" s="76"/>
      <c r="AB234" s="76"/>
      <c r="AC234" s="76"/>
      <c r="AD234" s="76"/>
    </row>
    <row r="235">
      <c r="A235" s="36" t="s">
        <v>1037</v>
      </c>
      <c r="B235" s="136" t="s">
        <v>1034</v>
      </c>
      <c r="C235" s="37" t="str">
        <f>IF(B235="","",(VLOOKUP(B235,'Dados de PN'!$A:$B,2,0)))</f>
        <v>PHASING COUPLE</v>
      </c>
      <c r="D235" s="155"/>
      <c r="E235" s="136" t="s">
        <v>32</v>
      </c>
      <c r="F235" s="136" t="s">
        <v>862</v>
      </c>
      <c r="G235" s="86">
        <v>1.0</v>
      </c>
      <c r="H235" s="41">
        <v>1.7439905E7</v>
      </c>
      <c r="I235" s="137" t="s">
        <v>1035</v>
      </c>
      <c r="J235" s="136" t="s">
        <v>37</v>
      </c>
      <c r="K235" s="53">
        <v>46149.0</v>
      </c>
      <c r="L235" s="155" t="s">
        <v>1036</v>
      </c>
      <c r="M235" s="136" t="s">
        <v>61</v>
      </c>
      <c r="N235" s="58"/>
      <c r="O235" s="58"/>
      <c r="P235" s="76"/>
      <c r="Q235" s="58"/>
      <c r="R235" s="76"/>
      <c r="S235" s="76"/>
      <c r="T235" s="76"/>
      <c r="U235" s="73"/>
      <c r="V235" s="76"/>
      <c r="W235" s="76"/>
      <c r="X235" s="76"/>
      <c r="Y235" s="76"/>
      <c r="Z235" s="76"/>
      <c r="AA235" s="76"/>
      <c r="AB235" s="76"/>
      <c r="AC235" s="76"/>
      <c r="AD235" s="76"/>
    </row>
    <row r="236">
      <c r="A236" s="36" t="s">
        <v>1038</v>
      </c>
      <c r="B236" s="136" t="s">
        <v>1034</v>
      </c>
      <c r="C236" s="37" t="str">
        <f>IF(B236="","",(VLOOKUP(B236,'Dados de PN'!$A:$B,2,0)))</f>
        <v>PHASING COUPLE</v>
      </c>
      <c r="D236" s="155"/>
      <c r="E236" s="136" t="s">
        <v>32</v>
      </c>
      <c r="F236" s="136" t="s">
        <v>862</v>
      </c>
      <c r="G236" s="86">
        <v>1.0</v>
      </c>
      <c r="H236" s="41">
        <v>1.7440211E7</v>
      </c>
      <c r="I236" s="137" t="s">
        <v>1035</v>
      </c>
      <c r="J236" s="136" t="s">
        <v>37</v>
      </c>
      <c r="K236" s="53">
        <v>46149.0</v>
      </c>
      <c r="L236" s="155" t="s">
        <v>1036</v>
      </c>
      <c r="M236" s="136" t="s">
        <v>61</v>
      </c>
      <c r="N236" s="58"/>
      <c r="O236" s="58"/>
      <c r="P236" s="76"/>
      <c r="Q236" s="58"/>
      <c r="R236" s="76"/>
      <c r="S236" s="76"/>
      <c r="T236" s="76"/>
      <c r="U236" s="73"/>
      <c r="V236" s="76"/>
      <c r="W236" s="76"/>
      <c r="X236" s="76"/>
      <c r="Y236" s="76"/>
      <c r="Z236" s="76"/>
      <c r="AA236" s="76"/>
      <c r="AB236" s="76"/>
      <c r="AC236" s="76"/>
      <c r="AD236" s="76"/>
    </row>
    <row r="237">
      <c r="A237" s="36" t="s">
        <v>1039</v>
      </c>
      <c r="B237" s="136" t="s">
        <v>762</v>
      </c>
      <c r="C237" s="37" t="str">
        <f>IF(B237="","",(VLOOKUP(B237,'Dados de PN'!$A:$B,2,0)))</f>
        <v>ANTENA</v>
      </c>
      <c r="D237" s="155"/>
      <c r="E237" s="136" t="s">
        <v>32</v>
      </c>
      <c r="F237" s="136" t="s">
        <v>874</v>
      </c>
      <c r="G237" s="86">
        <v>2.0</v>
      </c>
      <c r="H237" s="41">
        <v>1.7440365E7</v>
      </c>
      <c r="I237" s="137" t="s">
        <v>1035</v>
      </c>
      <c r="J237" s="136" t="s">
        <v>37</v>
      </c>
      <c r="K237" s="53">
        <v>46149.0</v>
      </c>
      <c r="L237" s="155" t="s">
        <v>1036</v>
      </c>
      <c r="M237" s="136" t="s">
        <v>61</v>
      </c>
      <c r="N237" s="58"/>
      <c r="O237" s="58"/>
      <c r="P237" s="76"/>
      <c r="Q237" s="58"/>
      <c r="R237" s="76"/>
      <c r="S237" s="76"/>
      <c r="T237" s="76"/>
      <c r="U237" s="73"/>
      <c r="V237" s="76"/>
      <c r="W237" s="76"/>
      <c r="X237" s="76"/>
      <c r="Y237" s="76"/>
      <c r="Z237" s="76"/>
      <c r="AA237" s="76"/>
      <c r="AB237" s="76"/>
      <c r="AC237" s="76"/>
      <c r="AD237" s="76"/>
    </row>
    <row r="238">
      <c r="A238" s="36" t="s">
        <v>1040</v>
      </c>
      <c r="B238" s="136" t="s">
        <v>762</v>
      </c>
      <c r="C238" s="37" t="str">
        <f>IF(B238="","",(VLOOKUP(B238,'Dados de PN'!$A:$B,2,0)))</f>
        <v>ANTENA</v>
      </c>
      <c r="D238" s="155"/>
      <c r="E238" s="136" t="s">
        <v>32</v>
      </c>
      <c r="F238" s="136" t="s">
        <v>862</v>
      </c>
      <c r="G238" s="86">
        <v>1.0</v>
      </c>
      <c r="H238" s="41">
        <v>1.7440621E7</v>
      </c>
      <c r="I238" s="137" t="s">
        <v>1035</v>
      </c>
      <c r="J238" s="136" t="s">
        <v>37</v>
      </c>
      <c r="K238" s="53">
        <v>46149.0</v>
      </c>
      <c r="L238" s="155" t="s">
        <v>1036</v>
      </c>
      <c r="M238" s="136" t="s">
        <v>61</v>
      </c>
      <c r="N238" s="58"/>
      <c r="O238" s="58"/>
      <c r="P238" s="76"/>
      <c r="Q238" s="58"/>
      <c r="R238" s="76"/>
      <c r="S238" s="76"/>
      <c r="T238" s="76"/>
      <c r="U238" s="73"/>
      <c r="V238" s="76"/>
      <c r="W238" s="76"/>
      <c r="X238" s="76"/>
      <c r="Y238" s="76"/>
      <c r="Z238" s="76"/>
      <c r="AA238" s="76"/>
      <c r="AB238" s="76"/>
      <c r="AC238" s="76"/>
      <c r="AD238" s="76"/>
    </row>
    <row r="239">
      <c r="A239" s="36" t="s">
        <v>1042</v>
      </c>
      <c r="B239" s="136" t="s">
        <v>1041</v>
      </c>
      <c r="C239" s="37" t="str">
        <f>IF(B239="","",(VLOOKUP(B239,'Dados de PN'!$A:$B,2,0)))</f>
        <v>GASKET</v>
      </c>
      <c r="D239" s="155"/>
      <c r="E239" s="136" t="s">
        <v>32</v>
      </c>
      <c r="F239" s="136" t="s">
        <v>874</v>
      </c>
      <c r="G239" s="86">
        <v>2.0</v>
      </c>
      <c r="H239" s="41">
        <v>1.7440604E7</v>
      </c>
      <c r="I239" s="137" t="s">
        <v>1035</v>
      </c>
      <c r="J239" s="136" t="s">
        <v>37</v>
      </c>
      <c r="K239" s="53">
        <v>46149.0</v>
      </c>
      <c r="L239" s="155" t="s">
        <v>1036</v>
      </c>
      <c r="M239" s="136" t="s">
        <v>61</v>
      </c>
      <c r="N239" s="58"/>
      <c r="O239" s="58"/>
      <c r="P239" s="76"/>
      <c r="Q239" s="58"/>
      <c r="R239" s="76"/>
      <c r="S239" s="76"/>
      <c r="T239" s="76"/>
      <c r="U239" s="73"/>
      <c r="V239" s="76"/>
      <c r="W239" s="76"/>
      <c r="X239" s="76"/>
      <c r="Y239" s="76"/>
      <c r="Z239" s="76"/>
      <c r="AA239" s="76"/>
      <c r="AB239" s="76"/>
      <c r="AC239" s="76"/>
      <c r="AD239" s="76"/>
    </row>
    <row r="240">
      <c r="A240" s="36" t="s">
        <v>1043</v>
      </c>
      <c r="B240" s="136" t="s">
        <v>1041</v>
      </c>
      <c r="C240" s="37" t="str">
        <f>IF(B240="","",(VLOOKUP(B240,'Dados de PN'!$A:$B,2,0)))</f>
        <v>GASKET</v>
      </c>
      <c r="D240" s="155"/>
      <c r="E240" s="136" t="s">
        <v>32</v>
      </c>
      <c r="F240" s="136" t="s">
        <v>874</v>
      </c>
      <c r="G240" s="86">
        <v>2.0</v>
      </c>
      <c r="H240" s="41">
        <v>1.7440771E7</v>
      </c>
      <c r="I240" s="137" t="s">
        <v>1035</v>
      </c>
      <c r="J240" s="136" t="s">
        <v>37</v>
      </c>
      <c r="K240" s="53">
        <v>46149.0</v>
      </c>
      <c r="L240" s="155" t="s">
        <v>1036</v>
      </c>
      <c r="M240" s="136" t="s">
        <v>61</v>
      </c>
      <c r="N240" s="58"/>
      <c r="O240" s="58"/>
      <c r="P240" s="76"/>
      <c r="Q240" s="58"/>
      <c r="R240" s="76"/>
      <c r="S240" s="76"/>
      <c r="T240" s="76"/>
      <c r="U240" s="73"/>
      <c r="V240" s="76"/>
      <c r="W240" s="76"/>
      <c r="X240" s="76"/>
      <c r="Y240" s="76"/>
      <c r="Z240" s="76"/>
      <c r="AA240" s="76"/>
      <c r="AB240" s="76"/>
      <c r="AC240" s="76"/>
      <c r="AD240" s="76"/>
    </row>
    <row r="241">
      <c r="A241" s="36" t="s">
        <v>1045</v>
      </c>
      <c r="B241" s="136" t="s">
        <v>1044</v>
      </c>
      <c r="C241" s="37" t="str">
        <f>IF(B241="","",(VLOOKUP(B241,'Dados de PN'!$A:$B,2,0)))</f>
        <v>RECEIVER-TRANSMITTER,RADIO (KT71)</v>
      </c>
      <c r="D241" s="155"/>
      <c r="E241" s="136" t="s">
        <v>81</v>
      </c>
      <c r="F241" s="136" t="s">
        <v>862</v>
      </c>
      <c r="G241" s="86">
        <v>1.0</v>
      </c>
      <c r="H241" s="41">
        <v>1.7441308E7</v>
      </c>
      <c r="I241" s="137" t="s">
        <v>1035</v>
      </c>
      <c r="J241" s="136" t="s">
        <v>37</v>
      </c>
      <c r="K241" s="53">
        <v>46149.0</v>
      </c>
      <c r="L241" s="155" t="s">
        <v>1036</v>
      </c>
      <c r="M241" s="136" t="s">
        <v>61</v>
      </c>
      <c r="N241" s="58"/>
      <c r="O241" s="58"/>
      <c r="P241" s="76"/>
      <c r="Q241" s="58"/>
      <c r="R241" s="76"/>
      <c r="S241" s="76"/>
      <c r="T241" s="76"/>
      <c r="U241" s="73"/>
      <c r="V241" s="76"/>
      <c r="W241" s="76"/>
      <c r="X241" s="76"/>
      <c r="Y241" s="76"/>
      <c r="Z241" s="76"/>
      <c r="AA241" s="76"/>
      <c r="AB241" s="76"/>
      <c r="AC241" s="76"/>
      <c r="AD241" s="76"/>
    </row>
    <row r="242">
      <c r="A242" s="36" t="s">
        <v>1048</v>
      </c>
      <c r="B242" s="136" t="s">
        <v>1046</v>
      </c>
      <c r="C242" s="37" t="str">
        <f>IF(B242="","",(VLOOKUP(B242,'Dados de PN'!$A:$B,2,0)))</f>
        <v>SCREW,MACHINE</v>
      </c>
      <c r="D242" s="155"/>
      <c r="E242" s="136" t="s">
        <v>32</v>
      </c>
      <c r="F242" s="136" t="s">
        <v>1047</v>
      </c>
      <c r="G242" s="86">
        <v>20.0</v>
      </c>
      <c r="H242" s="41">
        <v>1.7440912E7</v>
      </c>
      <c r="I242" s="137" t="s">
        <v>1035</v>
      </c>
      <c r="J242" s="136" t="s">
        <v>37</v>
      </c>
      <c r="K242" s="53">
        <v>46149.0</v>
      </c>
      <c r="L242" s="155" t="s">
        <v>1036</v>
      </c>
      <c r="M242" s="136" t="s">
        <v>61</v>
      </c>
      <c r="N242" s="58"/>
      <c r="O242" s="58"/>
      <c r="P242" s="76"/>
      <c r="Q242" s="58"/>
      <c r="R242" s="76"/>
      <c r="S242" s="76"/>
      <c r="T242" s="76"/>
      <c r="U242" s="73"/>
      <c r="V242" s="76"/>
      <c r="W242" s="76"/>
      <c r="X242" s="76"/>
      <c r="Y242" s="76"/>
      <c r="Z242" s="76"/>
      <c r="AA242" s="76"/>
      <c r="AB242" s="76"/>
      <c r="AC242" s="76"/>
      <c r="AD242" s="76"/>
    </row>
    <row r="243">
      <c r="A243" s="36" t="s">
        <v>1049</v>
      </c>
      <c r="B243" s="136" t="s">
        <v>138</v>
      </c>
      <c r="C243" s="37" t="str">
        <f>IF(B243="","",(VLOOKUP(B243,'Dados de PN'!$A:$B,2,0)))</f>
        <v>COMPUTADOR DO PILOTO AUTOMÁTICO</v>
      </c>
      <c r="D243" s="155"/>
      <c r="E243" s="136" t="s">
        <v>81</v>
      </c>
      <c r="F243" s="136" t="s">
        <v>862</v>
      </c>
      <c r="G243" s="86">
        <v>1.0</v>
      </c>
      <c r="H243" s="41">
        <v>1.6069857E7</v>
      </c>
      <c r="I243" s="137" t="s">
        <v>1035</v>
      </c>
      <c r="J243" s="136" t="s">
        <v>37</v>
      </c>
      <c r="K243" s="53">
        <v>46149.0</v>
      </c>
      <c r="L243" s="155" t="s">
        <v>1036</v>
      </c>
      <c r="M243" s="136" t="s">
        <v>61</v>
      </c>
      <c r="N243" s="58"/>
      <c r="O243" s="58"/>
      <c r="P243" s="76"/>
      <c r="Q243" s="58"/>
      <c r="R243" s="76"/>
      <c r="S243" s="76"/>
      <c r="T243" s="76"/>
      <c r="U243" s="73"/>
      <c r="V243" s="76"/>
      <c r="W243" s="76"/>
      <c r="X243" s="76"/>
      <c r="Y243" s="76"/>
      <c r="Z243" s="76"/>
      <c r="AA243" s="76"/>
      <c r="AB243" s="76"/>
      <c r="AC243" s="76"/>
      <c r="AD243" s="76"/>
    </row>
    <row r="244">
      <c r="A244" s="36" t="s">
        <v>1050</v>
      </c>
      <c r="B244" s="136" t="s">
        <v>484</v>
      </c>
      <c r="C244" s="37" t="str">
        <f>IF(B244="","",(VLOOKUP(B244,'Dados de PN'!$A:$B,2,0)))</f>
        <v>INDICATOR FUEL</v>
      </c>
      <c r="D244" s="155"/>
      <c r="E244" s="136" t="s">
        <v>81</v>
      </c>
      <c r="F244" s="136" t="s">
        <v>862</v>
      </c>
      <c r="G244" s="86">
        <v>1.0</v>
      </c>
      <c r="H244" s="41">
        <v>1.6126104E7</v>
      </c>
      <c r="I244" s="137" t="s">
        <v>1035</v>
      </c>
      <c r="J244" s="136" t="s">
        <v>37</v>
      </c>
      <c r="K244" s="53">
        <v>46149.0</v>
      </c>
      <c r="L244" s="155" t="s">
        <v>1036</v>
      </c>
      <c r="M244" s="136" t="s">
        <v>61</v>
      </c>
      <c r="N244" s="58"/>
      <c r="O244" s="58"/>
      <c r="P244" s="76"/>
      <c r="Q244" s="58"/>
      <c r="R244" s="76"/>
      <c r="S244" s="76"/>
      <c r="T244" s="76"/>
      <c r="U244" s="73"/>
      <c r="V244" s="76"/>
      <c r="W244" s="76"/>
      <c r="X244" s="76"/>
      <c r="Y244" s="76"/>
      <c r="Z244" s="76"/>
      <c r="AA244" s="76"/>
      <c r="AB244" s="76"/>
      <c r="AC244" s="76"/>
      <c r="AD244" s="76"/>
    </row>
    <row r="245">
      <c r="A245" s="36" t="s">
        <v>1052</v>
      </c>
      <c r="B245" s="136" t="s">
        <v>1051</v>
      </c>
      <c r="C245" s="37" t="str">
        <f>IF(B245="","",(VLOOKUP(B245,'Dados de PN'!$A:$B,2,0)))</f>
        <v>GPS RECEIVER (STAND ALONE)</v>
      </c>
      <c r="D245" s="155"/>
      <c r="E245" s="136" t="s">
        <v>81</v>
      </c>
      <c r="F245" s="136" t="s">
        <v>862</v>
      </c>
      <c r="G245" s="86">
        <v>1.0</v>
      </c>
      <c r="H245" s="41">
        <v>1.6393897E7</v>
      </c>
      <c r="I245" s="137" t="s">
        <v>1035</v>
      </c>
      <c r="J245" s="136" t="s">
        <v>37</v>
      </c>
      <c r="K245" s="53">
        <v>46149.0</v>
      </c>
      <c r="L245" s="155" t="s">
        <v>1036</v>
      </c>
      <c r="M245" s="136" t="s">
        <v>61</v>
      </c>
      <c r="N245" s="58"/>
      <c r="O245" s="58"/>
      <c r="P245" s="76"/>
      <c r="Q245" s="58"/>
      <c r="R245" s="76"/>
      <c r="S245" s="76"/>
      <c r="T245" s="76"/>
      <c r="U245" s="73"/>
      <c r="V245" s="76"/>
      <c r="W245" s="76"/>
      <c r="X245" s="76"/>
      <c r="Y245" s="76"/>
      <c r="Z245" s="76"/>
      <c r="AA245" s="76"/>
      <c r="AB245" s="76"/>
      <c r="AC245" s="76"/>
      <c r="AD245" s="76"/>
    </row>
    <row r="246">
      <c r="A246" s="36" t="s">
        <v>1054</v>
      </c>
      <c r="B246" s="155" t="s">
        <v>1053</v>
      </c>
      <c r="C246" s="37" t="str">
        <f>IF(B246="","",(VLOOKUP(B246,'Dados de PN'!$A:$B,2,0)))</f>
        <v>ANEL-O</v>
      </c>
      <c r="D246" s="155"/>
      <c r="E246" s="136" t="s">
        <v>32</v>
      </c>
      <c r="F246" s="136" t="s">
        <v>862</v>
      </c>
      <c r="G246" s="86">
        <v>1.0</v>
      </c>
      <c r="H246" s="41">
        <v>1.7435536E7</v>
      </c>
      <c r="I246" s="137" t="s">
        <v>1035</v>
      </c>
      <c r="J246" s="136" t="s">
        <v>37</v>
      </c>
      <c r="K246" s="53">
        <v>46149.0</v>
      </c>
      <c r="L246" s="155" t="s">
        <v>1036</v>
      </c>
      <c r="M246" s="136" t="s">
        <v>61</v>
      </c>
      <c r="N246" s="58"/>
      <c r="O246" s="58"/>
      <c r="P246" s="76"/>
      <c r="Q246" s="58"/>
      <c r="R246" s="76"/>
      <c r="S246" s="76"/>
      <c r="T246" s="76"/>
      <c r="U246" s="73"/>
      <c r="V246" s="76"/>
      <c r="W246" s="76"/>
      <c r="X246" s="76"/>
      <c r="Y246" s="76"/>
      <c r="Z246" s="76"/>
      <c r="AA246" s="76"/>
      <c r="AB246" s="76"/>
      <c r="AC246" s="76"/>
      <c r="AD246" s="76"/>
    </row>
    <row r="247">
      <c r="A247" s="36" t="s">
        <v>1055</v>
      </c>
      <c r="B247" s="136" t="s">
        <v>925</v>
      </c>
      <c r="C247" s="37" t="str">
        <f>IF(B247="","",(VLOOKUP(B247,'Dados de PN'!$A:$B,2,0)))</f>
        <v>ANEL-O</v>
      </c>
      <c r="D247" s="155"/>
      <c r="E247" s="136" t="s">
        <v>32</v>
      </c>
      <c r="F247" s="136" t="s">
        <v>862</v>
      </c>
      <c r="G247" s="86">
        <v>1.0</v>
      </c>
      <c r="H247" s="41">
        <v>1.7435646E7</v>
      </c>
      <c r="I247" s="137" t="s">
        <v>1035</v>
      </c>
      <c r="J247" s="136" t="s">
        <v>37</v>
      </c>
      <c r="K247" s="53">
        <v>46149.0</v>
      </c>
      <c r="L247" s="155" t="s">
        <v>1036</v>
      </c>
      <c r="M247" s="136" t="s">
        <v>61</v>
      </c>
      <c r="N247" s="58"/>
      <c r="O247" s="58"/>
      <c r="P247" s="76"/>
      <c r="Q247" s="58"/>
      <c r="R247" s="76"/>
      <c r="S247" s="76"/>
      <c r="T247" s="76"/>
      <c r="U247" s="73"/>
      <c r="V247" s="76"/>
      <c r="W247" s="76"/>
      <c r="X247" s="76"/>
      <c r="Y247" s="76"/>
      <c r="Z247" s="76"/>
      <c r="AA247" s="76"/>
      <c r="AB247" s="76"/>
      <c r="AC247" s="76"/>
      <c r="AD247" s="76"/>
    </row>
    <row r="248">
      <c r="A248" s="36" t="s">
        <v>1056</v>
      </c>
      <c r="B248" s="136" t="s">
        <v>429</v>
      </c>
      <c r="C248" s="37" t="str">
        <f>IF(B248="","",(VLOOKUP(B248,'Dados de PN'!$A:$B,2,0)))</f>
        <v>IND RDR 200 IN</v>
      </c>
      <c r="D248" s="155"/>
      <c r="E248" s="136" t="s">
        <v>81</v>
      </c>
      <c r="F248" s="136" t="s">
        <v>862</v>
      </c>
      <c r="G248" s="86">
        <v>1.0</v>
      </c>
      <c r="H248" s="41">
        <v>1.7354649E7</v>
      </c>
      <c r="I248" s="137" t="s">
        <v>1035</v>
      </c>
      <c r="J248" s="136" t="s">
        <v>37</v>
      </c>
      <c r="K248" s="53">
        <v>46149.0</v>
      </c>
      <c r="L248" s="155" t="s">
        <v>1036</v>
      </c>
      <c r="M248" s="136" t="s">
        <v>61</v>
      </c>
      <c r="N248" s="58"/>
      <c r="O248" s="58"/>
      <c r="P248" s="76"/>
      <c r="Q248" s="58"/>
      <c r="R248" s="76"/>
      <c r="S248" s="76"/>
      <c r="T248" s="76"/>
      <c r="U248" s="73"/>
      <c r="V248" s="76"/>
      <c r="W248" s="76"/>
      <c r="X248" s="76"/>
      <c r="Y248" s="76"/>
      <c r="Z248" s="76"/>
      <c r="AA248" s="76"/>
      <c r="AB248" s="76"/>
      <c r="AC248" s="76"/>
      <c r="AD248" s="76"/>
    </row>
    <row r="249">
      <c r="A249" s="36" t="s">
        <v>1059</v>
      </c>
      <c r="B249" s="136" t="s">
        <v>1057</v>
      </c>
      <c r="C249" s="37" t="str">
        <f>IF(B249="","",(VLOOKUP(B249,'Dados de PN'!$A:$B,2,0)))</f>
        <v>HOSE ASSY-FUEL MOTIVE FLOW</v>
      </c>
      <c r="D249" s="155"/>
      <c r="E249" s="136" t="s">
        <v>32</v>
      </c>
      <c r="F249" s="136" t="s">
        <v>1058</v>
      </c>
      <c r="G249" s="86">
        <v>3.0</v>
      </c>
      <c r="H249" s="41">
        <v>1.7425684E7</v>
      </c>
      <c r="I249" s="137" t="s">
        <v>1035</v>
      </c>
      <c r="J249" s="136" t="s">
        <v>37</v>
      </c>
      <c r="K249" s="53">
        <v>46149.0</v>
      </c>
      <c r="L249" s="155" t="s">
        <v>1036</v>
      </c>
      <c r="M249" s="136" t="s">
        <v>61</v>
      </c>
      <c r="N249" s="58"/>
      <c r="O249" s="58"/>
      <c r="P249" s="76"/>
      <c r="Q249" s="58"/>
      <c r="R249" s="76"/>
      <c r="S249" s="76"/>
      <c r="T249" s="76"/>
      <c r="U249" s="73"/>
      <c r="V249" s="76"/>
      <c r="W249" s="76"/>
      <c r="X249" s="76"/>
      <c r="Y249" s="76"/>
      <c r="Z249" s="76"/>
      <c r="AA249" s="76"/>
      <c r="AB249" s="76"/>
      <c r="AC249" s="76"/>
      <c r="AD249" s="76"/>
    </row>
    <row r="250">
      <c r="A250" s="36" t="s">
        <v>1062</v>
      </c>
      <c r="B250" s="155" t="s">
        <v>1060</v>
      </c>
      <c r="C250" s="37" t="str">
        <f>IF(B250="","",(VLOOKUP(B250,'Dados de PN'!$A:$B,2,0)))</f>
        <v>CLEVIS</v>
      </c>
      <c r="D250" s="155"/>
      <c r="E250" s="136" t="s">
        <v>32</v>
      </c>
      <c r="F250" s="136" t="s">
        <v>34</v>
      </c>
      <c r="G250" s="44">
        <f t="shared" ref="G250:G275" si="6">VALUE(SUBSTITUTE(F250," EA",""))</f>
        <v>1</v>
      </c>
      <c r="H250" s="41">
        <v>1.7446824E7</v>
      </c>
      <c r="I250" s="137" t="s">
        <v>1061</v>
      </c>
      <c r="J250" s="136" t="s">
        <v>37</v>
      </c>
      <c r="K250" s="53">
        <v>46150.0</v>
      </c>
      <c r="L250" s="155" t="s">
        <v>543</v>
      </c>
      <c r="M250" s="136" t="s">
        <v>544</v>
      </c>
      <c r="N250" s="58"/>
      <c r="O250" s="58"/>
      <c r="P250" s="76"/>
      <c r="Q250" s="58"/>
      <c r="R250" s="76"/>
      <c r="S250" s="76"/>
      <c r="T250" s="76"/>
      <c r="U250" s="73"/>
      <c r="V250" s="76"/>
      <c r="W250" s="76"/>
      <c r="X250" s="76"/>
      <c r="Y250" s="76"/>
      <c r="Z250" s="76"/>
      <c r="AA250" s="76"/>
      <c r="AB250" s="76"/>
      <c r="AC250" s="76"/>
      <c r="AD250" s="76"/>
    </row>
    <row r="251">
      <c r="A251" s="36" t="s">
        <v>1065</v>
      </c>
      <c r="B251" s="136" t="s">
        <v>1063</v>
      </c>
      <c r="C251" s="37" t="str">
        <f>IF(B251="","",(VLOOKUP(B251,'Dados de PN'!$A:$B,2,0)))</f>
        <v>CABLE FIRE</v>
      </c>
      <c r="D251" s="155"/>
      <c r="E251" s="136" t="s">
        <v>32</v>
      </c>
      <c r="F251" s="136" t="s">
        <v>34</v>
      </c>
      <c r="G251" s="44">
        <f t="shared" si="6"/>
        <v>1</v>
      </c>
      <c r="H251" s="41">
        <v>6.85260011861E11</v>
      </c>
      <c r="I251" s="137" t="s">
        <v>1064</v>
      </c>
      <c r="J251" s="136" t="s">
        <v>37</v>
      </c>
      <c r="K251" s="53">
        <v>46155.0</v>
      </c>
      <c r="L251" s="155" t="s">
        <v>60</v>
      </c>
      <c r="M251" s="136" t="s">
        <v>61</v>
      </c>
      <c r="N251" s="58"/>
      <c r="O251" s="58"/>
      <c r="P251" s="76"/>
      <c r="Q251" s="58"/>
      <c r="R251" s="76"/>
      <c r="S251" s="76"/>
      <c r="T251" s="76"/>
      <c r="U251" s="73"/>
      <c r="V251" s="76"/>
      <c r="W251" s="76"/>
      <c r="X251" s="76"/>
      <c r="Y251" s="76"/>
      <c r="Z251" s="76"/>
      <c r="AA251" s="76"/>
      <c r="AB251" s="76"/>
      <c r="AC251" s="76"/>
      <c r="AD251" s="76"/>
    </row>
    <row r="252">
      <c r="A252" s="36" t="s">
        <v>1068</v>
      </c>
      <c r="B252" s="155" t="s">
        <v>1066</v>
      </c>
      <c r="C252" s="37" t="str">
        <f>IF(B252="","",(VLOOKUP(B252,'Dados de PN'!$A:$B,2,0)))</f>
        <v>TRANSMITTER FUEL</v>
      </c>
      <c r="D252" s="155"/>
      <c r="E252" s="136" t="s">
        <v>32</v>
      </c>
      <c r="F252" s="136" t="s">
        <v>34</v>
      </c>
      <c r="G252" s="44">
        <f t="shared" si="6"/>
        <v>1</v>
      </c>
      <c r="H252" s="41">
        <v>3.29260019114E11</v>
      </c>
      <c r="I252" s="137" t="s">
        <v>1067</v>
      </c>
      <c r="J252" s="136" t="s">
        <v>37</v>
      </c>
      <c r="K252" s="53">
        <v>46161.0</v>
      </c>
      <c r="L252" s="155" t="s">
        <v>988</v>
      </c>
      <c r="M252" s="136" t="s">
        <v>169</v>
      </c>
      <c r="N252" s="58"/>
      <c r="O252" s="58"/>
      <c r="P252" s="76"/>
      <c r="Q252" s="58"/>
      <c r="R252" s="76"/>
      <c r="S252" s="76"/>
      <c r="T252" s="76"/>
      <c r="U252" s="73"/>
      <c r="V252" s="76"/>
      <c r="W252" s="76"/>
      <c r="X252" s="76"/>
      <c r="Y252" s="76"/>
      <c r="Z252" s="76"/>
      <c r="AA252" s="76"/>
      <c r="AB252" s="76"/>
      <c r="AC252" s="76"/>
      <c r="AD252" s="76"/>
    </row>
    <row r="253">
      <c r="A253" s="36" t="s">
        <v>1070</v>
      </c>
      <c r="B253" s="155" t="s">
        <v>297</v>
      </c>
      <c r="C253" s="37" t="str">
        <f>IF(B253="","",(VLOOKUP(B253,'Dados de PN'!$A:$B,2,0)))</f>
        <v>TRUNION ASSY-RH-MAIN GEAR</v>
      </c>
      <c r="D253" s="155"/>
      <c r="E253" s="136" t="s">
        <v>54</v>
      </c>
      <c r="F253" s="136" t="s">
        <v>34</v>
      </c>
      <c r="G253" s="44">
        <f t="shared" si="6"/>
        <v>1</v>
      </c>
      <c r="H253" s="41">
        <v>3.96260016406E11</v>
      </c>
      <c r="I253" s="137" t="s">
        <v>1069</v>
      </c>
      <c r="J253" s="136" t="s">
        <v>37</v>
      </c>
      <c r="K253" s="53">
        <v>46161.0</v>
      </c>
      <c r="L253" s="155" t="s">
        <v>75</v>
      </c>
      <c r="M253" s="136" t="s">
        <v>76</v>
      </c>
      <c r="N253" s="58"/>
      <c r="O253" s="58"/>
      <c r="P253" s="76"/>
      <c r="Q253" s="58"/>
      <c r="R253" s="76"/>
      <c r="S253" s="76"/>
      <c r="T253" s="76"/>
      <c r="U253" s="73"/>
      <c r="V253" s="76"/>
      <c r="W253" s="76"/>
      <c r="X253" s="76"/>
      <c r="Y253" s="76"/>
      <c r="Z253" s="76"/>
      <c r="AA253" s="76"/>
      <c r="AB253" s="76"/>
      <c r="AC253" s="76"/>
      <c r="AD253" s="76"/>
    </row>
    <row r="254">
      <c r="A254" s="36" t="s">
        <v>1073</v>
      </c>
      <c r="B254" s="155" t="s">
        <v>1071</v>
      </c>
      <c r="C254" s="37" t="str">
        <f>IF(B254="","",(VLOOKUP(B254,'Dados de PN'!$A:$B,2,0)))</f>
        <v>MANG</v>
      </c>
      <c r="D254" s="155"/>
      <c r="E254" s="136" t="s">
        <v>32</v>
      </c>
      <c r="F254" s="136" t="s">
        <v>34</v>
      </c>
      <c r="G254" s="44">
        <f t="shared" si="6"/>
        <v>1</v>
      </c>
      <c r="H254" s="41">
        <v>6.90260002416E11</v>
      </c>
      <c r="I254" s="137" t="s">
        <v>1072</v>
      </c>
      <c r="J254" s="136" t="s">
        <v>37</v>
      </c>
      <c r="K254" s="53">
        <v>46162.0</v>
      </c>
      <c r="L254" s="155" t="s">
        <v>543</v>
      </c>
      <c r="M254" s="136" t="s">
        <v>544</v>
      </c>
      <c r="N254" s="58"/>
      <c r="O254" s="58"/>
      <c r="P254" s="76"/>
      <c r="Q254" s="58"/>
      <c r="R254" s="76"/>
      <c r="S254" s="76"/>
      <c r="T254" s="76"/>
      <c r="U254" s="73"/>
      <c r="V254" s="76"/>
      <c r="W254" s="76"/>
      <c r="X254" s="76"/>
      <c r="Y254" s="76"/>
      <c r="Z254" s="76"/>
      <c r="AA254" s="76"/>
      <c r="AB254" s="76"/>
      <c r="AC254" s="76"/>
      <c r="AD254" s="76"/>
    </row>
    <row r="255">
      <c r="A255" s="36" t="s">
        <v>1077</v>
      </c>
      <c r="B255" s="155" t="s">
        <v>1074</v>
      </c>
      <c r="C255" s="37" t="str">
        <f>IF(B255="","",(VLOOKUP(B255,'Dados de PN'!$A:$B,2,0)))</f>
        <v>SPRING ASSY-MAIN GEAR CENTER</v>
      </c>
      <c r="D255" s="155" t="s">
        <v>1075</v>
      </c>
      <c r="E255" s="136" t="s">
        <v>54</v>
      </c>
      <c r="F255" s="136" t="s">
        <v>34</v>
      </c>
      <c r="G255" s="44">
        <f t="shared" si="6"/>
        <v>1</v>
      </c>
      <c r="H255" s="41">
        <v>1.7537154E7</v>
      </c>
      <c r="I255" s="137" t="s">
        <v>1076</v>
      </c>
      <c r="J255" s="136" t="s">
        <v>37</v>
      </c>
      <c r="K255" s="53">
        <v>46162.0</v>
      </c>
      <c r="L255" s="155" t="s">
        <v>75</v>
      </c>
      <c r="M255" s="136" t="s">
        <v>76</v>
      </c>
      <c r="N255" s="58"/>
      <c r="O255" s="58"/>
      <c r="P255" s="76"/>
      <c r="Q255" s="58"/>
      <c r="R255" s="76"/>
      <c r="S255" s="76"/>
      <c r="T255" s="76"/>
      <c r="U255" s="73"/>
      <c r="V255" s="76"/>
      <c r="W255" s="76"/>
      <c r="X255" s="76"/>
      <c r="Y255" s="76"/>
      <c r="Z255" s="76"/>
      <c r="AA255" s="76"/>
      <c r="AB255" s="76"/>
      <c r="AC255" s="76"/>
      <c r="AD255" s="76"/>
    </row>
    <row r="256">
      <c r="A256" s="36" t="s">
        <v>1080</v>
      </c>
      <c r="B256" s="155" t="s">
        <v>1078</v>
      </c>
      <c r="C256" s="37" t="str">
        <f>IF(B256="","",(VLOOKUP(B256,'Dados de PN'!$A:$B,2,0)))</f>
        <v>SWITCH</v>
      </c>
      <c r="D256" s="155"/>
      <c r="E256" s="136" t="s">
        <v>32</v>
      </c>
      <c r="F256" s="136" t="s">
        <v>34</v>
      </c>
      <c r="G256" s="44">
        <f t="shared" si="6"/>
        <v>1</v>
      </c>
      <c r="H256" s="41">
        <v>1.7541759E7</v>
      </c>
      <c r="I256" s="137" t="s">
        <v>1079</v>
      </c>
      <c r="J256" s="136" t="s">
        <v>37</v>
      </c>
      <c r="K256" s="53">
        <v>46163.0</v>
      </c>
      <c r="L256" s="155" t="s">
        <v>403</v>
      </c>
      <c r="M256" s="136" t="s">
        <v>404</v>
      </c>
      <c r="N256" s="58"/>
      <c r="O256" s="58"/>
      <c r="P256" s="76"/>
      <c r="Q256" s="58"/>
      <c r="R256" s="76"/>
      <c r="S256" s="76"/>
      <c r="T256" s="76"/>
      <c r="U256" s="73"/>
      <c r="V256" s="76"/>
      <c r="W256" s="76"/>
      <c r="X256" s="76"/>
      <c r="Y256" s="76"/>
      <c r="Z256" s="76"/>
      <c r="AA256" s="76"/>
      <c r="AB256" s="76"/>
      <c r="AC256" s="76"/>
      <c r="AD256" s="76"/>
    </row>
    <row r="257">
      <c r="A257" s="36" t="s">
        <v>1081</v>
      </c>
      <c r="B257" s="155" t="s">
        <v>1078</v>
      </c>
      <c r="C257" s="37" t="str">
        <f>IF(B257="","",(VLOOKUP(B257,'Dados de PN'!$A:$B,2,0)))</f>
        <v>SWITCH</v>
      </c>
      <c r="D257" s="155"/>
      <c r="E257" s="136" t="s">
        <v>32</v>
      </c>
      <c r="F257" s="136" t="s">
        <v>34</v>
      </c>
      <c r="G257" s="44">
        <f t="shared" si="6"/>
        <v>1</v>
      </c>
      <c r="H257" s="41">
        <v>1.7484041E7</v>
      </c>
      <c r="I257" s="137" t="s">
        <v>1079</v>
      </c>
      <c r="J257" s="136" t="s">
        <v>37</v>
      </c>
      <c r="K257" s="53">
        <v>46163.0</v>
      </c>
      <c r="L257" s="155" t="s">
        <v>403</v>
      </c>
      <c r="M257" s="136" t="s">
        <v>404</v>
      </c>
      <c r="N257" s="58"/>
      <c r="O257" s="58"/>
      <c r="P257" s="76"/>
      <c r="Q257" s="58"/>
      <c r="R257" s="76"/>
      <c r="S257" s="76"/>
      <c r="T257" s="76"/>
      <c r="U257" s="73"/>
      <c r="V257" s="76"/>
      <c r="W257" s="76"/>
      <c r="X257" s="76"/>
      <c r="Y257" s="76"/>
      <c r="Z257" s="76"/>
      <c r="AA257" s="76"/>
      <c r="AB257" s="76"/>
      <c r="AC257" s="76"/>
      <c r="AD257" s="76"/>
    </row>
    <row r="258">
      <c r="A258" s="36" t="s">
        <v>1085</v>
      </c>
      <c r="B258" s="155" t="s">
        <v>1082</v>
      </c>
      <c r="C258" s="37" t="str">
        <f>IF(B258="","",(VLOOKUP(B258,'Dados de PN'!$A:$B,2,0)))</f>
        <v>STARTER-GENERATOR</v>
      </c>
      <c r="D258" s="155" t="s">
        <v>1083</v>
      </c>
      <c r="E258" s="136" t="s">
        <v>81</v>
      </c>
      <c r="F258" s="136" t="s">
        <v>34</v>
      </c>
      <c r="G258" s="44">
        <f t="shared" si="6"/>
        <v>1</v>
      </c>
      <c r="H258" s="41">
        <v>1.761209E7</v>
      </c>
      <c r="I258" s="137" t="s">
        <v>1084</v>
      </c>
      <c r="J258" s="136" t="s">
        <v>37</v>
      </c>
      <c r="K258" s="53">
        <v>46170.0</v>
      </c>
      <c r="L258" s="155" t="s">
        <v>422</v>
      </c>
      <c r="M258" s="136" t="s">
        <v>423</v>
      </c>
      <c r="N258" s="58"/>
      <c r="O258" s="58"/>
      <c r="P258" s="76"/>
      <c r="Q258" s="58"/>
      <c r="R258" s="76"/>
      <c r="S258" s="76"/>
      <c r="T258" s="147">
        <v>46176.0</v>
      </c>
      <c r="U258" s="102" t="s">
        <v>730</v>
      </c>
      <c r="V258" s="136" t="s">
        <v>731</v>
      </c>
      <c r="W258" s="84" t="s">
        <v>83</v>
      </c>
      <c r="X258" s="76"/>
      <c r="Y258" s="76"/>
      <c r="Z258" s="76"/>
      <c r="AA258" s="76"/>
      <c r="AB258" s="76"/>
      <c r="AC258" s="76"/>
      <c r="AD258" s="76"/>
    </row>
    <row r="259">
      <c r="A259" s="36" t="s">
        <v>1090</v>
      </c>
      <c r="B259" s="155" t="s">
        <v>1086</v>
      </c>
      <c r="C259" s="37" t="str">
        <f>IF(B259="","",(VLOOKUP(B259,'Dados de PN'!$A:$B,2,0)))</f>
        <v>IND FUEL FLOW</v>
      </c>
      <c r="D259" s="155" t="s">
        <v>1087</v>
      </c>
      <c r="E259" s="136" t="s">
        <v>81</v>
      </c>
      <c r="F259" s="136" t="s">
        <v>1088</v>
      </c>
      <c r="G259" s="44">
        <f t="shared" si="6"/>
        <v>1</v>
      </c>
      <c r="H259" s="41">
        <v>3.29260019124E11</v>
      </c>
      <c r="I259" s="137" t="s">
        <v>1089</v>
      </c>
      <c r="J259" s="136" t="s">
        <v>37</v>
      </c>
      <c r="K259" s="53">
        <v>46170.0</v>
      </c>
      <c r="L259" s="155" t="s">
        <v>988</v>
      </c>
      <c r="M259" s="136" t="s">
        <v>169</v>
      </c>
      <c r="N259" s="58"/>
      <c r="O259" s="58"/>
      <c r="P259" s="76"/>
      <c r="Q259" s="58"/>
      <c r="R259" s="76"/>
      <c r="S259" s="76"/>
      <c r="T259" s="76"/>
      <c r="U259" s="73"/>
      <c r="V259" s="76"/>
      <c r="W259" s="76"/>
      <c r="X259" s="76"/>
      <c r="Y259" s="76"/>
      <c r="Z259" s="76"/>
      <c r="AA259" s="76"/>
      <c r="AB259" s="76"/>
      <c r="AC259" s="76"/>
      <c r="AD259" s="76"/>
    </row>
    <row r="260">
      <c r="A260" s="36" t="s">
        <v>1093</v>
      </c>
      <c r="B260" s="137" t="s">
        <v>374</v>
      </c>
      <c r="C260" s="37" t="str">
        <f>IF(B260="","",(VLOOKUP(B260,'Dados de PN'!$A:$B,2,0)))</f>
        <v>WHEEL HALF ASSY</v>
      </c>
      <c r="D260" s="155" t="s">
        <v>1091</v>
      </c>
      <c r="E260" s="136" t="s">
        <v>81</v>
      </c>
      <c r="F260" s="136" t="s">
        <v>164</v>
      </c>
      <c r="G260" s="44">
        <f t="shared" si="6"/>
        <v>2</v>
      </c>
      <c r="H260" s="41">
        <v>1.7617015E7</v>
      </c>
      <c r="I260" s="137" t="s">
        <v>1142</v>
      </c>
      <c r="J260" s="136" t="s">
        <v>37</v>
      </c>
      <c r="K260" s="53">
        <v>46171.0</v>
      </c>
      <c r="L260" s="155" t="s">
        <v>320</v>
      </c>
      <c r="M260" s="136" t="s">
        <v>61</v>
      </c>
      <c r="N260" s="58"/>
      <c r="O260" s="58"/>
      <c r="P260" s="76"/>
      <c r="Q260" s="58"/>
      <c r="R260" s="76"/>
      <c r="S260" s="76"/>
      <c r="T260" s="76"/>
      <c r="U260" s="73"/>
      <c r="V260" s="76"/>
      <c r="W260" s="76"/>
      <c r="X260" s="76"/>
      <c r="Y260" s="76"/>
      <c r="Z260" s="76"/>
      <c r="AA260" s="76"/>
      <c r="AB260" s="76"/>
      <c r="AC260" s="76"/>
      <c r="AD260" s="76"/>
    </row>
    <row r="261">
      <c r="A261" s="36" t="s">
        <v>1096</v>
      </c>
      <c r="B261" s="137" t="s">
        <v>1094</v>
      </c>
      <c r="C261" s="37" t="str">
        <f>IF(B261="","",(VLOOKUP(B261,'Dados de PN'!$A:$B,2,0)))</f>
        <v>STARTER GENERATOR</v>
      </c>
      <c r="D261" s="155" t="s">
        <v>1095</v>
      </c>
      <c r="E261" s="136" t="s">
        <v>81</v>
      </c>
      <c r="F261" s="136" t="s">
        <v>34</v>
      </c>
      <c r="G261" s="44">
        <f t="shared" si="6"/>
        <v>1</v>
      </c>
      <c r="H261" s="41">
        <v>1.7617016E7</v>
      </c>
      <c r="I261" s="137" t="s">
        <v>1142</v>
      </c>
      <c r="J261" s="136" t="s">
        <v>37</v>
      </c>
      <c r="K261" s="53">
        <v>46171.0</v>
      </c>
      <c r="L261" s="155" t="s">
        <v>152</v>
      </c>
      <c r="M261" s="136" t="s">
        <v>61</v>
      </c>
      <c r="N261" s="58"/>
      <c r="O261" s="58"/>
      <c r="P261" s="76"/>
      <c r="Q261" s="58"/>
      <c r="R261" s="76"/>
      <c r="S261" s="76"/>
      <c r="T261" s="147">
        <v>46176.0</v>
      </c>
      <c r="U261" s="102" t="s">
        <v>730</v>
      </c>
      <c r="V261" s="136" t="s">
        <v>731</v>
      </c>
      <c r="W261" s="84" t="s">
        <v>83</v>
      </c>
      <c r="X261" s="76"/>
      <c r="Y261" s="76"/>
      <c r="Z261" s="76"/>
      <c r="AA261" s="76"/>
      <c r="AB261" s="76"/>
      <c r="AC261" s="76"/>
      <c r="AD261" s="76"/>
    </row>
    <row r="262">
      <c r="A262" s="36" t="s">
        <v>1098</v>
      </c>
      <c r="B262" s="137" t="s">
        <v>633</v>
      </c>
      <c r="C262" s="37" t="str">
        <f>IF(B262="","",(VLOOKUP(B262,'Dados de PN'!$A:$B,2,0)))</f>
        <v>AXLE-MAIN GEAR</v>
      </c>
      <c r="D262" s="155" t="s">
        <v>1097</v>
      </c>
      <c r="E262" s="136" t="s">
        <v>54</v>
      </c>
      <c r="F262" s="136" t="s">
        <v>34</v>
      </c>
      <c r="G262" s="44">
        <f t="shared" si="6"/>
        <v>1</v>
      </c>
      <c r="H262" s="41">
        <v>1.7617017E7</v>
      </c>
      <c r="I262" s="137" t="s">
        <v>1142</v>
      </c>
      <c r="J262" s="136" t="s">
        <v>37</v>
      </c>
      <c r="K262" s="53">
        <v>46171.0</v>
      </c>
      <c r="L262" s="155" t="s">
        <v>60</v>
      </c>
      <c r="M262" s="136" t="s">
        <v>61</v>
      </c>
      <c r="N262" s="58"/>
      <c r="O262" s="58"/>
      <c r="P262" s="76"/>
      <c r="Q262" s="58"/>
      <c r="R262" s="76"/>
      <c r="S262" s="76"/>
      <c r="T262" s="76"/>
      <c r="U262" s="73"/>
      <c r="V262" s="76"/>
      <c r="W262" s="76"/>
      <c r="X262" s="76"/>
      <c r="Y262" s="76"/>
      <c r="Z262" s="76"/>
      <c r="AA262" s="76"/>
      <c r="AB262" s="76"/>
      <c r="AC262" s="76"/>
      <c r="AD262" s="76"/>
    </row>
    <row r="263">
      <c r="A263" s="36" t="s">
        <v>1101</v>
      </c>
      <c r="B263" s="137" t="s">
        <v>1099</v>
      </c>
      <c r="C263" s="37" t="str">
        <f>IF(B263="","",(VLOOKUP(B263,'Dados de PN'!$A:$B,2,0)))</f>
        <v>BATTERY</v>
      </c>
      <c r="D263" s="155" t="s">
        <v>1100</v>
      </c>
      <c r="E263" s="136" t="s">
        <v>54</v>
      </c>
      <c r="F263" s="136" t="s">
        <v>34</v>
      </c>
      <c r="G263" s="44">
        <f t="shared" si="6"/>
        <v>1</v>
      </c>
      <c r="H263" s="41">
        <v>1.7617018E7</v>
      </c>
      <c r="I263" s="137" t="s">
        <v>1142</v>
      </c>
      <c r="J263" s="136" t="s">
        <v>37</v>
      </c>
      <c r="K263" s="53">
        <v>46171.0</v>
      </c>
      <c r="L263" s="155" t="s">
        <v>183</v>
      </c>
      <c r="M263" s="136" t="s">
        <v>61</v>
      </c>
      <c r="N263" s="58"/>
      <c r="O263" s="58"/>
      <c r="P263" s="76"/>
      <c r="Q263" s="58"/>
      <c r="R263" s="76"/>
      <c r="S263" s="76"/>
      <c r="T263" s="76"/>
      <c r="U263" s="73"/>
      <c r="V263" s="76"/>
      <c r="W263" s="76"/>
      <c r="X263" s="76"/>
      <c r="Y263" s="76"/>
      <c r="Z263" s="76"/>
      <c r="AA263" s="76"/>
      <c r="AB263" s="76"/>
      <c r="AC263" s="76"/>
      <c r="AD263" s="76"/>
    </row>
    <row r="264">
      <c r="A264" s="36" t="s">
        <v>1103</v>
      </c>
      <c r="B264" s="137" t="s">
        <v>659</v>
      </c>
      <c r="C264" s="37" t="str">
        <f>IF(B264="","",(VLOOKUP(B264,'Dados de PN'!$A:$B,2,0)))</f>
        <v>EXTINGUISHER,FIRE</v>
      </c>
      <c r="D264" s="155" t="s">
        <v>1102</v>
      </c>
      <c r="E264" s="136" t="s">
        <v>81</v>
      </c>
      <c r="F264" s="136" t="s">
        <v>34</v>
      </c>
      <c r="G264" s="44">
        <f t="shared" si="6"/>
        <v>1</v>
      </c>
      <c r="H264" s="41">
        <v>1.7617019E7</v>
      </c>
      <c r="I264" s="137" t="s">
        <v>1142</v>
      </c>
      <c r="J264" s="136" t="s">
        <v>37</v>
      </c>
      <c r="K264" s="53">
        <v>46171.0</v>
      </c>
      <c r="L264" s="155" t="s">
        <v>183</v>
      </c>
      <c r="M264" s="136" t="s">
        <v>61</v>
      </c>
      <c r="N264" s="58"/>
      <c r="O264" s="58"/>
      <c r="P264" s="76"/>
      <c r="Q264" s="58"/>
      <c r="R264" s="76"/>
      <c r="S264" s="76"/>
      <c r="T264" s="147">
        <v>46176.0</v>
      </c>
      <c r="U264" s="102" t="s">
        <v>730</v>
      </c>
      <c r="V264" s="136" t="s">
        <v>731</v>
      </c>
      <c r="W264" s="84" t="s">
        <v>83</v>
      </c>
      <c r="X264" s="76"/>
      <c r="Y264" s="76"/>
      <c r="Z264" s="76"/>
      <c r="AA264" s="76"/>
      <c r="AB264" s="76"/>
      <c r="AC264" s="76"/>
      <c r="AD264" s="76"/>
    </row>
    <row r="265">
      <c r="A265" s="36" t="s">
        <v>1106</v>
      </c>
      <c r="B265" s="136" t="s">
        <v>147</v>
      </c>
      <c r="C265" s="37" t="str">
        <f>IF(B265="","",(VLOOKUP(B265,'Dados de PN'!$A:$B,2,0)))</f>
        <v>INDICATOR,HORIZONTAL SITUATION</v>
      </c>
      <c r="D265" s="155" t="s">
        <v>1104</v>
      </c>
      <c r="E265" s="136" t="s">
        <v>81</v>
      </c>
      <c r="F265" s="136" t="s">
        <v>34</v>
      </c>
      <c r="G265" s="44">
        <f t="shared" si="6"/>
        <v>1</v>
      </c>
      <c r="H265" s="41">
        <v>3.96260016501E11</v>
      </c>
      <c r="I265" s="137" t="s">
        <v>1143</v>
      </c>
      <c r="J265" s="136" t="s">
        <v>37</v>
      </c>
      <c r="K265" s="53">
        <v>46174.0</v>
      </c>
      <c r="L265" s="155" t="s">
        <v>75</v>
      </c>
      <c r="M265" s="136" t="s">
        <v>76</v>
      </c>
      <c r="N265" s="58"/>
      <c r="O265" s="58"/>
      <c r="P265" s="76"/>
      <c r="Q265" s="58"/>
      <c r="R265" s="76"/>
      <c r="S265" s="76"/>
      <c r="T265" s="76"/>
      <c r="U265" s="73"/>
      <c r="V265" s="76"/>
      <c r="W265" s="76"/>
      <c r="X265" s="76"/>
      <c r="Y265" s="76"/>
      <c r="Z265" s="76"/>
      <c r="AA265" s="76"/>
      <c r="AB265" s="76"/>
      <c r="AC265" s="76"/>
      <c r="AD265" s="76"/>
    </row>
    <row r="266">
      <c r="A266" s="36" t="s">
        <v>1108</v>
      </c>
      <c r="B266" s="136" t="s">
        <v>1107</v>
      </c>
      <c r="C266" s="37" t="str">
        <f>IF(B266="","",(VLOOKUP(B266,'Dados de PN'!$A:$B,2,0)))</f>
        <v>CONNECTOR,ELECTRICAL</v>
      </c>
      <c r="D266" s="155"/>
      <c r="E266" s="136" t="s">
        <v>32</v>
      </c>
      <c r="F266" s="136" t="s">
        <v>164</v>
      </c>
      <c r="G266" s="44">
        <f t="shared" si="6"/>
        <v>2</v>
      </c>
      <c r="H266" s="41">
        <v>3.96260016502E11</v>
      </c>
      <c r="I266" s="137" t="s">
        <v>1143</v>
      </c>
      <c r="J266" s="136" t="s">
        <v>37</v>
      </c>
      <c r="K266" s="53">
        <v>46174.0</v>
      </c>
      <c r="L266" s="155" t="s">
        <v>75</v>
      </c>
      <c r="M266" s="136" t="s">
        <v>76</v>
      </c>
      <c r="N266" s="58"/>
      <c r="O266" s="58"/>
      <c r="P266" s="76"/>
      <c r="Q266" s="58"/>
      <c r="R266" s="76"/>
      <c r="S266" s="76"/>
      <c r="T266" s="76"/>
      <c r="U266" s="73"/>
      <c r="V266" s="76"/>
      <c r="W266" s="76"/>
      <c r="X266" s="76"/>
      <c r="Y266" s="76"/>
      <c r="Z266" s="76"/>
      <c r="AA266" s="76"/>
      <c r="AB266" s="76"/>
      <c r="AC266" s="76"/>
      <c r="AD266" s="76"/>
    </row>
    <row r="267">
      <c r="A267" s="36" t="s">
        <v>1109</v>
      </c>
      <c r="B267" s="136" t="s">
        <v>602</v>
      </c>
      <c r="C267" s="37" t="str">
        <f>IF(B267="","",(VLOOKUP(B267,'Dados de PN'!$A:$B,2,0)))</f>
        <v>SEAL</v>
      </c>
      <c r="D267" s="155"/>
      <c r="E267" s="136" t="s">
        <v>32</v>
      </c>
      <c r="F267" s="136" t="s">
        <v>164</v>
      </c>
      <c r="G267" s="44">
        <f t="shared" si="6"/>
        <v>2</v>
      </c>
      <c r="H267" s="41">
        <v>3.962600165E11</v>
      </c>
      <c r="I267" s="137" t="s">
        <v>1143</v>
      </c>
      <c r="J267" s="136" t="s">
        <v>37</v>
      </c>
      <c r="K267" s="53">
        <v>46174.0</v>
      </c>
      <c r="L267" s="155" t="s">
        <v>304</v>
      </c>
      <c r="M267" s="136" t="s">
        <v>76</v>
      </c>
      <c r="N267" s="58"/>
      <c r="O267" s="58"/>
      <c r="P267" s="76"/>
      <c r="Q267" s="58"/>
      <c r="R267" s="76"/>
      <c r="S267" s="76"/>
      <c r="T267" s="76"/>
      <c r="U267" s="73"/>
      <c r="V267" s="76"/>
      <c r="W267" s="76"/>
      <c r="X267" s="76"/>
      <c r="Y267" s="76"/>
      <c r="Z267" s="76"/>
      <c r="AA267" s="76"/>
      <c r="AB267" s="76"/>
      <c r="AC267" s="76"/>
      <c r="AD267" s="76"/>
    </row>
    <row r="268">
      <c r="A268" s="36" t="s">
        <v>1110</v>
      </c>
      <c r="B268" s="155" t="s">
        <v>1144</v>
      </c>
      <c r="C268" s="37" t="str">
        <f>IF(B268="","",(VLOOKUP(B268,'Dados de PN'!$A:$B,2,0)))</f>
        <v>HOSE AY</v>
      </c>
      <c r="D268" s="155"/>
      <c r="E268" s="136" t="s">
        <v>32</v>
      </c>
      <c r="F268" s="136" t="s">
        <v>340</v>
      </c>
      <c r="G268" s="44">
        <f t="shared" si="6"/>
        <v>3</v>
      </c>
      <c r="H268" s="41">
        <v>1.7624839E7</v>
      </c>
      <c r="I268" s="137" t="s">
        <v>1145</v>
      </c>
      <c r="J268" s="136" t="s">
        <v>37</v>
      </c>
      <c r="K268" s="53">
        <v>46174.0</v>
      </c>
      <c r="L268" s="155" t="s">
        <v>1146</v>
      </c>
      <c r="M268" s="136" t="s">
        <v>51</v>
      </c>
      <c r="N268" s="58"/>
      <c r="O268" s="58"/>
      <c r="P268" s="76"/>
      <c r="Q268" s="58"/>
      <c r="R268" s="76"/>
      <c r="S268" s="76"/>
      <c r="T268" s="76"/>
      <c r="U268" s="73"/>
      <c r="V268" s="76"/>
      <c r="W268" s="76"/>
      <c r="X268" s="76"/>
      <c r="Y268" s="76"/>
      <c r="Z268" s="76"/>
      <c r="AA268" s="76"/>
      <c r="AB268" s="76"/>
      <c r="AC268" s="76"/>
      <c r="AD268" s="76"/>
    </row>
    <row r="269">
      <c r="A269" s="36" t="s">
        <v>1111</v>
      </c>
      <c r="B269" s="155" t="s">
        <v>1147</v>
      </c>
      <c r="C269" s="37" t="str">
        <f>IF(B269="","",(VLOOKUP(B269,'Dados de PN'!$A:$B,2,0)))</f>
        <v>GOVERNADOR DE HÉLICE</v>
      </c>
      <c r="D269" s="155" t="s">
        <v>1148</v>
      </c>
      <c r="E269" s="136" t="s">
        <v>81</v>
      </c>
      <c r="F269" s="136" t="s">
        <v>34</v>
      </c>
      <c r="G269" s="44">
        <f t="shared" si="6"/>
        <v>1</v>
      </c>
      <c r="H269" s="37" t="s">
        <v>1149</v>
      </c>
      <c r="I269" s="137" t="s">
        <v>1150</v>
      </c>
      <c r="J269" s="136" t="s">
        <v>37</v>
      </c>
      <c r="K269" s="53">
        <v>46174.0</v>
      </c>
      <c r="L269" s="155" t="s">
        <v>988</v>
      </c>
      <c r="M269" s="136" t="s">
        <v>169</v>
      </c>
      <c r="N269" s="58"/>
      <c r="O269" s="58"/>
      <c r="P269" s="76"/>
      <c r="Q269" s="58"/>
      <c r="R269" s="76"/>
      <c r="S269" s="76"/>
      <c r="T269" s="76"/>
      <c r="U269" s="73"/>
      <c r="V269" s="76"/>
      <c r="W269" s="76"/>
      <c r="X269" s="76"/>
      <c r="Y269" s="76"/>
      <c r="Z269" s="76"/>
      <c r="AA269" s="76"/>
      <c r="AB269" s="76"/>
      <c r="AC269" s="76"/>
      <c r="AD269" s="76"/>
    </row>
    <row r="270">
      <c r="A270" s="36" t="s">
        <v>1112</v>
      </c>
      <c r="B270" s="155" t="s">
        <v>940</v>
      </c>
      <c r="C270" s="37" t="str">
        <f>IF(B270="","",(VLOOKUP(B270,'Dados de PN'!$A:$B,2,0)))</f>
        <v>ANEL DE VEDAÇÃO</v>
      </c>
      <c r="D270" s="155"/>
      <c r="E270" s="136" t="s">
        <v>32</v>
      </c>
      <c r="F270" s="136" t="s">
        <v>164</v>
      </c>
      <c r="G270" s="44">
        <f t="shared" si="6"/>
        <v>2</v>
      </c>
      <c r="H270" s="37" t="s">
        <v>1151</v>
      </c>
      <c r="I270" s="137" t="s">
        <v>1150</v>
      </c>
      <c r="J270" s="136" t="s">
        <v>37</v>
      </c>
      <c r="K270" s="53">
        <v>46174.0</v>
      </c>
      <c r="L270" s="155" t="s">
        <v>988</v>
      </c>
      <c r="M270" s="136" t="s">
        <v>169</v>
      </c>
      <c r="N270" s="58"/>
      <c r="O270" s="58"/>
      <c r="P270" s="76"/>
      <c r="Q270" s="58"/>
      <c r="R270" s="76"/>
      <c r="S270" s="76"/>
      <c r="T270" s="76"/>
      <c r="U270" s="73"/>
      <c r="V270" s="76"/>
      <c r="W270" s="76"/>
      <c r="X270" s="76"/>
      <c r="Y270" s="76"/>
      <c r="Z270" s="76"/>
      <c r="AA270" s="76"/>
      <c r="AB270" s="76"/>
      <c r="AC270" s="76"/>
      <c r="AD270" s="76"/>
    </row>
    <row r="271">
      <c r="A271" s="36" t="s">
        <v>1113</v>
      </c>
      <c r="B271" s="155" t="s">
        <v>477</v>
      </c>
      <c r="C271" s="37" t="str">
        <f>IF(B271="","",(VLOOKUP(B271,'Dados de PN'!$A:$B,2,0)))</f>
        <v>RETAINER,PACKING</v>
      </c>
      <c r="D271" s="155"/>
      <c r="E271" s="136" t="s">
        <v>32</v>
      </c>
      <c r="F271" s="136" t="s">
        <v>164</v>
      </c>
      <c r="G271" s="44">
        <f t="shared" si="6"/>
        <v>2</v>
      </c>
      <c r="H271" s="37" t="s">
        <v>1152</v>
      </c>
      <c r="I271" s="137" t="s">
        <v>1150</v>
      </c>
      <c r="J271" s="136" t="s">
        <v>37</v>
      </c>
      <c r="K271" s="53">
        <v>46174.0</v>
      </c>
      <c r="L271" s="155" t="s">
        <v>988</v>
      </c>
      <c r="M271" s="136" t="s">
        <v>169</v>
      </c>
      <c r="N271" s="58"/>
      <c r="O271" s="58"/>
      <c r="P271" s="76"/>
      <c r="Q271" s="58"/>
      <c r="R271" s="76"/>
      <c r="S271" s="76"/>
      <c r="T271" s="76"/>
      <c r="U271" s="73"/>
      <c r="V271" s="76"/>
      <c r="W271" s="76"/>
      <c r="X271" s="76"/>
      <c r="Y271" s="76"/>
      <c r="Z271" s="76"/>
      <c r="AA271" s="76"/>
      <c r="AB271" s="76"/>
      <c r="AC271" s="76"/>
      <c r="AD271" s="76"/>
    </row>
    <row r="272">
      <c r="A272" s="36" t="s">
        <v>1114</v>
      </c>
      <c r="B272" s="155" t="s">
        <v>1153</v>
      </c>
      <c r="C272" s="37" t="str">
        <f>IF(B272="","",(VLOOKUP(B272,'Dados de PN'!$A:$B,2,0)))</f>
        <v>HEADREST ASSEMBLY</v>
      </c>
      <c r="D272" s="155"/>
      <c r="E272" s="136" t="s">
        <v>32</v>
      </c>
      <c r="F272" s="136" t="s">
        <v>164</v>
      </c>
      <c r="G272" s="44">
        <f t="shared" si="6"/>
        <v>2</v>
      </c>
      <c r="H272" s="37" t="s">
        <v>1154</v>
      </c>
      <c r="I272" s="137" t="s">
        <v>1150</v>
      </c>
      <c r="J272" s="136" t="s">
        <v>37</v>
      </c>
      <c r="K272" s="53">
        <v>46174.0</v>
      </c>
      <c r="L272" s="155" t="s">
        <v>988</v>
      </c>
      <c r="M272" s="136" t="s">
        <v>169</v>
      </c>
      <c r="N272" s="58"/>
      <c r="O272" s="58"/>
      <c r="P272" s="76"/>
      <c r="Q272" s="58"/>
      <c r="R272" s="76"/>
      <c r="S272" s="76"/>
      <c r="T272" s="76"/>
      <c r="U272" s="73"/>
      <c r="V272" s="76"/>
      <c r="W272" s="76"/>
      <c r="X272" s="76"/>
      <c r="Y272" s="76"/>
      <c r="Z272" s="76"/>
      <c r="AA272" s="76"/>
      <c r="AB272" s="76"/>
      <c r="AC272" s="76"/>
      <c r="AD272" s="76"/>
    </row>
    <row r="273">
      <c r="A273" s="36" t="s">
        <v>1115</v>
      </c>
      <c r="B273" s="155" t="s">
        <v>1155</v>
      </c>
      <c r="C273" s="37" t="str">
        <f>IF(B273="","",(VLOOKUP(B273,'Dados de PN'!$A:$B,2,0)))</f>
        <v>PARTITION ASSY-CARGO AFT</v>
      </c>
      <c r="D273" s="155"/>
      <c r="E273" s="136" t="s">
        <v>32</v>
      </c>
      <c r="F273" s="136" t="s">
        <v>34</v>
      </c>
      <c r="G273" s="44">
        <f t="shared" si="6"/>
        <v>1</v>
      </c>
      <c r="H273" s="37" t="s">
        <v>1156</v>
      </c>
      <c r="I273" s="137" t="s">
        <v>1150</v>
      </c>
      <c r="J273" s="136" t="s">
        <v>37</v>
      </c>
      <c r="K273" s="53">
        <v>46174.0</v>
      </c>
      <c r="L273" s="155" t="s">
        <v>988</v>
      </c>
      <c r="M273" s="136" t="s">
        <v>169</v>
      </c>
      <c r="N273" s="58"/>
      <c r="O273" s="58"/>
      <c r="P273" s="76"/>
      <c r="Q273" s="58"/>
      <c r="R273" s="76"/>
      <c r="S273" s="76"/>
      <c r="T273" s="76"/>
      <c r="U273" s="73"/>
      <c r="V273" s="76"/>
      <c r="W273" s="76"/>
      <c r="X273" s="76"/>
      <c r="Y273" s="76"/>
      <c r="Z273" s="76"/>
      <c r="AA273" s="76"/>
      <c r="AB273" s="76"/>
      <c r="AC273" s="76"/>
      <c r="AD273" s="76"/>
    </row>
    <row r="274">
      <c r="A274" s="36" t="s">
        <v>1116</v>
      </c>
      <c r="B274" s="155" t="s">
        <v>1157</v>
      </c>
      <c r="C274" s="37" t="str">
        <f>IF(B274="","",(VLOOKUP(B274,'Dados de PN'!$A:$B,2,0)))</f>
        <v>VALVE ASSEMBLY,COMPRESSOR BLEED</v>
      </c>
      <c r="D274" s="155" t="s">
        <v>1158</v>
      </c>
      <c r="E274" s="136" t="s">
        <v>81</v>
      </c>
      <c r="F274" s="136" t="s">
        <v>34</v>
      </c>
      <c r="G274" s="44">
        <f t="shared" si="6"/>
        <v>1</v>
      </c>
      <c r="H274" s="37" t="s">
        <v>1159</v>
      </c>
      <c r="I274" s="137" t="s">
        <v>1150</v>
      </c>
      <c r="J274" s="136" t="s">
        <v>37</v>
      </c>
      <c r="K274" s="53">
        <v>46174.0</v>
      </c>
      <c r="L274" s="155" t="s">
        <v>988</v>
      </c>
      <c r="M274" s="136" t="s">
        <v>169</v>
      </c>
      <c r="N274" s="58"/>
      <c r="O274" s="58"/>
      <c r="P274" s="76"/>
      <c r="Q274" s="58"/>
      <c r="R274" s="76"/>
      <c r="S274" s="76"/>
      <c r="T274" s="76"/>
      <c r="U274" s="73"/>
      <c r="V274" s="76"/>
      <c r="W274" s="76"/>
      <c r="X274" s="76"/>
      <c r="Y274" s="76"/>
      <c r="Z274" s="76"/>
      <c r="AA274" s="76"/>
      <c r="AB274" s="76"/>
      <c r="AC274" s="76"/>
      <c r="AD274" s="76"/>
    </row>
    <row r="275">
      <c r="A275" s="36" t="s">
        <v>1117</v>
      </c>
      <c r="B275" s="155" t="s">
        <v>905</v>
      </c>
      <c r="C275" s="37" t="str">
        <f>IF(B275="","",(VLOOKUP(B275,'Dados de PN'!$A:$B,2,0)))</f>
        <v>GYRO HORIZON</v>
      </c>
      <c r="D275" s="155" t="s">
        <v>1160</v>
      </c>
      <c r="E275" s="136" t="s">
        <v>81</v>
      </c>
      <c r="F275" s="136" t="s">
        <v>34</v>
      </c>
      <c r="G275" s="44">
        <f t="shared" si="6"/>
        <v>1</v>
      </c>
      <c r="H275" s="37" t="s">
        <v>1161</v>
      </c>
      <c r="I275" s="137" t="s">
        <v>1162</v>
      </c>
      <c r="J275" s="136" t="s">
        <v>37</v>
      </c>
      <c r="K275" s="53">
        <v>46174.0</v>
      </c>
      <c r="L275" s="155" t="s">
        <v>168</v>
      </c>
      <c r="M275" s="136" t="s">
        <v>169</v>
      </c>
      <c r="N275" s="58"/>
      <c r="O275" s="58"/>
      <c r="P275" s="76"/>
      <c r="Q275" s="58"/>
      <c r="R275" s="76"/>
      <c r="S275" s="76"/>
      <c r="T275" s="76"/>
      <c r="U275" s="73"/>
      <c r="V275" s="76"/>
      <c r="W275" s="76"/>
      <c r="X275" s="76"/>
      <c r="Y275" s="76"/>
      <c r="Z275" s="76"/>
      <c r="AA275" s="76"/>
      <c r="AB275" s="76"/>
      <c r="AC275" s="76"/>
      <c r="AD275" s="76"/>
    </row>
    <row r="276">
      <c r="A276" s="36" t="s">
        <v>1118</v>
      </c>
      <c r="B276" s="155" t="s">
        <v>887</v>
      </c>
      <c r="C276" s="37" t="str">
        <f>IF(B276="","",(VLOOKUP(B276,'Dados de PN'!$A:$B,2,0)))</f>
        <v>SEAL,DOOR EMERGENCY EXIT</v>
      </c>
      <c r="D276" s="155"/>
      <c r="E276" s="136" t="s">
        <v>32</v>
      </c>
      <c r="F276" s="136" t="s">
        <v>1163</v>
      </c>
      <c r="G276" s="86">
        <v>4.0</v>
      </c>
      <c r="H276" s="37" t="s">
        <v>1164</v>
      </c>
      <c r="I276" s="137" t="s">
        <v>1162</v>
      </c>
      <c r="J276" s="136" t="s">
        <v>37</v>
      </c>
      <c r="K276" s="53">
        <v>46174.0</v>
      </c>
      <c r="L276" s="155" t="s">
        <v>168</v>
      </c>
      <c r="M276" s="136" t="s">
        <v>169</v>
      </c>
      <c r="N276" s="58"/>
      <c r="O276" s="58"/>
      <c r="P276" s="76"/>
      <c r="Q276" s="58"/>
      <c r="R276" s="76"/>
      <c r="S276" s="76"/>
      <c r="T276" s="76"/>
      <c r="U276" s="73"/>
      <c r="V276" s="76"/>
      <c r="W276" s="76"/>
      <c r="X276" s="76"/>
      <c r="Y276" s="76"/>
      <c r="Z276" s="76"/>
      <c r="AA276" s="76"/>
      <c r="AB276" s="76"/>
      <c r="AC276" s="76"/>
      <c r="AD276" s="76"/>
    </row>
    <row r="277">
      <c r="A277" s="36" t="s">
        <v>1119</v>
      </c>
      <c r="B277" s="155" t="s">
        <v>1165</v>
      </c>
      <c r="C277" s="37" t="str">
        <f>IF(B277="","",(VLOOKUP(B277,'Dados de PN'!$A:$B,2,0)))</f>
        <v>STUD</v>
      </c>
      <c r="D277" s="155"/>
      <c r="E277" s="136" t="s">
        <v>32</v>
      </c>
      <c r="F277" s="136" t="s">
        <v>346</v>
      </c>
      <c r="G277" s="44">
        <f t="shared" ref="G277:G346" si="7">VALUE(SUBSTITUTE(F277," EA",""))</f>
        <v>10</v>
      </c>
      <c r="H277" s="37" t="s">
        <v>1166</v>
      </c>
      <c r="I277" s="137" t="s">
        <v>1162</v>
      </c>
      <c r="J277" s="136" t="s">
        <v>37</v>
      </c>
      <c r="K277" s="53">
        <v>46174.0</v>
      </c>
      <c r="L277" s="155" t="s">
        <v>168</v>
      </c>
      <c r="M277" s="136" t="s">
        <v>169</v>
      </c>
      <c r="N277" s="58"/>
      <c r="O277" s="58"/>
      <c r="P277" s="76"/>
      <c r="Q277" s="58"/>
      <c r="R277" s="76"/>
      <c r="S277" s="76"/>
      <c r="T277" s="76"/>
      <c r="U277" s="73"/>
      <c r="V277" s="76"/>
      <c r="W277" s="76"/>
      <c r="X277" s="76"/>
      <c r="Y277" s="76"/>
      <c r="Z277" s="76"/>
      <c r="AA277" s="76"/>
      <c r="AB277" s="76"/>
      <c r="AC277" s="76"/>
      <c r="AD277" s="76"/>
    </row>
    <row r="278">
      <c r="A278" s="36" t="s">
        <v>1120</v>
      </c>
      <c r="B278" s="155" t="s">
        <v>1167</v>
      </c>
      <c r="C278" s="37" t="str">
        <f>IF(B278="","",(VLOOKUP(B278,'Dados de PN'!$A:$B,2,0)))</f>
        <v>STUD</v>
      </c>
      <c r="D278" s="155"/>
      <c r="E278" s="136" t="s">
        <v>32</v>
      </c>
      <c r="F278" s="136" t="s">
        <v>346</v>
      </c>
      <c r="G278" s="44">
        <f t="shared" si="7"/>
        <v>10</v>
      </c>
      <c r="H278" s="37" t="s">
        <v>1168</v>
      </c>
      <c r="I278" s="137" t="s">
        <v>1162</v>
      </c>
      <c r="J278" s="136" t="s">
        <v>37</v>
      </c>
      <c r="K278" s="53">
        <v>46174.0</v>
      </c>
      <c r="L278" s="155" t="s">
        <v>168</v>
      </c>
      <c r="M278" s="136" t="s">
        <v>169</v>
      </c>
      <c r="N278" s="58"/>
      <c r="O278" s="58"/>
      <c r="P278" s="76"/>
      <c r="Q278" s="58"/>
      <c r="R278" s="76"/>
      <c r="S278" s="76"/>
      <c r="T278" s="76"/>
      <c r="U278" s="73"/>
      <c r="V278" s="76"/>
      <c r="W278" s="76"/>
      <c r="X278" s="76"/>
      <c r="Y278" s="76"/>
      <c r="Z278" s="76"/>
      <c r="AA278" s="76"/>
      <c r="AB278" s="76"/>
      <c r="AC278" s="76"/>
      <c r="AD278" s="76"/>
    </row>
    <row r="279">
      <c r="A279" s="36" t="s">
        <v>1121</v>
      </c>
      <c r="B279" s="155" t="s">
        <v>1169</v>
      </c>
      <c r="C279" s="37" t="str">
        <f>IF(B279="","",(VLOOKUP(B279,'Dados de PN'!$A:$B,2,0)))</f>
        <v>STUD</v>
      </c>
      <c r="D279" s="155"/>
      <c r="E279" s="136" t="s">
        <v>32</v>
      </c>
      <c r="F279" s="136" t="s">
        <v>346</v>
      </c>
      <c r="G279" s="44">
        <f t="shared" si="7"/>
        <v>10</v>
      </c>
      <c r="H279" s="37" t="s">
        <v>1170</v>
      </c>
      <c r="I279" s="137" t="s">
        <v>1162</v>
      </c>
      <c r="J279" s="136" t="s">
        <v>37</v>
      </c>
      <c r="K279" s="53">
        <v>46174.0</v>
      </c>
      <c r="L279" s="155" t="s">
        <v>168</v>
      </c>
      <c r="M279" s="136" t="s">
        <v>169</v>
      </c>
      <c r="N279" s="58"/>
      <c r="O279" s="58"/>
      <c r="P279" s="76"/>
      <c r="Q279" s="58"/>
      <c r="R279" s="76"/>
      <c r="S279" s="76"/>
      <c r="T279" s="76"/>
      <c r="U279" s="73"/>
      <c r="V279" s="76"/>
      <c r="W279" s="76"/>
      <c r="X279" s="76"/>
      <c r="Y279" s="76"/>
      <c r="Z279" s="76"/>
      <c r="AA279" s="76"/>
      <c r="AB279" s="76"/>
      <c r="AC279" s="76"/>
      <c r="AD279" s="76"/>
    </row>
    <row r="280">
      <c r="A280" s="36" t="s">
        <v>1122</v>
      </c>
      <c r="B280" s="155" t="s">
        <v>1171</v>
      </c>
      <c r="C280" s="37" t="str">
        <f>IF(B280="","",(VLOOKUP(B280,'Dados de PN'!$A:$B,2,0)))</f>
        <v>STUD</v>
      </c>
      <c r="D280" s="155"/>
      <c r="E280" s="136" t="s">
        <v>32</v>
      </c>
      <c r="F280" s="136" t="s">
        <v>826</v>
      </c>
      <c r="G280" s="44">
        <f t="shared" si="7"/>
        <v>5</v>
      </c>
      <c r="H280" s="37" t="s">
        <v>1172</v>
      </c>
      <c r="I280" s="137" t="s">
        <v>1162</v>
      </c>
      <c r="J280" s="136" t="s">
        <v>37</v>
      </c>
      <c r="K280" s="53">
        <v>46174.0</v>
      </c>
      <c r="L280" s="155" t="s">
        <v>168</v>
      </c>
      <c r="M280" s="136" t="s">
        <v>169</v>
      </c>
      <c r="N280" s="58"/>
      <c r="O280" s="58"/>
      <c r="P280" s="76"/>
      <c r="Q280" s="58"/>
      <c r="R280" s="76"/>
      <c r="S280" s="76"/>
      <c r="T280" s="76"/>
      <c r="U280" s="73"/>
      <c r="V280" s="76"/>
      <c r="W280" s="76"/>
      <c r="X280" s="76"/>
      <c r="Y280" s="76"/>
      <c r="Z280" s="76"/>
      <c r="AA280" s="76"/>
      <c r="AB280" s="76"/>
      <c r="AC280" s="76"/>
      <c r="AD280" s="76"/>
    </row>
    <row r="281">
      <c r="A281" s="36" t="s">
        <v>1123</v>
      </c>
      <c r="B281" s="155" t="s">
        <v>1173</v>
      </c>
      <c r="C281" s="37" t="str">
        <f>IF(B281="","",(VLOOKUP(B281,'Dados de PN'!$A:$B,2,0)))</f>
        <v>STUD</v>
      </c>
      <c r="D281" s="155"/>
      <c r="E281" s="136" t="s">
        <v>32</v>
      </c>
      <c r="F281" s="136" t="s">
        <v>346</v>
      </c>
      <c r="G281" s="44">
        <f t="shared" si="7"/>
        <v>10</v>
      </c>
      <c r="H281" s="37" t="s">
        <v>1174</v>
      </c>
      <c r="I281" s="137" t="s">
        <v>1162</v>
      </c>
      <c r="J281" s="136" t="s">
        <v>37</v>
      </c>
      <c r="K281" s="53">
        <v>46174.0</v>
      </c>
      <c r="L281" s="155" t="s">
        <v>168</v>
      </c>
      <c r="M281" s="136" t="s">
        <v>169</v>
      </c>
      <c r="N281" s="58"/>
      <c r="O281" s="58"/>
      <c r="P281" s="76"/>
      <c r="Q281" s="58"/>
      <c r="R281" s="76"/>
      <c r="S281" s="76"/>
      <c r="T281" s="76"/>
      <c r="U281" s="73"/>
      <c r="V281" s="76"/>
      <c r="W281" s="76"/>
      <c r="X281" s="76"/>
      <c r="Y281" s="76"/>
      <c r="Z281" s="76"/>
      <c r="AA281" s="76"/>
      <c r="AB281" s="76"/>
      <c r="AC281" s="76"/>
      <c r="AD281" s="76"/>
    </row>
    <row r="282">
      <c r="A282" s="36" t="s">
        <v>1124</v>
      </c>
      <c r="B282" s="155" t="s">
        <v>335</v>
      </c>
      <c r="C282" s="37" t="str">
        <f>IF(B282="","",(VLOOKUP(B282,'Dados de PN'!$A:$B,2,0)))</f>
        <v>GROMMET</v>
      </c>
      <c r="D282" s="155"/>
      <c r="E282" s="136" t="s">
        <v>32</v>
      </c>
      <c r="F282" s="136" t="s">
        <v>124</v>
      </c>
      <c r="G282" s="44">
        <f t="shared" si="7"/>
        <v>50</v>
      </c>
      <c r="H282" s="37" t="s">
        <v>1175</v>
      </c>
      <c r="I282" s="137" t="s">
        <v>1162</v>
      </c>
      <c r="J282" s="136" t="s">
        <v>37</v>
      </c>
      <c r="K282" s="53">
        <v>46174.0</v>
      </c>
      <c r="L282" s="155" t="s">
        <v>168</v>
      </c>
      <c r="M282" s="136" t="s">
        <v>169</v>
      </c>
      <c r="N282" s="58"/>
      <c r="O282" s="58"/>
      <c r="P282" s="76"/>
      <c r="Q282" s="58"/>
      <c r="R282" s="76"/>
      <c r="S282" s="76"/>
      <c r="T282" s="76"/>
      <c r="U282" s="73"/>
      <c r="V282" s="76"/>
      <c r="W282" s="76"/>
      <c r="X282" s="76"/>
      <c r="Y282" s="76"/>
      <c r="Z282" s="76"/>
      <c r="AA282" s="76"/>
      <c r="AB282" s="76"/>
      <c r="AC282" s="76"/>
      <c r="AD282" s="76"/>
    </row>
    <row r="283">
      <c r="A283" s="36" t="s">
        <v>1125</v>
      </c>
      <c r="B283" s="155" t="s">
        <v>1176</v>
      </c>
      <c r="C283" s="37" t="str">
        <f>IF(B283="","",(VLOOKUP(B283,'Dados de PN'!$A:$B,2,0)))</f>
        <v>RECEPTACLE,TURNLOCK FASTENER</v>
      </c>
      <c r="D283" s="155"/>
      <c r="E283" s="136" t="s">
        <v>32</v>
      </c>
      <c r="F283" s="136" t="s">
        <v>124</v>
      </c>
      <c r="G283" s="44">
        <f t="shared" si="7"/>
        <v>50</v>
      </c>
      <c r="H283" s="37" t="s">
        <v>1177</v>
      </c>
      <c r="I283" s="137" t="s">
        <v>1162</v>
      </c>
      <c r="J283" s="136" t="s">
        <v>37</v>
      </c>
      <c r="K283" s="53">
        <v>46174.0</v>
      </c>
      <c r="L283" s="155" t="s">
        <v>168</v>
      </c>
      <c r="M283" s="136" t="s">
        <v>169</v>
      </c>
      <c r="N283" s="58"/>
      <c r="O283" s="58"/>
      <c r="P283" s="76"/>
      <c r="Q283" s="58"/>
      <c r="R283" s="76"/>
      <c r="S283" s="76"/>
      <c r="T283" s="76"/>
      <c r="U283" s="73"/>
      <c r="V283" s="76"/>
      <c r="W283" s="76"/>
      <c r="X283" s="76"/>
      <c r="Y283" s="76"/>
      <c r="Z283" s="76"/>
      <c r="AA283" s="76"/>
      <c r="AB283" s="76"/>
      <c r="AC283" s="76"/>
      <c r="AD283" s="76"/>
    </row>
    <row r="284">
      <c r="A284" s="36" t="s">
        <v>1126</v>
      </c>
      <c r="B284" s="155" t="s">
        <v>1178</v>
      </c>
      <c r="C284" s="37" t="str">
        <f>IF(B284="","",(VLOOKUP(B284,'Dados de PN'!$A:$B,2,0)))</f>
        <v>SUPPORT SPINNER</v>
      </c>
      <c r="D284" s="155"/>
      <c r="E284" s="136" t="s">
        <v>32</v>
      </c>
      <c r="F284" s="136" t="s">
        <v>34</v>
      </c>
      <c r="G284" s="44">
        <f t="shared" si="7"/>
        <v>1</v>
      </c>
      <c r="H284" s="37" t="s">
        <v>1179</v>
      </c>
      <c r="I284" s="137" t="s">
        <v>1162</v>
      </c>
      <c r="J284" s="136" t="s">
        <v>37</v>
      </c>
      <c r="K284" s="53">
        <v>46174.0</v>
      </c>
      <c r="L284" s="155" t="s">
        <v>168</v>
      </c>
      <c r="M284" s="136" t="s">
        <v>169</v>
      </c>
      <c r="N284" s="58"/>
      <c r="O284" s="58"/>
      <c r="P284" s="76"/>
      <c r="Q284" s="58"/>
      <c r="R284" s="76"/>
      <c r="S284" s="76"/>
      <c r="T284" s="76"/>
      <c r="U284" s="73"/>
      <c r="V284" s="76"/>
      <c r="W284" s="76"/>
      <c r="X284" s="76"/>
      <c r="Y284" s="76"/>
      <c r="Z284" s="76"/>
      <c r="AA284" s="76"/>
      <c r="AB284" s="76"/>
      <c r="AC284" s="76"/>
      <c r="AD284" s="76"/>
    </row>
    <row r="285">
      <c r="A285" s="36" t="s">
        <v>1127</v>
      </c>
      <c r="B285" s="155" t="s">
        <v>1180</v>
      </c>
      <c r="C285" s="37" t="str">
        <f>IF(B285="","",(VLOOKUP(B285,'Dados de PN'!$A:$B,2,0)))</f>
        <v>SHIM</v>
      </c>
      <c r="D285" s="155"/>
      <c r="E285" s="136" t="s">
        <v>32</v>
      </c>
      <c r="F285" s="136" t="s">
        <v>34</v>
      </c>
      <c r="G285" s="44">
        <f t="shared" si="7"/>
        <v>1</v>
      </c>
      <c r="H285" s="37" t="s">
        <v>1181</v>
      </c>
      <c r="I285" s="137" t="s">
        <v>1162</v>
      </c>
      <c r="J285" s="136" t="s">
        <v>37</v>
      </c>
      <c r="K285" s="53">
        <v>46174.0</v>
      </c>
      <c r="L285" s="155" t="s">
        <v>168</v>
      </c>
      <c r="M285" s="136" t="s">
        <v>169</v>
      </c>
      <c r="N285" s="58"/>
      <c r="O285" s="58"/>
      <c r="P285" s="76"/>
      <c r="Q285" s="58"/>
      <c r="R285" s="76"/>
      <c r="S285" s="76"/>
      <c r="T285" s="76"/>
      <c r="U285" s="73"/>
      <c r="V285" s="76"/>
      <c r="W285" s="76"/>
      <c r="X285" s="76"/>
      <c r="Y285" s="76"/>
      <c r="Z285" s="76"/>
      <c r="AA285" s="76"/>
      <c r="AB285" s="76"/>
      <c r="AC285" s="76"/>
      <c r="AD285" s="76"/>
    </row>
    <row r="286">
      <c r="A286" s="36" t="s">
        <v>1128</v>
      </c>
      <c r="B286" s="155" t="s">
        <v>1182</v>
      </c>
      <c r="C286" s="37" t="str">
        <f>IF(B286="","",(VLOOKUP(B286,'Dados de PN'!$A:$B,2,0)))</f>
        <v>SHIM</v>
      </c>
      <c r="D286" s="155"/>
      <c r="E286" s="136" t="s">
        <v>32</v>
      </c>
      <c r="F286" s="136" t="s">
        <v>346</v>
      </c>
      <c r="G286" s="44">
        <f t="shared" si="7"/>
        <v>10</v>
      </c>
      <c r="H286" s="37" t="s">
        <v>1183</v>
      </c>
      <c r="I286" s="137" t="s">
        <v>1162</v>
      </c>
      <c r="J286" s="136" t="s">
        <v>37</v>
      </c>
      <c r="K286" s="53">
        <v>46174.0</v>
      </c>
      <c r="L286" s="155" t="s">
        <v>168</v>
      </c>
      <c r="M286" s="136" t="s">
        <v>169</v>
      </c>
      <c r="N286" s="58"/>
      <c r="O286" s="58"/>
      <c r="P286" s="76"/>
      <c r="Q286" s="58"/>
      <c r="R286" s="76"/>
      <c r="S286" s="76"/>
      <c r="T286" s="76"/>
      <c r="U286" s="73"/>
      <c r="V286" s="76"/>
      <c r="W286" s="76"/>
      <c r="X286" s="76"/>
      <c r="Y286" s="76"/>
      <c r="Z286" s="76"/>
      <c r="AA286" s="76"/>
      <c r="AB286" s="76"/>
      <c r="AC286" s="76"/>
      <c r="AD286" s="76"/>
    </row>
    <row r="287">
      <c r="A287" s="36" t="s">
        <v>1129</v>
      </c>
      <c r="B287" s="155" t="s">
        <v>1184</v>
      </c>
      <c r="C287" s="37" t="str">
        <f>IF(B287="","",(VLOOKUP(B287,'Dados de PN'!$A:$B,2,0)))</f>
        <v>CLAMP</v>
      </c>
      <c r="D287" s="155"/>
      <c r="E287" s="136" t="s">
        <v>32</v>
      </c>
      <c r="F287" s="136" t="s">
        <v>34</v>
      </c>
      <c r="G287" s="44">
        <f t="shared" si="7"/>
        <v>1</v>
      </c>
      <c r="H287" s="37" t="s">
        <v>1185</v>
      </c>
      <c r="I287" s="137" t="s">
        <v>1162</v>
      </c>
      <c r="J287" s="136" t="s">
        <v>37</v>
      </c>
      <c r="K287" s="53">
        <v>46174.0</v>
      </c>
      <c r="L287" s="155" t="s">
        <v>168</v>
      </c>
      <c r="M287" s="136" t="s">
        <v>169</v>
      </c>
      <c r="N287" s="58"/>
      <c r="O287" s="58"/>
      <c r="P287" s="76"/>
      <c r="Q287" s="58"/>
      <c r="R287" s="76"/>
      <c r="S287" s="76"/>
      <c r="T287" s="76"/>
      <c r="U287" s="73"/>
      <c r="V287" s="76"/>
      <c r="W287" s="76"/>
      <c r="X287" s="76"/>
      <c r="Y287" s="76"/>
      <c r="Z287" s="76"/>
      <c r="AA287" s="76"/>
      <c r="AB287" s="76"/>
      <c r="AC287" s="76"/>
      <c r="AD287" s="76"/>
    </row>
    <row r="288">
      <c r="A288" s="36" t="s">
        <v>1130</v>
      </c>
      <c r="B288" s="155" t="s">
        <v>1186</v>
      </c>
      <c r="C288" s="37" t="str">
        <f>IF(B288="","",(VLOOKUP(B288,'Dados de PN'!$A:$B,2,0)))</f>
        <v>GROMMET</v>
      </c>
      <c r="D288" s="155"/>
      <c r="E288" s="136" t="s">
        <v>32</v>
      </c>
      <c r="F288" s="136" t="s">
        <v>1187</v>
      </c>
      <c r="G288" s="44">
        <f t="shared" si="7"/>
        <v>67</v>
      </c>
      <c r="H288" s="41">
        <v>3.96260016504E11</v>
      </c>
      <c r="I288" s="137" t="s">
        <v>1188</v>
      </c>
      <c r="J288" s="136" t="s">
        <v>37</v>
      </c>
      <c r="K288" s="53">
        <v>46174.0</v>
      </c>
      <c r="L288" s="155" t="s">
        <v>75</v>
      </c>
      <c r="M288" s="136" t="s">
        <v>76</v>
      </c>
      <c r="N288" s="58"/>
      <c r="O288" s="58"/>
      <c r="P288" s="76"/>
      <c r="Q288" s="58"/>
      <c r="R288" s="76"/>
      <c r="S288" s="76"/>
      <c r="T288" s="76"/>
      <c r="U288" s="73"/>
      <c r="V288" s="76"/>
      <c r="W288" s="76"/>
      <c r="X288" s="76"/>
      <c r="Y288" s="76"/>
      <c r="Z288" s="76"/>
      <c r="AA288" s="76"/>
      <c r="AB288" s="76"/>
      <c r="AC288" s="76"/>
      <c r="AD288" s="76"/>
    </row>
    <row r="289">
      <c r="A289" s="36" t="s">
        <v>1131</v>
      </c>
      <c r="B289" s="155" t="s">
        <v>1189</v>
      </c>
      <c r="C289" s="37" t="str">
        <f>IF(B289="","",(VLOOKUP(B289,'Dados de PN'!$A:$B,2,0)))</f>
        <v>FAIRING AY RH</v>
      </c>
      <c r="D289" s="155"/>
      <c r="E289" s="136" t="s">
        <v>32</v>
      </c>
      <c r="F289" s="136" t="s">
        <v>34</v>
      </c>
      <c r="G289" s="44">
        <f t="shared" si="7"/>
        <v>1</v>
      </c>
      <c r="H289" s="41">
        <v>3.13260018291E11</v>
      </c>
      <c r="I289" s="137" t="s">
        <v>1190</v>
      </c>
      <c r="J289" s="136" t="s">
        <v>37</v>
      </c>
      <c r="K289" s="53">
        <v>46176.0</v>
      </c>
      <c r="L289" s="155" t="s">
        <v>38</v>
      </c>
      <c r="M289" s="136" t="s">
        <v>51</v>
      </c>
      <c r="N289" s="58"/>
      <c r="O289" s="58"/>
      <c r="P289" s="76"/>
      <c r="Q289" s="58"/>
      <c r="R289" s="76"/>
      <c r="S289" s="76"/>
      <c r="T289" s="76"/>
      <c r="U289" s="73"/>
      <c r="V289" s="76"/>
      <c r="W289" s="76"/>
      <c r="X289" s="76"/>
      <c r="Y289" s="76"/>
      <c r="Z289" s="76"/>
      <c r="AA289" s="76"/>
      <c r="AB289" s="76"/>
      <c r="AC289" s="76"/>
      <c r="AD289" s="76"/>
    </row>
    <row r="290">
      <c r="A290" s="36" t="s">
        <v>1132</v>
      </c>
      <c r="B290" s="155" t="s">
        <v>240</v>
      </c>
      <c r="C290" s="37" t="str">
        <f>IF(B290="","",(VLOOKUP(B290,'Dados de PN'!$A:$B,2,0)))</f>
        <v>PNEU PRINCIPAL 8.50-10 08PR TT FCIII MLG</v>
      </c>
      <c r="D290" s="155"/>
      <c r="E290" s="136" t="s">
        <v>32</v>
      </c>
      <c r="F290" s="155" t="s">
        <v>164</v>
      </c>
      <c r="G290" s="44">
        <f t="shared" si="7"/>
        <v>2</v>
      </c>
      <c r="H290" s="37" t="s">
        <v>1191</v>
      </c>
      <c r="I290" s="137" t="s">
        <v>1162</v>
      </c>
      <c r="J290" s="136" t="s">
        <v>37</v>
      </c>
      <c r="K290" s="53">
        <v>46182.0</v>
      </c>
      <c r="L290" s="155" t="s">
        <v>168</v>
      </c>
      <c r="M290" s="136" t="s">
        <v>169</v>
      </c>
      <c r="N290" s="58"/>
      <c r="O290" s="58"/>
      <c r="P290" s="76"/>
      <c r="Q290" s="58"/>
      <c r="R290" s="76"/>
      <c r="S290" s="76"/>
      <c r="T290" s="76"/>
      <c r="U290" s="73"/>
      <c r="V290" s="76"/>
      <c r="W290" s="76"/>
      <c r="X290" s="76"/>
      <c r="Y290" s="76"/>
      <c r="Z290" s="76"/>
      <c r="AA290" s="76"/>
      <c r="AB290" s="76"/>
      <c r="AC290" s="76"/>
      <c r="AD290" s="76"/>
    </row>
    <row r="291">
      <c r="A291" s="36" t="s">
        <v>1133</v>
      </c>
      <c r="B291" s="155" t="s">
        <v>257</v>
      </c>
      <c r="C291" s="37" t="str">
        <f>IF(B291="","",(VLOOKUP(B291,'Dados de PN'!$A:$B,2,0)))</f>
        <v>INNER TUBE,PNEUMATIC TIRE,AIRCRAFT</v>
      </c>
      <c r="D291" s="155"/>
      <c r="E291" s="136" t="s">
        <v>32</v>
      </c>
      <c r="F291" s="155" t="s">
        <v>34</v>
      </c>
      <c r="G291" s="44">
        <f t="shared" si="7"/>
        <v>1</v>
      </c>
      <c r="H291" s="37" t="s">
        <v>1192</v>
      </c>
      <c r="I291" s="137" t="s">
        <v>1162</v>
      </c>
      <c r="J291" s="136" t="s">
        <v>37</v>
      </c>
      <c r="K291" s="53">
        <v>46182.0</v>
      </c>
      <c r="L291" s="155" t="s">
        <v>168</v>
      </c>
      <c r="M291" s="136" t="s">
        <v>169</v>
      </c>
      <c r="N291" s="58"/>
      <c r="O291" s="58"/>
      <c r="P291" s="76"/>
      <c r="Q291" s="58"/>
      <c r="R291" s="76"/>
      <c r="S291" s="76"/>
      <c r="T291" s="76"/>
      <c r="U291" s="73"/>
      <c r="V291" s="76"/>
      <c r="W291" s="76"/>
      <c r="X291" s="76"/>
      <c r="Y291" s="76"/>
      <c r="Z291" s="76"/>
      <c r="AA291" s="76"/>
      <c r="AB291" s="76"/>
      <c r="AC291" s="76"/>
      <c r="AD291" s="76"/>
    </row>
    <row r="292">
      <c r="A292" s="36" t="s">
        <v>1134</v>
      </c>
      <c r="B292" s="155" t="s">
        <v>840</v>
      </c>
      <c r="C292" s="37" t="str">
        <f>IF(B292="","",(VLOOKUP(B292,'Dados de PN'!$A:$B,2,0)))</f>
        <v>ANEL-O</v>
      </c>
      <c r="D292" s="155"/>
      <c r="E292" s="136" t="s">
        <v>32</v>
      </c>
      <c r="F292" s="155" t="s">
        <v>794</v>
      </c>
      <c r="G292" s="44">
        <f t="shared" si="7"/>
        <v>6</v>
      </c>
      <c r="H292" s="41">
        <v>1.7680394E7</v>
      </c>
      <c r="I292" s="137" t="s">
        <v>1193</v>
      </c>
      <c r="J292" s="136" t="s">
        <v>37</v>
      </c>
      <c r="K292" s="53">
        <v>46183.0</v>
      </c>
      <c r="L292" s="155" t="s">
        <v>431</v>
      </c>
      <c r="M292" s="136" t="s">
        <v>51</v>
      </c>
      <c r="N292" s="58"/>
      <c r="O292" s="58"/>
      <c r="P292" s="76"/>
      <c r="Q292" s="58"/>
      <c r="R292" s="76"/>
      <c r="S292" s="76"/>
      <c r="T292" s="76"/>
      <c r="U292" s="73"/>
      <c r="V292" s="76"/>
      <c r="W292" s="76"/>
      <c r="X292" s="76"/>
      <c r="Y292" s="76"/>
      <c r="Z292" s="76"/>
      <c r="AA292" s="76"/>
      <c r="AB292" s="76"/>
      <c r="AC292" s="76"/>
      <c r="AD292" s="76"/>
    </row>
    <row r="293">
      <c r="A293" s="36" t="s">
        <v>1135</v>
      </c>
      <c r="B293" s="155" t="s">
        <v>582</v>
      </c>
      <c r="C293" s="37" t="str">
        <f>IF(B293="","",(VLOOKUP(B293,'Dados de PN'!$A:$B,2,0)))</f>
        <v>HOSE ASSY</v>
      </c>
      <c r="D293" s="155"/>
      <c r="E293" s="136" t="s">
        <v>32</v>
      </c>
      <c r="F293" s="155" t="s">
        <v>34</v>
      </c>
      <c r="G293" s="44">
        <f t="shared" si="7"/>
        <v>1</v>
      </c>
      <c r="H293" s="41">
        <v>1.7695916E7</v>
      </c>
      <c r="I293" s="137" t="s">
        <v>1193</v>
      </c>
      <c r="J293" s="136" t="s">
        <v>37</v>
      </c>
      <c r="K293" s="53">
        <v>46185.0</v>
      </c>
      <c r="L293" s="155" t="s">
        <v>431</v>
      </c>
      <c r="M293" s="136" t="s">
        <v>51</v>
      </c>
      <c r="N293" s="58"/>
      <c r="O293" s="58"/>
      <c r="P293" s="76"/>
      <c r="Q293" s="58"/>
      <c r="R293" s="76"/>
      <c r="S293" s="76"/>
      <c r="T293" s="76"/>
      <c r="U293" s="73"/>
      <c r="V293" s="76"/>
      <c r="W293" s="76"/>
      <c r="X293" s="76"/>
      <c r="Y293" s="76"/>
      <c r="Z293" s="76"/>
      <c r="AA293" s="76"/>
      <c r="AB293" s="76"/>
      <c r="AC293" s="76"/>
      <c r="AD293" s="76"/>
    </row>
    <row r="294">
      <c r="A294" s="36" t="s">
        <v>1136</v>
      </c>
      <c r="B294" s="155" t="s">
        <v>1194</v>
      </c>
      <c r="C294" s="37" t="str">
        <f>IF(B294="","",(VLOOKUP(B294,'Dados de PN'!$A:$B,2,0)))</f>
        <v>SPRING,HELICAL,EXTE</v>
      </c>
      <c r="D294" s="155"/>
      <c r="E294" s="136" t="s">
        <v>32</v>
      </c>
      <c r="F294" s="136" t="s">
        <v>252</v>
      </c>
      <c r="G294" s="44">
        <f t="shared" si="7"/>
        <v>4</v>
      </c>
      <c r="H294" s="41">
        <v>1.7739766E7</v>
      </c>
      <c r="I294" s="137" t="s">
        <v>1195</v>
      </c>
      <c r="J294" s="136" t="s">
        <v>37</v>
      </c>
      <c r="K294" s="53">
        <v>46192.0</v>
      </c>
      <c r="L294" s="155" t="s">
        <v>133</v>
      </c>
      <c r="M294" s="136" t="s">
        <v>76</v>
      </c>
      <c r="N294" s="58"/>
      <c r="O294" s="58"/>
      <c r="P294" s="76"/>
      <c r="Q294" s="58"/>
      <c r="R294" s="76"/>
      <c r="S294" s="76"/>
      <c r="T294" s="76"/>
      <c r="U294" s="73"/>
      <c r="V294" s="76"/>
      <c r="W294" s="76"/>
      <c r="X294" s="76"/>
      <c r="Y294" s="76"/>
      <c r="Z294" s="76"/>
      <c r="AA294" s="76"/>
      <c r="AB294" s="76"/>
      <c r="AC294" s="76"/>
      <c r="AD294" s="76"/>
    </row>
    <row r="295">
      <c r="A295" s="36" t="s">
        <v>1137</v>
      </c>
      <c r="B295" s="41" t="s">
        <v>1078</v>
      </c>
      <c r="C295" s="37" t="str">
        <f>IF(B295="","",(VLOOKUP(B295,'Dados de PN'!$A:$B,2,0)))</f>
        <v>SWITCH</v>
      </c>
      <c r="D295" s="155"/>
      <c r="E295" s="136" t="s">
        <v>32</v>
      </c>
      <c r="F295" s="155" t="s">
        <v>34</v>
      </c>
      <c r="G295" s="44">
        <f t="shared" si="7"/>
        <v>1</v>
      </c>
      <c r="H295" s="41">
        <v>1.7741001E7</v>
      </c>
      <c r="I295" s="137" t="s">
        <v>1196</v>
      </c>
      <c r="J295" s="136" t="s">
        <v>37</v>
      </c>
      <c r="K295" s="53">
        <v>46192.0</v>
      </c>
      <c r="L295" s="155" t="s">
        <v>232</v>
      </c>
      <c r="M295" s="136" t="s">
        <v>61</v>
      </c>
      <c r="N295" s="58"/>
      <c r="O295" s="58"/>
      <c r="P295" s="76"/>
      <c r="Q295" s="58"/>
      <c r="R295" s="76"/>
      <c r="S295" s="76"/>
      <c r="T295" s="76"/>
      <c r="U295" s="73"/>
      <c r="V295" s="76"/>
      <c r="W295" s="76"/>
      <c r="X295" s="76"/>
      <c r="Y295" s="76"/>
      <c r="Z295" s="76"/>
      <c r="AA295" s="76"/>
      <c r="AB295" s="76"/>
      <c r="AC295" s="76"/>
      <c r="AD295" s="76"/>
    </row>
    <row r="296">
      <c r="A296" s="36" t="s">
        <v>1138</v>
      </c>
      <c r="B296" s="41" t="s">
        <v>1197</v>
      </c>
      <c r="C296" s="37" t="str">
        <f>IF(B296="","",(VLOOKUP(B296,'Dados de PN'!$A:$B,2,0)))</f>
        <v>CABLE ASSEMBLY</v>
      </c>
      <c r="D296" s="155"/>
      <c r="E296" s="136" t="s">
        <v>32</v>
      </c>
      <c r="F296" s="155" t="s">
        <v>34</v>
      </c>
      <c r="G296" s="44">
        <f t="shared" si="7"/>
        <v>1</v>
      </c>
      <c r="H296" s="41">
        <v>1.774104E7</v>
      </c>
      <c r="I296" s="137" t="s">
        <v>1196</v>
      </c>
      <c r="J296" s="136" t="s">
        <v>37</v>
      </c>
      <c r="K296" s="53">
        <v>46192.0</v>
      </c>
      <c r="L296" s="155" t="s">
        <v>232</v>
      </c>
      <c r="M296" s="136" t="s">
        <v>61</v>
      </c>
      <c r="N296" s="58"/>
      <c r="O296" s="58"/>
      <c r="P296" s="76"/>
      <c r="Q296" s="58"/>
      <c r="R296" s="76"/>
      <c r="S296" s="76"/>
      <c r="T296" s="76"/>
      <c r="U296" s="73"/>
      <c r="V296" s="76"/>
      <c r="W296" s="76"/>
      <c r="X296" s="76"/>
      <c r="Y296" s="76"/>
      <c r="Z296" s="76"/>
      <c r="AA296" s="76"/>
      <c r="AB296" s="76"/>
      <c r="AC296" s="76"/>
      <c r="AD296" s="76"/>
    </row>
    <row r="297">
      <c r="A297" s="36" t="s">
        <v>1139</v>
      </c>
      <c r="B297" s="41" t="s">
        <v>243</v>
      </c>
      <c r="C297" s="37" t="str">
        <f>IF(B297="","",(VLOOKUP(B297,'Dados de PN'!$A:$B,2,0)))</f>
        <v>RECEIVER VOR/LOC (KNS81)</v>
      </c>
      <c r="D297" s="155" t="s">
        <v>1198</v>
      </c>
      <c r="E297" s="136" t="s">
        <v>81</v>
      </c>
      <c r="F297" s="155" t="s">
        <v>34</v>
      </c>
      <c r="G297" s="44">
        <f t="shared" si="7"/>
        <v>1</v>
      </c>
      <c r="H297" s="41">
        <v>1.774166E7</v>
      </c>
      <c r="I297" s="137" t="s">
        <v>1196</v>
      </c>
      <c r="J297" s="136" t="s">
        <v>37</v>
      </c>
      <c r="K297" s="53">
        <v>46192.0</v>
      </c>
      <c r="L297" s="155" t="s">
        <v>232</v>
      </c>
      <c r="M297" s="136" t="s">
        <v>61</v>
      </c>
      <c r="N297" s="58"/>
      <c r="O297" s="58"/>
      <c r="P297" s="76"/>
      <c r="Q297" s="58"/>
      <c r="R297" s="76"/>
      <c r="S297" s="76"/>
      <c r="T297" s="76"/>
      <c r="U297" s="73"/>
      <c r="V297" s="76"/>
      <c r="W297" s="76"/>
      <c r="X297" s="76"/>
      <c r="Y297" s="76"/>
      <c r="Z297" s="76"/>
      <c r="AA297" s="76"/>
      <c r="AB297" s="76"/>
      <c r="AC297" s="76"/>
      <c r="AD297" s="76"/>
    </row>
    <row r="298">
      <c r="A298" s="36" t="s">
        <v>1140</v>
      </c>
      <c r="B298" s="37" t="s">
        <v>1199</v>
      </c>
      <c r="C298" s="37" t="str">
        <f>IF(B298="","",(VLOOKUP(B298,'Dados de PN'!$A:$B,2,0)))</f>
        <v>BOMBA DE COMBUSTÍVEL</v>
      </c>
      <c r="D298" s="155" t="s">
        <v>1200</v>
      </c>
      <c r="E298" s="136" t="s">
        <v>81</v>
      </c>
      <c r="F298" s="155" t="s">
        <v>34</v>
      </c>
      <c r="G298" s="44">
        <f t="shared" si="7"/>
        <v>1</v>
      </c>
      <c r="H298" s="37" t="s">
        <v>1201</v>
      </c>
      <c r="I298" s="137" t="s">
        <v>1202</v>
      </c>
      <c r="J298" s="136" t="s">
        <v>37</v>
      </c>
      <c r="K298" s="53">
        <v>46192.0</v>
      </c>
      <c r="L298" s="155" t="s">
        <v>612</v>
      </c>
      <c r="M298" s="136" t="s">
        <v>549</v>
      </c>
      <c r="N298" s="58"/>
      <c r="O298" s="58"/>
      <c r="P298" s="76"/>
      <c r="Q298" s="58"/>
      <c r="R298" s="76"/>
      <c r="S298" s="76"/>
      <c r="T298" s="76"/>
      <c r="U298" s="73"/>
      <c r="V298" s="76"/>
      <c r="W298" s="76"/>
      <c r="X298" s="76"/>
      <c r="Y298" s="76"/>
      <c r="Z298" s="76"/>
      <c r="AA298" s="76"/>
      <c r="AB298" s="76"/>
      <c r="AC298" s="76"/>
      <c r="AD298" s="76"/>
    </row>
    <row r="299">
      <c r="A299" s="36" t="s">
        <v>1141</v>
      </c>
      <c r="B299" s="155" t="s">
        <v>1203</v>
      </c>
      <c r="C299" s="37" t="str">
        <f>IF(B299="","",(VLOOKUP(B299,'Dados de PN'!$A:$B,2,0)))</f>
        <v>COUPLING,PUMP</v>
      </c>
      <c r="D299" s="155"/>
      <c r="E299" s="136" t="s">
        <v>32</v>
      </c>
      <c r="F299" s="155" t="s">
        <v>34</v>
      </c>
      <c r="G299" s="44">
        <f t="shared" si="7"/>
        <v>1</v>
      </c>
      <c r="H299" s="155" t="s">
        <v>1204</v>
      </c>
      <c r="I299" s="137" t="s">
        <v>1202</v>
      </c>
      <c r="J299" s="136" t="s">
        <v>37</v>
      </c>
      <c r="K299" s="53">
        <v>46192.0</v>
      </c>
      <c r="L299" s="155" t="s">
        <v>612</v>
      </c>
      <c r="M299" s="136" t="s">
        <v>549</v>
      </c>
      <c r="N299" s="155"/>
      <c r="O299" s="155"/>
      <c r="P299" s="155"/>
      <c r="Q299" s="155"/>
      <c r="R299" s="155"/>
      <c r="S299" s="155"/>
      <c r="T299" s="155"/>
      <c r="U299" s="155"/>
      <c r="V299" s="155"/>
      <c r="W299" s="76"/>
      <c r="X299" s="155"/>
      <c r="Y299" s="155"/>
      <c r="Z299" s="155"/>
      <c r="AA299" s="155"/>
      <c r="AB299" s="155"/>
      <c r="AC299" s="155"/>
      <c r="AD299" s="155"/>
    </row>
    <row r="300">
      <c r="A300" s="36" t="s">
        <v>1205</v>
      </c>
      <c r="B300" s="155" t="s">
        <v>1206</v>
      </c>
      <c r="C300" s="37" t="str">
        <f>IF(B300="","",(VLOOKUP(B300,'Dados de PN'!$A:$B,2,0)))</f>
        <v>ANEL-O</v>
      </c>
      <c r="D300" s="155"/>
      <c r="E300" s="136" t="s">
        <v>32</v>
      </c>
      <c r="F300" s="155" t="s">
        <v>34</v>
      </c>
      <c r="G300" s="44">
        <f t="shared" si="7"/>
        <v>1</v>
      </c>
      <c r="H300" s="155" t="s">
        <v>1207</v>
      </c>
      <c r="I300" s="137" t="s">
        <v>1202</v>
      </c>
      <c r="J300" s="155" t="s">
        <v>74</v>
      </c>
      <c r="K300" s="53">
        <v>46192.0</v>
      </c>
      <c r="L300" s="155" t="s">
        <v>612</v>
      </c>
      <c r="M300" s="136" t="s">
        <v>549</v>
      </c>
      <c r="N300" s="155"/>
      <c r="O300" s="155"/>
      <c r="P300" s="155"/>
      <c r="Q300" s="155"/>
      <c r="R300" s="155"/>
      <c r="S300" s="155"/>
      <c r="T300" s="155"/>
      <c r="U300" s="155"/>
      <c r="V300" s="155"/>
      <c r="W300" s="76"/>
      <c r="X300" s="155"/>
      <c r="Y300" s="155"/>
      <c r="Z300" s="155"/>
      <c r="AA300" s="155"/>
      <c r="AB300" s="155"/>
      <c r="AC300" s="155"/>
      <c r="AD300" s="155"/>
    </row>
    <row r="301">
      <c r="A301" s="36" t="s">
        <v>1209</v>
      </c>
      <c r="B301" s="155" t="s">
        <v>1210</v>
      </c>
      <c r="C301" s="37" t="str">
        <f>IF(B301="","",(VLOOKUP(B301,'Dados de PN'!$A:$B,2,0)))</f>
        <v>GASKET</v>
      </c>
      <c r="D301" s="155"/>
      <c r="E301" s="136" t="s">
        <v>32</v>
      </c>
      <c r="F301" s="155" t="s">
        <v>34</v>
      </c>
      <c r="G301" s="44">
        <f t="shared" si="7"/>
        <v>1</v>
      </c>
      <c r="H301" s="155" t="s">
        <v>1211</v>
      </c>
      <c r="I301" s="137" t="s">
        <v>1202</v>
      </c>
      <c r="J301" s="136" t="s">
        <v>37</v>
      </c>
      <c r="K301" s="53">
        <v>46192.0</v>
      </c>
      <c r="L301" s="155" t="s">
        <v>612</v>
      </c>
      <c r="M301" s="136" t="s">
        <v>549</v>
      </c>
      <c r="N301" s="155"/>
      <c r="O301" s="155"/>
      <c r="P301" s="155"/>
      <c r="Q301" s="155"/>
      <c r="R301" s="155"/>
      <c r="S301" s="155"/>
      <c r="T301" s="155"/>
      <c r="U301" s="155"/>
      <c r="V301" s="155"/>
      <c r="W301" s="76"/>
      <c r="X301" s="155"/>
      <c r="Y301" s="155"/>
      <c r="Z301" s="155"/>
      <c r="AA301" s="155"/>
      <c r="AB301" s="155"/>
      <c r="AC301" s="155"/>
      <c r="AD301" s="155"/>
    </row>
    <row r="302">
      <c r="A302" s="36" t="s">
        <v>1212</v>
      </c>
      <c r="B302" s="155" t="s">
        <v>1053</v>
      </c>
      <c r="C302" s="37" t="str">
        <f>IF(B302="","",(VLOOKUP(B302,'Dados de PN'!$A:$B,2,0)))</f>
        <v>ANEL-O</v>
      </c>
      <c r="D302" s="155"/>
      <c r="E302" s="136" t="s">
        <v>32</v>
      </c>
      <c r="F302" s="155" t="s">
        <v>34</v>
      </c>
      <c r="G302" s="44">
        <f t="shared" si="7"/>
        <v>1</v>
      </c>
      <c r="H302" s="155" t="s">
        <v>1213</v>
      </c>
      <c r="I302" s="137" t="s">
        <v>1202</v>
      </c>
      <c r="J302" s="136" t="s">
        <v>37</v>
      </c>
      <c r="K302" s="53">
        <v>46192.0</v>
      </c>
      <c r="L302" s="155" t="s">
        <v>612</v>
      </c>
      <c r="M302" s="136" t="s">
        <v>549</v>
      </c>
      <c r="N302" s="155"/>
      <c r="O302" s="155"/>
      <c r="P302" s="155"/>
      <c r="Q302" s="155"/>
      <c r="R302" s="155"/>
      <c r="S302" s="155"/>
      <c r="T302" s="155"/>
      <c r="U302" s="155"/>
      <c r="V302" s="155"/>
      <c r="W302" s="76"/>
      <c r="X302" s="155"/>
      <c r="Y302" s="155"/>
      <c r="Z302" s="155"/>
      <c r="AA302" s="155"/>
      <c r="AB302" s="155"/>
      <c r="AC302" s="155"/>
      <c r="AD302" s="155"/>
    </row>
    <row r="303">
      <c r="A303" s="36" t="s">
        <v>1214</v>
      </c>
      <c r="B303" s="155" t="s">
        <v>1066</v>
      </c>
      <c r="C303" s="37" t="str">
        <f>IF(B303="","",(VLOOKUP(B303,'Dados de PN'!$A:$B,2,0)))</f>
        <v>TRANSMITTER FUEL</v>
      </c>
      <c r="D303" s="155"/>
      <c r="E303" s="136" t="s">
        <v>32</v>
      </c>
      <c r="F303" s="155" t="s">
        <v>34</v>
      </c>
      <c r="G303" s="44">
        <f t="shared" si="7"/>
        <v>1</v>
      </c>
      <c r="H303" s="155" t="s">
        <v>1215</v>
      </c>
      <c r="I303" s="137" t="s">
        <v>1216</v>
      </c>
      <c r="J303" s="136" t="s">
        <v>37</v>
      </c>
      <c r="K303" s="155" t="s">
        <v>144</v>
      </c>
      <c r="L303" s="155" t="s">
        <v>403</v>
      </c>
      <c r="M303" s="155" t="s">
        <v>76</v>
      </c>
      <c r="N303" s="155"/>
      <c r="O303" s="155"/>
      <c r="P303" s="155"/>
      <c r="Q303" s="155"/>
      <c r="R303" s="155"/>
      <c r="S303" s="155"/>
      <c r="T303" s="155"/>
      <c r="U303" s="155"/>
      <c r="V303" s="155"/>
      <c r="W303" s="76"/>
      <c r="X303" s="155"/>
      <c r="Y303" s="155"/>
      <c r="Z303" s="155"/>
      <c r="AA303" s="155"/>
      <c r="AB303" s="155"/>
      <c r="AC303" s="155"/>
      <c r="AD303" s="155"/>
    </row>
    <row r="304">
      <c r="A304" s="36" t="s">
        <v>1217</v>
      </c>
      <c r="B304" s="155" t="s">
        <v>1218</v>
      </c>
      <c r="C304" s="37" t="str">
        <f>IF(B304="","",(VLOOKUP(B304,'Dados de PN'!$A:$B,2,0)))</f>
        <v>PLATE-INSULAT</v>
      </c>
      <c r="D304" s="155"/>
      <c r="E304" s="136" t="s">
        <v>32</v>
      </c>
      <c r="F304" s="155" t="s">
        <v>164</v>
      </c>
      <c r="G304" s="44">
        <f t="shared" si="7"/>
        <v>2</v>
      </c>
      <c r="H304" s="155" t="s">
        <v>1219</v>
      </c>
      <c r="I304" s="137" t="s">
        <v>1216</v>
      </c>
      <c r="J304" s="136" t="s">
        <v>37</v>
      </c>
      <c r="K304" s="155" t="s">
        <v>144</v>
      </c>
      <c r="L304" s="155" t="s">
        <v>403</v>
      </c>
      <c r="M304" s="155" t="s">
        <v>76</v>
      </c>
      <c r="N304" s="155"/>
      <c r="O304" s="155"/>
      <c r="P304" s="155"/>
      <c r="Q304" s="155"/>
      <c r="R304" s="155"/>
      <c r="S304" s="155"/>
      <c r="T304" s="155"/>
      <c r="U304" s="155"/>
      <c r="V304" s="155"/>
      <c r="W304" s="76"/>
      <c r="X304" s="155"/>
      <c r="Y304" s="155"/>
      <c r="Z304" s="155"/>
      <c r="AA304" s="155"/>
      <c r="AB304" s="155"/>
      <c r="AC304" s="155"/>
      <c r="AD304" s="155"/>
    </row>
    <row r="305">
      <c r="A305" s="36" t="s">
        <v>1220</v>
      </c>
      <c r="B305" s="155" t="s">
        <v>1221</v>
      </c>
      <c r="C305" s="37" t="str">
        <f>IF(B305="","",(VLOOKUP(B305,'Dados de PN'!$A:$B,2,0)))</f>
        <v>SWITCH,SPEC</v>
      </c>
      <c r="D305" s="155"/>
      <c r="E305" s="136" t="s">
        <v>32</v>
      </c>
      <c r="F305" s="155" t="s">
        <v>164</v>
      </c>
      <c r="G305" s="44">
        <f t="shared" si="7"/>
        <v>2</v>
      </c>
      <c r="H305" s="155" t="s">
        <v>1222</v>
      </c>
      <c r="I305" s="137" t="s">
        <v>1216</v>
      </c>
      <c r="J305" s="136" t="s">
        <v>37</v>
      </c>
      <c r="K305" s="155" t="s">
        <v>144</v>
      </c>
      <c r="L305" s="155" t="s">
        <v>403</v>
      </c>
      <c r="M305" s="155" t="s">
        <v>76</v>
      </c>
      <c r="N305" s="155"/>
      <c r="O305" s="155"/>
      <c r="P305" s="155"/>
      <c r="Q305" s="155"/>
      <c r="R305" s="155"/>
      <c r="S305" s="155"/>
      <c r="T305" s="155"/>
      <c r="U305" s="155"/>
      <c r="V305" s="155"/>
      <c r="W305" s="76"/>
      <c r="X305" s="155"/>
      <c r="Y305" s="155"/>
      <c r="Z305" s="155"/>
      <c r="AA305" s="155"/>
      <c r="AB305" s="155"/>
      <c r="AC305" s="155"/>
      <c r="AD305" s="155"/>
    </row>
    <row r="306">
      <c r="A306" s="36" t="s">
        <v>1223</v>
      </c>
      <c r="B306" s="155" t="s">
        <v>1224</v>
      </c>
      <c r="C306" s="37" t="str">
        <f>IF(B306="","",(VLOOKUP(B306,'Dados de PN'!$A:$B,2,0)))</f>
        <v>SEALING COMPOUND</v>
      </c>
      <c r="D306" s="155"/>
      <c r="E306" s="136" t="s">
        <v>32</v>
      </c>
      <c r="F306" s="155" t="s">
        <v>794</v>
      </c>
      <c r="G306" s="44">
        <f t="shared" si="7"/>
        <v>6</v>
      </c>
      <c r="H306" s="155" t="s">
        <v>1225</v>
      </c>
      <c r="I306" s="137" t="s">
        <v>1216</v>
      </c>
      <c r="J306" s="136" t="s">
        <v>37</v>
      </c>
      <c r="K306" s="155" t="s">
        <v>144</v>
      </c>
      <c r="L306" s="155" t="s">
        <v>403</v>
      </c>
      <c r="M306" s="155" t="s">
        <v>76</v>
      </c>
      <c r="N306" s="155"/>
      <c r="O306" s="155"/>
      <c r="P306" s="155"/>
      <c r="Q306" s="155"/>
      <c r="R306" s="155"/>
      <c r="S306" s="155"/>
      <c r="T306" s="155"/>
      <c r="U306" s="155"/>
      <c r="V306" s="155"/>
      <c r="W306" s="76"/>
      <c r="X306" s="155"/>
      <c r="Y306" s="155"/>
      <c r="Z306" s="155"/>
      <c r="AA306" s="155"/>
      <c r="AB306" s="155"/>
      <c r="AC306" s="155"/>
      <c r="AD306" s="155"/>
    </row>
    <row r="307">
      <c r="A307" s="36" t="s">
        <v>1226</v>
      </c>
      <c r="B307" s="155" t="s">
        <v>1227</v>
      </c>
      <c r="C307" s="37" t="str">
        <f>IF(B307="","",(VLOOKUP(B307,'Dados de PN'!$A:$B,2,0)))</f>
        <v>NUT,PLAIN,SLOTTED,HEXAGON</v>
      </c>
      <c r="D307" s="155"/>
      <c r="E307" s="136" t="s">
        <v>32</v>
      </c>
      <c r="F307" s="155" t="s">
        <v>252</v>
      </c>
      <c r="G307" s="44">
        <f t="shared" si="7"/>
        <v>4</v>
      </c>
      <c r="H307" s="155" t="s">
        <v>1228</v>
      </c>
      <c r="I307" s="137" t="s">
        <v>1229</v>
      </c>
      <c r="J307" s="155" t="s">
        <v>256</v>
      </c>
      <c r="K307" s="155" t="s">
        <v>144</v>
      </c>
      <c r="L307" s="155" t="s">
        <v>168</v>
      </c>
      <c r="M307" s="155" t="s">
        <v>169</v>
      </c>
      <c r="N307" s="155"/>
      <c r="O307" s="155"/>
      <c r="P307" s="155"/>
      <c r="Q307" s="155"/>
      <c r="R307" s="155"/>
      <c r="S307" s="155"/>
      <c r="T307" s="155"/>
      <c r="U307" s="155"/>
      <c r="V307" s="155"/>
      <c r="W307" s="76"/>
      <c r="X307" s="155"/>
      <c r="Y307" s="155"/>
      <c r="Z307" s="155"/>
      <c r="AA307" s="155"/>
      <c r="AB307" s="155"/>
      <c r="AC307" s="155"/>
      <c r="AD307" s="155"/>
    </row>
    <row r="308">
      <c r="A308" s="36" t="s">
        <v>1230</v>
      </c>
      <c r="B308" s="155" t="s">
        <v>1231</v>
      </c>
      <c r="C308" s="37" t="str">
        <f>IF(B308="","",(VLOOKUP(B308,'Dados de PN'!$A:$B,2,0)))</f>
        <v>BARREL FLAP</v>
      </c>
      <c r="D308" s="155"/>
      <c r="E308" s="136" t="s">
        <v>32</v>
      </c>
      <c r="F308" s="155" t="s">
        <v>34</v>
      </c>
      <c r="G308" s="44">
        <f t="shared" si="7"/>
        <v>1</v>
      </c>
      <c r="H308" s="155" t="s">
        <v>1232</v>
      </c>
      <c r="I308" s="137" t="s">
        <v>1229</v>
      </c>
      <c r="J308" s="155" t="s">
        <v>37</v>
      </c>
      <c r="K308" s="155" t="s">
        <v>144</v>
      </c>
      <c r="L308" s="155" t="s">
        <v>168</v>
      </c>
      <c r="M308" s="155" t="s">
        <v>169</v>
      </c>
      <c r="N308" s="155"/>
      <c r="O308" s="155"/>
      <c r="P308" s="155"/>
      <c r="Q308" s="155"/>
      <c r="R308" s="155"/>
      <c r="S308" s="155"/>
      <c r="T308" s="155"/>
      <c r="U308" s="155"/>
      <c r="V308" s="155"/>
      <c r="W308" s="76"/>
      <c r="X308" s="155"/>
      <c r="Y308" s="155"/>
      <c r="Z308" s="155"/>
      <c r="AA308" s="155"/>
      <c r="AB308" s="155"/>
      <c r="AC308" s="155"/>
      <c r="AD308" s="155"/>
    </row>
    <row r="309">
      <c r="A309" s="36" t="s">
        <v>1233</v>
      </c>
      <c r="B309" s="155" t="s">
        <v>1234</v>
      </c>
      <c r="C309" s="37" t="str">
        <f>IF(B309="","",(VLOOKUP(B309,'Dados de PN'!$A:$B,2,0)))</f>
        <v>SETSCREW</v>
      </c>
      <c r="D309" s="155"/>
      <c r="E309" s="136" t="s">
        <v>32</v>
      </c>
      <c r="F309" s="155" t="s">
        <v>164</v>
      </c>
      <c r="G309" s="44">
        <f t="shared" si="7"/>
        <v>2</v>
      </c>
      <c r="H309" s="155" t="s">
        <v>1235</v>
      </c>
      <c r="I309" s="137" t="s">
        <v>1229</v>
      </c>
      <c r="J309" s="155" t="s">
        <v>37</v>
      </c>
      <c r="K309" s="155" t="s">
        <v>144</v>
      </c>
      <c r="L309" s="155" t="s">
        <v>168</v>
      </c>
      <c r="M309" s="155" t="s">
        <v>169</v>
      </c>
      <c r="N309" s="155"/>
      <c r="O309" s="155"/>
      <c r="P309" s="155"/>
      <c r="Q309" s="155"/>
      <c r="R309" s="155"/>
      <c r="S309" s="155"/>
      <c r="T309" s="155"/>
      <c r="U309" s="155"/>
      <c r="V309" s="155"/>
      <c r="W309" s="76"/>
      <c r="X309" s="155"/>
      <c r="Y309" s="155"/>
      <c r="Z309" s="155"/>
      <c r="AA309" s="155"/>
      <c r="AB309" s="155"/>
      <c r="AC309" s="155"/>
      <c r="AD309" s="155"/>
    </row>
    <row r="310">
      <c r="A310" s="36" t="s">
        <v>1236</v>
      </c>
      <c r="B310" s="155" t="s">
        <v>1237</v>
      </c>
      <c r="C310" s="37" t="str">
        <f>IF(B310="","",(VLOOKUP(B310,'Dados de PN'!$A:$B,2,0)))</f>
        <v>STUD</v>
      </c>
      <c r="D310" s="155"/>
      <c r="E310" s="136" t="s">
        <v>32</v>
      </c>
      <c r="F310" s="155" t="s">
        <v>164</v>
      </c>
      <c r="G310" s="44">
        <f t="shared" si="7"/>
        <v>2</v>
      </c>
      <c r="H310" s="155" t="s">
        <v>1238</v>
      </c>
      <c r="I310" s="137" t="s">
        <v>1229</v>
      </c>
      <c r="J310" s="155" t="s">
        <v>37</v>
      </c>
      <c r="K310" s="155" t="s">
        <v>144</v>
      </c>
      <c r="L310" s="155" t="s">
        <v>168</v>
      </c>
      <c r="M310" s="155" t="s">
        <v>169</v>
      </c>
      <c r="N310" s="155"/>
      <c r="O310" s="155"/>
      <c r="P310" s="155"/>
      <c r="Q310" s="155"/>
      <c r="R310" s="155"/>
      <c r="S310" s="155"/>
      <c r="T310" s="155"/>
      <c r="U310" s="155"/>
      <c r="V310" s="155"/>
      <c r="W310" s="76"/>
      <c r="X310" s="155"/>
      <c r="Y310" s="155"/>
      <c r="Z310" s="155"/>
      <c r="AA310" s="155"/>
      <c r="AB310" s="155"/>
      <c r="AC310" s="155"/>
      <c r="AD310" s="155"/>
    </row>
    <row r="311">
      <c r="A311" s="36" t="s">
        <v>1239</v>
      </c>
      <c r="B311" s="155" t="s">
        <v>1240</v>
      </c>
      <c r="C311" s="37" t="str">
        <f>IF(B311="","",(VLOOKUP(B311,'Dados de PN'!$A:$B,2,0)))</f>
        <v>TUBE ASSY</v>
      </c>
      <c r="D311" s="155"/>
      <c r="E311" s="136" t="s">
        <v>32</v>
      </c>
      <c r="F311" s="155" t="s">
        <v>164</v>
      </c>
      <c r="G311" s="44">
        <f t="shared" si="7"/>
        <v>2</v>
      </c>
      <c r="H311" s="155" t="s">
        <v>1241</v>
      </c>
      <c r="I311" s="137" t="s">
        <v>1229</v>
      </c>
      <c r="J311" s="155" t="s">
        <v>37</v>
      </c>
      <c r="K311" s="155" t="s">
        <v>144</v>
      </c>
      <c r="L311" s="155" t="s">
        <v>168</v>
      </c>
      <c r="M311" s="155" t="s">
        <v>169</v>
      </c>
      <c r="N311" s="155"/>
      <c r="O311" s="155"/>
      <c r="P311" s="155"/>
      <c r="Q311" s="155"/>
      <c r="R311" s="155"/>
      <c r="S311" s="155"/>
      <c r="T311" s="155"/>
      <c r="U311" s="155"/>
      <c r="V311" s="155"/>
      <c r="W311" s="76"/>
      <c r="X311" s="155"/>
      <c r="Y311" s="155"/>
      <c r="Z311" s="155"/>
      <c r="AA311" s="155"/>
      <c r="AB311" s="155"/>
      <c r="AC311" s="155"/>
      <c r="AD311" s="155"/>
    </row>
    <row r="312">
      <c r="A312" s="36" t="s">
        <v>1242</v>
      </c>
      <c r="B312" s="155" t="s">
        <v>1243</v>
      </c>
      <c r="C312" s="37" t="str">
        <f>IF(B312="","",(VLOOKUP(B312,'Dados de PN'!$A:$B,2,0)))</f>
        <v>NUT,PLAIN,HEXAGON</v>
      </c>
      <c r="D312" s="155"/>
      <c r="E312" s="136" t="s">
        <v>32</v>
      </c>
      <c r="F312" s="155" t="s">
        <v>164</v>
      </c>
      <c r="G312" s="44">
        <f t="shared" si="7"/>
        <v>2</v>
      </c>
      <c r="H312" s="155" t="s">
        <v>1244</v>
      </c>
      <c r="I312" s="137" t="s">
        <v>1229</v>
      </c>
      <c r="J312" s="155" t="s">
        <v>37</v>
      </c>
      <c r="K312" s="155" t="s">
        <v>144</v>
      </c>
      <c r="L312" s="155" t="s">
        <v>168</v>
      </c>
      <c r="M312" s="155" t="s">
        <v>169</v>
      </c>
      <c r="N312" s="155"/>
      <c r="O312" s="155"/>
      <c r="P312" s="155"/>
      <c r="Q312" s="155"/>
      <c r="R312" s="155"/>
      <c r="S312" s="155"/>
      <c r="T312" s="155"/>
      <c r="U312" s="155"/>
      <c r="V312" s="155"/>
      <c r="W312" s="76"/>
      <c r="X312" s="155"/>
      <c r="Y312" s="155"/>
      <c r="Z312" s="155"/>
      <c r="AA312" s="155"/>
      <c r="AB312" s="155"/>
      <c r="AC312" s="155"/>
      <c r="AD312" s="155"/>
    </row>
    <row r="313">
      <c r="A313" s="36" t="s">
        <v>1245</v>
      </c>
      <c r="B313" s="155" t="s">
        <v>1246</v>
      </c>
      <c r="C313" s="37" t="str">
        <f>IF(B313="","",(VLOOKUP(B313,'Dados de PN'!$A:$B,2,0)))</f>
        <v>NUT STOP</v>
      </c>
      <c r="D313" s="155"/>
      <c r="E313" s="136" t="s">
        <v>32</v>
      </c>
      <c r="F313" s="155" t="s">
        <v>34</v>
      </c>
      <c r="G313" s="44">
        <f t="shared" si="7"/>
        <v>1</v>
      </c>
      <c r="H313" s="155" t="s">
        <v>1247</v>
      </c>
      <c r="I313" s="137" t="s">
        <v>1229</v>
      </c>
      <c r="J313" s="155" t="s">
        <v>37</v>
      </c>
      <c r="K313" s="155" t="s">
        <v>134</v>
      </c>
      <c r="L313" s="155" t="s">
        <v>168</v>
      </c>
      <c r="M313" s="155" t="s">
        <v>169</v>
      </c>
      <c r="N313" s="155"/>
      <c r="O313" s="155"/>
      <c r="P313" s="155"/>
      <c r="Q313" s="155"/>
      <c r="R313" s="155"/>
      <c r="S313" s="155"/>
      <c r="T313" s="155"/>
      <c r="U313" s="155"/>
      <c r="V313" s="155"/>
      <c r="W313" s="76"/>
      <c r="X313" s="155"/>
      <c r="Y313" s="155"/>
      <c r="Z313" s="155"/>
      <c r="AA313" s="155"/>
      <c r="AB313" s="155"/>
      <c r="AC313" s="155"/>
      <c r="AD313" s="155"/>
    </row>
    <row r="314">
      <c r="A314" s="36" t="s">
        <v>1248</v>
      </c>
      <c r="B314" s="201" t="s">
        <v>1249</v>
      </c>
      <c r="C314" s="37" t="str">
        <f>IF(B314="","",(VLOOKUP(B314,'Dados de PN'!$A:$B,2,0)))</f>
        <v>REDUCER, TUBE</v>
      </c>
      <c r="D314" s="155"/>
      <c r="E314" s="136" t="s">
        <v>32</v>
      </c>
      <c r="F314" s="155" t="s">
        <v>34</v>
      </c>
      <c r="G314" s="44">
        <f t="shared" si="7"/>
        <v>1</v>
      </c>
      <c r="H314" s="155" t="s">
        <v>1250</v>
      </c>
      <c r="I314" s="137" t="s">
        <v>1251</v>
      </c>
      <c r="J314" s="155" t="s">
        <v>37</v>
      </c>
      <c r="K314" s="155" t="s">
        <v>134</v>
      </c>
      <c r="L314" s="155" t="s">
        <v>263</v>
      </c>
      <c r="M314" s="155" t="s">
        <v>51</v>
      </c>
      <c r="N314" s="155"/>
      <c r="O314" s="155"/>
      <c r="P314" s="155"/>
      <c r="Q314" s="155"/>
      <c r="R314" s="155"/>
      <c r="S314" s="155"/>
      <c r="T314" s="155"/>
      <c r="U314" s="155"/>
      <c r="V314" s="155"/>
      <c r="W314" s="76"/>
      <c r="X314" s="155"/>
      <c r="Y314" s="155"/>
      <c r="Z314" s="155"/>
      <c r="AA314" s="155"/>
      <c r="AB314" s="155"/>
      <c r="AC314" s="155"/>
      <c r="AD314" s="155"/>
    </row>
    <row r="315">
      <c r="A315" s="36" t="s">
        <v>1252</v>
      </c>
      <c r="B315" s="155" t="s">
        <v>447</v>
      </c>
      <c r="C315" s="37" t="str">
        <f>IF(B315="","",(VLOOKUP(B315,'Dados de PN'!$A:$B,2,0)))</f>
        <v>NIPPLE,TUBE</v>
      </c>
      <c r="D315" s="155"/>
      <c r="E315" s="136" t="s">
        <v>32</v>
      </c>
      <c r="F315" s="155" t="s">
        <v>34</v>
      </c>
      <c r="G315" s="44">
        <f t="shared" si="7"/>
        <v>1</v>
      </c>
      <c r="H315" s="155" t="s">
        <v>1253</v>
      </c>
      <c r="I315" s="137" t="s">
        <v>1251</v>
      </c>
      <c r="J315" s="155" t="s">
        <v>37</v>
      </c>
      <c r="K315" s="155" t="s">
        <v>134</v>
      </c>
      <c r="L315" s="155" t="s">
        <v>263</v>
      </c>
      <c r="M315" s="155" t="s">
        <v>51</v>
      </c>
      <c r="N315" s="155"/>
      <c r="O315" s="155"/>
      <c r="P315" s="155"/>
      <c r="Q315" s="155"/>
      <c r="R315" s="155"/>
      <c r="S315" s="155"/>
      <c r="T315" s="155"/>
      <c r="U315" s="155"/>
      <c r="V315" s="155"/>
      <c r="W315" s="76"/>
      <c r="X315" s="155"/>
      <c r="Y315" s="155"/>
      <c r="Z315" s="155"/>
      <c r="AA315" s="155"/>
      <c r="AB315" s="155"/>
      <c r="AC315" s="155"/>
      <c r="AD315" s="155"/>
    </row>
    <row r="316">
      <c r="A316" s="36" t="s">
        <v>1254</v>
      </c>
      <c r="B316" s="155" t="s">
        <v>1255</v>
      </c>
      <c r="C316" s="37" t="str">
        <f>IF(B316="","",(VLOOKUP(B316,'Dados de PN'!$A:$B,2,0)))</f>
        <v>BOLT,MACHINE</v>
      </c>
      <c r="D316" s="155"/>
      <c r="E316" s="136" t="s">
        <v>32</v>
      </c>
      <c r="F316" s="155" t="s">
        <v>34</v>
      </c>
      <c r="G316" s="44">
        <f t="shared" si="7"/>
        <v>1</v>
      </c>
      <c r="H316" s="155" t="s">
        <v>1256</v>
      </c>
      <c r="I316" s="137" t="s">
        <v>1257</v>
      </c>
      <c r="J316" s="155" t="s">
        <v>37</v>
      </c>
      <c r="K316" s="155" t="s">
        <v>135</v>
      </c>
      <c r="L316" s="155" t="s">
        <v>199</v>
      </c>
      <c r="M316" s="155" t="s">
        <v>61</v>
      </c>
      <c r="N316" s="155"/>
      <c r="O316" s="155"/>
      <c r="P316" s="155"/>
      <c r="Q316" s="155"/>
      <c r="R316" s="155"/>
      <c r="S316" s="155"/>
      <c r="T316" s="155"/>
      <c r="U316" s="155"/>
      <c r="V316" s="155"/>
      <c r="W316" s="76"/>
      <c r="X316" s="155"/>
      <c r="Y316" s="155"/>
      <c r="Z316" s="155"/>
      <c r="AA316" s="155"/>
      <c r="AB316" s="155"/>
      <c r="AC316" s="155"/>
      <c r="AD316" s="155"/>
    </row>
    <row r="317">
      <c r="A317" s="36" t="s">
        <v>1258</v>
      </c>
      <c r="B317" s="155" t="s">
        <v>1259</v>
      </c>
      <c r="C317" s="37" t="str">
        <f>IF(B317="","",(VLOOKUP(B317,'Dados de PN'!$A:$B,2,0)))</f>
        <v>WASHER</v>
      </c>
      <c r="D317" s="155"/>
      <c r="E317" s="136" t="s">
        <v>32</v>
      </c>
      <c r="F317" s="155" t="s">
        <v>164</v>
      </c>
      <c r="G317" s="44">
        <f t="shared" si="7"/>
        <v>2</v>
      </c>
      <c r="H317" s="155" t="s">
        <v>1260</v>
      </c>
      <c r="I317" s="137" t="s">
        <v>1257</v>
      </c>
      <c r="J317" s="155" t="s">
        <v>37</v>
      </c>
      <c r="K317" s="155" t="s">
        <v>135</v>
      </c>
      <c r="L317" s="155" t="s">
        <v>199</v>
      </c>
      <c r="M317" s="155" t="s">
        <v>61</v>
      </c>
      <c r="N317" s="155"/>
      <c r="O317" s="155"/>
      <c r="P317" s="155"/>
      <c r="Q317" s="155"/>
      <c r="R317" s="155"/>
      <c r="S317" s="155"/>
      <c r="T317" s="155"/>
      <c r="U317" s="155"/>
      <c r="V317" s="155"/>
      <c r="W317" s="76"/>
      <c r="X317" s="155"/>
      <c r="Y317" s="155"/>
      <c r="Z317" s="155"/>
      <c r="AA317" s="155"/>
      <c r="AB317" s="155"/>
      <c r="AC317" s="155"/>
      <c r="AD317" s="155"/>
    </row>
    <row r="318">
      <c r="A318" s="36" t="s">
        <v>1261</v>
      </c>
      <c r="B318" s="155" t="s">
        <v>1262</v>
      </c>
      <c r="C318" s="37" t="str">
        <f>IF(B318="","",(VLOOKUP(B318,'Dados de PN'!$A:$B,2,0)))</f>
        <v>SERVO PITCH</v>
      </c>
      <c r="D318" s="155"/>
      <c r="E318" s="136" t="s">
        <v>32</v>
      </c>
      <c r="F318" s="155" t="s">
        <v>34</v>
      </c>
      <c r="G318" s="44">
        <f t="shared" si="7"/>
        <v>1</v>
      </c>
      <c r="H318" s="155" t="s">
        <v>1263</v>
      </c>
      <c r="I318" s="137" t="s">
        <v>1264</v>
      </c>
      <c r="J318" s="155" t="s">
        <v>37</v>
      </c>
      <c r="K318" s="155" t="s">
        <v>135</v>
      </c>
      <c r="L318" s="155" t="s">
        <v>152</v>
      </c>
      <c r="M318" s="155" t="s">
        <v>61</v>
      </c>
      <c r="N318" s="155"/>
      <c r="O318" s="155"/>
      <c r="P318" s="155"/>
      <c r="Q318" s="155"/>
      <c r="R318" s="155"/>
      <c r="S318" s="155"/>
      <c r="T318" s="155"/>
      <c r="U318" s="155"/>
      <c r="V318" s="155"/>
      <c r="W318" s="76"/>
      <c r="X318" s="155"/>
      <c r="Y318" s="155"/>
      <c r="Z318" s="155"/>
      <c r="AA318" s="155"/>
      <c r="AB318" s="155"/>
      <c r="AC318" s="155"/>
      <c r="AD318" s="155"/>
    </row>
    <row r="319">
      <c r="A319" s="36" t="s">
        <v>1265</v>
      </c>
      <c r="B319" s="155" t="s">
        <v>1262</v>
      </c>
      <c r="C319" s="37" t="str">
        <f>IF(B319="","",(VLOOKUP(B319,'Dados de PN'!$A:$B,2,0)))</f>
        <v>SERVO PITCH</v>
      </c>
      <c r="D319" s="155"/>
      <c r="E319" s="136" t="s">
        <v>32</v>
      </c>
      <c r="F319" s="155" t="s">
        <v>34</v>
      </c>
      <c r="G319" s="44">
        <f t="shared" si="7"/>
        <v>1</v>
      </c>
      <c r="H319" s="155" t="s">
        <v>1266</v>
      </c>
      <c r="I319" s="137" t="s">
        <v>1267</v>
      </c>
      <c r="J319" s="155" t="s">
        <v>37</v>
      </c>
      <c r="K319" s="155" t="s">
        <v>135</v>
      </c>
      <c r="L319" s="155" t="s">
        <v>232</v>
      </c>
      <c r="M319" s="155" t="s">
        <v>61</v>
      </c>
      <c r="N319" s="155"/>
      <c r="O319" s="155"/>
      <c r="P319" s="155"/>
      <c r="Q319" s="155"/>
      <c r="R319" s="155"/>
      <c r="S319" s="155"/>
      <c r="T319" s="155"/>
      <c r="U319" s="155"/>
      <c r="V319" s="155"/>
      <c r="W319" s="76"/>
      <c r="X319" s="155"/>
      <c r="Y319" s="155"/>
      <c r="Z319" s="155"/>
      <c r="AA319" s="155"/>
      <c r="AB319" s="155"/>
      <c r="AC319" s="155"/>
      <c r="AD319" s="155"/>
    </row>
    <row r="320">
      <c r="A320" s="36" t="s">
        <v>1268</v>
      </c>
      <c r="B320" s="155" t="s">
        <v>1269</v>
      </c>
      <c r="C320" s="37" t="str">
        <f>IF(B320="","",(VLOOKUP(B320,'Dados de PN'!$A:$B,2,0)))</f>
        <v>KIT CONNECTOR</v>
      </c>
      <c r="D320" s="155"/>
      <c r="E320" s="136" t="s">
        <v>32</v>
      </c>
      <c r="F320" s="155" t="s">
        <v>34</v>
      </c>
      <c r="G320" s="44">
        <f t="shared" si="7"/>
        <v>1</v>
      </c>
      <c r="H320" s="155" t="s">
        <v>1270</v>
      </c>
      <c r="I320" s="137" t="s">
        <v>1064</v>
      </c>
      <c r="J320" s="155" t="s">
        <v>37</v>
      </c>
      <c r="K320" s="155" t="s">
        <v>135</v>
      </c>
      <c r="L320" s="155" t="s">
        <v>60</v>
      </c>
      <c r="M320" s="155" t="s">
        <v>61</v>
      </c>
      <c r="N320" s="155"/>
      <c r="O320" s="155"/>
      <c r="P320" s="155"/>
      <c r="Q320" s="155"/>
      <c r="R320" s="155"/>
      <c r="S320" s="155"/>
      <c r="T320" s="155"/>
      <c r="U320" s="155"/>
      <c r="V320" s="155"/>
      <c r="W320" s="76"/>
      <c r="X320" s="155"/>
      <c r="Y320" s="155"/>
      <c r="Z320" s="155"/>
      <c r="AA320" s="155"/>
      <c r="AB320" s="155"/>
      <c r="AC320" s="155"/>
      <c r="AD320" s="155"/>
    </row>
    <row r="321">
      <c r="A321" s="36" t="s">
        <v>1271</v>
      </c>
      <c r="B321" s="155" t="s">
        <v>1272</v>
      </c>
      <c r="C321" s="37" t="str">
        <f>IF(B321="","",(VLOOKUP(B321,'Dados de PN'!$A:$B,2,0)))</f>
        <v>NUT,PLAIN,CASTELLATED,HEXAGON</v>
      </c>
      <c r="D321" s="155"/>
      <c r="E321" s="136" t="s">
        <v>32</v>
      </c>
      <c r="F321" s="155" t="s">
        <v>34</v>
      </c>
      <c r="G321" s="44">
        <f t="shared" si="7"/>
        <v>1</v>
      </c>
      <c r="H321" s="155" t="s">
        <v>1273</v>
      </c>
      <c r="I321" s="137" t="s">
        <v>1257</v>
      </c>
      <c r="J321" s="155" t="s">
        <v>37</v>
      </c>
      <c r="K321" s="155" t="s">
        <v>135</v>
      </c>
      <c r="L321" s="155" t="s">
        <v>199</v>
      </c>
      <c r="M321" s="155" t="s">
        <v>61</v>
      </c>
      <c r="N321" s="155"/>
      <c r="O321" s="155"/>
      <c r="P321" s="155"/>
      <c r="Q321" s="155"/>
      <c r="R321" s="155"/>
      <c r="S321" s="155"/>
      <c r="T321" s="155"/>
      <c r="U321" s="155"/>
      <c r="V321" s="155"/>
      <c r="W321" s="76"/>
      <c r="X321" s="155"/>
      <c r="Y321" s="155"/>
      <c r="Z321" s="155"/>
      <c r="AA321" s="155"/>
      <c r="AB321" s="155"/>
      <c r="AC321" s="155"/>
      <c r="AD321" s="155"/>
    </row>
    <row r="322">
      <c r="A322" s="36" t="s">
        <v>1274</v>
      </c>
      <c r="B322" s="155" t="s">
        <v>1275</v>
      </c>
      <c r="C322" s="37" t="str">
        <f>IF(B322="","",(VLOOKUP(B322,'Dados de PN'!$A:$B,2,0)))</f>
        <v>HOSE-OVERBOAD OIL BR</v>
      </c>
      <c r="D322" s="155"/>
      <c r="E322" s="136" t="s">
        <v>32</v>
      </c>
      <c r="F322" s="155" t="s">
        <v>34</v>
      </c>
      <c r="G322" s="44">
        <f t="shared" si="7"/>
        <v>1</v>
      </c>
      <c r="H322" s="155" t="s">
        <v>1276</v>
      </c>
      <c r="I322" s="137" t="s">
        <v>1277</v>
      </c>
      <c r="J322" s="155" t="s">
        <v>37</v>
      </c>
      <c r="K322" s="155" t="s">
        <v>135</v>
      </c>
      <c r="L322" s="155" t="s">
        <v>320</v>
      </c>
      <c r="M322" s="155" t="s">
        <v>61</v>
      </c>
      <c r="N322" s="155"/>
      <c r="O322" s="155"/>
      <c r="P322" s="155"/>
      <c r="Q322" s="155"/>
      <c r="R322" s="155"/>
      <c r="S322" s="155"/>
      <c r="T322" s="155"/>
      <c r="U322" s="155"/>
      <c r="V322" s="155"/>
      <c r="W322" s="76"/>
      <c r="X322" s="155"/>
      <c r="Y322" s="155"/>
      <c r="Z322" s="155"/>
      <c r="AA322" s="155"/>
      <c r="AB322" s="155"/>
      <c r="AC322" s="155"/>
      <c r="AD322" s="155"/>
    </row>
    <row r="323">
      <c r="A323" s="36" t="s">
        <v>1278</v>
      </c>
      <c r="B323" s="155" t="s">
        <v>102</v>
      </c>
      <c r="C323" s="37" t="str">
        <f>IF(B323="","",(VLOOKUP(B323,'Dados de PN'!$A:$B,2,0)))</f>
        <v>AUTOPILOT COMPUTER/FLIGHT DIRECTOT</v>
      </c>
      <c r="D323" s="155"/>
      <c r="E323" s="136" t="s">
        <v>32</v>
      </c>
      <c r="F323" s="155" t="s">
        <v>34</v>
      </c>
      <c r="G323" s="44">
        <f t="shared" si="7"/>
        <v>1</v>
      </c>
      <c r="H323" s="155" t="s">
        <v>1279</v>
      </c>
      <c r="I323" s="137" t="s">
        <v>1064</v>
      </c>
      <c r="J323" s="155" t="s">
        <v>37</v>
      </c>
      <c r="K323" s="155" t="s">
        <v>135</v>
      </c>
      <c r="L323" s="155" t="s">
        <v>60</v>
      </c>
      <c r="M323" s="155" t="s">
        <v>61</v>
      </c>
      <c r="N323" s="155"/>
      <c r="O323" s="155"/>
      <c r="P323" s="155"/>
      <c r="Q323" s="155"/>
      <c r="R323" s="155"/>
      <c r="S323" s="155"/>
      <c r="T323" s="155"/>
      <c r="U323" s="155"/>
      <c r="V323" s="155"/>
      <c r="W323" s="76"/>
      <c r="X323" s="155"/>
      <c r="Y323" s="155"/>
      <c r="Z323" s="155"/>
      <c r="AA323" s="155"/>
      <c r="AB323" s="155"/>
      <c r="AC323" s="155"/>
      <c r="AD323" s="155"/>
    </row>
    <row r="324">
      <c r="A324" s="36" t="s">
        <v>1280</v>
      </c>
      <c r="B324" s="155" t="s">
        <v>118</v>
      </c>
      <c r="C324" s="37" t="str">
        <f>IF(B324="","",(VLOOKUP(B324,'Dados de PN'!$A:$B,2,0)))</f>
        <v>NUT,SELF-LOCKING,HEXAGON</v>
      </c>
      <c r="D324" s="155"/>
      <c r="E324" s="136" t="s">
        <v>32</v>
      </c>
      <c r="F324" s="155" t="s">
        <v>196</v>
      </c>
      <c r="G324" s="44">
        <f t="shared" si="7"/>
        <v>8</v>
      </c>
      <c r="H324" s="155" t="s">
        <v>1281</v>
      </c>
      <c r="I324" s="137" t="s">
        <v>1282</v>
      </c>
      <c r="J324" s="155" t="s">
        <v>37</v>
      </c>
      <c r="K324" s="155" t="s">
        <v>136</v>
      </c>
      <c r="L324" s="155" t="s">
        <v>403</v>
      </c>
      <c r="M324" s="155" t="s">
        <v>404</v>
      </c>
      <c r="N324" s="155"/>
      <c r="O324" s="155"/>
      <c r="P324" s="155"/>
      <c r="Q324" s="155"/>
      <c r="R324" s="155"/>
      <c r="S324" s="155"/>
      <c r="T324" s="155"/>
      <c r="U324" s="155"/>
      <c r="V324" s="155"/>
      <c r="W324" s="76"/>
      <c r="X324" s="155"/>
      <c r="Y324" s="155"/>
      <c r="Z324" s="155"/>
      <c r="AA324" s="155"/>
      <c r="AB324" s="155"/>
      <c r="AC324" s="155"/>
      <c r="AD324" s="155"/>
    </row>
    <row r="325">
      <c r="A325" s="36" t="s">
        <v>1283</v>
      </c>
      <c r="B325" s="155" t="s">
        <v>1284</v>
      </c>
      <c r="C325" s="37" t="str">
        <f>IF(B325="","",(VLOOKUP(B325,'Dados de PN'!$A:$B,2,0)))</f>
        <v>SPACER,SLEEVE</v>
      </c>
      <c r="D325" s="155"/>
      <c r="E325" s="136" t="s">
        <v>32</v>
      </c>
      <c r="F325" s="155" t="s">
        <v>196</v>
      </c>
      <c r="G325" s="44">
        <f t="shared" si="7"/>
        <v>8</v>
      </c>
      <c r="H325" s="155" t="s">
        <v>1285</v>
      </c>
      <c r="I325" s="137" t="s">
        <v>1282</v>
      </c>
      <c r="J325" s="155" t="s">
        <v>37</v>
      </c>
      <c r="K325" s="155" t="s">
        <v>136</v>
      </c>
      <c r="L325" s="155" t="s">
        <v>403</v>
      </c>
      <c r="M325" s="155" t="s">
        <v>404</v>
      </c>
      <c r="N325" s="155"/>
      <c r="O325" s="155"/>
      <c r="P325" s="155"/>
      <c r="Q325" s="155"/>
      <c r="R325" s="155"/>
      <c r="S325" s="155"/>
      <c r="T325" s="155"/>
      <c r="U325" s="155"/>
      <c r="V325" s="155"/>
      <c r="W325" s="76"/>
      <c r="X325" s="155"/>
      <c r="Y325" s="155"/>
      <c r="Z325" s="155"/>
      <c r="AA325" s="155"/>
      <c r="AB325" s="155"/>
      <c r="AC325" s="155"/>
      <c r="AD325" s="155"/>
    </row>
    <row r="326">
      <c r="A326" s="36" t="s">
        <v>1286</v>
      </c>
      <c r="B326" s="155" t="s">
        <v>925</v>
      </c>
      <c r="C326" s="37" t="str">
        <f>IF(B326="","",(VLOOKUP(B326,'Dados de PN'!$A:$B,2,0)))</f>
        <v>ANEL-O</v>
      </c>
      <c r="D326" s="155"/>
      <c r="E326" s="136" t="s">
        <v>32</v>
      </c>
      <c r="F326" s="155" t="s">
        <v>164</v>
      </c>
      <c r="G326" s="44">
        <f t="shared" si="7"/>
        <v>2</v>
      </c>
      <c r="H326" s="155" t="s">
        <v>1287</v>
      </c>
      <c r="I326" s="137" t="s">
        <v>1282</v>
      </c>
      <c r="J326" s="155" t="s">
        <v>37</v>
      </c>
      <c r="K326" s="155" t="s">
        <v>136</v>
      </c>
      <c r="L326" s="155" t="s">
        <v>403</v>
      </c>
      <c r="M326" s="155" t="s">
        <v>404</v>
      </c>
      <c r="N326" s="155"/>
      <c r="O326" s="155"/>
      <c r="P326" s="155"/>
      <c r="Q326" s="155"/>
      <c r="R326" s="155"/>
      <c r="S326" s="155"/>
      <c r="T326" s="155"/>
      <c r="U326" s="155"/>
      <c r="V326" s="155"/>
      <c r="W326" s="76"/>
      <c r="X326" s="155"/>
      <c r="Y326" s="155"/>
      <c r="Z326" s="155"/>
      <c r="AA326" s="155"/>
      <c r="AB326" s="155"/>
      <c r="AC326" s="155"/>
      <c r="AD326" s="155"/>
    </row>
    <row r="327">
      <c r="A327" s="36" t="s">
        <v>1288</v>
      </c>
      <c r="B327" s="155" t="s">
        <v>1289</v>
      </c>
      <c r="C327" s="37" t="str">
        <f>IF(B327="","",(VLOOKUP(B327,'Dados de PN'!$A:$B,2,0)))</f>
        <v>INDICATOR, GYRO-HORIZON</v>
      </c>
      <c r="D327" s="155" t="s">
        <v>1290</v>
      </c>
      <c r="E327" s="155" t="s">
        <v>81</v>
      </c>
      <c r="F327" s="155" t="s">
        <v>34</v>
      </c>
      <c r="G327" s="44">
        <f t="shared" si="7"/>
        <v>1</v>
      </c>
      <c r="H327" s="155" t="s">
        <v>1291</v>
      </c>
      <c r="I327" s="155" t="s">
        <v>1292</v>
      </c>
      <c r="J327" s="155" t="s">
        <v>37</v>
      </c>
      <c r="K327" s="155" t="s">
        <v>137</v>
      </c>
      <c r="L327" s="155" t="s">
        <v>422</v>
      </c>
      <c r="M327" s="155" t="s">
        <v>423</v>
      </c>
      <c r="N327" s="155"/>
      <c r="O327" s="155"/>
      <c r="P327" s="155"/>
      <c r="Q327" s="155"/>
      <c r="R327" s="155"/>
      <c r="S327" s="155"/>
      <c r="T327" s="155"/>
      <c r="U327" s="155"/>
      <c r="V327" s="155"/>
      <c r="W327" s="76"/>
      <c r="X327" s="155"/>
      <c r="Y327" s="155"/>
      <c r="Z327" s="155"/>
      <c r="AA327" s="155"/>
      <c r="AB327" s="155"/>
      <c r="AC327" s="155"/>
      <c r="AD327" s="155"/>
    </row>
    <row r="328">
      <c r="A328" s="36" t="s">
        <v>1293</v>
      </c>
      <c r="B328" s="155" t="s">
        <v>1294</v>
      </c>
      <c r="C328" s="37" t="str">
        <f>IF(B328="","",(VLOOKUP(B328,'Dados de PN'!$A:$B,2,0)))</f>
        <v>TRANSDUCER</v>
      </c>
      <c r="D328" s="155" t="s">
        <v>1295</v>
      </c>
      <c r="E328" s="155" t="s">
        <v>81</v>
      </c>
      <c r="F328" s="155" t="s">
        <v>34</v>
      </c>
      <c r="G328" s="44">
        <f t="shared" si="7"/>
        <v>1</v>
      </c>
      <c r="H328" s="155" t="s">
        <v>1296</v>
      </c>
      <c r="I328" s="155" t="s">
        <v>1292</v>
      </c>
      <c r="J328" s="155" t="s">
        <v>37</v>
      </c>
      <c r="K328" s="155" t="s">
        <v>137</v>
      </c>
      <c r="L328" s="155" t="s">
        <v>422</v>
      </c>
      <c r="M328" s="155" t="s">
        <v>423</v>
      </c>
      <c r="N328" s="155"/>
      <c r="O328" s="155"/>
      <c r="P328" s="155"/>
      <c r="Q328" s="155"/>
      <c r="R328" s="155"/>
      <c r="S328" s="155"/>
      <c r="T328" s="155"/>
      <c r="U328" s="155"/>
      <c r="V328" s="155"/>
      <c r="W328" s="76"/>
      <c r="X328" s="155"/>
      <c r="Y328" s="155"/>
      <c r="Z328" s="155"/>
      <c r="AA328" s="155"/>
      <c r="AB328" s="155"/>
      <c r="AC328" s="155"/>
      <c r="AD328" s="155"/>
    </row>
    <row r="329">
      <c r="A329" s="36" t="s">
        <v>1297</v>
      </c>
      <c r="B329" s="155" t="s">
        <v>337</v>
      </c>
      <c r="C329" s="37" t="str">
        <f>IF(B329="","",(VLOOKUP(B329,'Dados de PN'!$A:$B,2,0)))</f>
        <v>IND DE COMANDO DE VOO</v>
      </c>
      <c r="D329" s="155" t="s">
        <v>1298</v>
      </c>
      <c r="E329" s="155" t="s">
        <v>81</v>
      </c>
      <c r="F329" s="155" t="s">
        <v>34</v>
      </c>
      <c r="G329" s="44">
        <f t="shared" si="7"/>
        <v>1</v>
      </c>
      <c r="H329" s="155"/>
      <c r="I329" s="155" t="s">
        <v>1299</v>
      </c>
      <c r="J329" s="155" t="s">
        <v>37</v>
      </c>
      <c r="K329" s="155" t="s">
        <v>137</v>
      </c>
      <c r="L329" s="155" t="s">
        <v>320</v>
      </c>
      <c r="M329" s="155" t="s">
        <v>61</v>
      </c>
      <c r="N329" s="155"/>
      <c r="O329" s="155"/>
      <c r="P329" s="155"/>
      <c r="Q329" s="155"/>
      <c r="R329" s="155"/>
      <c r="S329" s="155"/>
      <c r="T329" s="155"/>
      <c r="U329" s="155"/>
      <c r="V329" s="155"/>
      <c r="W329" s="76"/>
      <c r="X329" s="155"/>
      <c r="Y329" s="155"/>
      <c r="Z329" s="155"/>
      <c r="AA329" s="155"/>
      <c r="AB329" s="155"/>
      <c r="AC329" s="155"/>
      <c r="AD329" s="155"/>
    </row>
    <row r="330">
      <c r="A330" s="36" t="s">
        <v>1300</v>
      </c>
      <c r="B330" s="155" t="s">
        <v>337</v>
      </c>
      <c r="C330" s="37" t="str">
        <f>IF(B330="","",(VLOOKUP(B330,'Dados de PN'!$A:$B,2,0)))</f>
        <v>IND DE COMANDO DE VOO</v>
      </c>
      <c r="D330" s="155" t="s">
        <v>1301</v>
      </c>
      <c r="E330" s="155" t="s">
        <v>81</v>
      </c>
      <c r="F330" s="155" t="s">
        <v>34</v>
      </c>
      <c r="G330" s="44">
        <f t="shared" si="7"/>
        <v>1</v>
      </c>
      <c r="H330" s="155"/>
      <c r="I330" s="155" t="s">
        <v>1299</v>
      </c>
      <c r="J330" s="155" t="s">
        <v>37</v>
      </c>
      <c r="K330" s="155" t="s">
        <v>137</v>
      </c>
      <c r="L330" s="155" t="s">
        <v>232</v>
      </c>
      <c r="M330" s="155" t="s">
        <v>61</v>
      </c>
      <c r="N330" s="155"/>
      <c r="O330" s="155"/>
      <c r="P330" s="155"/>
      <c r="Q330" s="155"/>
      <c r="R330" s="155"/>
      <c r="S330" s="155"/>
      <c r="T330" s="155"/>
      <c r="U330" s="155"/>
      <c r="V330" s="155"/>
      <c r="W330" s="76"/>
      <c r="X330" s="155"/>
      <c r="Y330" s="155"/>
      <c r="Z330" s="155"/>
      <c r="AA330" s="155"/>
      <c r="AB330" s="155"/>
      <c r="AC330" s="155"/>
      <c r="AD330" s="155"/>
    </row>
    <row r="331">
      <c r="A331" s="36" t="s">
        <v>1302</v>
      </c>
      <c r="B331" s="155" t="s">
        <v>1303</v>
      </c>
      <c r="C331" s="37" t="str">
        <f>IF(B331="","",(VLOOKUP(B331,'Dados de PN'!$A:$B,2,0)))</f>
        <v>EYELET,TURNLOCK FASTENER</v>
      </c>
      <c r="D331" s="155"/>
      <c r="E331" s="155" t="s">
        <v>32</v>
      </c>
      <c r="F331" s="155" t="s">
        <v>346</v>
      </c>
      <c r="G331" s="44">
        <f t="shared" si="7"/>
        <v>10</v>
      </c>
      <c r="H331" s="155" t="s">
        <v>1304</v>
      </c>
      <c r="I331" s="155" t="s">
        <v>1305</v>
      </c>
      <c r="J331" s="155" t="s">
        <v>37</v>
      </c>
      <c r="K331" s="155" t="s">
        <v>137</v>
      </c>
      <c r="L331" s="155" t="s">
        <v>168</v>
      </c>
      <c r="M331" s="155" t="s">
        <v>169</v>
      </c>
      <c r="N331" s="155"/>
      <c r="O331" s="155"/>
      <c r="P331" s="155"/>
      <c r="Q331" s="155"/>
      <c r="R331" s="155"/>
      <c r="S331" s="155"/>
      <c r="T331" s="155"/>
      <c r="U331" s="155"/>
      <c r="V331" s="155"/>
      <c r="W331" s="76"/>
      <c r="X331" s="155"/>
      <c r="Y331" s="155"/>
      <c r="Z331" s="155"/>
      <c r="AA331" s="155"/>
      <c r="AB331" s="155"/>
      <c r="AC331" s="155"/>
      <c r="AD331" s="155"/>
    </row>
    <row r="332">
      <c r="A332" s="36" t="s">
        <v>1306</v>
      </c>
      <c r="B332" s="155" t="s">
        <v>1307</v>
      </c>
      <c r="C332" s="37" t="str">
        <f>IF(B332="","",(VLOOKUP(B332,'Dados de PN'!$A:$B,2,0)))</f>
        <v>RESISTOR</v>
      </c>
      <c r="D332" s="155"/>
      <c r="E332" s="155" t="s">
        <v>32</v>
      </c>
      <c r="F332" s="155" t="s">
        <v>34</v>
      </c>
      <c r="G332" s="44">
        <f t="shared" si="7"/>
        <v>1</v>
      </c>
      <c r="H332" s="155" t="s">
        <v>1308</v>
      </c>
      <c r="I332" s="137" t="s">
        <v>1309</v>
      </c>
      <c r="J332" s="155" t="s">
        <v>37</v>
      </c>
      <c r="K332" s="155" t="s">
        <v>139</v>
      </c>
      <c r="L332" s="155" t="s">
        <v>543</v>
      </c>
      <c r="M332" s="155" t="s">
        <v>544</v>
      </c>
      <c r="N332" s="155"/>
      <c r="O332" s="155"/>
      <c r="P332" s="155"/>
      <c r="Q332" s="155"/>
      <c r="R332" s="155"/>
      <c r="S332" s="155"/>
      <c r="T332" s="155"/>
      <c r="U332" s="155"/>
      <c r="V332" s="155"/>
      <c r="W332" s="76"/>
      <c r="X332" s="155"/>
      <c r="Y332" s="155"/>
      <c r="Z332" s="155"/>
      <c r="AA332" s="155"/>
      <c r="AB332" s="155"/>
      <c r="AC332" s="155"/>
      <c r="AD332" s="155"/>
    </row>
    <row r="333">
      <c r="A333" s="36" t="s">
        <v>1310</v>
      </c>
      <c r="B333" s="37" t="s">
        <v>235</v>
      </c>
      <c r="C333" s="37" t="str">
        <f>IF(B333="","",(VLOOKUP(B333,'Dados de PN'!$A:$B,2,0)))</f>
        <v>CONTROL,DIRECTIONAL,AUTOMATIC PILOT</v>
      </c>
      <c r="D333" s="36"/>
      <c r="E333" s="155" t="s">
        <v>32</v>
      </c>
      <c r="F333" s="155" t="s">
        <v>34</v>
      </c>
      <c r="G333" s="44">
        <f t="shared" si="7"/>
        <v>1</v>
      </c>
      <c r="H333" s="37" t="s">
        <v>1311</v>
      </c>
      <c r="I333" s="137" t="s">
        <v>1312</v>
      </c>
      <c r="J333" s="155" t="s">
        <v>37</v>
      </c>
      <c r="K333" s="37" t="s">
        <v>141</v>
      </c>
      <c r="L333" s="37" t="s">
        <v>199</v>
      </c>
      <c r="M333" s="155" t="s">
        <v>61</v>
      </c>
      <c r="N333" s="36"/>
      <c r="O333" s="155"/>
      <c r="P333" s="155"/>
      <c r="Q333" s="155"/>
      <c r="R333" s="155"/>
      <c r="S333" s="155"/>
      <c r="T333" s="155"/>
      <c r="U333" s="155"/>
      <c r="V333" s="155"/>
      <c r="W333" s="76"/>
      <c r="X333" s="155"/>
      <c r="Y333" s="155"/>
      <c r="Z333" s="155"/>
      <c r="AA333" s="155"/>
      <c r="AB333" s="155"/>
      <c r="AC333" s="155"/>
      <c r="AD333" s="155"/>
    </row>
    <row r="334">
      <c r="A334" s="36" t="s">
        <v>1313</v>
      </c>
      <c r="B334" s="37" t="s">
        <v>138</v>
      </c>
      <c r="C334" s="37" t="str">
        <f>IF(B334="","",(VLOOKUP(B334,'Dados de PN'!$A:$B,2,0)))</f>
        <v>COMPUTADOR DO PILOTO AUTOMÁTICO</v>
      </c>
      <c r="D334" s="36"/>
      <c r="E334" s="155" t="s">
        <v>32</v>
      </c>
      <c r="F334" s="155" t="s">
        <v>34</v>
      </c>
      <c r="G334" s="44">
        <f t="shared" si="7"/>
        <v>1</v>
      </c>
      <c r="H334" s="37" t="s">
        <v>1314</v>
      </c>
      <c r="I334" s="137" t="s">
        <v>1315</v>
      </c>
      <c r="J334" s="155" t="s">
        <v>37</v>
      </c>
      <c r="K334" s="37" t="s">
        <v>141</v>
      </c>
      <c r="L334" s="37" t="s">
        <v>953</v>
      </c>
      <c r="M334" s="155" t="s">
        <v>61</v>
      </c>
      <c r="N334" s="36"/>
      <c r="O334" s="155"/>
      <c r="P334" s="155"/>
      <c r="Q334" s="155"/>
      <c r="R334" s="155"/>
      <c r="S334" s="155"/>
      <c r="T334" s="155"/>
      <c r="U334" s="155"/>
      <c r="V334" s="155"/>
      <c r="W334" s="76"/>
      <c r="X334" s="155"/>
      <c r="Y334" s="155"/>
      <c r="Z334" s="155"/>
      <c r="AA334" s="155"/>
      <c r="AB334" s="155"/>
      <c r="AC334" s="155"/>
      <c r="AD334" s="155"/>
    </row>
    <row r="335">
      <c r="A335" s="36" t="s">
        <v>1316</v>
      </c>
      <c r="B335" s="37" t="s">
        <v>1317</v>
      </c>
      <c r="C335" s="37" t="str">
        <f>IF(B335="","",(VLOOKUP(B335,'Dados de PN'!$A:$B,2,0)))</f>
        <v>SWITCH NAV</v>
      </c>
      <c r="D335" s="36"/>
      <c r="E335" s="155" t="s">
        <v>32</v>
      </c>
      <c r="F335" s="155" t="s">
        <v>34</v>
      </c>
      <c r="G335" s="44">
        <f t="shared" si="7"/>
        <v>1</v>
      </c>
      <c r="H335" s="37" t="s">
        <v>1318</v>
      </c>
      <c r="I335" s="137" t="s">
        <v>1315</v>
      </c>
      <c r="J335" s="155" t="s">
        <v>37</v>
      </c>
      <c r="K335" s="37" t="s">
        <v>141</v>
      </c>
      <c r="L335" s="37" t="s">
        <v>953</v>
      </c>
      <c r="M335" s="155" t="s">
        <v>61</v>
      </c>
      <c r="N335" s="36"/>
      <c r="O335" s="155"/>
      <c r="P335" s="155"/>
      <c r="Q335" s="155"/>
      <c r="R335" s="155"/>
      <c r="S335" s="155"/>
      <c r="T335" s="155"/>
      <c r="U335" s="155"/>
      <c r="V335" s="155"/>
      <c r="W335" s="76"/>
      <c r="X335" s="155"/>
      <c r="Y335" s="155"/>
      <c r="Z335" s="155"/>
      <c r="AA335" s="155"/>
      <c r="AB335" s="155"/>
      <c r="AC335" s="155"/>
      <c r="AD335" s="155"/>
    </row>
    <row r="336">
      <c r="A336" s="36" t="s">
        <v>1319</v>
      </c>
      <c r="B336" s="37" t="s">
        <v>138</v>
      </c>
      <c r="C336" s="37" t="str">
        <f>IF(B336="","",(VLOOKUP(B336,'Dados de PN'!$A:$B,2,0)))</f>
        <v>COMPUTADOR DO PILOTO AUTOMÁTICO</v>
      </c>
      <c r="D336" s="36"/>
      <c r="E336" s="155" t="s">
        <v>32</v>
      </c>
      <c r="F336" s="155" t="s">
        <v>34</v>
      </c>
      <c r="G336" s="44">
        <f t="shared" si="7"/>
        <v>1</v>
      </c>
      <c r="H336" s="37" t="s">
        <v>1320</v>
      </c>
      <c r="I336" s="137" t="s">
        <v>1321</v>
      </c>
      <c r="J336" s="155" t="s">
        <v>37</v>
      </c>
      <c r="K336" s="37" t="s">
        <v>141</v>
      </c>
      <c r="L336" s="37" t="s">
        <v>320</v>
      </c>
      <c r="M336" s="155" t="s">
        <v>61</v>
      </c>
      <c r="N336" s="36"/>
      <c r="O336" s="155"/>
      <c r="P336" s="155"/>
      <c r="Q336" s="155"/>
      <c r="R336" s="155"/>
      <c r="S336" s="155"/>
      <c r="T336" s="155"/>
      <c r="U336" s="155"/>
      <c r="V336" s="155"/>
      <c r="W336" s="76"/>
      <c r="X336" s="155"/>
      <c r="Y336" s="155"/>
      <c r="Z336" s="155"/>
      <c r="AA336" s="155"/>
      <c r="AB336" s="155"/>
      <c r="AC336" s="155"/>
      <c r="AD336" s="155"/>
    </row>
    <row r="337">
      <c r="A337" s="36" t="s">
        <v>1322</v>
      </c>
      <c r="B337" s="37" t="s">
        <v>1323</v>
      </c>
      <c r="C337" s="37" t="str">
        <f>IF(B337="","",(VLOOKUP(B337,'Dados de PN'!$A:$B,2,0)))</f>
        <v>PAN ASSY OIL DRIP</v>
      </c>
      <c r="D337" s="36"/>
      <c r="E337" s="155" t="s">
        <v>32</v>
      </c>
      <c r="F337" s="155" t="s">
        <v>34</v>
      </c>
      <c r="G337" s="44">
        <f t="shared" si="7"/>
        <v>1</v>
      </c>
      <c r="H337" s="37" t="s">
        <v>1324</v>
      </c>
      <c r="I337" s="137" t="s">
        <v>1325</v>
      </c>
      <c r="J337" s="155" t="s">
        <v>37</v>
      </c>
      <c r="K337" s="37" t="s">
        <v>141</v>
      </c>
      <c r="L337" s="37" t="s">
        <v>60</v>
      </c>
      <c r="M337" s="155" t="s">
        <v>61</v>
      </c>
      <c r="N337" s="36"/>
      <c r="O337" s="155"/>
      <c r="P337" s="155"/>
      <c r="Q337" s="155"/>
      <c r="R337" s="155"/>
      <c r="S337" s="155"/>
      <c r="T337" s="155"/>
      <c r="U337" s="155"/>
      <c r="V337" s="155"/>
      <c r="W337" s="76"/>
      <c r="X337" s="155"/>
      <c r="Y337" s="155"/>
      <c r="Z337" s="155"/>
      <c r="AA337" s="155"/>
      <c r="AB337" s="155"/>
      <c r="AC337" s="155"/>
      <c r="AD337" s="155"/>
    </row>
    <row r="338">
      <c r="A338" s="36" t="s">
        <v>1326</v>
      </c>
      <c r="B338" s="37" t="s">
        <v>1327</v>
      </c>
      <c r="C338" s="37" t="str">
        <f>IF(B338="","",(VLOOKUP(B338,'Dados de PN'!$A:$B,2,0)))</f>
        <v>BOLT,SHEAR</v>
      </c>
      <c r="D338" s="36"/>
      <c r="E338" s="155" t="s">
        <v>32</v>
      </c>
      <c r="F338" s="37" t="s">
        <v>826</v>
      </c>
      <c r="G338" s="44">
        <f t="shared" si="7"/>
        <v>5</v>
      </c>
      <c r="H338" s="37" t="s">
        <v>1328</v>
      </c>
      <c r="I338" s="137" t="s">
        <v>1325</v>
      </c>
      <c r="J338" s="155" t="s">
        <v>37</v>
      </c>
      <c r="K338" s="37" t="s">
        <v>141</v>
      </c>
      <c r="L338" s="37" t="s">
        <v>60</v>
      </c>
      <c r="M338" s="155" t="s">
        <v>61</v>
      </c>
      <c r="N338" s="36"/>
      <c r="O338" s="155"/>
      <c r="P338" s="155"/>
      <c r="Q338" s="155"/>
      <c r="R338" s="155"/>
      <c r="S338" s="155"/>
      <c r="T338" s="155"/>
      <c r="U338" s="155"/>
      <c r="V338" s="155"/>
      <c r="W338" s="76"/>
      <c r="X338" s="155"/>
      <c r="Y338" s="155"/>
      <c r="Z338" s="155"/>
      <c r="AA338" s="155"/>
      <c r="AB338" s="155"/>
      <c r="AC338" s="155"/>
      <c r="AD338" s="155"/>
    </row>
    <row r="339">
      <c r="A339" s="36" t="s">
        <v>1329</v>
      </c>
      <c r="B339" s="37" t="s">
        <v>1330</v>
      </c>
      <c r="C339" s="37" t="str">
        <f>IF(B339="","",(VLOOKUP(B339,'Dados de PN'!$A:$B,2,0)))</f>
        <v>LENS CLEAR</v>
      </c>
      <c r="D339" s="36"/>
      <c r="E339" s="155" t="s">
        <v>32</v>
      </c>
      <c r="F339" s="155" t="s">
        <v>34</v>
      </c>
      <c r="G339" s="44">
        <f t="shared" si="7"/>
        <v>1</v>
      </c>
      <c r="H339" s="37" t="s">
        <v>1331</v>
      </c>
      <c r="I339" s="137" t="s">
        <v>1312</v>
      </c>
      <c r="J339" s="155" t="s">
        <v>37</v>
      </c>
      <c r="K339" s="37" t="s">
        <v>141</v>
      </c>
      <c r="L339" s="37" t="s">
        <v>199</v>
      </c>
      <c r="M339" s="155" t="s">
        <v>61</v>
      </c>
      <c r="N339" s="36"/>
      <c r="O339" s="155"/>
      <c r="P339" s="155"/>
      <c r="Q339" s="155"/>
      <c r="R339" s="155"/>
      <c r="S339" s="155"/>
      <c r="T339" s="155"/>
      <c r="U339" s="155"/>
      <c r="V339" s="155"/>
      <c r="W339" s="76"/>
      <c r="X339" s="155"/>
      <c r="Y339" s="155"/>
      <c r="Z339" s="155"/>
      <c r="AA339" s="155"/>
      <c r="AB339" s="155"/>
      <c r="AC339" s="155"/>
      <c r="AD339" s="155"/>
    </row>
    <row r="340">
      <c r="A340" s="36" t="s">
        <v>1332</v>
      </c>
      <c r="B340" s="37" t="s">
        <v>1333</v>
      </c>
      <c r="C340" s="37" t="str">
        <f>IF(B340="","",(VLOOKUP(B340,'Dados de PN'!$A:$B,2,0)))</f>
        <v> BEARING,PLAIN,ROD END</v>
      </c>
      <c r="D340" s="36"/>
      <c r="E340" s="155" t="s">
        <v>32</v>
      </c>
      <c r="F340" s="155" t="s">
        <v>34</v>
      </c>
      <c r="G340" s="44">
        <f t="shared" si="7"/>
        <v>1</v>
      </c>
      <c r="H340" s="37" t="s">
        <v>1334</v>
      </c>
      <c r="I340" s="137" t="s">
        <v>1325</v>
      </c>
      <c r="J340" s="155" t="s">
        <v>37</v>
      </c>
      <c r="K340" s="37" t="s">
        <v>141</v>
      </c>
      <c r="L340" s="37" t="s">
        <v>60</v>
      </c>
      <c r="M340" s="155" t="s">
        <v>61</v>
      </c>
      <c r="N340" s="36"/>
      <c r="O340" s="155"/>
      <c r="P340" s="155"/>
      <c r="Q340" s="155"/>
      <c r="R340" s="155"/>
      <c r="S340" s="155"/>
      <c r="T340" s="155"/>
      <c r="U340" s="155"/>
      <c r="V340" s="155"/>
      <c r="W340" s="76"/>
      <c r="X340" s="155"/>
      <c r="Y340" s="155"/>
      <c r="Z340" s="155"/>
      <c r="AA340" s="155"/>
      <c r="AB340" s="155"/>
      <c r="AC340" s="155"/>
      <c r="AD340" s="155"/>
    </row>
    <row r="341">
      <c r="A341" s="36" t="s">
        <v>1335</v>
      </c>
      <c r="B341" s="37" t="s">
        <v>1336</v>
      </c>
      <c r="C341" s="37" t="str">
        <f>IF(B341="","",(VLOOKUP(B341,'Dados de PN'!$A:$B,2,0)))</f>
        <v>MAGNETOMETER GMU 44 </v>
      </c>
      <c r="D341" s="36"/>
      <c r="E341" s="37" t="s">
        <v>81</v>
      </c>
      <c r="F341" s="155" t="s">
        <v>34</v>
      </c>
      <c r="G341" s="44">
        <f t="shared" si="7"/>
        <v>1</v>
      </c>
      <c r="H341" s="37" t="s">
        <v>1337</v>
      </c>
      <c r="I341" s="137" t="s">
        <v>1338</v>
      </c>
      <c r="J341" s="155" t="s">
        <v>1339</v>
      </c>
      <c r="K341" s="37" t="s">
        <v>142</v>
      </c>
      <c r="L341" s="37" t="s">
        <v>961</v>
      </c>
      <c r="M341" s="37" t="s">
        <v>51</v>
      </c>
      <c r="N341" s="36"/>
      <c r="O341" s="155"/>
      <c r="P341" s="155"/>
      <c r="Q341" s="155"/>
      <c r="R341" s="155"/>
      <c r="S341" s="155"/>
      <c r="T341" s="155"/>
      <c r="U341" s="155"/>
      <c r="V341" s="155"/>
      <c r="W341" s="76"/>
      <c r="X341" s="155"/>
      <c r="Y341" s="155"/>
      <c r="Z341" s="155"/>
      <c r="AA341" s="155"/>
      <c r="AB341" s="155"/>
      <c r="AC341" s="155"/>
      <c r="AD341" s="155"/>
    </row>
    <row r="342">
      <c r="A342" s="36" t="s">
        <v>1340</v>
      </c>
      <c r="B342" s="37" t="s">
        <v>1341</v>
      </c>
      <c r="C342" s="37" t="str">
        <f>IF(B342="","",(VLOOKUP(B342,'Dados de PN'!$A:$B,2,0)))</f>
        <v>CONNECTOR,PLUG,ELECT..</v>
      </c>
      <c r="D342" s="37"/>
      <c r="E342" s="155" t="s">
        <v>32</v>
      </c>
      <c r="F342" s="155" t="s">
        <v>34</v>
      </c>
      <c r="G342" s="44">
        <f t="shared" si="7"/>
        <v>1</v>
      </c>
      <c r="H342" s="37" t="s">
        <v>1342</v>
      </c>
      <c r="I342" s="137" t="s">
        <v>1257</v>
      </c>
      <c r="J342" s="37" t="s">
        <v>256</v>
      </c>
      <c r="K342" s="37" t="s">
        <v>142</v>
      </c>
      <c r="L342" s="37" t="s">
        <v>199</v>
      </c>
      <c r="M342" s="37" t="s">
        <v>61</v>
      </c>
      <c r="N342" s="37"/>
      <c r="O342" s="37"/>
      <c r="P342" s="37"/>
      <c r="Q342" s="37"/>
      <c r="R342" s="37"/>
      <c r="S342" s="37"/>
      <c r="T342" s="37"/>
      <c r="U342" s="37"/>
      <c r="V342" s="37"/>
      <c r="W342" s="93"/>
      <c r="X342" s="37"/>
      <c r="Y342" s="37"/>
      <c r="Z342" s="37"/>
      <c r="AA342" s="37"/>
      <c r="AB342" s="37"/>
      <c r="AC342" s="37"/>
      <c r="AD342" s="37"/>
    </row>
    <row r="343">
      <c r="A343" s="36" t="s">
        <v>1343</v>
      </c>
      <c r="B343" s="37" t="s">
        <v>1344</v>
      </c>
      <c r="C343" s="37" t="str">
        <f>IF(B343="","",(VLOOKUP(B343,'Dados de PN'!$A:$B,2,0)))</f>
        <v>WINDOW</v>
      </c>
      <c r="D343" s="37"/>
      <c r="E343" s="155" t="s">
        <v>32</v>
      </c>
      <c r="F343" s="155" t="s">
        <v>164</v>
      </c>
      <c r="G343" s="44">
        <f t="shared" si="7"/>
        <v>2</v>
      </c>
      <c r="H343" s="37" t="s">
        <v>1345</v>
      </c>
      <c r="I343" s="137" t="s">
        <v>1277</v>
      </c>
      <c r="J343" s="155" t="s">
        <v>37</v>
      </c>
      <c r="K343" s="37" t="s">
        <v>143</v>
      </c>
      <c r="L343" s="37" t="s">
        <v>320</v>
      </c>
      <c r="M343" s="37" t="s">
        <v>61</v>
      </c>
      <c r="N343" s="37"/>
      <c r="O343" s="37"/>
      <c r="P343" s="37"/>
      <c r="Q343" s="37"/>
      <c r="R343" s="37"/>
      <c r="S343" s="37"/>
      <c r="T343" s="37"/>
      <c r="U343" s="37"/>
      <c r="V343" s="37"/>
      <c r="W343" s="93"/>
      <c r="X343" s="37"/>
      <c r="Y343" s="37"/>
      <c r="Z343" s="37"/>
      <c r="AA343" s="37"/>
      <c r="AB343" s="37"/>
      <c r="AC343" s="37"/>
      <c r="AD343" s="37"/>
    </row>
    <row r="344">
      <c r="A344" s="36" t="s">
        <v>1346</v>
      </c>
      <c r="B344" s="37" t="s">
        <v>1347</v>
      </c>
      <c r="C344" s="37" t="str">
        <f>IF(B344="","",(VLOOKUP(B344,'Dados de PN'!$A:$B,2,0)))</f>
        <v>BLOCK GROUNDIN</v>
      </c>
      <c r="D344" s="37"/>
      <c r="E344" s="155" t="s">
        <v>32</v>
      </c>
      <c r="F344" s="155" t="s">
        <v>164</v>
      </c>
      <c r="G344" s="44">
        <f t="shared" si="7"/>
        <v>2</v>
      </c>
      <c r="H344" s="37" t="s">
        <v>1348</v>
      </c>
      <c r="I344" s="137" t="s">
        <v>1349</v>
      </c>
      <c r="J344" s="37" t="s">
        <v>37</v>
      </c>
      <c r="K344" s="37" t="s">
        <v>143</v>
      </c>
      <c r="L344" s="37" t="s">
        <v>422</v>
      </c>
      <c r="M344" s="37" t="s">
        <v>1350</v>
      </c>
      <c r="N344" s="37"/>
      <c r="O344" s="37"/>
      <c r="P344" s="37"/>
      <c r="Q344" s="37"/>
      <c r="R344" s="37"/>
      <c r="S344" s="37"/>
      <c r="T344" s="37"/>
      <c r="U344" s="37"/>
      <c r="V344" s="37"/>
      <c r="W344" s="93"/>
      <c r="X344" s="37"/>
      <c r="Y344" s="37"/>
      <c r="Z344" s="37"/>
      <c r="AA344" s="37"/>
      <c r="AB344" s="37"/>
      <c r="AC344" s="37"/>
      <c r="AD344" s="37"/>
    </row>
    <row r="345">
      <c r="A345" s="36" t="s">
        <v>1351</v>
      </c>
      <c r="B345" s="37" t="s">
        <v>1352</v>
      </c>
      <c r="C345" s="37" t="str">
        <f>IF(B345="","",(VLOOKUP(B345,'Dados de PN'!$A:$B,2,0)))</f>
        <v>LAMP,INCANDESCENT</v>
      </c>
      <c r="D345" s="37"/>
      <c r="E345" s="155" t="s">
        <v>32</v>
      </c>
      <c r="F345" s="155" t="s">
        <v>340</v>
      </c>
      <c r="G345" s="44">
        <f t="shared" si="7"/>
        <v>3</v>
      </c>
      <c r="H345" s="37" t="s">
        <v>1353</v>
      </c>
      <c r="I345" s="137" t="s">
        <v>1349</v>
      </c>
      <c r="J345" s="155" t="s">
        <v>37</v>
      </c>
      <c r="K345" s="37" t="s">
        <v>143</v>
      </c>
      <c r="L345" s="37" t="s">
        <v>422</v>
      </c>
      <c r="M345" s="37" t="s">
        <v>1350</v>
      </c>
      <c r="N345" s="37"/>
      <c r="O345" s="37"/>
      <c r="P345" s="37"/>
      <c r="Q345" s="37"/>
      <c r="R345" s="37"/>
      <c r="S345" s="37"/>
      <c r="T345" s="37"/>
      <c r="U345" s="37"/>
      <c r="V345" s="37"/>
      <c r="W345" s="93"/>
      <c r="X345" s="37"/>
      <c r="Y345" s="37"/>
      <c r="Z345" s="37"/>
      <c r="AA345" s="37"/>
      <c r="AB345" s="37"/>
      <c r="AC345" s="37"/>
      <c r="AD345" s="37"/>
    </row>
    <row r="346">
      <c r="A346" s="36" t="s">
        <v>1354</v>
      </c>
      <c r="B346" s="37" t="s">
        <v>1355</v>
      </c>
      <c r="C346" s="37" t="str">
        <f>IF(B346="","",(VLOOKUP(B346,'Dados de PN'!$A:$B,2,0)))</f>
        <v>LAMP,INCANDESCENT</v>
      </c>
      <c r="D346" s="37"/>
      <c r="E346" s="155" t="s">
        <v>32</v>
      </c>
      <c r="F346" s="155" t="s">
        <v>34</v>
      </c>
      <c r="G346" s="44">
        <f t="shared" si="7"/>
        <v>1</v>
      </c>
      <c r="H346" s="37" t="s">
        <v>1356</v>
      </c>
      <c r="I346" s="137" t="s">
        <v>1349</v>
      </c>
      <c r="J346" s="37" t="s">
        <v>256</v>
      </c>
      <c r="K346" s="37" t="s">
        <v>143</v>
      </c>
      <c r="L346" s="37" t="s">
        <v>422</v>
      </c>
      <c r="M346" s="37" t="s">
        <v>1350</v>
      </c>
      <c r="N346" s="37"/>
      <c r="O346" s="37"/>
      <c r="P346" s="37"/>
      <c r="Q346" s="37"/>
      <c r="R346" s="37"/>
      <c r="S346" s="37"/>
      <c r="T346" s="37"/>
      <c r="U346" s="37"/>
      <c r="V346" s="37"/>
      <c r="W346" s="93"/>
      <c r="X346" s="37"/>
      <c r="Y346" s="37"/>
      <c r="Z346" s="37"/>
      <c r="AA346" s="37"/>
      <c r="AB346" s="37"/>
      <c r="AC346" s="37"/>
      <c r="AD346" s="37"/>
    </row>
    <row r="347">
      <c r="A347" s="36" t="s">
        <v>1357</v>
      </c>
      <c r="B347" s="37"/>
      <c r="C347" s="37"/>
      <c r="D347" s="37"/>
      <c r="E347" s="37"/>
      <c r="F347" s="37"/>
      <c r="G347" s="37"/>
      <c r="H347" s="37"/>
      <c r="I347" s="37"/>
      <c r="J347" s="37"/>
      <c r="K347" s="37"/>
      <c r="L347" s="37"/>
      <c r="M347" s="37"/>
      <c r="N347" s="37"/>
      <c r="O347" s="37"/>
      <c r="P347" s="37"/>
      <c r="Q347" s="37"/>
      <c r="R347" s="37"/>
      <c r="S347" s="37"/>
      <c r="T347" s="37"/>
      <c r="U347" s="37"/>
      <c r="V347" s="37"/>
      <c r="W347" s="93"/>
      <c r="X347" s="37"/>
      <c r="Y347" s="37"/>
      <c r="Z347" s="37"/>
      <c r="AA347" s="37"/>
      <c r="AB347" s="37"/>
      <c r="AC347" s="37"/>
      <c r="AD347" s="37"/>
    </row>
    <row r="348">
      <c r="A348" s="36" t="s">
        <v>1358</v>
      </c>
      <c r="B348" s="37"/>
      <c r="C348" s="37"/>
      <c r="D348" s="37"/>
      <c r="E348" s="37"/>
      <c r="F348" s="37"/>
      <c r="G348" s="37"/>
      <c r="H348" s="37"/>
      <c r="I348" s="37"/>
      <c r="J348" s="37"/>
      <c r="K348" s="37"/>
      <c r="L348" s="37"/>
      <c r="M348" s="37"/>
      <c r="N348" s="37"/>
      <c r="O348" s="37"/>
      <c r="P348" s="37"/>
      <c r="Q348" s="37"/>
      <c r="R348" s="37"/>
      <c r="S348" s="37"/>
      <c r="T348" s="37"/>
      <c r="U348" s="37"/>
      <c r="V348" s="37"/>
      <c r="W348" s="93"/>
      <c r="X348" s="37"/>
      <c r="Y348" s="37"/>
      <c r="Z348" s="37"/>
      <c r="AA348" s="37"/>
      <c r="AB348" s="37"/>
      <c r="AC348" s="37"/>
      <c r="AD348" s="37"/>
    </row>
    <row r="349">
      <c r="A349" s="36" t="s">
        <v>1359</v>
      </c>
      <c r="B349" s="37"/>
      <c r="C349" s="37"/>
      <c r="D349" s="37"/>
      <c r="E349" s="37"/>
      <c r="F349" s="37"/>
      <c r="G349" s="37"/>
      <c r="H349" s="37"/>
      <c r="I349" s="37"/>
      <c r="J349" s="37"/>
      <c r="K349" s="37"/>
      <c r="L349" s="37"/>
      <c r="M349" s="37"/>
      <c r="N349" s="37"/>
      <c r="O349" s="37"/>
      <c r="P349" s="37"/>
      <c r="Q349" s="37"/>
      <c r="R349" s="37"/>
      <c r="S349" s="37"/>
      <c r="T349" s="37"/>
      <c r="U349" s="37"/>
      <c r="V349" s="37"/>
      <c r="W349" s="93"/>
      <c r="X349" s="37"/>
      <c r="Y349" s="37"/>
      <c r="Z349" s="37"/>
      <c r="AA349" s="37"/>
      <c r="AB349" s="37"/>
      <c r="AC349" s="37"/>
      <c r="AD349" s="37"/>
    </row>
    <row r="350">
      <c r="A350" s="36" t="s">
        <v>1360</v>
      </c>
      <c r="B350" s="37"/>
      <c r="C350" s="37"/>
      <c r="D350" s="37"/>
      <c r="E350" s="37"/>
      <c r="F350" s="37"/>
      <c r="G350" s="37"/>
      <c r="H350" s="37"/>
      <c r="I350" s="37"/>
      <c r="J350" s="37"/>
      <c r="K350" s="37"/>
      <c r="L350" s="37"/>
      <c r="M350" s="37"/>
      <c r="N350" s="37"/>
      <c r="O350" s="37"/>
      <c r="P350" s="37"/>
      <c r="Q350" s="37"/>
      <c r="R350" s="37"/>
      <c r="S350" s="37"/>
      <c r="T350" s="37"/>
      <c r="U350" s="37"/>
      <c r="V350" s="37"/>
      <c r="W350" s="93"/>
      <c r="X350" s="37"/>
      <c r="Y350" s="37"/>
      <c r="Z350" s="37"/>
      <c r="AA350" s="37"/>
      <c r="AB350" s="37"/>
      <c r="AC350" s="37"/>
      <c r="AD350" s="37"/>
    </row>
    <row r="351">
      <c r="A351" s="36" t="s">
        <v>1361</v>
      </c>
      <c r="B351" s="37"/>
      <c r="C351" s="37"/>
      <c r="D351" s="37"/>
      <c r="E351" s="37"/>
      <c r="F351" s="37"/>
      <c r="G351" s="37"/>
      <c r="H351" s="37"/>
      <c r="I351" s="37"/>
      <c r="J351" s="37"/>
      <c r="K351" s="37"/>
      <c r="L351" s="37"/>
      <c r="M351" s="37"/>
      <c r="N351" s="37"/>
      <c r="O351" s="37"/>
      <c r="P351" s="37"/>
      <c r="Q351" s="37"/>
      <c r="R351" s="37"/>
      <c r="S351" s="37"/>
      <c r="T351" s="37"/>
      <c r="U351" s="37"/>
      <c r="V351" s="37"/>
      <c r="W351" s="93"/>
      <c r="X351" s="37"/>
      <c r="Y351" s="37"/>
      <c r="Z351" s="37"/>
      <c r="AA351" s="37"/>
      <c r="AB351" s="37"/>
      <c r="AC351" s="37"/>
      <c r="AD351" s="37"/>
    </row>
    <row r="352">
      <c r="A352" s="36" t="s">
        <v>1362</v>
      </c>
      <c r="B352" s="37"/>
      <c r="C352" s="37"/>
      <c r="D352" s="37"/>
      <c r="E352" s="37"/>
      <c r="F352" s="37"/>
      <c r="G352" s="37"/>
      <c r="H352" s="37"/>
      <c r="I352" s="37"/>
      <c r="J352" s="37"/>
      <c r="K352" s="37"/>
      <c r="L352" s="37"/>
      <c r="M352" s="37"/>
      <c r="N352" s="37"/>
      <c r="O352" s="37"/>
      <c r="P352" s="37"/>
      <c r="Q352" s="37"/>
      <c r="R352" s="37"/>
      <c r="S352" s="37"/>
      <c r="T352" s="37"/>
      <c r="U352" s="37"/>
      <c r="V352" s="37"/>
      <c r="W352" s="93"/>
      <c r="X352" s="37"/>
      <c r="Y352" s="37"/>
      <c r="Z352" s="37"/>
      <c r="AA352" s="37"/>
      <c r="AB352" s="37"/>
      <c r="AC352" s="37"/>
      <c r="AD352" s="37"/>
    </row>
    <row r="353">
      <c r="A353" s="36" t="s">
        <v>1363</v>
      </c>
      <c r="B353" s="37"/>
      <c r="C353" s="37"/>
      <c r="D353" s="37"/>
      <c r="E353" s="37"/>
      <c r="F353" s="37"/>
      <c r="G353" s="37"/>
      <c r="H353" s="37"/>
      <c r="I353" s="37"/>
      <c r="J353" s="37"/>
      <c r="K353" s="37"/>
      <c r="L353" s="37"/>
      <c r="M353" s="37"/>
      <c r="N353" s="37"/>
      <c r="O353" s="37"/>
      <c r="P353" s="37"/>
      <c r="Q353" s="37"/>
      <c r="R353" s="37"/>
      <c r="S353" s="37"/>
      <c r="T353" s="37"/>
      <c r="U353" s="37"/>
      <c r="V353" s="37"/>
      <c r="W353" s="93"/>
      <c r="X353" s="37"/>
      <c r="Y353" s="37"/>
      <c r="Z353" s="37"/>
      <c r="AA353" s="37"/>
      <c r="AB353" s="37"/>
      <c r="AC353" s="37"/>
      <c r="AD353" s="37"/>
    </row>
    <row r="354">
      <c r="A354" s="36" t="s">
        <v>1364</v>
      </c>
      <c r="B354" s="37"/>
      <c r="C354" s="37"/>
      <c r="D354" s="37"/>
      <c r="E354" s="37"/>
      <c r="F354" s="37"/>
      <c r="G354" s="37"/>
      <c r="H354" s="37"/>
      <c r="I354" s="37"/>
      <c r="J354" s="37"/>
      <c r="K354" s="37"/>
      <c r="L354" s="37"/>
      <c r="M354" s="37"/>
      <c r="N354" s="37"/>
      <c r="O354" s="37"/>
      <c r="P354" s="37"/>
      <c r="Q354" s="37"/>
      <c r="R354" s="37"/>
      <c r="S354" s="37"/>
      <c r="T354" s="37"/>
      <c r="U354" s="37"/>
      <c r="V354" s="37"/>
      <c r="W354" s="93"/>
      <c r="X354" s="37"/>
      <c r="Y354" s="37"/>
      <c r="Z354" s="37"/>
      <c r="AA354" s="37"/>
      <c r="AB354" s="37"/>
      <c r="AC354" s="37"/>
      <c r="AD354" s="37"/>
    </row>
    <row r="355">
      <c r="A355" s="36" t="s">
        <v>1365</v>
      </c>
      <c r="B355" s="37"/>
      <c r="C355" s="37"/>
      <c r="D355" s="37"/>
      <c r="E355" s="37"/>
      <c r="F355" s="37"/>
      <c r="G355" s="37"/>
      <c r="H355" s="37"/>
      <c r="I355" s="37"/>
      <c r="J355" s="37"/>
      <c r="K355" s="37"/>
      <c r="L355" s="37"/>
      <c r="M355" s="37"/>
      <c r="N355" s="37"/>
      <c r="O355" s="37"/>
      <c r="P355" s="37"/>
      <c r="Q355" s="37"/>
      <c r="R355" s="37"/>
      <c r="S355" s="37"/>
      <c r="T355" s="37"/>
      <c r="U355" s="37"/>
      <c r="V355" s="37"/>
      <c r="W355" s="93"/>
      <c r="X355" s="37"/>
      <c r="Y355" s="37"/>
      <c r="Z355" s="37"/>
      <c r="AA355" s="37"/>
      <c r="AB355" s="37"/>
      <c r="AC355" s="37"/>
      <c r="AD355" s="37"/>
    </row>
    <row r="356">
      <c r="A356" s="36" t="s">
        <v>1366</v>
      </c>
      <c r="B356" s="37"/>
      <c r="C356" s="37"/>
      <c r="D356" s="37"/>
      <c r="E356" s="37"/>
      <c r="F356" s="37"/>
      <c r="G356" s="37"/>
      <c r="H356" s="37"/>
      <c r="I356" s="37"/>
      <c r="J356" s="37"/>
      <c r="K356" s="37"/>
      <c r="L356" s="37"/>
      <c r="M356" s="37"/>
      <c r="N356" s="37"/>
      <c r="O356" s="37"/>
      <c r="P356" s="37"/>
      <c r="Q356" s="37"/>
      <c r="R356" s="37"/>
      <c r="S356" s="37"/>
      <c r="T356" s="37"/>
      <c r="U356" s="37"/>
      <c r="V356" s="37"/>
      <c r="W356" s="93"/>
      <c r="X356" s="37"/>
      <c r="Y356" s="37"/>
      <c r="Z356" s="37"/>
      <c r="AA356" s="37"/>
      <c r="AB356" s="37"/>
      <c r="AC356" s="37"/>
      <c r="AD356" s="37"/>
    </row>
    <row r="357">
      <c r="A357" s="36" t="s">
        <v>1367</v>
      </c>
      <c r="B357" s="37"/>
      <c r="C357" s="37"/>
      <c r="D357" s="37"/>
      <c r="E357" s="37"/>
      <c r="F357" s="37"/>
      <c r="G357" s="37"/>
      <c r="H357" s="37"/>
      <c r="I357" s="37"/>
      <c r="J357" s="37"/>
      <c r="K357" s="37"/>
      <c r="L357" s="37"/>
      <c r="M357" s="37"/>
      <c r="N357" s="37"/>
      <c r="O357" s="37"/>
      <c r="P357" s="37"/>
      <c r="Q357" s="37"/>
      <c r="R357" s="37"/>
      <c r="S357" s="37"/>
      <c r="T357" s="37"/>
      <c r="U357" s="37"/>
      <c r="V357" s="37"/>
      <c r="W357" s="93"/>
      <c r="X357" s="37"/>
      <c r="Y357" s="37"/>
      <c r="Z357" s="37"/>
      <c r="AA357" s="37"/>
      <c r="AB357" s="37"/>
      <c r="AC357" s="37"/>
      <c r="AD357" s="37"/>
    </row>
    <row r="358">
      <c r="A358" s="36" t="s">
        <v>1368</v>
      </c>
      <c r="B358" s="37"/>
      <c r="C358" s="37"/>
      <c r="D358" s="37"/>
      <c r="E358" s="37"/>
      <c r="F358" s="37"/>
      <c r="G358" s="37"/>
      <c r="H358" s="37"/>
      <c r="I358" s="37"/>
      <c r="J358" s="37"/>
      <c r="K358" s="37"/>
      <c r="L358" s="37"/>
      <c r="M358" s="37"/>
      <c r="N358" s="37"/>
      <c r="O358" s="37"/>
      <c r="P358" s="37"/>
      <c r="Q358" s="37"/>
      <c r="R358" s="37"/>
      <c r="S358" s="37"/>
      <c r="T358" s="37"/>
      <c r="U358" s="37"/>
      <c r="V358" s="37"/>
      <c r="W358" s="93"/>
      <c r="X358" s="37"/>
      <c r="Y358" s="37"/>
      <c r="Z358" s="37"/>
      <c r="AA358" s="37"/>
      <c r="AB358" s="37"/>
      <c r="AC358" s="37"/>
      <c r="AD358" s="37"/>
    </row>
    <row r="359">
      <c r="A359" s="36" t="s">
        <v>1369</v>
      </c>
      <c r="B359" s="37"/>
      <c r="C359" s="37"/>
      <c r="D359" s="37"/>
      <c r="E359" s="37"/>
      <c r="F359" s="37"/>
      <c r="G359" s="37"/>
      <c r="H359" s="37"/>
      <c r="I359" s="37"/>
      <c r="J359" s="37"/>
      <c r="K359" s="37"/>
      <c r="L359" s="37"/>
      <c r="M359" s="37"/>
      <c r="N359" s="37"/>
      <c r="O359" s="37"/>
      <c r="P359" s="37"/>
      <c r="Q359" s="37"/>
      <c r="R359" s="37"/>
      <c r="S359" s="37"/>
      <c r="T359" s="37"/>
      <c r="U359" s="37"/>
      <c r="V359" s="37"/>
      <c r="W359" s="93"/>
      <c r="X359" s="37"/>
      <c r="Y359" s="37"/>
      <c r="Z359" s="37"/>
      <c r="AA359" s="37"/>
      <c r="AB359" s="37"/>
      <c r="AC359" s="37"/>
      <c r="AD359" s="37"/>
    </row>
    <row r="360">
      <c r="A360" s="36" t="s">
        <v>1370</v>
      </c>
      <c r="B360" s="37"/>
      <c r="C360" s="37"/>
      <c r="D360" s="37"/>
      <c r="E360" s="37"/>
      <c r="F360" s="37"/>
      <c r="G360" s="37"/>
      <c r="H360" s="37"/>
      <c r="I360" s="37"/>
      <c r="J360" s="37"/>
      <c r="K360" s="37"/>
      <c r="L360" s="37"/>
      <c r="M360" s="37"/>
      <c r="N360" s="37"/>
      <c r="O360" s="37"/>
      <c r="P360" s="37"/>
      <c r="Q360" s="37"/>
      <c r="R360" s="37"/>
      <c r="S360" s="37"/>
      <c r="T360" s="37"/>
      <c r="U360" s="37"/>
      <c r="V360" s="37"/>
      <c r="W360" s="93"/>
      <c r="X360" s="37"/>
      <c r="Y360" s="37"/>
      <c r="Z360" s="37"/>
      <c r="AA360" s="37"/>
      <c r="AB360" s="37"/>
      <c r="AC360" s="37"/>
      <c r="AD360" s="37"/>
    </row>
    <row r="361">
      <c r="A361" s="36" t="s">
        <v>1371</v>
      </c>
      <c r="B361" s="37"/>
      <c r="C361" s="37"/>
      <c r="D361" s="37"/>
      <c r="E361" s="37"/>
      <c r="F361" s="37"/>
      <c r="G361" s="37"/>
      <c r="H361" s="37"/>
      <c r="I361" s="37"/>
      <c r="J361" s="37"/>
      <c r="K361" s="37"/>
      <c r="L361" s="37"/>
      <c r="M361" s="37"/>
      <c r="N361" s="37"/>
      <c r="O361" s="37"/>
      <c r="P361" s="37"/>
      <c r="Q361" s="37"/>
      <c r="R361" s="37"/>
      <c r="S361" s="37"/>
      <c r="T361" s="37"/>
      <c r="U361" s="37"/>
      <c r="V361" s="37"/>
      <c r="W361" s="93"/>
      <c r="X361" s="37"/>
      <c r="Y361" s="37"/>
      <c r="Z361" s="37"/>
      <c r="AA361" s="37"/>
      <c r="AB361" s="37"/>
      <c r="AC361" s="37"/>
      <c r="AD361" s="37"/>
    </row>
    <row r="362">
      <c r="A362" s="36" t="s">
        <v>1372</v>
      </c>
      <c r="B362" s="37"/>
      <c r="C362" s="37"/>
      <c r="D362" s="37"/>
      <c r="E362" s="37"/>
      <c r="F362" s="37"/>
      <c r="G362" s="37"/>
      <c r="H362" s="37"/>
      <c r="I362" s="37"/>
      <c r="J362" s="37"/>
      <c r="K362" s="37"/>
      <c r="L362" s="37"/>
      <c r="M362" s="37"/>
      <c r="N362" s="37"/>
      <c r="O362" s="37"/>
      <c r="P362" s="37"/>
      <c r="Q362" s="37"/>
      <c r="R362" s="37"/>
      <c r="S362" s="37"/>
      <c r="T362" s="37"/>
      <c r="U362" s="37"/>
      <c r="V362" s="37"/>
      <c r="W362" s="93"/>
      <c r="X362" s="37"/>
      <c r="Y362" s="37"/>
      <c r="Z362" s="37"/>
      <c r="AA362" s="37"/>
      <c r="AB362" s="37"/>
      <c r="AC362" s="37"/>
      <c r="AD362" s="37"/>
    </row>
    <row r="363">
      <c r="A363" s="36" t="s">
        <v>1373</v>
      </c>
      <c r="B363" s="37"/>
      <c r="C363" s="37"/>
      <c r="D363" s="37"/>
      <c r="E363" s="37"/>
      <c r="F363" s="37"/>
      <c r="G363" s="37"/>
      <c r="H363" s="37"/>
      <c r="I363" s="37"/>
      <c r="J363" s="37"/>
      <c r="K363" s="37"/>
      <c r="L363" s="37"/>
      <c r="M363" s="37"/>
      <c r="N363" s="37"/>
      <c r="O363" s="37"/>
      <c r="P363" s="37"/>
      <c r="Q363" s="37"/>
      <c r="R363" s="37"/>
      <c r="S363" s="37"/>
      <c r="T363" s="37"/>
      <c r="U363" s="37"/>
      <c r="V363" s="37"/>
      <c r="W363" s="93"/>
      <c r="X363" s="37"/>
      <c r="Y363" s="37"/>
      <c r="Z363" s="37"/>
      <c r="AA363" s="37"/>
      <c r="AB363" s="37"/>
      <c r="AC363" s="37"/>
      <c r="AD363" s="37"/>
    </row>
    <row r="364">
      <c r="A364" s="36" t="s">
        <v>1374</v>
      </c>
      <c r="B364" s="37"/>
      <c r="C364" s="37"/>
      <c r="D364" s="37"/>
      <c r="E364" s="37"/>
      <c r="F364" s="37"/>
      <c r="G364" s="37"/>
      <c r="H364" s="37"/>
      <c r="I364" s="37"/>
      <c r="J364" s="37"/>
      <c r="K364" s="37"/>
      <c r="L364" s="37"/>
      <c r="M364" s="37"/>
      <c r="N364" s="37"/>
      <c r="O364" s="37"/>
      <c r="P364" s="37"/>
      <c r="Q364" s="37"/>
      <c r="R364" s="37"/>
      <c r="S364" s="37"/>
      <c r="T364" s="37"/>
      <c r="U364" s="37"/>
      <c r="V364" s="37"/>
      <c r="W364" s="93"/>
      <c r="X364" s="37"/>
      <c r="Y364" s="37"/>
      <c r="Z364" s="37"/>
      <c r="AA364" s="37"/>
      <c r="AB364" s="37"/>
      <c r="AC364" s="37"/>
      <c r="AD364" s="37"/>
    </row>
    <row r="365">
      <c r="A365" s="36" t="s">
        <v>1375</v>
      </c>
      <c r="B365" s="37"/>
      <c r="C365" s="37"/>
      <c r="D365" s="37"/>
      <c r="E365" s="37"/>
      <c r="F365" s="37"/>
      <c r="G365" s="37"/>
      <c r="H365" s="37"/>
      <c r="I365" s="37"/>
      <c r="J365" s="37"/>
      <c r="K365" s="37"/>
      <c r="L365" s="37"/>
      <c r="M365" s="37"/>
      <c r="N365" s="37"/>
      <c r="O365" s="37"/>
      <c r="P365" s="37"/>
      <c r="Q365" s="37"/>
      <c r="R365" s="37"/>
      <c r="S365" s="37"/>
      <c r="T365" s="37"/>
      <c r="U365" s="37"/>
      <c r="V365" s="37"/>
      <c r="W365" s="93"/>
      <c r="X365" s="37"/>
      <c r="Y365" s="37"/>
      <c r="Z365" s="37"/>
      <c r="AA365" s="37"/>
      <c r="AB365" s="37"/>
      <c r="AC365" s="37"/>
      <c r="AD365" s="37"/>
    </row>
    <row r="366">
      <c r="A366" s="36" t="s">
        <v>1376</v>
      </c>
      <c r="B366" s="37"/>
      <c r="C366" s="37"/>
      <c r="D366" s="37"/>
      <c r="E366" s="37"/>
      <c r="F366" s="37"/>
      <c r="G366" s="37"/>
      <c r="H366" s="37"/>
      <c r="I366" s="37"/>
      <c r="J366" s="37"/>
      <c r="K366" s="37"/>
      <c r="L366" s="37"/>
      <c r="M366" s="37"/>
      <c r="N366" s="37"/>
      <c r="O366" s="37"/>
      <c r="P366" s="37"/>
      <c r="Q366" s="37"/>
      <c r="R366" s="37"/>
      <c r="S366" s="37"/>
      <c r="T366" s="37"/>
      <c r="U366" s="37"/>
      <c r="V366" s="37"/>
      <c r="W366" s="93"/>
      <c r="X366" s="37"/>
      <c r="Y366" s="37"/>
      <c r="Z366" s="37"/>
      <c r="AA366" s="37"/>
      <c r="AB366" s="37"/>
      <c r="AC366" s="37"/>
      <c r="AD366" s="37"/>
    </row>
    <row r="367">
      <c r="A367" s="36"/>
      <c r="B367" s="37"/>
      <c r="C367" s="37"/>
      <c r="D367" s="37"/>
      <c r="E367" s="37"/>
      <c r="F367" s="37"/>
      <c r="G367" s="37"/>
      <c r="H367" s="37"/>
      <c r="I367" s="37"/>
      <c r="J367" s="37"/>
      <c r="K367" s="37"/>
      <c r="L367" s="37"/>
      <c r="M367" s="37"/>
      <c r="N367" s="37"/>
      <c r="O367" s="37"/>
      <c r="P367" s="37"/>
      <c r="Q367" s="37"/>
      <c r="R367" s="37"/>
      <c r="S367" s="37"/>
      <c r="T367" s="37"/>
      <c r="U367" s="37"/>
      <c r="V367" s="37"/>
      <c r="W367" s="93"/>
      <c r="X367" s="37"/>
      <c r="Y367" s="37"/>
      <c r="Z367" s="37"/>
      <c r="AA367" s="37"/>
      <c r="AB367" s="37"/>
      <c r="AC367" s="37"/>
      <c r="AD367" s="37"/>
    </row>
    <row r="368">
      <c r="A368" s="36"/>
      <c r="B368" s="37"/>
      <c r="C368" s="37"/>
      <c r="D368" s="37"/>
      <c r="E368" s="37"/>
      <c r="F368" s="37"/>
      <c r="G368" s="37"/>
      <c r="H368" s="37"/>
      <c r="I368" s="37"/>
      <c r="J368" s="37"/>
      <c r="K368" s="37"/>
      <c r="L368" s="37"/>
      <c r="M368" s="37"/>
      <c r="N368" s="37"/>
      <c r="O368" s="37"/>
      <c r="P368" s="37"/>
      <c r="Q368" s="37"/>
      <c r="R368" s="37"/>
      <c r="S368" s="37"/>
      <c r="T368" s="37"/>
      <c r="U368" s="37"/>
      <c r="V368" s="37"/>
      <c r="W368" s="93"/>
      <c r="X368" s="37"/>
      <c r="Y368" s="37"/>
      <c r="Z368" s="37"/>
      <c r="AA368" s="37"/>
      <c r="AB368" s="37"/>
      <c r="AC368" s="37"/>
      <c r="AD368" s="37"/>
    </row>
    <row r="369">
      <c r="A369" s="36"/>
      <c r="B369" s="37"/>
      <c r="C369" s="37"/>
      <c r="D369" s="37"/>
      <c r="E369" s="37"/>
      <c r="F369" s="37"/>
      <c r="G369" s="37"/>
      <c r="H369" s="37"/>
      <c r="I369" s="37"/>
      <c r="J369" s="37"/>
      <c r="K369" s="37"/>
      <c r="L369" s="37"/>
      <c r="M369" s="37"/>
      <c r="N369" s="37"/>
      <c r="O369" s="37"/>
      <c r="P369" s="37"/>
      <c r="Q369" s="37"/>
      <c r="R369" s="37"/>
      <c r="S369" s="37"/>
      <c r="T369" s="37"/>
      <c r="U369" s="37"/>
      <c r="V369" s="37"/>
      <c r="W369" s="93"/>
      <c r="X369" s="37"/>
      <c r="Y369" s="37"/>
      <c r="Z369" s="37"/>
      <c r="AA369" s="37"/>
      <c r="AB369" s="37"/>
      <c r="AC369" s="37"/>
      <c r="AD369" s="37"/>
    </row>
    <row r="370">
      <c r="A370" s="36"/>
      <c r="B370" s="37"/>
      <c r="C370" s="37"/>
      <c r="D370" s="37"/>
      <c r="E370" s="37"/>
      <c r="F370" s="37"/>
      <c r="G370" s="37"/>
      <c r="H370" s="37"/>
      <c r="I370" s="37"/>
      <c r="J370" s="37"/>
      <c r="K370" s="37"/>
      <c r="L370" s="37"/>
      <c r="M370" s="37"/>
      <c r="N370" s="37"/>
      <c r="O370" s="37"/>
      <c r="P370" s="37"/>
      <c r="Q370" s="37"/>
      <c r="R370" s="37"/>
      <c r="S370" s="37"/>
      <c r="T370" s="37"/>
      <c r="U370" s="37"/>
      <c r="V370" s="37"/>
      <c r="W370" s="93"/>
      <c r="X370" s="37"/>
      <c r="Y370" s="37"/>
      <c r="Z370" s="37"/>
      <c r="AA370" s="37"/>
      <c r="AB370" s="37"/>
      <c r="AC370" s="37"/>
      <c r="AD370" s="37"/>
    </row>
    <row r="371">
      <c r="A371" s="36"/>
      <c r="B371" s="37"/>
      <c r="C371" s="37"/>
      <c r="D371" s="37"/>
      <c r="E371" s="37"/>
      <c r="F371" s="37"/>
      <c r="G371" s="37"/>
      <c r="H371" s="37"/>
      <c r="I371" s="37"/>
      <c r="J371" s="37"/>
      <c r="K371" s="37"/>
      <c r="L371" s="37"/>
      <c r="M371" s="37"/>
      <c r="N371" s="37"/>
      <c r="O371" s="37"/>
      <c r="P371" s="37"/>
      <c r="Q371" s="37"/>
      <c r="R371" s="37"/>
      <c r="S371" s="37"/>
      <c r="T371" s="37"/>
      <c r="U371" s="37"/>
      <c r="V371" s="37"/>
      <c r="W371" s="93"/>
      <c r="X371" s="37"/>
      <c r="Y371" s="37"/>
      <c r="Z371" s="37"/>
      <c r="AA371" s="37"/>
      <c r="AB371" s="37"/>
      <c r="AC371" s="37"/>
      <c r="AD371" s="37"/>
    </row>
    <row r="372">
      <c r="A372" s="36"/>
      <c r="B372" s="37"/>
      <c r="C372" s="37"/>
      <c r="D372" s="37"/>
      <c r="E372" s="37"/>
      <c r="F372" s="37"/>
      <c r="G372" s="37"/>
      <c r="H372" s="37"/>
      <c r="I372" s="37"/>
      <c r="J372" s="37"/>
      <c r="K372" s="37"/>
      <c r="L372" s="37"/>
      <c r="M372" s="37"/>
      <c r="N372" s="37"/>
      <c r="O372" s="37"/>
      <c r="P372" s="37"/>
      <c r="Q372" s="37"/>
      <c r="R372" s="37"/>
      <c r="S372" s="37"/>
      <c r="T372" s="37"/>
      <c r="U372" s="37"/>
      <c r="V372" s="37"/>
      <c r="W372" s="93"/>
      <c r="X372" s="37"/>
      <c r="Y372" s="37"/>
      <c r="Z372" s="37"/>
      <c r="AA372" s="37"/>
      <c r="AB372" s="37"/>
      <c r="AC372" s="37"/>
      <c r="AD372" s="37"/>
    </row>
    <row r="373">
      <c r="A373" s="36"/>
      <c r="B373" s="37"/>
      <c r="C373" s="37"/>
      <c r="D373" s="37"/>
      <c r="E373" s="37"/>
      <c r="F373" s="37"/>
      <c r="G373" s="37"/>
      <c r="H373" s="37"/>
      <c r="I373" s="37"/>
      <c r="J373" s="37"/>
      <c r="K373" s="37"/>
      <c r="L373" s="37"/>
      <c r="M373" s="37"/>
      <c r="N373" s="37"/>
      <c r="O373" s="37"/>
      <c r="P373" s="37"/>
      <c r="Q373" s="37"/>
      <c r="R373" s="37"/>
      <c r="S373" s="37"/>
      <c r="T373" s="37"/>
      <c r="U373" s="37"/>
      <c r="V373" s="37"/>
      <c r="W373" s="93"/>
      <c r="X373" s="37"/>
      <c r="Y373" s="37"/>
      <c r="Z373" s="37"/>
      <c r="AA373" s="37"/>
      <c r="AB373" s="37"/>
      <c r="AC373" s="37"/>
      <c r="AD373" s="37"/>
    </row>
    <row r="374">
      <c r="A374" s="36"/>
      <c r="B374" s="37"/>
      <c r="C374" s="37"/>
      <c r="D374" s="37"/>
      <c r="E374" s="37"/>
      <c r="F374" s="37"/>
      <c r="G374" s="37"/>
      <c r="H374" s="37"/>
      <c r="I374" s="37"/>
      <c r="J374" s="37"/>
      <c r="K374" s="37"/>
      <c r="L374" s="37"/>
      <c r="M374" s="37"/>
      <c r="N374" s="37"/>
      <c r="O374" s="37"/>
      <c r="P374" s="37"/>
      <c r="Q374" s="37"/>
      <c r="R374" s="37"/>
      <c r="S374" s="37"/>
      <c r="T374" s="37"/>
      <c r="U374" s="37"/>
      <c r="V374" s="37"/>
      <c r="W374" s="93"/>
      <c r="X374" s="37"/>
      <c r="Y374" s="37"/>
      <c r="Z374" s="37"/>
      <c r="AA374" s="37"/>
      <c r="AB374" s="37"/>
      <c r="AC374" s="37"/>
      <c r="AD374" s="37"/>
    </row>
    <row r="375">
      <c r="A375" s="36"/>
      <c r="B375" s="37"/>
      <c r="C375" s="37"/>
      <c r="D375" s="37"/>
      <c r="E375" s="37"/>
      <c r="F375" s="37"/>
      <c r="G375" s="37"/>
      <c r="H375" s="37"/>
      <c r="I375" s="37"/>
      <c r="J375" s="37"/>
      <c r="K375" s="37"/>
      <c r="L375" s="37"/>
      <c r="M375" s="37"/>
      <c r="N375" s="37"/>
      <c r="O375" s="37"/>
      <c r="P375" s="37"/>
      <c r="Q375" s="37"/>
      <c r="R375" s="37"/>
      <c r="S375" s="37"/>
      <c r="T375" s="37"/>
      <c r="U375" s="37"/>
      <c r="V375" s="37"/>
      <c r="W375" s="93"/>
      <c r="X375" s="37"/>
      <c r="Y375" s="37"/>
      <c r="Z375" s="37"/>
      <c r="AA375" s="37"/>
      <c r="AB375" s="37"/>
      <c r="AC375" s="37"/>
      <c r="AD375" s="37"/>
    </row>
    <row r="376">
      <c r="A376" s="36"/>
      <c r="B376" s="37"/>
      <c r="C376" s="37"/>
      <c r="D376" s="37"/>
      <c r="E376" s="37"/>
      <c r="F376" s="37"/>
      <c r="G376" s="37"/>
      <c r="H376" s="37"/>
      <c r="I376" s="37"/>
      <c r="J376" s="37"/>
      <c r="K376" s="37"/>
      <c r="L376" s="37"/>
      <c r="M376" s="37"/>
      <c r="N376" s="37"/>
      <c r="O376" s="37"/>
      <c r="P376" s="37"/>
      <c r="Q376" s="37"/>
      <c r="R376" s="37"/>
      <c r="S376" s="37"/>
      <c r="T376" s="37"/>
      <c r="U376" s="37"/>
      <c r="V376" s="37"/>
      <c r="W376" s="93"/>
      <c r="X376" s="37"/>
      <c r="Y376" s="37"/>
      <c r="Z376" s="37"/>
      <c r="AA376" s="37"/>
      <c r="AB376" s="37"/>
      <c r="AC376" s="37"/>
      <c r="AD376" s="37"/>
    </row>
    <row r="377">
      <c r="A377" s="36"/>
      <c r="B377" s="37"/>
      <c r="C377" s="37"/>
      <c r="D377" s="37"/>
      <c r="E377" s="37"/>
      <c r="F377" s="37"/>
      <c r="G377" s="37"/>
      <c r="H377" s="37"/>
      <c r="I377" s="37"/>
      <c r="J377" s="37"/>
      <c r="K377" s="37"/>
      <c r="L377" s="37"/>
      <c r="M377" s="37"/>
      <c r="N377" s="37"/>
      <c r="O377" s="37"/>
      <c r="P377" s="37"/>
      <c r="Q377" s="37"/>
      <c r="R377" s="37"/>
      <c r="S377" s="37"/>
      <c r="T377" s="37"/>
      <c r="U377" s="37"/>
      <c r="V377" s="37"/>
      <c r="W377" s="93"/>
      <c r="X377" s="37"/>
      <c r="Y377" s="37"/>
      <c r="Z377" s="37"/>
      <c r="AA377" s="37"/>
      <c r="AB377" s="37"/>
      <c r="AC377" s="37"/>
      <c r="AD377" s="37"/>
    </row>
    <row r="378">
      <c r="A378" s="36"/>
      <c r="B378" s="37"/>
      <c r="C378" s="37"/>
      <c r="D378" s="37"/>
      <c r="E378" s="37"/>
      <c r="F378" s="37"/>
      <c r="G378" s="37"/>
      <c r="H378" s="37"/>
      <c r="I378" s="37"/>
      <c r="J378" s="37"/>
      <c r="K378" s="37"/>
      <c r="L378" s="37"/>
      <c r="M378" s="37"/>
      <c r="N378" s="37"/>
      <c r="O378" s="37"/>
      <c r="P378" s="37"/>
      <c r="Q378" s="37"/>
      <c r="R378" s="37"/>
      <c r="S378" s="37"/>
      <c r="T378" s="37"/>
      <c r="U378" s="37"/>
      <c r="V378" s="37"/>
      <c r="W378" s="93"/>
      <c r="X378" s="37"/>
      <c r="Y378" s="37"/>
      <c r="Z378" s="37"/>
      <c r="AA378" s="37"/>
      <c r="AB378" s="37"/>
      <c r="AC378" s="37"/>
      <c r="AD378" s="37"/>
    </row>
    <row r="379">
      <c r="A379" s="36"/>
      <c r="B379" s="37"/>
      <c r="C379" s="37"/>
      <c r="D379" s="37"/>
      <c r="E379" s="37"/>
      <c r="F379" s="37"/>
      <c r="G379" s="37"/>
      <c r="H379" s="37"/>
      <c r="I379" s="37"/>
      <c r="J379" s="37"/>
      <c r="K379" s="37"/>
      <c r="L379" s="37"/>
      <c r="M379" s="37"/>
      <c r="N379" s="37"/>
      <c r="O379" s="37"/>
      <c r="P379" s="37"/>
      <c r="Q379" s="37"/>
      <c r="R379" s="37"/>
      <c r="S379" s="37"/>
      <c r="T379" s="37"/>
      <c r="U379" s="37"/>
      <c r="V379" s="37"/>
      <c r="W379" s="93"/>
      <c r="X379" s="37"/>
      <c r="Y379" s="37"/>
      <c r="Z379" s="37"/>
      <c r="AA379" s="37"/>
      <c r="AB379" s="37"/>
      <c r="AC379" s="37"/>
      <c r="AD379" s="37"/>
    </row>
    <row r="380">
      <c r="A380" s="36"/>
      <c r="B380" s="37"/>
      <c r="C380" s="37"/>
      <c r="D380" s="37"/>
      <c r="E380" s="37"/>
      <c r="F380" s="37"/>
      <c r="G380" s="37"/>
      <c r="H380" s="37"/>
      <c r="I380" s="37"/>
      <c r="J380" s="37"/>
      <c r="K380" s="37"/>
      <c r="L380" s="37"/>
      <c r="M380" s="37"/>
      <c r="N380" s="37"/>
      <c r="O380" s="37"/>
      <c r="P380" s="37"/>
      <c r="Q380" s="37"/>
      <c r="R380" s="37"/>
      <c r="S380" s="37"/>
      <c r="T380" s="37"/>
      <c r="U380" s="37"/>
      <c r="V380" s="37"/>
      <c r="W380" s="93"/>
      <c r="X380" s="37"/>
      <c r="Y380" s="37"/>
      <c r="Z380" s="37"/>
      <c r="AA380" s="37"/>
      <c r="AB380" s="37"/>
      <c r="AC380" s="37"/>
      <c r="AD380" s="37"/>
    </row>
    <row r="381">
      <c r="A381" s="36"/>
      <c r="B381" s="37"/>
      <c r="C381" s="37"/>
      <c r="D381" s="37"/>
      <c r="E381" s="37"/>
      <c r="F381" s="37"/>
      <c r="G381" s="37"/>
      <c r="H381" s="37"/>
      <c r="I381" s="37"/>
      <c r="J381" s="37"/>
      <c r="K381" s="37"/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93"/>
      <c r="X381" s="37"/>
      <c r="Y381" s="37"/>
      <c r="Z381" s="37"/>
      <c r="AA381" s="37"/>
      <c r="AB381" s="37"/>
      <c r="AC381" s="37"/>
      <c r="AD381" s="37"/>
    </row>
    <row r="382">
      <c r="A382" s="36"/>
      <c r="B382" s="37"/>
      <c r="C382" s="37"/>
      <c r="D382" s="37"/>
      <c r="E382" s="37"/>
      <c r="F382" s="37"/>
      <c r="G382" s="37"/>
      <c r="H382" s="37"/>
      <c r="I382" s="37"/>
      <c r="J382" s="37"/>
      <c r="K382" s="37"/>
      <c r="L382" s="37"/>
      <c r="M382" s="37"/>
      <c r="N382" s="37"/>
      <c r="O382" s="37"/>
      <c r="P382" s="37"/>
      <c r="Q382" s="37"/>
      <c r="R382" s="37"/>
      <c r="S382" s="37"/>
      <c r="T382" s="37"/>
      <c r="U382" s="37"/>
      <c r="V382" s="37"/>
      <c r="W382" s="93"/>
      <c r="X382" s="37"/>
      <c r="Y382" s="37"/>
      <c r="Z382" s="37"/>
      <c r="AA382" s="37"/>
      <c r="AB382" s="37"/>
      <c r="AC382" s="37"/>
      <c r="AD382" s="37"/>
    </row>
    <row r="383">
      <c r="A383" s="36"/>
      <c r="B383" s="37"/>
      <c r="C383" s="37"/>
      <c r="D383" s="37"/>
      <c r="E383" s="37"/>
      <c r="F383" s="37"/>
      <c r="G383" s="37"/>
      <c r="H383" s="37"/>
      <c r="I383" s="37"/>
      <c r="J383" s="37"/>
      <c r="K383" s="37"/>
      <c r="L383" s="37"/>
      <c r="M383" s="37"/>
      <c r="N383" s="37"/>
      <c r="O383" s="37"/>
      <c r="P383" s="37"/>
      <c r="Q383" s="37"/>
      <c r="R383" s="37"/>
      <c r="S383" s="37"/>
      <c r="T383" s="37"/>
      <c r="U383" s="37"/>
      <c r="V383" s="37"/>
      <c r="W383" s="93"/>
      <c r="X383" s="37"/>
      <c r="Y383" s="37"/>
      <c r="Z383" s="37"/>
      <c r="AA383" s="37"/>
      <c r="AB383" s="37"/>
      <c r="AC383" s="37"/>
      <c r="AD383" s="37"/>
    </row>
    <row r="384">
      <c r="A384" s="36"/>
      <c r="B384" s="37"/>
      <c r="C384" s="37"/>
      <c r="D384" s="37"/>
      <c r="E384" s="37"/>
      <c r="F384" s="37"/>
      <c r="G384" s="37"/>
      <c r="H384" s="37"/>
      <c r="I384" s="37"/>
      <c r="J384" s="37"/>
      <c r="K384" s="37"/>
      <c r="L384" s="37"/>
      <c r="M384" s="37"/>
      <c r="N384" s="37"/>
      <c r="O384" s="37"/>
      <c r="P384" s="37"/>
      <c r="Q384" s="37"/>
      <c r="R384" s="37"/>
      <c r="S384" s="37"/>
      <c r="T384" s="37"/>
      <c r="U384" s="37"/>
      <c r="V384" s="37"/>
      <c r="W384" s="93"/>
      <c r="X384" s="37"/>
      <c r="Y384" s="37"/>
      <c r="Z384" s="37"/>
      <c r="AA384" s="37"/>
      <c r="AB384" s="37"/>
      <c r="AC384" s="37"/>
      <c r="AD384" s="37"/>
    </row>
    <row r="385">
      <c r="A385" s="36"/>
      <c r="B385" s="37"/>
      <c r="C385" s="37"/>
      <c r="D385" s="37"/>
      <c r="E385" s="37"/>
      <c r="F385" s="37"/>
      <c r="G385" s="37"/>
      <c r="H385" s="37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37"/>
      <c r="T385" s="37"/>
      <c r="U385" s="37"/>
      <c r="V385" s="37"/>
      <c r="W385" s="93"/>
      <c r="X385" s="37"/>
      <c r="Y385" s="37"/>
      <c r="Z385" s="37"/>
      <c r="AA385" s="37"/>
      <c r="AB385" s="37"/>
      <c r="AC385" s="37"/>
      <c r="AD385" s="37"/>
    </row>
    <row r="386">
      <c r="A386" s="36"/>
      <c r="B386" s="37"/>
      <c r="C386" s="37"/>
      <c r="D386" s="37"/>
      <c r="E386" s="37"/>
      <c r="F386" s="37"/>
      <c r="G386" s="37"/>
      <c r="H386" s="37"/>
      <c r="I386" s="37"/>
      <c r="J386" s="37"/>
      <c r="K386" s="37"/>
      <c r="L386" s="37"/>
      <c r="M386" s="37"/>
      <c r="N386" s="37"/>
      <c r="O386" s="37"/>
      <c r="P386" s="37"/>
      <c r="Q386" s="37"/>
      <c r="R386" s="37"/>
      <c r="S386" s="37"/>
      <c r="T386" s="37"/>
      <c r="U386" s="37"/>
      <c r="V386" s="37"/>
      <c r="W386" s="93"/>
      <c r="X386" s="37"/>
      <c r="Y386" s="37"/>
      <c r="Z386" s="37"/>
      <c r="AA386" s="37"/>
      <c r="AB386" s="37"/>
      <c r="AC386" s="37"/>
      <c r="AD386" s="37"/>
    </row>
    <row r="387">
      <c r="A387" s="36"/>
      <c r="B387" s="37"/>
      <c r="C387" s="37"/>
      <c r="D387" s="37"/>
      <c r="E387" s="37"/>
      <c r="F387" s="37"/>
      <c r="G387" s="37"/>
      <c r="H387" s="37"/>
      <c r="I387" s="37"/>
      <c r="J387" s="37"/>
      <c r="K387" s="37"/>
      <c r="L387" s="37"/>
      <c r="M387" s="37"/>
      <c r="N387" s="37"/>
      <c r="O387" s="37"/>
      <c r="P387" s="37"/>
      <c r="Q387" s="37"/>
      <c r="R387" s="37"/>
      <c r="S387" s="37"/>
      <c r="T387" s="37"/>
      <c r="U387" s="37"/>
      <c r="V387" s="37"/>
      <c r="W387" s="93"/>
      <c r="X387" s="37"/>
      <c r="Y387" s="37"/>
      <c r="Z387" s="37"/>
      <c r="AA387" s="37"/>
      <c r="AB387" s="37"/>
      <c r="AC387" s="37"/>
      <c r="AD387" s="37"/>
    </row>
    <row r="388">
      <c r="A388" s="36"/>
      <c r="B388" s="37"/>
      <c r="C388" s="37"/>
      <c r="D388" s="37"/>
      <c r="E388" s="37"/>
      <c r="F388" s="37"/>
      <c r="G388" s="37"/>
      <c r="H388" s="37"/>
      <c r="I388" s="37"/>
      <c r="J388" s="37"/>
      <c r="K388" s="37"/>
      <c r="L388" s="37"/>
      <c r="M388" s="37"/>
      <c r="N388" s="37"/>
      <c r="O388" s="37"/>
      <c r="P388" s="37"/>
      <c r="Q388" s="37"/>
      <c r="R388" s="37"/>
      <c r="S388" s="37"/>
      <c r="T388" s="37"/>
      <c r="U388" s="37"/>
      <c r="V388" s="37"/>
      <c r="W388" s="93"/>
      <c r="X388" s="37"/>
      <c r="Y388" s="37"/>
      <c r="Z388" s="37"/>
      <c r="AA388" s="37"/>
      <c r="AB388" s="37"/>
      <c r="AC388" s="37"/>
      <c r="AD388" s="37"/>
    </row>
    <row r="389">
      <c r="A389" s="36"/>
      <c r="B389" s="37"/>
      <c r="C389" s="37"/>
      <c r="D389" s="37"/>
      <c r="E389" s="37"/>
      <c r="F389" s="37"/>
      <c r="G389" s="37"/>
      <c r="H389" s="37"/>
      <c r="I389" s="37"/>
      <c r="J389" s="37"/>
      <c r="K389" s="37"/>
      <c r="L389" s="37"/>
      <c r="M389" s="37"/>
      <c r="N389" s="37"/>
      <c r="O389" s="37"/>
      <c r="P389" s="37"/>
      <c r="Q389" s="37"/>
      <c r="R389" s="37"/>
      <c r="S389" s="37"/>
      <c r="T389" s="37"/>
      <c r="U389" s="37"/>
      <c r="V389" s="37"/>
      <c r="W389" s="93"/>
      <c r="X389" s="37"/>
      <c r="Y389" s="37"/>
      <c r="Z389" s="37"/>
      <c r="AA389" s="37"/>
      <c r="AB389" s="37"/>
      <c r="AC389" s="37"/>
      <c r="AD389" s="37"/>
    </row>
    <row r="390">
      <c r="A390" s="36"/>
      <c r="B390" s="37"/>
      <c r="C390" s="37"/>
      <c r="D390" s="37"/>
      <c r="E390" s="37"/>
      <c r="F390" s="37"/>
      <c r="G390" s="37"/>
      <c r="H390" s="37"/>
      <c r="I390" s="37"/>
      <c r="J390" s="37"/>
      <c r="K390" s="37"/>
      <c r="L390" s="37"/>
      <c r="M390" s="37"/>
      <c r="N390" s="37"/>
      <c r="O390" s="37"/>
      <c r="P390" s="37"/>
      <c r="Q390" s="37"/>
      <c r="R390" s="37"/>
      <c r="S390" s="37"/>
      <c r="T390" s="37"/>
      <c r="U390" s="37"/>
      <c r="V390" s="37"/>
      <c r="W390" s="93"/>
      <c r="X390" s="37"/>
      <c r="Y390" s="37"/>
      <c r="Z390" s="37"/>
      <c r="AA390" s="37"/>
      <c r="AB390" s="37"/>
      <c r="AC390" s="37"/>
      <c r="AD390" s="37"/>
    </row>
    <row r="391">
      <c r="A391" s="36"/>
      <c r="B391" s="37"/>
      <c r="C391" s="37"/>
      <c r="D391" s="37"/>
      <c r="E391" s="37"/>
      <c r="F391" s="37"/>
      <c r="G391" s="37"/>
      <c r="H391" s="37"/>
      <c r="I391" s="37"/>
      <c r="J391" s="37"/>
      <c r="K391" s="37"/>
      <c r="L391" s="37"/>
      <c r="M391" s="37"/>
      <c r="N391" s="37"/>
      <c r="O391" s="37"/>
      <c r="P391" s="37"/>
      <c r="Q391" s="37"/>
      <c r="R391" s="37"/>
      <c r="S391" s="37"/>
      <c r="T391" s="37"/>
      <c r="U391" s="37"/>
      <c r="V391" s="37"/>
      <c r="W391" s="93"/>
      <c r="X391" s="37"/>
      <c r="Y391" s="37"/>
      <c r="Z391" s="37"/>
      <c r="AA391" s="37"/>
      <c r="AB391" s="37"/>
      <c r="AC391" s="37"/>
      <c r="AD391" s="37"/>
    </row>
    <row r="392">
      <c r="A392" s="36"/>
      <c r="B392" s="37"/>
      <c r="C392" s="37"/>
      <c r="D392" s="37"/>
      <c r="E392" s="37"/>
      <c r="F392" s="37"/>
      <c r="G392" s="37"/>
      <c r="H392" s="37"/>
      <c r="I392" s="37"/>
      <c r="J392" s="37"/>
      <c r="K392" s="37"/>
      <c r="L392" s="37"/>
      <c r="M392" s="37"/>
      <c r="N392" s="37"/>
      <c r="O392" s="37"/>
      <c r="P392" s="37"/>
      <c r="Q392" s="37"/>
      <c r="R392" s="37"/>
      <c r="S392" s="37"/>
      <c r="T392" s="37"/>
      <c r="U392" s="37"/>
      <c r="V392" s="37"/>
      <c r="W392" s="93"/>
      <c r="X392" s="37"/>
      <c r="Y392" s="37"/>
      <c r="Z392" s="37"/>
      <c r="AA392" s="37"/>
      <c r="AB392" s="37"/>
      <c r="AC392" s="37"/>
      <c r="AD392" s="37"/>
    </row>
    <row r="393">
      <c r="A393" s="36"/>
      <c r="B393" s="37"/>
      <c r="C393" s="37"/>
      <c r="D393" s="37"/>
      <c r="E393" s="37"/>
      <c r="F393" s="37"/>
      <c r="G393" s="37"/>
      <c r="H393" s="37"/>
      <c r="I393" s="37"/>
      <c r="J393" s="37"/>
      <c r="K393" s="37"/>
      <c r="L393" s="37"/>
      <c r="M393" s="37"/>
      <c r="N393" s="37"/>
      <c r="O393" s="37"/>
      <c r="P393" s="37"/>
      <c r="Q393" s="37"/>
      <c r="R393" s="37"/>
      <c r="S393" s="37"/>
      <c r="T393" s="37"/>
      <c r="U393" s="37"/>
      <c r="V393" s="37"/>
      <c r="W393" s="93"/>
      <c r="X393" s="37"/>
      <c r="Y393" s="37"/>
      <c r="Z393" s="37"/>
      <c r="AA393" s="37"/>
      <c r="AB393" s="37"/>
      <c r="AC393" s="37"/>
      <c r="AD393" s="37"/>
    </row>
    <row r="394">
      <c r="A394" s="36"/>
      <c r="B394" s="37"/>
      <c r="C394" s="37"/>
      <c r="D394" s="37"/>
      <c r="E394" s="37"/>
      <c r="F394" s="37"/>
      <c r="G394" s="37"/>
      <c r="H394" s="37"/>
      <c r="I394" s="37"/>
      <c r="J394" s="37"/>
      <c r="K394" s="37"/>
      <c r="L394" s="37"/>
      <c r="M394" s="37"/>
      <c r="N394" s="37"/>
      <c r="O394" s="37"/>
      <c r="P394" s="37"/>
      <c r="Q394" s="37"/>
      <c r="R394" s="37"/>
      <c r="S394" s="37"/>
      <c r="T394" s="37"/>
      <c r="U394" s="37"/>
      <c r="V394" s="37"/>
      <c r="W394" s="93"/>
      <c r="X394" s="37"/>
      <c r="Y394" s="37"/>
      <c r="Z394" s="37"/>
      <c r="AA394" s="37"/>
      <c r="AB394" s="37"/>
      <c r="AC394" s="37"/>
      <c r="AD394" s="37"/>
    </row>
    <row r="395">
      <c r="A395" s="36"/>
      <c r="B395" s="37"/>
      <c r="C395" s="37"/>
      <c r="D395" s="37"/>
      <c r="E395" s="37"/>
      <c r="F395" s="37"/>
      <c r="G395" s="37"/>
      <c r="H395" s="37"/>
      <c r="I395" s="37"/>
      <c r="J395" s="37"/>
      <c r="K395" s="37"/>
      <c r="L395" s="37"/>
      <c r="M395" s="37"/>
      <c r="N395" s="37"/>
      <c r="O395" s="37"/>
      <c r="P395" s="37"/>
      <c r="Q395" s="37"/>
      <c r="R395" s="37"/>
      <c r="S395" s="37"/>
      <c r="T395" s="37"/>
      <c r="U395" s="37"/>
      <c r="V395" s="37"/>
      <c r="W395" s="93"/>
      <c r="X395" s="37"/>
      <c r="Y395" s="37"/>
      <c r="Z395" s="37"/>
      <c r="AA395" s="37"/>
      <c r="AB395" s="37"/>
      <c r="AC395" s="37"/>
      <c r="AD395" s="37"/>
    </row>
    <row r="396">
      <c r="A396" s="36"/>
      <c r="B396" s="37"/>
      <c r="C396" s="37"/>
      <c r="D396" s="37"/>
      <c r="E396" s="37"/>
      <c r="F396" s="37"/>
      <c r="G396" s="37"/>
      <c r="H396" s="37"/>
      <c r="I396" s="37"/>
      <c r="J396" s="37"/>
      <c r="K396" s="37"/>
      <c r="L396" s="37"/>
      <c r="M396" s="37"/>
      <c r="N396" s="37"/>
      <c r="O396" s="37"/>
      <c r="P396" s="37"/>
      <c r="Q396" s="37"/>
      <c r="R396" s="37"/>
      <c r="S396" s="37"/>
      <c r="T396" s="37"/>
      <c r="U396" s="37"/>
      <c r="V396" s="37"/>
      <c r="W396" s="93"/>
      <c r="X396" s="37"/>
      <c r="Y396" s="37"/>
      <c r="Z396" s="37"/>
      <c r="AA396" s="37"/>
      <c r="AB396" s="37"/>
      <c r="AC396" s="37"/>
      <c r="AD396" s="37"/>
    </row>
    <row r="397">
      <c r="A397" s="36"/>
      <c r="B397" s="37"/>
      <c r="C397" s="37"/>
      <c r="D397" s="37"/>
      <c r="E397" s="37"/>
      <c r="F397" s="37"/>
      <c r="G397" s="37"/>
      <c r="H397" s="37"/>
      <c r="I397" s="37"/>
      <c r="J397" s="37"/>
      <c r="K397" s="37"/>
      <c r="L397" s="37"/>
      <c r="M397" s="37"/>
      <c r="N397" s="37"/>
      <c r="O397" s="37"/>
      <c r="P397" s="37"/>
      <c r="Q397" s="37"/>
      <c r="R397" s="37"/>
      <c r="S397" s="37"/>
      <c r="T397" s="37"/>
      <c r="U397" s="37"/>
      <c r="V397" s="37"/>
      <c r="W397" s="93"/>
      <c r="X397" s="37"/>
      <c r="Y397" s="37"/>
      <c r="Z397" s="37"/>
      <c r="AA397" s="37"/>
      <c r="AB397" s="37"/>
      <c r="AC397" s="37"/>
      <c r="AD397" s="37"/>
    </row>
    <row r="398">
      <c r="A398" s="36"/>
      <c r="B398" s="37"/>
      <c r="C398" s="37"/>
      <c r="D398" s="37"/>
      <c r="E398" s="37"/>
      <c r="F398" s="37"/>
      <c r="G398" s="37"/>
      <c r="H398" s="37"/>
      <c r="I398" s="37"/>
      <c r="J398" s="37"/>
      <c r="K398" s="37"/>
      <c r="L398" s="37"/>
      <c r="M398" s="37"/>
      <c r="N398" s="37"/>
      <c r="O398" s="37"/>
      <c r="P398" s="37"/>
      <c r="Q398" s="37"/>
      <c r="R398" s="37"/>
      <c r="S398" s="37"/>
      <c r="T398" s="37"/>
      <c r="U398" s="37"/>
      <c r="V398" s="37"/>
      <c r="W398" s="93"/>
      <c r="X398" s="37"/>
      <c r="Y398" s="37"/>
      <c r="Z398" s="37"/>
      <c r="AA398" s="37"/>
      <c r="AB398" s="37"/>
      <c r="AC398" s="37"/>
      <c r="AD398" s="37"/>
    </row>
    <row r="399">
      <c r="A399" s="36"/>
      <c r="B399" s="37"/>
      <c r="C399" s="37"/>
      <c r="D399" s="37"/>
      <c r="E399" s="37"/>
      <c r="F399" s="37"/>
      <c r="G399" s="37"/>
      <c r="H399" s="37"/>
      <c r="I399" s="37"/>
      <c r="J399" s="37"/>
      <c r="K399" s="37"/>
      <c r="L399" s="37"/>
      <c r="M399" s="37"/>
      <c r="N399" s="37"/>
      <c r="O399" s="37"/>
      <c r="P399" s="37"/>
      <c r="Q399" s="37"/>
      <c r="R399" s="37"/>
      <c r="S399" s="37"/>
      <c r="T399" s="37"/>
      <c r="U399" s="37"/>
      <c r="V399" s="37"/>
      <c r="W399" s="93"/>
      <c r="X399" s="37"/>
      <c r="Y399" s="37"/>
      <c r="Z399" s="37"/>
      <c r="AA399" s="37"/>
      <c r="AB399" s="37"/>
      <c r="AC399" s="37"/>
      <c r="AD399" s="37"/>
    </row>
    <row r="400">
      <c r="A400" s="36"/>
      <c r="B400" s="37"/>
      <c r="C400" s="37"/>
      <c r="D400" s="37"/>
      <c r="E400" s="37"/>
      <c r="F400" s="37"/>
      <c r="G400" s="37"/>
      <c r="H400" s="37"/>
      <c r="I400" s="37"/>
      <c r="J400" s="37"/>
      <c r="K400" s="37"/>
      <c r="L400" s="37"/>
      <c r="M400" s="37"/>
      <c r="N400" s="37"/>
      <c r="O400" s="37"/>
      <c r="P400" s="37"/>
      <c r="Q400" s="37"/>
      <c r="R400" s="37"/>
      <c r="S400" s="37"/>
      <c r="T400" s="37"/>
      <c r="U400" s="37"/>
      <c r="V400" s="37"/>
      <c r="W400" s="93"/>
      <c r="X400" s="37"/>
      <c r="Y400" s="37"/>
      <c r="Z400" s="37"/>
      <c r="AA400" s="37"/>
      <c r="AB400" s="37"/>
      <c r="AC400" s="37"/>
      <c r="AD400" s="37"/>
    </row>
    <row r="401">
      <c r="A401" s="36"/>
      <c r="B401" s="37"/>
      <c r="C401" s="37"/>
      <c r="D401" s="37"/>
      <c r="E401" s="37"/>
      <c r="F401" s="37"/>
      <c r="G401" s="37"/>
      <c r="H401" s="37"/>
      <c r="I401" s="37"/>
      <c r="J401" s="37"/>
      <c r="K401" s="37"/>
      <c r="L401" s="37"/>
      <c r="M401" s="37"/>
      <c r="N401" s="37"/>
      <c r="O401" s="37"/>
      <c r="P401" s="37"/>
      <c r="Q401" s="37"/>
      <c r="R401" s="37"/>
      <c r="S401" s="37"/>
      <c r="T401" s="37"/>
      <c r="U401" s="37"/>
      <c r="V401" s="37"/>
      <c r="W401" s="93"/>
      <c r="X401" s="37"/>
      <c r="Y401" s="37"/>
      <c r="Z401" s="37"/>
      <c r="AA401" s="37"/>
      <c r="AB401" s="37"/>
      <c r="AC401" s="37"/>
      <c r="AD401" s="37"/>
    </row>
    <row r="402">
      <c r="A402" s="36"/>
      <c r="B402" s="37"/>
      <c r="C402" s="37"/>
      <c r="D402" s="37"/>
      <c r="E402" s="37"/>
      <c r="F402" s="37"/>
      <c r="G402" s="37"/>
      <c r="H402" s="37"/>
      <c r="I402" s="37"/>
      <c r="J402" s="37"/>
      <c r="K402" s="37"/>
      <c r="L402" s="37"/>
      <c r="M402" s="37"/>
      <c r="N402" s="37"/>
      <c r="O402" s="37"/>
      <c r="P402" s="37"/>
      <c r="Q402" s="37"/>
      <c r="R402" s="37"/>
      <c r="S402" s="37"/>
      <c r="T402" s="37"/>
      <c r="U402" s="37"/>
      <c r="V402" s="37"/>
      <c r="W402" s="93"/>
      <c r="X402" s="37"/>
      <c r="Y402" s="37"/>
      <c r="Z402" s="37"/>
      <c r="AA402" s="37"/>
      <c r="AB402" s="37"/>
      <c r="AC402" s="37"/>
      <c r="AD402" s="37"/>
    </row>
    <row r="403">
      <c r="A403" s="36"/>
      <c r="B403" s="37"/>
      <c r="C403" s="37"/>
      <c r="D403" s="37"/>
      <c r="E403" s="37"/>
      <c r="F403" s="37"/>
      <c r="G403" s="37"/>
      <c r="H403" s="37"/>
      <c r="I403" s="37"/>
      <c r="J403" s="37"/>
      <c r="K403" s="37"/>
      <c r="L403" s="37"/>
      <c r="M403" s="37"/>
      <c r="N403" s="37"/>
      <c r="O403" s="37"/>
      <c r="P403" s="37"/>
      <c r="Q403" s="37"/>
      <c r="R403" s="37"/>
      <c r="S403" s="37"/>
      <c r="T403" s="37"/>
      <c r="U403" s="37"/>
      <c r="V403" s="37"/>
      <c r="W403" s="93"/>
      <c r="X403" s="37"/>
      <c r="Y403" s="37"/>
      <c r="Z403" s="37"/>
      <c r="AA403" s="37"/>
      <c r="AB403" s="37"/>
      <c r="AC403" s="37"/>
      <c r="AD403" s="37"/>
    </row>
    <row r="404">
      <c r="A404" s="36"/>
      <c r="B404" s="37"/>
      <c r="C404" s="37"/>
      <c r="D404" s="37"/>
      <c r="E404" s="37"/>
      <c r="F404" s="37"/>
      <c r="G404" s="37"/>
      <c r="H404" s="37"/>
      <c r="I404" s="37"/>
      <c r="J404" s="37"/>
      <c r="K404" s="37"/>
      <c r="L404" s="37"/>
      <c r="M404" s="37"/>
      <c r="N404" s="37"/>
      <c r="O404" s="37"/>
      <c r="P404" s="37"/>
      <c r="Q404" s="37"/>
      <c r="R404" s="37"/>
      <c r="S404" s="37"/>
      <c r="T404" s="37"/>
      <c r="U404" s="37"/>
      <c r="V404" s="37"/>
      <c r="W404" s="93"/>
      <c r="X404" s="37"/>
      <c r="Y404" s="37"/>
      <c r="Z404" s="37"/>
      <c r="AA404" s="37"/>
      <c r="AB404" s="37"/>
      <c r="AC404" s="37"/>
      <c r="AD404" s="37"/>
    </row>
    <row r="405">
      <c r="A405" s="36"/>
      <c r="B405" s="37"/>
      <c r="C405" s="37"/>
      <c r="D405" s="37"/>
      <c r="E405" s="37"/>
      <c r="F405" s="37"/>
      <c r="G405" s="37"/>
      <c r="H405" s="37"/>
      <c r="I405" s="37"/>
      <c r="J405" s="37"/>
      <c r="K405" s="37"/>
      <c r="L405" s="37"/>
      <c r="M405" s="37"/>
      <c r="N405" s="37"/>
      <c r="O405" s="37"/>
      <c r="P405" s="37"/>
      <c r="Q405" s="37"/>
      <c r="R405" s="37"/>
      <c r="S405" s="37"/>
      <c r="T405" s="37"/>
      <c r="U405" s="37"/>
      <c r="V405" s="37"/>
      <c r="W405" s="93"/>
      <c r="X405" s="37"/>
      <c r="Y405" s="37"/>
      <c r="Z405" s="37"/>
      <c r="AA405" s="37"/>
      <c r="AB405" s="37"/>
      <c r="AC405" s="37"/>
      <c r="AD405" s="37"/>
    </row>
    <row r="406">
      <c r="A406" s="36"/>
      <c r="B406" s="37"/>
      <c r="C406" s="37"/>
      <c r="D406" s="37"/>
      <c r="E406" s="37"/>
      <c r="F406" s="37"/>
      <c r="G406" s="37"/>
      <c r="H406" s="37"/>
      <c r="I406" s="37"/>
      <c r="J406" s="37"/>
      <c r="K406" s="37"/>
      <c r="L406" s="37"/>
      <c r="M406" s="37"/>
      <c r="N406" s="37"/>
      <c r="O406" s="37"/>
      <c r="P406" s="37"/>
      <c r="Q406" s="37"/>
      <c r="R406" s="37"/>
      <c r="S406" s="37"/>
      <c r="T406" s="37"/>
      <c r="U406" s="37"/>
      <c r="V406" s="37"/>
      <c r="W406" s="93"/>
      <c r="X406" s="37"/>
      <c r="Y406" s="37"/>
      <c r="Z406" s="37"/>
      <c r="AA406" s="37"/>
      <c r="AB406" s="37"/>
      <c r="AC406" s="37"/>
      <c r="AD406" s="37"/>
    </row>
    <row r="407">
      <c r="A407" s="36"/>
      <c r="B407" s="37"/>
      <c r="C407" s="37"/>
      <c r="D407" s="37"/>
      <c r="E407" s="37"/>
      <c r="F407" s="37"/>
      <c r="G407" s="37"/>
      <c r="H407" s="37"/>
      <c r="I407" s="37"/>
      <c r="J407" s="37"/>
      <c r="K407" s="37"/>
      <c r="L407" s="37"/>
      <c r="M407" s="37"/>
      <c r="N407" s="37"/>
      <c r="O407" s="37"/>
      <c r="P407" s="37"/>
      <c r="Q407" s="37"/>
      <c r="R407" s="37"/>
      <c r="S407" s="37"/>
      <c r="T407" s="37"/>
      <c r="U407" s="37"/>
      <c r="V407" s="37"/>
      <c r="W407" s="93"/>
      <c r="X407" s="37"/>
      <c r="Y407" s="37"/>
      <c r="Z407" s="37"/>
      <c r="AA407" s="37"/>
      <c r="AB407" s="37"/>
      <c r="AC407" s="37"/>
      <c r="AD407" s="37"/>
    </row>
    <row r="408">
      <c r="A408" s="36"/>
      <c r="B408" s="37"/>
      <c r="C408" s="37"/>
      <c r="D408" s="37"/>
      <c r="E408" s="37"/>
      <c r="F408" s="37"/>
      <c r="G408" s="37"/>
      <c r="H408" s="37"/>
      <c r="I408" s="37"/>
      <c r="J408" s="37"/>
      <c r="K408" s="37"/>
      <c r="L408" s="37"/>
      <c r="M408" s="37"/>
      <c r="N408" s="37"/>
      <c r="O408" s="37"/>
      <c r="P408" s="37"/>
      <c r="Q408" s="37"/>
      <c r="R408" s="37"/>
      <c r="S408" s="37"/>
      <c r="T408" s="37"/>
      <c r="U408" s="37"/>
      <c r="V408" s="37"/>
      <c r="W408" s="93"/>
      <c r="X408" s="37"/>
      <c r="Y408" s="37"/>
      <c r="Z408" s="37"/>
      <c r="AA408" s="37"/>
      <c r="AB408" s="37"/>
      <c r="AC408" s="37"/>
      <c r="AD408" s="37"/>
    </row>
    <row r="409">
      <c r="A409" s="36"/>
      <c r="B409" s="37"/>
      <c r="C409" s="37"/>
      <c r="D409" s="37"/>
      <c r="E409" s="37"/>
      <c r="F409" s="37"/>
      <c r="G409" s="37"/>
      <c r="H409" s="37"/>
      <c r="I409" s="37"/>
      <c r="J409" s="37"/>
      <c r="K409" s="37"/>
      <c r="L409" s="37"/>
      <c r="M409" s="37"/>
      <c r="N409" s="37"/>
      <c r="O409" s="37"/>
      <c r="P409" s="37"/>
      <c r="Q409" s="37"/>
      <c r="R409" s="37"/>
      <c r="S409" s="37"/>
      <c r="T409" s="37"/>
      <c r="U409" s="37"/>
      <c r="V409" s="37"/>
      <c r="W409" s="93"/>
      <c r="X409" s="37"/>
      <c r="Y409" s="37"/>
      <c r="Z409" s="37"/>
      <c r="AA409" s="37"/>
      <c r="AB409" s="37"/>
      <c r="AC409" s="37"/>
      <c r="AD409" s="37"/>
    </row>
    <row r="410">
      <c r="A410" s="36"/>
      <c r="B410" s="37"/>
      <c r="C410" s="37"/>
      <c r="D410" s="37"/>
      <c r="E410" s="37"/>
      <c r="F410" s="37"/>
      <c r="G410" s="37"/>
      <c r="H410" s="37"/>
      <c r="I410" s="37"/>
      <c r="J410" s="37"/>
      <c r="K410" s="37"/>
      <c r="L410" s="37"/>
      <c r="M410" s="37"/>
      <c r="N410" s="37"/>
      <c r="O410" s="37"/>
      <c r="P410" s="37"/>
      <c r="Q410" s="37"/>
      <c r="R410" s="37"/>
      <c r="S410" s="37"/>
      <c r="T410" s="37"/>
      <c r="U410" s="37"/>
      <c r="V410" s="37"/>
      <c r="W410" s="93"/>
      <c r="X410" s="37"/>
      <c r="Y410" s="37"/>
      <c r="Z410" s="37"/>
      <c r="AA410" s="37"/>
      <c r="AB410" s="37"/>
      <c r="AC410" s="37"/>
      <c r="AD410" s="37"/>
    </row>
    <row r="411">
      <c r="A411" s="36"/>
      <c r="B411" s="37"/>
      <c r="C411" s="37"/>
      <c r="D411" s="37"/>
      <c r="E411" s="37"/>
      <c r="F411" s="37"/>
      <c r="G411" s="37"/>
      <c r="H411" s="37"/>
      <c r="I411" s="37"/>
      <c r="J411" s="37"/>
      <c r="K411" s="37"/>
      <c r="L411" s="37"/>
      <c r="M411" s="37"/>
      <c r="N411" s="37"/>
      <c r="O411" s="37"/>
      <c r="P411" s="37"/>
      <c r="Q411" s="37"/>
      <c r="R411" s="37"/>
      <c r="S411" s="37"/>
      <c r="T411" s="37"/>
      <c r="U411" s="37"/>
      <c r="V411" s="37"/>
      <c r="W411" s="93"/>
      <c r="X411" s="37"/>
      <c r="Y411" s="37"/>
      <c r="Z411" s="37"/>
      <c r="AA411" s="37"/>
      <c r="AB411" s="37"/>
      <c r="AC411" s="37"/>
      <c r="AD411" s="37"/>
    </row>
    <row r="412">
      <c r="A412" s="36"/>
      <c r="B412" s="37"/>
      <c r="C412" s="37"/>
      <c r="D412" s="37"/>
      <c r="E412" s="37"/>
      <c r="F412" s="37"/>
      <c r="G412" s="37"/>
      <c r="H412" s="37"/>
      <c r="I412" s="37"/>
      <c r="J412" s="37"/>
      <c r="K412" s="37"/>
      <c r="L412" s="37"/>
      <c r="M412" s="37"/>
      <c r="N412" s="37"/>
      <c r="O412" s="37"/>
      <c r="P412" s="37"/>
      <c r="Q412" s="37"/>
      <c r="R412" s="37"/>
      <c r="S412" s="37"/>
      <c r="T412" s="37"/>
      <c r="U412" s="37"/>
      <c r="V412" s="37"/>
      <c r="W412" s="93"/>
      <c r="X412" s="37"/>
      <c r="Y412" s="37"/>
      <c r="Z412" s="37"/>
      <c r="AA412" s="37"/>
      <c r="AB412" s="37"/>
      <c r="AC412" s="37"/>
      <c r="AD412" s="37"/>
    </row>
    <row r="413">
      <c r="A413" s="36"/>
      <c r="B413" s="37"/>
      <c r="C413" s="37"/>
      <c r="D413" s="37"/>
      <c r="E413" s="37"/>
      <c r="F413" s="37"/>
      <c r="G413" s="37"/>
      <c r="H413" s="37"/>
      <c r="I413" s="37"/>
      <c r="J413" s="37"/>
      <c r="K413" s="37"/>
      <c r="L413" s="37"/>
      <c r="M413" s="37"/>
      <c r="N413" s="37"/>
      <c r="O413" s="37"/>
      <c r="P413" s="37"/>
      <c r="Q413" s="37"/>
      <c r="R413" s="37"/>
      <c r="S413" s="37"/>
      <c r="T413" s="37"/>
      <c r="U413" s="37"/>
      <c r="V413" s="37"/>
      <c r="W413" s="93"/>
      <c r="X413" s="37"/>
      <c r="Y413" s="37"/>
      <c r="Z413" s="37"/>
      <c r="AA413" s="37"/>
      <c r="AB413" s="37"/>
      <c r="AC413" s="37"/>
      <c r="AD413" s="37"/>
    </row>
    <row r="414">
      <c r="A414" s="36"/>
      <c r="B414" s="37"/>
      <c r="C414" s="37"/>
      <c r="D414" s="37"/>
      <c r="E414" s="37"/>
      <c r="F414" s="37"/>
      <c r="G414" s="37"/>
      <c r="H414" s="37"/>
      <c r="I414" s="37"/>
      <c r="J414" s="37"/>
      <c r="K414" s="37"/>
      <c r="L414" s="37"/>
      <c r="M414" s="37"/>
      <c r="N414" s="37"/>
      <c r="O414" s="37"/>
      <c r="P414" s="37"/>
      <c r="Q414" s="37"/>
      <c r="R414" s="37"/>
      <c r="S414" s="37"/>
      <c r="T414" s="37"/>
      <c r="U414" s="37"/>
      <c r="V414" s="37"/>
      <c r="W414" s="93"/>
      <c r="X414" s="37"/>
      <c r="Y414" s="37"/>
      <c r="Z414" s="37"/>
      <c r="AA414" s="37"/>
      <c r="AB414" s="37"/>
      <c r="AC414" s="37"/>
      <c r="AD414" s="37"/>
    </row>
    <row r="415">
      <c r="A415" s="36"/>
      <c r="B415" s="37"/>
      <c r="C415" s="37"/>
      <c r="D415" s="37"/>
      <c r="E415" s="37"/>
      <c r="F415" s="37"/>
      <c r="G415" s="37"/>
      <c r="H415" s="37"/>
      <c r="I415" s="37"/>
      <c r="J415" s="37"/>
      <c r="K415" s="37"/>
      <c r="L415" s="37"/>
      <c r="M415" s="37"/>
      <c r="N415" s="37"/>
      <c r="O415" s="37"/>
      <c r="P415" s="37"/>
      <c r="Q415" s="37"/>
      <c r="R415" s="37"/>
      <c r="S415" s="37"/>
      <c r="T415" s="37"/>
      <c r="U415" s="37"/>
      <c r="V415" s="37"/>
      <c r="W415" s="93"/>
      <c r="X415" s="37"/>
      <c r="Y415" s="37"/>
      <c r="Z415" s="37"/>
      <c r="AA415" s="37"/>
      <c r="AB415" s="37"/>
      <c r="AC415" s="37"/>
      <c r="AD415" s="37"/>
    </row>
    <row r="416">
      <c r="A416" s="36"/>
      <c r="B416" s="37"/>
      <c r="C416" s="37"/>
      <c r="D416" s="37"/>
      <c r="E416" s="37"/>
      <c r="F416" s="37"/>
      <c r="G416" s="37"/>
      <c r="H416" s="37"/>
      <c r="I416" s="37"/>
      <c r="J416" s="37"/>
      <c r="K416" s="37"/>
      <c r="L416" s="37"/>
      <c r="M416" s="37"/>
      <c r="N416" s="37"/>
      <c r="O416" s="37"/>
      <c r="P416" s="37"/>
      <c r="Q416" s="37"/>
      <c r="R416" s="37"/>
      <c r="S416" s="37"/>
      <c r="T416" s="37"/>
      <c r="U416" s="37"/>
      <c r="V416" s="37"/>
      <c r="W416" s="93"/>
      <c r="X416" s="37"/>
      <c r="Y416" s="37"/>
      <c r="Z416" s="37"/>
      <c r="AA416" s="37"/>
      <c r="AB416" s="37"/>
      <c r="AC416" s="37"/>
      <c r="AD416" s="37"/>
    </row>
    <row r="417">
      <c r="A417" s="36"/>
      <c r="B417" s="37"/>
      <c r="C417" s="37"/>
      <c r="D417" s="37"/>
      <c r="E417" s="37"/>
      <c r="F417" s="37"/>
      <c r="G417" s="37"/>
      <c r="H417" s="37"/>
      <c r="I417" s="37"/>
      <c r="J417" s="37"/>
      <c r="K417" s="37"/>
      <c r="L417" s="37"/>
      <c r="M417" s="37"/>
      <c r="N417" s="37"/>
      <c r="O417" s="37"/>
      <c r="P417" s="37"/>
      <c r="Q417" s="37"/>
      <c r="R417" s="37"/>
      <c r="S417" s="37"/>
      <c r="T417" s="37"/>
      <c r="U417" s="37"/>
      <c r="V417" s="37"/>
      <c r="W417" s="93"/>
      <c r="X417" s="37"/>
      <c r="Y417" s="37"/>
      <c r="Z417" s="37"/>
      <c r="AA417" s="37"/>
      <c r="AB417" s="37"/>
      <c r="AC417" s="37"/>
      <c r="AD417" s="37"/>
    </row>
    <row r="418">
      <c r="A418" s="36"/>
      <c r="B418" s="37"/>
      <c r="C418" s="37"/>
      <c r="D418" s="37"/>
      <c r="E418" s="37"/>
      <c r="F418" s="37"/>
      <c r="G418" s="37"/>
      <c r="H418" s="37"/>
      <c r="I418" s="37"/>
      <c r="J418" s="37"/>
      <c r="K418" s="37"/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93"/>
      <c r="X418" s="37"/>
      <c r="Y418" s="37"/>
      <c r="Z418" s="37"/>
      <c r="AA418" s="37"/>
      <c r="AB418" s="37"/>
      <c r="AC418" s="37"/>
      <c r="AD418" s="37"/>
    </row>
    <row r="419">
      <c r="A419" s="36"/>
      <c r="B419" s="37"/>
      <c r="C419" s="37"/>
      <c r="D419" s="37"/>
      <c r="E419" s="37"/>
      <c r="F419" s="37"/>
      <c r="G419" s="37"/>
      <c r="H419" s="37"/>
      <c r="I419" s="37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93"/>
      <c r="X419" s="37"/>
      <c r="Y419" s="37"/>
      <c r="Z419" s="37"/>
      <c r="AA419" s="37"/>
      <c r="AB419" s="37"/>
      <c r="AC419" s="37"/>
      <c r="AD419" s="37"/>
    </row>
    <row r="420">
      <c r="A420" s="36"/>
      <c r="B420" s="37"/>
      <c r="C420" s="37"/>
      <c r="D420" s="37"/>
      <c r="E420" s="37"/>
      <c r="F420" s="37"/>
      <c r="G420" s="37"/>
      <c r="H420" s="37"/>
      <c r="I420" s="37"/>
      <c r="J420" s="37"/>
      <c r="K420" s="37"/>
      <c r="L420" s="37"/>
      <c r="M420" s="37"/>
      <c r="N420" s="37"/>
      <c r="O420" s="37"/>
      <c r="P420" s="37"/>
      <c r="Q420" s="37"/>
      <c r="R420" s="37"/>
      <c r="S420" s="37"/>
      <c r="T420" s="37"/>
      <c r="U420" s="37"/>
      <c r="V420" s="37"/>
      <c r="W420" s="93"/>
      <c r="X420" s="37"/>
      <c r="Y420" s="37"/>
      <c r="Z420" s="37"/>
      <c r="AA420" s="37"/>
      <c r="AB420" s="37"/>
      <c r="AC420" s="37"/>
      <c r="AD420" s="37"/>
    </row>
    <row r="421">
      <c r="A421" s="36"/>
      <c r="B421" s="37"/>
      <c r="C421" s="37"/>
      <c r="D421" s="37"/>
      <c r="E421" s="37"/>
      <c r="F421" s="37"/>
      <c r="G421" s="37"/>
      <c r="H421" s="37"/>
      <c r="I421" s="37"/>
      <c r="J421" s="37"/>
      <c r="K421" s="37"/>
      <c r="L421" s="37"/>
      <c r="M421" s="37"/>
      <c r="N421" s="37"/>
      <c r="O421" s="37"/>
      <c r="P421" s="37"/>
      <c r="Q421" s="37"/>
      <c r="R421" s="37"/>
      <c r="S421" s="37"/>
      <c r="T421" s="37"/>
      <c r="U421" s="37"/>
      <c r="V421" s="37"/>
      <c r="W421" s="93"/>
      <c r="X421" s="37"/>
      <c r="Y421" s="37"/>
      <c r="Z421" s="37"/>
      <c r="AA421" s="37"/>
      <c r="AB421" s="37"/>
      <c r="AC421" s="37"/>
      <c r="AD421" s="37"/>
    </row>
    <row r="422">
      <c r="A422" s="36"/>
      <c r="B422" s="37"/>
      <c r="C422" s="37"/>
      <c r="D422" s="37"/>
      <c r="E422" s="37"/>
      <c r="F422" s="37"/>
      <c r="G422" s="37"/>
      <c r="H422" s="37"/>
      <c r="I422" s="37"/>
      <c r="J422" s="37"/>
      <c r="K422" s="37"/>
      <c r="L422" s="37"/>
      <c r="M422" s="37"/>
      <c r="N422" s="37"/>
      <c r="O422" s="37"/>
      <c r="P422" s="37"/>
      <c r="Q422" s="37"/>
      <c r="R422" s="37"/>
      <c r="S422" s="37"/>
      <c r="T422" s="37"/>
      <c r="U422" s="37"/>
      <c r="V422" s="37"/>
      <c r="W422" s="93"/>
      <c r="X422" s="37"/>
      <c r="Y422" s="37"/>
      <c r="Z422" s="37"/>
      <c r="AA422" s="37"/>
      <c r="AB422" s="37"/>
      <c r="AC422" s="37"/>
      <c r="AD422" s="37"/>
    </row>
    <row r="423">
      <c r="A423" s="36"/>
      <c r="B423" s="37"/>
      <c r="C423" s="37"/>
      <c r="D423" s="37"/>
      <c r="E423" s="37"/>
      <c r="F423" s="37"/>
      <c r="G423" s="37"/>
      <c r="H423" s="37"/>
      <c r="I423" s="37"/>
      <c r="J423" s="37"/>
      <c r="K423" s="37"/>
      <c r="L423" s="37"/>
      <c r="M423" s="37"/>
      <c r="N423" s="37"/>
      <c r="O423" s="37"/>
      <c r="P423" s="37"/>
      <c r="Q423" s="37"/>
      <c r="R423" s="37"/>
      <c r="S423" s="37"/>
      <c r="T423" s="37"/>
      <c r="U423" s="37"/>
      <c r="V423" s="37"/>
      <c r="W423" s="93"/>
      <c r="X423" s="37"/>
      <c r="Y423" s="37"/>
      <c r="Z423" s="37"/>
      <c r="AA423" s="37"/>
      <c r="AB423" s="37"/>
      <c r="AC423" s="37"/>
      <c r="AD423" s="37"/>
    </row>
    <row r="424">
      <c r="A424" s="36"/>
      <c r="B424" s="37"/>
      <c r="C424" s="37"/>
      <c r="D424" s="37"/>
      <c r="E424" s="37"/>
      <c r="F424" s="37"/>
      <c r="G424" s="37"/>
      <c r="H424" s="37"/>
      <c r="I424" s="37"/>
      <c r="J424" s="37"/>
      <c r="K424" s="37"/>
      <c r="L424" s="37"/>
      <c r="M424" s="37"/>
      <c r="N424" s="37"/>
      <c r="O424" s="37"/>
      <c r="P424" s="37"/>
      <c r="Q424" s="37"/>
      <c r="R424" s="37"/>
      <c r="S424" s="37"/>
      <c r="T424" s="37"/>
      <c r="U424" s="37"/>
      <c r="V424" s="37"/>
      <c r="W424" s="93"/>
      <c r="X424" s="37"/>
      <c r="Y424" s="37"/>
      <c r="Z424" s="37"/>
      <c r="AA424" s="37"/>
      <c r="AB424" s="37"/>
      <c r="AC424" s="37"/>
      <c r="AD424" s="37"/>
    </row>
    <row r="425">
      <c r="A425" s="36"/>
      <c r="B425" s="37"/>
      <c r="C425" s="37"/>
      <c r="D425" s="37"/>
      <c r="E425" s="37"/>
      <c r="F425" s="37"/>
      <c r="G425" s="37"/>
      <c r="H425" s="37"/>
      <c r="I425" s="37"/>
      <c r="J425" s="37"/>
      <c r="K425" s="37"/>
      <c r="L425" s="37"/>
      <c r="M425" s="37"/>
      <c r="N425" s="37"/>
      <c r="O425" s="37"/>
      <c r="P425" s="37"/>
      <c r="Q425" s="37"/>
      <c r="R425" s="37"/>
      <c r="S425" s="37"/>
      <c r="T425" s="37"/>
      <c r="U425" s="37"/>
      <c r="V425" s="37"/>
      <c r="W425" s="93"/>
      <c r="X425" s="37"/>
      <c r="Y425" s="37"/>
      <c r="Z425" s="37"/>
      <c r="AA425" s="37"/>
      <c r="AB425" s="37"/>
      <c r="AC425" s="37"/>
      <c r="AD425" s="37"/>
    </row>
    <row r="426">
      <c r="A426" s="36"/>
      <c r="B426" s="37"/>
      <c r="C426" s="37"/>
      <c r="D426" s="37"/>
      <c r="E426" s="37"/>
      <c r="F426" s="37"/>
      <c r="G426" s="37"/>
      <c r="H426" s="37"/>
      <c r="I426" s="37"/>
      <c r="J426" s="37"/>
      <c r="K426" s="37"/>
      <c r="L426" s="37"/>
      <c r="M426" s="37"/>
      <c r="N426" s="37"/>
      <c r="O426" s="37"/>
      <c r="P426" s="37"/>
      <c r="Q426" s="37"/>
      <c r="R426" s="37"/>
      <c r="S426" s="37"/>
      <c r="T426" s="37"/>
      <c r="U426" s="37"/>
      <c r="V426" s="37"/>
      <c r="W426" s="93"/>
      <c r="X426" s="37"/>
      <c r="Y426" s="37"/>
      <c r="Z426" s="37"/>
      <c r="AA426" s="37"/>
      <c r="AB426" s="37"/>
      <c r="AC426" s="37"/>
      <c r="AD426" s="37"/>
    </row>
    <row r="427">
      <c r="A427" s="202"/>
      <c r="B427" s="203"/>
      <c r="C427" s="204"/>
      <c r="D427" s="203"/>
      <c r="E427" s="204"/>
      <c r="F427" s="204"/>
      <c r="G427" s="93"/>
      <c r="H427" s="204"/>
      <c r="I427" s="205"/>
      <c r="J427" s="204"/>
      <c r="K427" s="204"/>
      <c r="L427" s="203"/>
      <c r="M427" s="204"/>
      <c r="N427" s="205"/>
      <c r="O427" s="205"/>
      <c r="P427" s="204"/>
      <c r="Q427" s="205"/>
      <c r="R427" s="204"/>
      <c r="S427" s="204"/>
      <c r="T427" s="204"/>
      <c r="U427" s="205"/>
      <c r="V427" s="204"/>
      <c r="W427" s="204"/>
      <c r="X427" s="204"/>
      <c r="Y427" s="204"/>
      <c r="Z427" s="204"/>
      <c r="AA427" s="204"/>
      <c r="AB427" s="204"/>
      <c r="AC427" s="204"/>
      <c r="AD427" s="204"/>
    </row>
    <row r="428">
      <c r="A428" s="202"/>
      <c r="B428" s="203"/>
      <c r="C428" s="204"/>
      <c r="D428" s="203"/>
      <c r="E428" s="204"/>
      <c r="F428" s="204"/>
      <c r="G428" s="93"/>
      <c r="H428" s="204"/>
      <c r="I428" s="205"/>
      <c r="J428" s="204"/>
      <c r="K428" s="204"/>
      <c r="L428" s="203"/>
      <c r="M428" s="204"/>
      <c r="N428" s="205"/>
      <c r="O428" s="205"/>
      <c r="P428" s="204"/>
      <c r="Q428" s="205"/>
      <c r="R428" s="204"/>
      <c r="S428" s="204"/>
      <c r="T428" s="204"/>
      <c r="U428" s="205"/>
      <c r="V428" s="204"/>
      <c r="W428" s="204"/>
      <c r="X428" s="204"/>
      <c r="Y428" s="204"/>
      <c r="Z428" s="204"/>
      <c r="AA428" s="204"/>
      <c r="AB428" s="204"/>
      <c r="AC428" s="204"/>
      <c r="AD428" s="204"/>
    </row>
    <row r="429">
      <c r="A429" s="202"/>
      <c r="B429" s="203"/>
      <c r="C429" s="204"/>
      <c r="D429" s="203"/>
      <c r="E429" s="204"/>
      <c r="F429" s="204"/>
      <c r="G429" s="93"/>
      <c r="H429" s="204"/>
      <c r="I429" s="205"/>
      <c r="J429" s="204"/>
      <c r="K429" s="204"/>
      <c r="L429" s="203"/>
      <c r="M429" s="204"/>
      <c r="N429" s="205"/>
      <c r="O429" s="205"/>
      <c r="P429" s="204"/>
      <c r="Q429" s="205"/>
      <c r="R429" s="204"/>
      <c r="S429" s="204"/>
      <c r="T429" s="204"/>
      <c r="U429" s="205"/>
      <c r="V429" s="204"/>
      <c r="W429" s="204"/>
      <c r="X429" s="204"/>
      <c r="Y429" s="204"/>
      <c r="Z429" s="204"/>
      <c r="AA429" s="204"/>
      <c r="AB429" s="204"/>
      <c r="AC429" s="204"/>
      <c r="AD429" s="204"/>
    </row>
    <row r="430">
      <c r="A430" s="202"/>
      <c r="B430" s="203"/>
      <c r="C430" s="204"/>
      <c r="D430" s="203"/>
      <c r="E430" s="204"/>
      <c r="F430" s="204"/>
      <c r="G430" s="93"/>
      <c r="H430" s="204"/>
      <c r="I430" s="205"/>
      <c r="J430" s="204"/>
      <c r="K430" s="204"/>
      <c r="L430" s="203"/>
      <c r="M430" s="204"/>
      <c r="N430" s="205"/>
      <c r="O430" s="205"/>
      <c r="P430" s="204"/>
      <c r="Q430" s="205"/>
      <c r="R430" s="204"/>
      <c r="S430" s="204"/>
      <c r="T430" s="204"/>
      <c r="U430" s="205"/>
      <c r="V430" s="204"/>
      <c r="W430" s="204"/>
      <c r="X430" s="204"/>
      <c r="Y430" s="204"/>
      <c r="Z430" s="204"/>
      <c r="AA430" s="204"/>
      <c r="AB430" s="204"/>
      <c r="AC430" s="204"/>
      <c r="AD430" s="204"/>
    </row>
    <row r="431">
      <c r="A431" s="202"/>
      <c r="B431" s="203"/>
      <c r="C431" s="204"/>
      <c r="D431" s="203"/>
      <c r="E431" s="204"/>
      <c r="F431" s="204"/>
      <c r="G431" s="93"/>
      <c r="H431" s="204"/>
      <c r="I431" s="205"/>
      <c r="J431" s="204"/>
      <c r="K431" s="204"/>
      <c r="L431" s="203"/>
      <c r="M431" s="204"/>
      <c r="N431" s="205"/>
      <c r="O431" s="205"/>
      <c r="P431" s="204"/>
      <c r="Q431" s="205"/>
      <c r="R431" s="204"/>
      <c r="S431" s="204"/>
      <c r="T431" s="204"/>
      <c r="U431" s="205"/>
      <c r="V431" s="204"/>
      <c r="W431" s="204"/>
      <c r="X431" s="204"/>
      <c r="Y431" s="204"/>
      <c r="Z431" s="204"/>
      <c r="AA431" s="204"/>
      <c r="AB431" s="204"/>
      <c r="AC431" s="204"/>
      <c r="AD431" s="204"/>
    </row>
    <row r="432">
      <c r="A432" s="202"/>
      <c r="B432" s="203"/>
      <c r="C432" s="204"/>
      <c r="D432" s="203"/>
      <c r="E432" s="204"/>
      <c r="F432" s="204"/>
      <c r="G432" s="93"/>
      <c r="H432" s="204"/>
      <c r="I432" s="205"/>
      <c r="J432" s="204"/>
      <c r="K432" s="204"/>
      <c r="L432" s="203"/>
      <c r="M432" s="204"/>
      <c r="N432" s="205"/>
      <c r="O432" s="205"/>
      <c r="P432" s="204"/>
      <c r="Q432" s="205"/>
      <c r="R432" s="204"/>
      <c r="S432" s="204"/>
      <c r="T432" s="204"/>
      <c r="U432" s="205"/>
      <c r="V432" s="204"/>
      <c r="W432" s="204"/>
      <c r="X432" s="204"/>
      <c r="Y432" s="204"/>
      <c r="Z432" s="204"/>
      <c r="AA432" s="204"/>
      <c r="AB432" s="204"/>
      <c r="AC432" s="204"/>
      <c r="AD432" s="204"/>
    </row>
    <row r="433">
      <c r="A433" s="202"/>
      <c r="B433" s="203"/>
      <c r="C433" s="204"/>
      <c r="D433" s="203"/>
      <c r="E433" s="204"/>
      <c r="F433" s="204"/>
      <c r="G433" s="93"/>
      <c r="H433" s="204"/>
      <c r="I433" s="205"/>
      <c r="J433" s="204"/>
      <c r="K433" s="204"/>
      <c r="L433" s="203"/>
      <c r="M433" s="204"/>
      <c r="N433" s="205"/>
      <c r="O433" s="205"/>
      <c r="P433" s="204"/>
      <c r="Q433" s="205"/>
      <c r="R433" s="204"/>
      <c r="S433" s="204"/>
      <c r="T433" s="204"/>
      <c r="U433" s="205"/>
      <c r="V433" s="204"/>
      <c r="W433" s="204"/>
      <c r="X433" s="204"/>
      <c r="Y433" s="204"/>
      <c r="Z433" s="204"/>
      <c r="AA433" s="204"/>
      <c r="AB433" s="204"/>
      <c r="AC433" s="204"/>
      <c r="AD433" s="204"/>
    </row>
    <row r="434">
      <c r="A434" s="202"/>
      <c r="B434" s="203"/>
      <c r="C434" s="204"/>
      <c r="D434" s="203"/>
      <c r="E434" s="204"/>
      <c r="F434" s="204"/>
      <c r="G434" s="93"/>
      <c r="H434" s="204"/>
      <c r="I434" s="205"/>
      <c r="J434" s="204"/>
      <c r="K434" s="204"/>
      <c r="L434" s="203"/>
      <c r="M434" s="204"/>
      <c r="N434" s="205"/>
      <c r="O434" s="205"/>
      <c r="P434" s="204"/>
      <c r="Q434" s="205"/>
      <c r="R434" s="204"/>
      <c r="S434" s="204"/>
      <c r="T434" s="204"/>
      <c r="U434" s="205"/>
      <c r="V434" s="204"/>
      <c r="W434" s="204"/>
      <c r="X434" s="204"/>
      <c r="Y434" s="204"/>
      <c r="Z434" s="204"/>
      <c r="AA434" s="204"/>
      <c r="AB434" s="204"/>
      <c r="AC434" s="204"/>
      <c r="AD434" s="204"/>
    </row>
    <row r="435">
      <c r="A435" s="202"/>
      <c r="B435" s="203"/>
      <c r="C435" s="204"/>
      <c r="D435" s="203"/>
      <c r="E435" s="204"/>
      <c r="F435" s="204"/>
      <c r="G435" s="93"/>
      <c r="H435" s="204"/>
      <c r="I435" s="205"/>
      <c r="J435" s="204"/>
      <c r="K435" s="204"/>
      <c r="L435" s="203"/>
      <c r="M435" s="204"/>
      <c r="N435" s="205"/>
      <c r="O435" s="205"/>
      <c r="P435" s="204"/>
      <c r="Q435" s="205"/>
      <c r="R435" s="204"/>
      <c r="S435" s="204"/>
      <c r="T435" s="204"/>
      <c r="U435" s="205"/>
      <c r="V435" s="204"/>
      <c r="W435" s="204"/>
      <c r="X435" s="204"/>
      <c r="Y435" s="204"/>
      <c r="Z435" s="204"/>
      <c r="AA435" s="204"/>
      <c r="AB435" s="204"/>
      <c r="AC435" s="204"/>
      <c r="AD435" s="204"/>
    </row>
    <row r="436">
      <c r="A436" s="202"/>
      <c r="B436" s="203"/>
      <c r="C436" s="204"/>
      <c r="D436" s="203"/>
      <c r="E436" s="204"/>
      <c r="F436" s="204"/>
      <c r="G436" s="93"/>
      <c r="H436" s="204"/>
      <c r="I436" s="205"/>
      <c r="J436" s="204"/>
      <c r="K436" s="204"/>
      <c r="L436" s="203"/>
      <c r="M436" s="204"/>
      <c r="N436" s="205"/>
      <c r="O436" s="205"/>
      <c r="P436" s="204"/>
      <c r="Q436" s="205"/>
      <c r="R436" s="204"/>
      <c r="S436" s="204"/>
      <c r="T436" s="204"/>
      <c r="U436" s="205"/>
      <c r="V436" s="204"/>
      <c r="W436" s="204"/>
      <c r="X436" s="204"/>
      <c r="Y436" s="204"/>
      <c r="Z436" s="204"/>
      <c r="AA436" s="204"/>
      <c r="AB436" s="204"/>
      <c r="AC436" s="204"/>
      <c r="AD436" s="204"/>
    </row>
    <row r="437">
      <c r="A437" s="202"/>
      <c r="B437" s="203"/>
      <c r="C437" s="204"/>
      <c r="D437" s="203"/>
      <c r="E437" s="204"/>
      <c r="F437" s="204"/>
      <c r="G437" s="93"/>
      <c r="H437" s="204"/>
      <c r="I437" s="205"/>
      <c r="J437" s="204"/>
      <c r="K437" s="204"/>
      <c r="L437" s="203"/>
      <c r="M437" s="204"/>
      <c r="N437" s="205"/>
      <c r="O437" s="205"/>
      <c r="P437" s="204"/>
      <c r="Q437" s="205"/>
      <c r="R437" s="204"/>
      <c r="S437" s="204"/>
      <c r="T437" s="204"/>
      <c r="U437" s="205"/>
      <c r="V437" s="204"/>
      <c r="W437" s="204"/>
      <c r="X437" s="204"/>
      <c r="Y437" s="204"/>
      <c r="Z437" s="204"/>
      <c r="AA437" s="204"/>
      <c r="AB437" s="204"/>
      <c r="AC437" s="204"/>
      <c r="AD437" s="204"/>
    </row>
    <row r="438">
      <c r="A438" s="202"/>
      <c r="B438" s="203"/>
      <c r="C438" s="204"/>
      <c r="D438" s="203"/>
      <c r="E438" s="204"/>
      <c r="F438" s="204"/>
      <c r="G438" s="93"/>
      <c r="H438" s="204"/>
      <c r="I438" s="205"/>
      <c r="J438" s="204"/>
      <c r="K438" s="204"/>
      <c r="L438" s="203"/>
      <c r="M438" s="204"/>
      <c r="N438" s="205"/>
      <c r="O438" s="205"/>
      <c r="P438" s="204"/>
      <c r="Q438" s="205"/>
      <c r="R438" s="204"/>
      <c r="S438" s="204"/>
      <c r="T438" s="204"/>
      <c r="U438" s="205"/>
      <c r="V438" s="204"/>
      <c r="W438" s="204"/>
      <c r="X438" s="204"/>
      <c r="Y438" s="204"/>
      <c r="Z438" s="204"/>
      <c r="AA438" s="204"/>
      <c r="AB438" s="204"/>
      <c r="AC438" s="204"/>
      <c r="AD438" s="204"/>
    </row>
    <row r="439">
      <c r="A439" s="202"/>
      <c r="B439" s="203"/>
      <c r="C439" s="204"/>
      <c r="D439" s="203"/>
      <c r="E439" s="204"/>
      <c r="F439" s="204"/>
      <c r="G439" s="93"/>
      <c r="H439" s="204"/>
      <c r="I439" s="205"/>
      <c r="J439" s="204"/>
      <c r="K439" s="204"/>
      <c r="L439" s="203"/>
      <c r="M439" s="204"/>
      <c r="N439" s="205"/>
      <c r="O439" s="205"/>
      <c r="P439" s="204"/>
      <c r="Q439" s="205"/>
      <c r="R439" s="204"/>
      <c r="S439" s="204"/>
      <c r="T439" s="204"/>
      <c r="U439" s="205"/>
      <c r="V439" s="204"/>
      <c r="W439" s="204"/>
      <c r="X439" s="204"/>
      <c r="Y439" s="204"/>
      <c r="Z439" s="204"/>
      <c r="AA439" s="204"/>
      <c r="AB439" s="204"/>
      <c r="AC439" s="204"/>
      <c r="AD439" s="204"/>
    </row>
    <row r="440">
      <c r="A440" s="202"/>
      <c r="B440" s="203"/>
      <c r="C440" s="204"/>
      <c r="D440" s="203"/>
      <c r="E440" s="204"/>
      <c r="F440" s="204"/>
      <c r="G440" s="93"/>
      <c r="H440" s="204"/>
      <c r="I440" s="205"/>
      <c r="J440" s="204"/>
      <c r="K440" s="204"/>
      <c r="L440" s="203"/>
      <c r="M440" s="204"/>
      <c r="N440" s="205"/>
      <c r="O440" s="205"/>
      <c r="P440" s="204"/>
      <c r="Q440" s="205"/>
      <c r="R440" s="204"/>
      <c r="S440" s="204"/>
      <c r="T440" s="204"/>
      <c r="U440" s="205"/>
      <c r="V440" s="204"/>
      <c r="W440" s="204"/>
      <c r="X440" s="204"/>
      <c r="Y440" s="204"/>
      <c r="Z440" s="204"/>
      <c r="AA440" s="204"/>
      <c r="AB440" s="204"/>
      <c r="AC440" s="204"/>
      <c r="AD440" s="204"/>
    </row>
    <row r="441">
      <c r="A441" s="202"/>
      <c r="B441" s="203"/>
      <c r="C441" s="204"/>
      <c r="D441" s="203"/>
      <c r="E441" s="204"/>
      <c r="F441" s="204"/>
      <c r="G441" s="93"/>
      <c r="H441" s="204"/>
      <c r="I441" s="205"/>
      <c r="J441" s="204"/>
      <c r="K441" s="204"/>
      <c r="L441" s="203"/>
      <c r="M441" s="204"/>
      <c r="N441" s="205"/>
      <c r="O441" s="205"/>
      <c r="P441" s="204"/>
      <c r="Q441" s="205"/>
      <c r="R441" s="204"/>
      <c r="S441" s="204"/>
      <c r="T441" s="204"/>
      <c r="U441" s="205"/>
      <c r="V441" s="204"/>
      <c r="W441" s="204"/>
      <c r="X441" s="204"/>
      <c r="Y441" s="204"/>
      <c r="Z441" s="204"/>
      <c r="AA441" s="204"/>
      <c r="AB441" s="204"/>
      <c r="AC441" s="204"/>
      <c r="AD441" s="204"/>
    </row>
    <row r="442">
      <c r="A442" s="202"/>
      <c r="B442" s="203"/>
      <c r="C442" s="204"/>
      <c r="D442" s="203"/>
      <c r="E442" s="204"/>
      <c r="F442" s="204"/>
      <c r="G442" s="93"/>
      <c r="H442" s="204"/>
      <c r="I442" s="205"/>
      <c r="J442" s="204"/>
      <c r="K442" s="204"/>
      <c r="L442" s="203"/>
      <c r="M442" s="204"/>
      <c r="N442" s="205"/>
      <c r="O442" s="205"/>
      <c r="P442" s="204"/>
      <c r="Q442" s="205"/>
      <c r="R442" s="204"/>
      <c r="S442" s="204"/>
      <c r="T442" s="204"/>
      <c r="U442" s="205"/>
      <c r="V442" s="204"/>
      <c r="W442" s="204"/>
      <c r="X442" s="204"/>
      <c r="Y442" s="204"/>
      <c r="Z442" s="204"/>
      <c r="AA442" s="204"/>
      <c r="AB442" s="204"/>
      <c r="AC442" s="204"/>
      <c r="AD442" s="204"/>
    </row>
    <row r="443">
      <c r="A443" s="202"/>
      <c r="B443" s="203"/>
      <c r="C443" s="204"/>
      <c r="D443" s="203"/>
      <c r="E443" s="204"/>
      <c r="F443" s="204"/>
      <c r="G443" s="93"/>
      <c r="H443" s="204"/>
      <c r="I443" s="205"/>
      <c r="J443" s="204"/>
      <c r="K443" s="204"/>
      <c r="L443" s="203"/>
      <c r="M443" s="204"/>
      <c r="N443" s="205"/>
      <c r="O443" s="205"/>
      <c r="P443" s="204"/>
      <c r="Q443" s="205"/>
      <c r="R443" s="204"/>
      <c r="S443" s="204"/>
      <c r="T443" s="204"/>
      <c r="U443" s="205"/>
      <c r="V443" s="204"/>
      <c r="W443" s="204"/>
      <c r="X443" s="204"/>
      <c r="Y443" s="204"/>
      <c r="Z443" s="204"/>
      <c r="AA443" s="204"/>
      <c r="AB443" s="204"/>
      <c r="AC443" s="204"/>
      <c r="AD443" s="204"/>
    </row>
    <row r="444">
      <c r="A444" s="202"/>
      <c r="B444" s="203"/>
      <c r="C444" s="204"/>
      <c r="D444" s="203"/>
      <c r="E444" s="204"/>
      <c r="F444" s="204"/>
      <c r="G444" s="93"/>
      <c r="H444" s="204"/>
      <c r="I444" s="205"/>
      <c r="J444" s="204"/>
      <c r="K444" s="204"/>
      <c r="L444" s="203"/>
      <c r="M444" s="204"/>
      <c r="N444" s="205"/>
      <c r="O444" s="205"/>
      <c r="P444" s="204"/>
      <c r="Q444" s="205"/>
      <c r="R444" s="204"/>
      <c r="S444" s="204"/>
      <c r="T444" s="204"/>
      <c r="U444" s="205"/>
      <c r="V444" s="204"/>
      <c r="W444" s="204"/>
      <c r="X444" s="204"/>
      <c r="Y444" s="204"/>
      <c r="Z444" s="204"/>
      <c r="AA444" s="204"/>
      <c r="AB444" s="204"/>
      <c r="AC444" s="204"/>
      <c r="AD444" s="204"/>
    </row>
    <row r="445">
      <c r="A445" s="202"/>
      <c r="B445" s="203"/>
      <c r="C445" s="204"/>
      <c r="D445" s="203"/>
      <c r="E445" s="204"/>
      <c r="F445" s="204"/>
      <c r="G445" s="93"/>
      <c r="H445" s="204"/>
      <c r="I445" s="205"/>
      <c r="J445" s="204"/>
      <c r="K445" s="204"/>
      <c r="L445" s="203"/>
      <c r="M445" s="204"/>
      <c r="N445" s="205"/>
      <c r="O445" s="205"/>
      <c r="P445" s="204"/>
      <c r="Q445" s="205"/>
      <c r="R445" s="204"/>
      <c r="S445" s="204"/>
      <c r="T445" s="204"/>
      <c r="U445" s="205"/>
      <c r="V445" s="204"/>
      <c r="W445" s="204"/>
      <c r="X445" s="204"/>
      <c r="Y445" s="204"/>
      <c r="Z445" s="204"/>
      <c r="AA445" s="204"/>
      <c r="AB445" s="204"/>
      <c r="AC445" s="204"/>
      <c r="AD445" s="204"/>
    </row>
    <row r="446">
      <c r="A446" s="202"/>
      <c r="B446" s="203"/>
      <c r="C446" s="204"/>
      <c r="D446" s="203"/>
      <c r="E446" s="204"/>
      <c r="F446" s="204"/>
      <c r="G446" s="93"/>
      <c r="H446" s="204"/>
      <c r="I446" s="205"/>
      <c r="J446" s="204"/>
      <c r="K446" s="204"/>
      <c r="L446" s="203"/>
      <c r="M446" s="204"/>
      <c r="N446" s="205"/>
      <c r="O446" s="205"/>
      <c r="P446" s="204"/>
      <c r="Q446" s="205"/>
      <c r="R446" s="204"/>
      <c r="S446" s="204"/>
      <c r="T446" s="204"/>
      <c r="U446" s="205"/>
      <c r="V446" s="204"/>
      <c r="W446" s="204"/>
      <c r="X446" s="204"/>
      <c r="Y446" s="204"/>
      <c r="Z446" s="204"/>
      <c r="AA446" s="204"/>
      <c r="AB446" s="204"/>
      <c r="AC446" s="204"/>
      <c r="AD446" s="204"/>
    </row>
    <row r="447">
      <c r="A447" s="202"/>
      <c r="B447" s="203"/>
      <c r="C447" s="204"/>
      <c r="D447" s="203"/>
      <c r="E447" s="204"/>
      <c r="F447" s="204"/>
      <c r="G447" s="93"/>
      <c r="H447" s="204"/>
      <c r="I447" s="205"/>
      <c r="J447" s="204"/>
      <c r="K447" s="204"/>
      <c r="L447" s="203"/>
      <c r="M447" s="204"/>
      <c r="N447" s="205"/>
      <c r="O447" s="205"/>
      <c r="P447" s="204"/>
      <c r="Q447" s="205"/>
      <c r="R447" s="204"/>
      <c r="S447" s="204"/>
      <c r="T447" s="204"/>
      <c r="U447" s="205"/>
      <c r="V447" s="204"/>
      <c r="W447" s="204"/>
      <c r="X447" s="204"/>
      <c r="Y447" s="204"/>
      <c r="Z447" s="204"/>
      <c r="AA447" s="204"/>
      <c r="AB447" s="204"/>
      <c r="AC447" s="204"/>
      <c r="AD447" s="204"/>
    </row>
    <row r="448">
      <c r="A448" s="202"/>
      <c r="B448" s="203"/>
      <c r="C448" s="204"/>
      <c r="D448" s="203"/>
      <c r="E448" s="204"/>
      <c r="F448" s="204"/>
      <c r="G448" s="93"/>
      <c r="H448" s="204"/>
      <c r="I448" s="205"/>
      <c r="J448" s="204"/>
      <c r="K448" s="204"/>
      <c r="L448" s="203"/>
      <c r="M448" s="204"/>
      <c r="N448" s="205"/>
      <c r="O448" s="205"/>
      <c r="P448" s="204"/>
      <c r="Q448" s="205"/>
      <c r="R448" s="204"/>
      <c r="S448" s="204"/>
      <c r="T448" s="204"/>
      <c r="U448" s="205"/>
      <c r="V448" s="204"/>
      <c r="W448" s="204"/>
      <c r="X448" s="204"/>
      <c r="Y448" s="204"/>
      <c r="Z448" s="204"/>
      <c r="AA448" s="204"/>
      <c r="AB448" s="204"/>
      <c r="AC448" s="204"/>
      <c r="AD448" s="204"/>
    </row>
    <row r="449">
      <c r="A449" s="202"/>
      <c r="B449" s="203"/>
      <c r="C449" s="204"/>
      <c r="D449" s="203"/>
      <c r="E449" s="204"/>
      <c r="F449" s="204"/>
      <c r="G449" s="93"/>
      <c r="H449" s="204"/>
      <c r="I449" s="205"/>
      <c r="J449" s="204"/>
      <c r="K449" s="204"/>
      <c r="L449" s="203"/>
      <c r="M449" s="204"/>
      <c r="N449" s="205"/>
      <c r="O449" s="205"/>
      <c r="P449" s="204"/>
      <c r="Q449" s="205"/>
      <c r="R449" s="204"/>
      <c r="S449" s="204"/>
      <c r="T449" s="204"/>
      <c r="U449" s="205"/>
      <c r="V449" s="204"/>
      <c r="W449" s="204"/>
      <c r="X449" s="204"/>
      <c r="Y449" s="204"/>
      <c r="Z449" s="204"/>
      <c r="AA449" s="204"/>
      <c r="AB449" s="204"/>
      <c r="AC449" s="204"/>
      <c r="AD449" s="204"/>
    </row>
    <row r="450">
      <c r="A450" s="202"/>
      <c r="B450" s="203"/>
      <c r="C450" s="204"/>
      <c r="D450" s="203"/>
      <c r="E450" s="204"/>
      <c r="F450" s="204"/>
      <c r="G450" s="93"/>
      <c r="H450" s="204"/>
      <c r="I450" s="205"/>
      <c r="J450" s="204"/>
      <c r="K450" s="204"/>
      <c r="L450" s="203"/>
      <c r="M450" s="204"/>
      <c r="N450" s="205"/>
      <c r="O450" s="205"/>
      <c r="P450" s="204"/>
      <c r="Q450" s="205"/>
      <c r="R450" s="204"/>
      <c r="S450" s="204"/>
      <c r="T450" s="204"/>
      <c r="U450" s="205"/>
      <c r="V450" s="204"/>
      <c r="W450" s="204"/>
      <c r="X450" s="204"/>
      <c r="Y450" s="204"/>
      <c r="Z450" s="204"/>
      <c r="AA450" s="204"/>
      <c r="AB450" s="204"/>
      <c r="AC450" s="204"/>
      <c r="AD450" s="204"/>
    </row>
    <row r="451">
      <c r="A451" s="202"/>
      <c r="B451" s="203"/>
      <c r="C451" s="204"/>
      <c r="D451" s="203"/>
      <c r="E451" s="204"/>
      <c r="F451" s="204"/>
      <c r="G451" s="93"/>
      <c r="H451" s="204"/>
      <c r="I451" s="205"/>
      <c r="J451" s="204"/>
      <c r="K451" s="204"/>
      <c r="L451" s="203"/>
      <c r="M451" s="204"/>
      <c r="N451" s="205"/>
      <c r="O451" s="205"/>
      <c r="P451" s="204"/>
      <c r="Q451" s="205"/>
      <c r="R451" s="204"/>
      <c r="S451" s="204"/>
      <c r="T451" s="204"/>
      <c r="U451" s="205"/>
      <c r="V451" s="204"/>
      <c r="W451" s="204"/>
      <c r="X451" s="204"/>
      <c r="Y451" s="204"/>
      <c r="Z451" s="204"/>
      <c r="AA451" s="204"/>
      <c r="AB451" s="204"/>
      <c r="AC451" s="204"/>
      <c r="AD451" s="204"/>
    </row>
    <row r="452">
      <c r="A452" s="202"/>
      <c r="B452" s="203"/>
      <c r="C452" s="204"/>
      <c r="D452" s="203"/>
      <c r="E452" s="204"/>
      <c r="F452" s="204"/>
      <c r="G452" s="93"/>
      <c r="H452" s="204"/>
      <c r="I452" s="205"/>
      <c r="J452" s="204"/>
      <c r="K452" s="204"/>
      <c r="L452" s="203"/>
      <c r="M452" s="204"/>
      <c r="N452" s="205"/>
      <c r="O452" s="205"/>
      <c r="P452" s="204"/>
      <c r="Q452" s="205"/>
      <c r="R452" s="204"/>
      <c r="S452" s="204"/>
      <c r="T452" s="204"/>
      <c r="U452" s="205"/>
      <c r="V452" s="204"/>
      <c r="W452" s="204"/>
      <c r="X452" s="204"/>
      <c r="Y452" s="204"/>
      <c r="Z452" s="204"/>
      <c r="AA452" s="204"/>
      <c r="AB452" s="204"/>
      <c r="AC452" s="204"/>
      <c r="AD452" s="204"/>
    </row>
    <row r="453">
      <c r="A453" s="202"/>
      <c r="B453" s="203"/>
      <c r="C453" s="204"/>
      <c r="D453" s="203"/>
      <c r="E453" s="204"/>
      <c r="F453" s="204"/>
      <c r="G453" s="93"/>
      <c r="H453" s="204"/>
      <c r="I453" s="205"/>
      <c r="J453" s="204"/>
      <c r="K453" s="204"/>
      <c r="L453" s="203"/>
      <c r="M453" s="204"/>
      <c r="N453" s="205"/>
      <c r="O453" s="205"/>
      <c r="P453" s="204"/>
      <c r="Q453" s="205"/>
      <c r="R453" s="204"/>
      <c r="S453" s="204"/>
      <c r="T453" s="204"/>
      <c r="U453" s="205"/>
      <c r="V453" s="204"/>
      <c r="W453" s="204"/>
      <c r="X453" s="204"/>
      <c r="Y453" s="204"/>
      <c r="Z453" s="204"/>
      <c r="AA453" s="204"/>
      <c r="AB453" s="204"/>
      <c r="AC453" s="204"/>
      <c r="AD453" s="204"/>
    </row>
    <row r="454">
      <c r="A454" s="202"/>
      <c r="B454" s="203"/>
      <c r="C454" s="204"/>
      <c r="D454" s="203"/>
      <c r="E454" s="204"/>
      <c r="F454" s="204"/>
      <c r="G454" s="93"/>
      <c r="H454" s="204"/>
      <c r="I454" s="205"/>
      <c r="J454" s="204"/>
      <c r="K454" s="204"/>
      <c r="L454" s="203"/>
      <c r="M454" s="204"/>
      <c r="N454" s="205"/>
      <c r="O454" s="205"/>
      <c r="P454" s="204"/>
      <c r="Q454" s="205"/>
      <c r="R454" s="204"/>
      <c r="S454" s="204"/>
      <c r="T454" s="204"/>
      <c r="U454" s="205"/>
      <c r="V454" s="204"/>
      <c r="W454" s="204"/>
      <c r="X454" s="204"/>
      <c r="Y454" s="204"/>
      <c r="Z454" s="204"/>
      <c r="AA454" s="204"/>
      <c r="AB454" s="204"/>
      <c r="AC454" s="204"/>
      <c r="AD454" s="204"/>
    </row>
    <row r="455">
      <c r="A455" s="202"/>
      <c r="B455" s="203"/>
      <c r="C455" s="204"/>
      <c r="D455" s="203"/>
      <c r="E455" s="204"/>
      <c r="F455" s="204"/>
      <c r="G455" s="93"/>
      <c r="H455" s="204"/>
      <c r="I455" s="205"/>
      <c r="J455" s="204"/>
      <c r="K455" s="204"/>
      <c r="L455" s="203"/>
      <c r="M455" s="204"/>
      <c r="N455" s="205"/>
      <c r="O455" s="205"/>
      <c r="P455" s="204"/>
      <c r="Q455" s="205"/>
      <c r="R455" s="204"/>
      <c r="S455" s="204"/>
      <c r="T455" s="204"/>
      <c r="U455" s="205"/>
      <c r="V455" s="204"/>
      <c r="W455" s="204"/>
      <c r="X455" s="204"/>
      <c r="Y455" s="204"/>
      <c r="Z455" s="204"/>
      <c r="AA455" s="204"/>
      <c r="AB455" s="204"/>
      <c r="AC455" s="204"/>
      <c r="AD455" s="204"/>
    </row>
    <row r="456">
      <c r="A456" s="202"/>
      <c r="B456" s="203"/>
      <c r="C456" s="204"/>
      <c r="D456" s="203"/>
      <c r="E456" s="204"/>
      <c r="F456" s="204"/>
      <c r="G456" s="93"/>
      <c r="H456" s="204"/>
      <c r="I456" s="205"/>
      <c r="J456" s="204"/>
      <c r="K456" s="204"/>
      <c r="L456" s="203"/>
      <c r="M456" s="204"/>
      <c r="N456" s="205"/>
      <c r="O456" s="205"/>
      <c r="P456" s="204"/>
      <c r="Q456" s="205"/>
      <c r="R456" s="204"/>
      <c r="S456" s="204"/>
      <c r="T456" s="204"/>
      <c r="U456" s="205"/>
      <c r="V456" s="204"/>
      <c r="W456" s="204"/>
      <c r="X456" s="204"/>
      <c r="Y456" s="204"/>
      <c r="Z456" s="204"/>
      <c r="AA456" s="204"/>
      <c r="AB456" s="204"/>
      <c r="AC456" s="204"/>
      <c r="AD456" s="204"/>
    </row>
    <row r="457">
      <c r="A457" s="202"/>
      <c r="B457" s="203"/>
      <c r="C457" s="204"/>
      <c r="D457" s="203"/>
      <c r="E457" s="204"/>
      <c r="F457" s="204"/>
      <c r="G457" s="93"/>
      <c r="H457" s="204"/>
      <c r="I457" s="205"/>
      <c r="J457" s="204"/>
      <c r="K457" s="204"/>
      <c r="L457" s="203"/>
      <c r="M457" s="204"/>
      <c r="N457" s="205"/>
      <c r="O457" s="205"/>
      <c r="P457" s="204"/>
      <c r="Q457" s="205"/>
      <c r="R457" s="204"/>
      <c r="S457" s="204"/>
      <c r="T457" s="204"/>
      <c r="U457" s="205"/>
      <c r="V457" s="204"/>
      <c r="W457" s="204"/>
      <c r="X457" s="204"/>
      <c r="Y457" s="204"/>
      <c r="Z457" s="204"/>
      <c r="AA457" s="204"/>
      <c r="AB457" s="204"/>
      <c r="AC457" s="204"/>
      <c r="AD457" s="204"/>
    </row>
    <row r="458">
      <c r="A458" s="202"/>
      <c r="B458" s="203"/>
      <c r="C458" s="204"/>
      <c r="D458" s="203"/>
      <c r="E458" s="204"/>
      <c r="F458" s="204"/>
      <c r="G458" s="93"/>
      <c r="H458" s="204"/>
      <c r="I458" s="205"/>
      <c r="J458" s="204"/>
      <c r="K458" s="204"/>
      <c r="L458" s="203"/>
      <c r="M458" s="204"/>
      <c r="N458" s="205"/>
      <c r="O458" s="205"/>
      <c r="P458" s="204"/>
      <c r="Q458" s="205"/>
      <c r="R458" s="204"/>
      <c r="S458" s="204"/>
      <c r="T458" s="204"/>
      <c r="U458" s="205"/>
      <c r="V458" s="204"/>
      <c r="W458" s="204"/>
      <c r="X458" s="204"/>
      <c r="Y458" s="204"/>
      <c r="Z458" s="204"/>
      <c r="AA458" s="204"/>
      <c r="AB458" s="204"/>
      <c r="AC458" s="204"/>
      <c r="AD458" s="204"/>
    </row>
    <row r="459">
      <c r="A459" s="202"/>
      <c r="B459" s="203"/>
      <c r="C459" s="204"/>
      <c r="D459" s="203"/>
      <c r="E459" s="204"/>
      <c r="F459" s="204"/>
      <c r="G459" s="93"/>
      <c r="H459" s="204"/>
      <c r="I459" s="205"/>
      <c r="J459" s="204"/>
      <c r="K459" s="204"/>
      <c r="L459" s="203"/>
      <c r="M459" s="204"/>
      <c r="N459" s="205"/>
      <c r="O459" s="205"/>
      <c r="P459" s="204"/>
      <c r="Q459" s="205"/>
      <c r="R459" s="204"/>
      <c r="S459" s="204"/>
      <c r="T459" s="204"/>
      <c r="U459" s="205"/>
      <c r="V459" s="204"/>
      <c r="W459" s="204"/>
      <c r="X459" s="204"/>
      <c r="Y459" s="204"/>
      <c r="Z459" s="204"/>
      <c r="AA459" s="204"/>
      <c r="AB459" s="204"/>
      <c r="AC459" s="204"/>
      <c r="AD459" s="204"/>
    </row>
    <row r="460">
      <c r="A460" s="202"/>
      <c r="B460" s="203"/>
      <c r="C460" s="204"/>
      <c r="D460" s="203"/>
      <c r="E460" s="204"/>
      <c r="F460" s="204"/>
      <c r="G460" s="93"/>
      <c r="H460" s="204"/>
      <c r="I460" s="205"/>
      <c r="J460" s="204"/>
      <c r="K460" s="204"/>
      <c r="L460" s="203"/>
      <c r="M460" s="204"/>
      <c r="N460" s="205"/>
      <c r="O460" s="205"/>
      <c r="P460" s="204"/>
      <c r="Q460" s="205"/>
      <c r="R460" s="204"/>
      <c r="S460" s="204"/>
      <c r="T460" s="204"/>
      <c r="U460" s="205"/>
      <c r="V460" s="204"/>
      <c r="W460" s="204"/>
      <c r="X460" s="204"/>
      <c r="Y460" s="204"/>
      <c r="Z460" s="204"/>
      <c r="AA460" s="204"/>
      <c r="AB460" s="204"/>
      <c r="AC460" s="204"/>
      <c r="AD460" s="204"/>
    </row>
    <row r="461">
      <c r="A461" s="202"/>
      <c r="B461" s="203"/>
      <c r="C461" s="204"/>
      <c r="D461" s="203"/>
      <c r="E461" s="204"/>
      <c r="F461" s="204"/>
      <c r="G461" s="93"/>
      <c r="H461" s="204"/>
      <c r="I461" s="205"/>
      <c r="J461" s="204"/>
      <c r="K461" s="204"/>
      <c r="L461" s="203"/>
      <c r="M461" s="204"/>
      <c r="N461" s="205"/>
      <c r="O461" s="205"/>
      <c r="P461" s="204"/>
      <c r="Q461" s="205"/>
      <c r="R461" s="204"/>
      <c r="S461" s="204"/>
      <c r="T461" s="204"/>
      <c r="U461" s="205"/>
      <c r="V461" s="204"/>
      <c r="W461" s="204"/>
      <c r="X461" s="204"/>
      <c r="Y461" s="204"/>
      <c r="Z461" s="204"/>
      <c r="AA461" s="204"/>
      <c r="AB461" s="204"/>
      <c r="AC461" s="204"/>
      <c r="AD461" s="204"/>
    </row>
    <row r="462">
      <c r="A462" s="202"/>
      <c r="B462" s="203"/>
      <c r="C462" s="204"/>
      <c r="D462" s="203"/>
      <c r="E462" s="204"/>
      <c r="F462" s="204"/>
      <c r="G462" s="93"/>
      <c r="H462" s="204"/>
      <c r="I462" s="205"/>
      <c r="J462" s="204"/>
      <c r="K462" s="204"/>
      <c r="L462" s="203"/>
      <c r="M462" s="204"/>
      <c r="N462" s="205"/>
      <c r="O462" s="205"/>
      <c r="P462" s="204"/>
      <c r="Q462" s="205"/>
      <c r="R462" s="204"/>
      <c r="S462" s="204"/>
      <c r="T462" s="204"/>
      <c r="U462" s="205"/>
      <c r="V462" s="204"/>
      <c r="W462" s="204"/>
      <c r="X462" s="204"/>
      <c r="Y462" s="204"/>
      <c r="Z462" s="204"/>
      <c r="AA462" s="204"/>
      <c r="AB462" s="204"/>
      <c r="AC462" s="204"/>
      <c r="AD462" s="204"/>
    </row>
    <row r="463">
      <c r="A463" s="202"/>
      <c r="B463" s="203"/>
      <c r="C463" s="204"/>
      <c r="D463" s="203"/>
      <c r="E463" s="204"/>
      <c r="F463" s="204"/>
      <c r="G463" s="93"/>
      <c r="H463" s="204"/>
      <c r="I463" s="205"/>
      <c r="J463" s="204"/>
      <c r="K463" s="204"/>
      <c r="L463" s="203"/>
      <c r="M463" s="204"/>
      <c r="N463" s="205"/>
      <c r="O463" s="205"/>
      <c r="P463" s="204"/>
      <c r="Q463" s="205"/>
      <c r="R463" s="204"/>
      <c r="S463" s="204"/>
      <c r="T463" s="204"/>
      <c r="U463" s="205"/>
      <c r="V463" s="204"/>
      <c r="W463" s="204"/>
      <c r="X463" s="204"/>
      <c r="Y463" s="204"/>
      <c r="Z463" s="204"/>
      <c r="AA463" s="204"/>
      <c r="AB463" s="204"/>
      <c r="AC463" s="204"/>
      <c r="AD463" s="204"/>
    </row>
    <row r="464">
      <c r="A464" s="202"/>
      <c r="B464" s="203"/>
      <c r="C464" s="204"/>
      <c r="D464" s="203"/>
      <c r="E464" s="204"/>
      <c r="F464" s="204"/>
      <c r="G464" s="93"/>
      <c r="H464" s="204"/>
      <c r="I464" s="205"/>
      <c r="J464" s="204"/>
      <c r="K464" s="204"/>
      <c r="L464" s="203"/>
      <c r="M464" s="204"/>
      <c r="N464" s="205"/>
      <c r="O464" s="205"/>
      <c r="P464" s="204"/>
      <c r="Q464" s="205"/>
      <c r="R464" s="204"/>
      <c r="S464" s="204"/>
      <c r="T464" s="204"/>
      <c r="U464" s="205"/>
      <c r="V464" s="204"/>
      <c r="W464" s="204"/>
      <c r="X464" s="204"/>
      <c r="Y464" s="204"/>
      <c r="Z464" s="204"/>
      <c r="AA464" s="204"/>
      <c r="AB464" s="204"/>
      <c r="AC464" s="204"/>
      <c r="AD464" s="204"/>
    </row>
    <row r="465">
      <c r="A465" s="202"/>
      <c r="B465" s="203"/>
      <c r="C465" s="204"/>
      <c r="D465" s="203"/>
      <c r="E465" s="204"/>
      <c r="F465" s="204"/>
      <c r="G465" s="93"/>
      <c r="H465" s="204"/>
      <c r="I465" s="205"/>
      <c r="J465" s="204"/>
      <c r="K465" s="204"/>
      <c r="L465" s="203"/>
      <c r="M465" s="204"/>
      <c r="N465" s="205"/>
      <c r="O465" s="205"/>
      <c r="P465" s="204"/>
      <c r="Q465" s="205"/>
      <c r="R465" s="204"/>
      <c r="S465" s="204"/>
      <c r="T465" s="204"/>
      <c r="U465" s="205"/>
      <c r="V465" s="204"/>
      <c r="W465" s="204"/>
      <c r="X465" s="204"/>
      <c r="Y465" s="204"/>
      <c r="Z465" s="204"/>
      <c r="AA465" s="204"/>
      <c r="AB465" s="204"/>
      <c r="AC465" s="204"/>
      <c r="AD465" s="204"/>
    </row>
    <row r="466">
      <c r="A466" s="202"/>
      <c r="B466" s="203"/>
      <c r="C466" s="204"/>
      <c r="D466" s="203"/>
      <c r="E466" s="204"/>
      <c r="F466" s="204"/>
      <c r="G466" s="93"/>
      <c r="H466" s="204"/>
      <c r="I466" s="205"/>
      <c r="J466" s="204"/>
      <c r="K466" s="204"/>
      <c r="L466" s="203"/>
      <c r="M466" s="204"/>
      <c r="N466" s="205"/>
      <c r="O466" s="205"/>
      <c r="P466" s="204"/>
      <c r="Q466" s="205"/>
      <c r="R466" s="204"/>
      <c r="S466" s="204"/>
      <c r="T466" s="204"/>
      <c r="U466" s="205"/>
      <c r="V466" s="204"/>
      <c r="W466" s="204"/>
      <c r="X466" s="204"/>
      <c r="Y466" s="204"/>
      <c r="Z466" s="204"/>
      <c r="AA466" s="204"/>
      <c r="AB466" s="204"/>
      <c r="AC466" s="204"/>
      <c r="AD466" s="204"/>
    </row>
    <row r="467">
      <c r="A467" s="202"/>
      <c r="B467" s="203"/>
      <c r="C467" s="204"/>
      <c r="D467" s="203"/>
      <c r="E467" s="204"/>
      <c r="F467" s="204"/>
      <c r="G467" s="93"/>
      <c r="H467" s="204"/>
      <c r="I467" s="205"/>
      <c r="J467" s="204"/>
      <c r="K467" s="204"/>
      <c r="L467" s="203"/>
      <c r="M467" s="204"/>
      <c r="N467" s="205"/>
      <c r="O467" s="205"/>
      <c r="P467" s="204"/>
      <c r="Q467" s="205"/>
      <c r="R467" s="204"/>
      <c r="S467" s="204"/>
      <c r="T467" s="204"/>
      <c r="U467" s="205"/>
      <c r="V467" s="204"/>
      <c r="W467" s="204"/>
      <c r="X467" s="204"/>
      <c r="Y467" s="204"/>
      <c r="Z467" s="204"/>
      <c r="AA467" s="204"/>
      <c r="AB467" s="204"/>
      <c r="AC467" s="204"/>
      <c r="AD467" s="204"/>
    </row>
    <row r="468">
      <c r="A468" s="202"/>
      <c r="B468" s="203"/>
      <c r="C468" s="204"/>
      <c r="D468" s="203"/>
      <c r="E468" s="204"/>
      <c r="F468" s="204"/>
      <c r="G468" s="93"/>
      <c r="H468" s="204"/>
      <c r="I468" s="205"/>
      <c r="J468" s="204"/>
      <c r="K468" s="204"/>
      <c r="L468" s="203"/>
      <c r="M468" s="204"/>
      <c r="N468" s="205"/>
      <c r="O468" s="205"/>
      <c r="P468" s="204"/>
      <c r="Q468" s="205"/>
      <c r="R468" s="204"/>
      <c r="S468" s="204"/>
      <c r="T468" s="204"/>
      <c r="U468" s="205"/>
      <c r="V468" s="204"/>
      <c r="W468" s="204"/>
      <c r="X468" s="204"/>
      <c r="Y468" s="204"/>
      <c r="Z468" s="204"/>
      <c r="AA468" s="204"/>
      <c r="AB468" s="204"/>
      <c r="AC468" s="204"/>
      <c r="AD468" s="204"/>
    </row>
    <row r="469">
      <c r="A469" s="202"/>
      <c r="B469" s="203"/>
      <c r="C469" s="204"/>
      <c r="D469" s="203"/>
      <c r="E469" s="204"/>
      <c r="F469" s="204"/>
      <c r="G469" s="93"/>
      <c r="H469" s="204"/>
      <c r="I469" s="205"/>
      <c r="J469" s="204"/>
      <c r="K469" s="204"/>
      <c r="L469" s="203"/>
      <c r="M469" s="204"/>
      <c r="N469" s="205"/>
      <c r="O469" s="205"/>
      <c r="P469" s="204"/>
      <c r="Q469" s="205"/>
      <c r="R469" s="204"/>
      <c r="S469" s="204"/>
      <c r="T469" s="204"/>
      <c r="U469" s="205"/>
      <c r="V469" s="204"/>
      <c r="W469" s="204"/>
      <c r="X469" s="204"/>
      <c r="Y469" s="204"/>
      <c r="Z469" s="204"/>
      <c r="AA469" s="204"/>
      <c r="AB469" s="204"/>
      <c r="AC469" s="204"/>
      <c r="AD469" s="204"/>
    </row>
    <row r="470">
      <c r="A470" s="202"/>
      <c r="B470" s="203"/>
      <c r="C470" s="204"/>
      <c r="D470" s="203"/>
      <c r="E470" s="204"/>
      <c r="F470" s="204"/>
      <c r="G470" s="93"/>
      <c r="H470" s="204"/>
      <c r="I470" s="205"/>
      <c r="J470" s="204"/>
      <c r="K470" s="204"/>
      <c r="L470" s="203"/>
      <c r="M470" s="204"/>
      <c r="N470" s="205"/>
      <c r="O470" s="205"/>
      <c r="P470" s="204"/>
      <c r="Q470" s="205"/>
      <c r="R470" s="204"/>
      <c r="S470" s="204"/>
      <c r="T470" s="204"/>
      <c r="U470" s="205"/>
      <c r="V470" s="204"/>
      <c r="W470" s="204"/>
      <c r="X470" s="204"/>
      <c r="Y470" s="204"/>
      <c r="Z470" s="204"/>
      <c r="AA470" s="204"/>
      <c r="AB470" s="204"/>
      <c r="AC470" s="204"/>
      <c r="AD470" s="204"/>
    </row>
    <row r="471">
      <c r="A471" s="202"/>
      <c r="B471" s="203"/>
      <c r="C471" s="204"/>
      <c r="D471" s="203"/>
      <c r="E471" s="204"/>
      <c r="F471" s="204"/>
      <c r="G471" s="93"/>
      <c r="H471" s="204"/>
      <c r="I471" s="205"/>
      <c r="J471" s="204"/>
      <c r="K471" s="204"/>
      <c r="L471" s="203"/>
      <c r="M471" s="204"/>
      <c r="N471" s="205"/>
      <c r="O471" s="205"/>
      <c r="P471" s="204"/>
      <c r="Q471" s="205"/>
      <c r="R471" s="204"/>
      <c r="S471" s="204"/>
      <c r="T471" s="204"/>
      <c r="U471" s="205"/>
      <c r="V471" s="204"/>
      <c r="W471" s="204"/>
      <c r="X471" s="204"/>
      <c r="Y471" s="204"/>
      <c r="Z471" s="204"/>
      <c r="AA471" s="204"/>
      <c r="AB471" s="204"/>
      <c r="AC471" s="204"/>
      <c r="AD471" s="204"/>
    </row>
    <row r="472">
      <c r="A472" s="202"/>
      <c r="B472" s="203"/>
      <c r="C472" s="204"/>
      <c r="D472" s="203"/>
      <c r="E472" s="204"/>
      <c r="F472" s="204"/>
      <c r="G472" s="93"/>
      <c r="H472" s="204"/>
      <c r="I472" s="205"/>
      <c r="J472" s="204"/>
      <c r="K472" s="204"/>
      <c r="L472" s="203"/>
      <c r="M472" s="204"/>
      <c r="N472" s="205"/>
      <c r="O472" s="205"/>
      <c r="P472" s="204"/>
      <c r="Q472" s="205"/>
      <c r="R472" s="204"/>
      <c r="S472" s="204"/>
      <c r="T472" s="204"/>
      <c r="U472" s="205"/>
      <c r="V472" s="204"/>
      <c r="W472" s="204"/>
      <c r="X472" s="204"/>
      <c r="Y472" s="204"/>
      <c r="Z472" s="204"/>
      <c r="AA472" s="204"/>
      <c r="AB472" s="204"/>
      <c r="AC472" s="204"/>
      <c r="AD472" s="204"/>
    </row>
    <row r="473">
      <c r="A473" s="202"/>
      <c r="B473" s="203"/>
      <c r="C473" s="204"/>
      <c r="D473" s="203"/>
      <c r="E473" s="204"/>
      <c r="F473" s="204"/>
      <c r="G473" s="93"/>
      <c r="H473" s="204"/>
      <c r="I473" s="205"/>
      <c r="J473" s="204"/>
      <c r="K473" s="204"/>
      <c r="L473" s="203"/>
      <c r="M473" s="204"/>
      <c r="N473" s="205"/>
      <c r="O473" s="205"/>
      <c r="P473" s="204"/>
      <c r="Q473" s="205"/>
      <c r="R473" s="204"/>
      <c r="S473" s="204"/>
      <c r="T473" s="204"/>
      <c r="U473" s="205"/>
      <c r="V473" s="204"/>
      <c r="W473" s="204"/>
      <c r="X473" s="204"/>
      <c r="Y473" s="204"/>
      <c r="Z473" s="204"/>
      <c r="AA473" s="204"/>
      <c r="AB473" s="204"/>
      <c r="AC473" s="204"/>
      <c r="AD473" s="204"/>
    </row>
    <row r="474">
      <c r="A474" s="202"/>
      <c r="B474" s="203"/>
      <c r="C474" s="204"/>
      <c r="D474" s="203"/>
      <c r="E474" s="204"/>
      <c r="F474" s="204"/>
      <c r="G474" s="93"/>
      <c r="H474" s="204"/>
      <c r="I474" s="205"/>
      <c r="J474" s="204"/>
      <c r="K474" s="204"/>
      <c r="L474" s="203"/>
      <c r="M474" s="204"/>
      <c r="N474" s="205"/>
      <c r="O474" s="205"/>
      <c r="P474" s="204"/>
      <c r="Q474" s="205"/>
      <c r="R474" s="204"/>
      <c r="S474" s="204"/>
      <c r="T474" s="204"/>
      <c r="U474" s="205"/>
      <c r="V474" s="204"/>
      <c r="W474" s="204"/>
      <c r="X474" s="204"/>
      <c r="Y474" s="204"/>
      <c r="Z474" s="204"/>
      <c r="AA474" s="204"/>
      <c r="AB474" s="204"/>
      <c r="AC474" s="204"/>
      <c r="AD474" s="204"/>
    </row>
    <row r="475">
      <c r="A475" s="202"/>
      <c r="B475" s="203"/>
      <c r="C475" s="204"/>
      <c r="D475" s="203"/>
      <c r="E475" s="204"/>
      <c r="F475" s="204"/>
      <c r="G475" s="93"/>
      <c r="H475" s="204"/>
      <c r="I475" s="205"/>
      <c r="J475" s="204"/>
      <c r="K475" s="204"/>
      <c r="L475" s="203"/>
      <c r="M475" s="204"/>
      <c r="N475" s="205"/>
      <c r="O475" s="205"/>
      <c r="P475" s="204"/>
      <c r="Q475" s="205"/>
      <c r="R475" s="204"/>
      <c r="S475" s="204"/>
      <c r="T475" s="204"/>
      <c r="U475" s="205"/>
      <c r="V475" s="204"/>
      <c r="W475" s="204"/>
      <c r="X475" s="204"/>
      <c r="Y475" s="204"/>
      <c r="Z475" s="204"/>
      <c r="AA475" s="204"/>
      <c r="AB475" s="204"/>
      <c r="AC475" s="204"/>
      <c r="AD475" s="204"/>
    </row>
    <row r="476">
      <c r="A476" s="202"/>
      <c r="B476" s="203"/>
      <c r="C476" s="204"/>
      <c r="D476" s="203"/>
      <c r="E476" s="204"/>
      <c r="F476" s="204"/>
      <c r="G476" s="93"/>
      <c r="H476" s="204"/>
      <c r="I476" s="205"/>
      <c r="J476" s="204"/>
      <c r="K476" s="204"/>
      <c r="L476" s="203"/>
      <c r="M476" s="204"/>
      <c r="N476" s="205"/>
      <c r="O476" s="205"/>
      <c r="P476" s="204"/>
      <c r="Q476" s="205"/>
      <c r="R476" s="204"/>
      <c r="S476" s="204"/>
      <c r="T476" s="204"/>
      <c r="U476" s="205"/>
      <c r="V476" s="204"/>
      <c r="W476" s="204"/>
      <c r="X476" s="204"/>
      <c r="Y476" s="204"/>
      <c r="Z476" s="204"/>
      <c r="AA476" s="204"/>
      <c r="AB476" s="204"/>
      <c r="AC476" s="204"/>
      <c r="AD476" s="204"/>
    </row>
    <row r="477">
      <c r="A477" s="202"/>
      <c r="B477" s="203"/>
      <c r="C477" s="204"/>
      <c r="D477" s="203"/>
      <c r="E477" s="204"/>
      <c r="F477" s="204"/>
      <c r="G477" s="93"/>
      <c r="H477" s="204"/>
      <c r="I477" s="205"/>
      <c r="J477" s="204"/>
      <c r="K477" s="204"/>
      <c r="L477" s="203"/>
      <c r="M477" s="204"/>
      <c r="N477" s="205"/>
      <c r="O477" s="205"/>
      <c r="P477" s="204"/>
      <c r="Q477" s="205"/>
      <c r="R477" s="204"/>
      <c r="S477" s="204"/>
      <c r="T477" s="204"/>
      <c r="U477" s="205"/>
      <c r="V477" s="204"/>
      <c r="W477" s="204"/>
      <c r="X477" s="204"/>
      <c r="Y477" s="204"/>
      <c r="Z477" s="204"/>
      <c r="AA477" s="204"/>
      <c r="AB477" s="204"/>
      <c r="AC477" s="204"/>
      <c r="AD477" s="204"/>
    </row>
    <row r="478">
      <c r="A478" s="202"/>
      <c r="B478" s="203"/>
      <c r="C478" s="204"/>
      <c r="D478" s="203"/>
      <c r="E478" s="204"/>
      <c r="F478" s="204"/>
      <c r="G478" s="93"/>
      <c r="H478" s="204"/>
      <c r="I478" s="205"/>
      <c r="J478" s="204"/>
      <c r="K478" s="204"/>
      <c r="L478" s="203"/>
      <c r="M478" s="204"/>
      <c r="N478" s="205"/>
      <c r="O478" s="205"/>
      <c r="P478" s="204"/>
      <c r="Q478" s="205"/>
      <c r="R478" s="204"/>
      <c r="S478" s="204"/>
      <c r="T478" s="204"/>
      <c r="U478" s="205"/>
      <c r="V478" s="204"/>
      <c r="W478" s="204"/>
      <c r="X478" s="204"/>
      <c r="Y478" s="204"/>
      <c r="Z478" s="204"/>
      <c r="AA478" s="204"/>
      <c r="AB478" s="204"/>
      <c r="AC478" s="204"/>
      <c r="AD478" s="204"/>
    </row>
    <row r="479">
      <c r="A479" s="202"/>
      <c r="B479" s="203"/>
      <c r="C479" s="204"/>
      <c r="D479" s="203"/>
      <c r="E479" s="204"/>
      <c r="F479" s="204"/>
      <c r="G479" s="93"/>
      <c r="H479" s="204"/>
      <c r="I479" s="205"/>
      <c r="J479" s="204"/>
      <c r="K479" s="204"/>
      <c r="L479" s="203"/>
      <c r="M479" s="204"/>
      <c r="N479" s="205"/>
      <c r="O479" s="205"/>
      <c r="P479" s="204"/>
      <c r="Q479" s="205"/>
      <c r="R479" s="204"/>
      <c r="S479" s="204"/>
      <c r="T479" s="204"/>
      <c r="U479" s="205"/>
      <c r="V479" s="204"/>
      <c r="W479" s="204"/>
      <c r="X479" s="204"/>
      <c r="Y479" s="204"/>
      <c r="Z479" s="204"/>
      <c r="AA479" s="204"/>
      <c r="AB479" s="204"/>
      <c r="AC479" s="204"/>
      <c r="AD479" s="204"/>
    </row>
    <row r="480">
      <c r="A480" s="202"/>
      <c r="B480" s="203"/>
      <c r="C480" s="204"/>
      <c r="D480" s="203"/>
      <c r="E480" s="204"/>
      <c r="F480" s="204"/>
      <c r="G480" s="93"/>
      <c r="H480" s="204"/>
      <c r="I480" s="205"/>
      <c r="J480" s="204"/>
      <c r="K480" s="204"/>
      <c r="L480" s="203"/>
      <c r="M480" s="204"/>
      <c r="N480" s="205"/>
      <c r="O480" s="205"/>
      <c r="P480" s="204"/>
      <c r="Q480" s="205"/>
      <c r="R480" s="204"/>
      <c r="S480" s="204"/>
      <c r="T480" s="204"/>
      <c r="U480" s="205"/>
      <c r="V480" s="204"/>
      <c r="W480" s="204"/>
      <c r="X480" s="204"/>
      <c r="Y480" s="204"/>
      <c r="Z480" s="204"/>
      <c r="AA480" s="204"/>
      <c r="AB480" s="204"/>
      <c r="AC480" s="204"/>
      <c r="AD480" s="204"/>
    </row>
    <row r="481">
      <c r="A481" s="202"/>
      <c r="B481" s="203"/>
      <c r="C481" s="204"/>
      <c r="D481" s="203"/>
      <c r="E481" s="204"/>
      <c r="F481" s="204"/>
      <c r="G481" s="93"/>
      <c r="H481" s="204"/>
      <c r="I481" s="205"/>
      <c r="J481" s="204"/>
      <c r="K481" s="204"/>
      <c r="L481" s="203"/>
      <c r="M481" s="204"/>
      <c r="N481" s="205"/>
      <c r="O481" s="205"/>
      <c r="P481" s="204"/>
      <c r="Q481" s="205"/>
      <c r="R481" s="204"/>
      <c r="S481" s="204"/>
      <c r="T481" s="204"/>
      <c r="U481" s="205"/>
      <c r="V481" s="204"/>
      <c r="W481" s="204"/>
      <c r="X481" s="204"/>
      <c r="Y481" s="204"/>
      <c r="Z481" s="204"/>
      <c r="AA481" s="204"/>
      <c r="AB481" s="204"/>
      <c r="AC481" s="204"/>
      <c r="AD481" s="204"/>
    </row>
    <row r="482">
      <c r="A482" s="202"/>
      <c r="B482" s="203"/>
      <c r="C482" s="204"/>
      <c r="D482" s="203"/>
      <c r="E482" s="204"/>
      <c r="F482" s="204"/>
      <c r="G482" s="93"/>
      <c r="H482" s="204"/>
      <c r="I482" s="205"/>
      <c r="J482" s="204"/>
      <c r="K482" s="204"/>
      <c r="L482" s="203"/>
      <c r="M482" s="204"/>
      <c r="N482" s="205"/>
      <c r="O482" s="205"/>
      <c r="P482" s="204"/>
      <c r="Q482" s="205"/>
      <c r="R482" s="204"/>
      <c r="S482" s="204"/>
      <c r="T482" s="204"/>
      <c r="U482" s="205"/>
      <c r="V482" s="204"/>
      <c r="W482" s="204"/>
      <c r="X482" s="204"/>
      <c r="Y482" s="204"/>
      <c r="Z482" s="204"/>
      <c r="AA482" s="204"/>
      <c r="AB482" s="204"/>
      <c r="AC482" s="204"/>
      <c r="AD482" s="204"/>
    </row>
    <row r="483">
      <c r="A483" s="202"/>
      <c r="B483" s="203"/>
      <c r="C483" s="204"/>
      <c r="D483" s="203"/>
      <c r="E483" s="204"/>
      <c r="F483" s="204"/>
      <c r="G483" s="93"/>
      <c r="H483" s="204"/>
      <c r="I483" s="205"/>
      <c r="J483" s="204"/>
      <c r="K483" s="204"/>
      <c r="L483" s="203"/>
      <c r="M483" s="204"/>
      <c r="N483" s="205"/>
      <c r="O483" s="205"/>
      <c r="P483" s="204"/>
      <c r="Q483" s="205"/>
      <c r="R483" s="204"/>
      <c r="S483" s="204"/>
      <c r="T483" s="204"/>
      <c r="U483" s="205"/>
      <c r="V483" s="204"/>
      <c r="W483" s="204"/>
      <c r="X483" s="204"/>
      <c r="Y483" s="204"/>
      <c r="Z483" s="204"/>
      <c r="AA483" s="204"/>
      <c r="AB483" s="204"/>
      <c r="AC483" s="204"/>
      <c r="AD483" s="204"/>
    </row>
    <row r="484">
      <c r="A484" s="202"/>
      <c r="B484" s="203"/>
      <c r="C484" s="204"/>
      <c r="D484" s="203"/>
      <c r="E484" s="204"/>
      <c r="F484" s="204"/>
      <c r="G484" s="93"/>
      <c r="H484" s="204"/>
      <c r="I484" s="205"/>
      <c r="J484" s="204"/>
      <c r="K484" s="204"/>
      <c r="L484" s="203"/>
      <c r="M484" s="204"/>
      <c r="N484" s="205"/>
      <c r="O484" s="205"/>
      <c r="P484" s="204"/>
      <c r="Q484" s="205"/>
      <c r="R484" s="204"/>
      <c r="S484" s="204"/>
      <c r="T484" s="204"/>
      <c r="U484" s="205"/>
      <c r="V484" s="204"/>
      <c r="W484" s="204"/>
      <c r="X484" s="204"/>
      <c r="Y484" s="204"/>
      <c r="Z484" s="204"/>
      <c r="AA484" s="204"/>
      <c r="AB484" s="204"/>
      <c r="AC484" s="204"/>
      <c r="AD484" s="204"/>
    </row>
    <row r="485">
      <c r="A485" s="202"/>
      <c r="B485" s="203"/>
      <c r="C485" s="204"/>
      <c r="D485" s="203"/>
      <c r="E485" s="204"/>
      <c r="F485" s="204"/>
      <c r="G485" s="93"/>
      <c r="H485" s="204"/>
      <c r="I485" s="205"/>
      <c r="J485" s="204"/>
      <c r="K485" s="204"/>
      <c r="L485" s="203"/>
      <c r="M485" s="204"/>
      <c r="N485" s="205"/>
      <c r="O485" s="205"/>
      <c r="P485" s="204"/>
      <c r="Q485" s="205"/>
      <c r="R485" s="204"/>
      <c r="S485" s="204"/>
      <c r="T485" s="204"/>
      <c r="U485" s="205"/>
      <c r="V485" s="204"/>
      <c r="W485" s="204"/>
      <c r="X485" s="204"/>
      <c r="Y485" s="204"/>
      <c r="Z485" s="204"/>
      <c r="AA485" s="204"/>
      <c r="AB485" s="204"/>
      <c r="AC485" s="204"/>
      <c r="AD485" s="204"/>
    </row>
    <row r="486">
      <c r="A486" s="202"/>
      <c r="B486" s="203"/>
      <c r="C486" s="204"/>
      <c r="D486" s="203"/>
      <c r="E486" s="204"/>
      <c r="F486" s="204"/>
      <c r="G486" s="93"/>
      <c r="H486" s="204"/>
      <c r="I486" s="205"/>
      <c r="J486" s="204"/>
      <c r="K486" s="204"/>
      <c r="L486" s="203"/>
      <c r="M486" s="204"/>
      <c r="N486" s="205"/>
      <c r="O486" s="205"/>
      <c r="P486" s="204"/>
      <c r="Q486" s="205"/>
      <c r="R486" s="204"/>
      <c r="S486" s="204"/>
      <c r="T486" s="204"/>
      <c r="U486" s="205"/>
      <c r="V486" s="204"/>
      <c r="W486" s="204"/>
      <c r="X486" s="204"/>
      <c r="Y486" s="204"/>
      <c r="Z486" s="204"/>
      <c r="AA486" s="204"/>
      <c r="AB486" s="204"/>
      <c r="AC486" s="204"/>
      <c r="AD486" s="204"/>
    </row>
    <row r="487">
      <c r="A487" s="202"/>
      <c r="B487" s="203"/>
      <c r="C487" s="204"/>
      <c r="D487" s="203"/>
      <c r="E487" s="204"/>
      <c r="F487" s="204"/>
      <c r="G487" s="93"/>
      <c r="H487" s="204"/>
      <c r="I487" s="205"/>
      <c r="J487" s="204"/>
      <c r="K487" s="204"/>
      <c r="L487" s="203"/>
      <c r="M487" s="204"/>
      <c r="N487" s="205"/>
      <c r="O487" s="205"/>
      <c r="P487" s="204"/>
      <c r="Q487" s="205"/>
      <c r="R487" s="204"/>
      <c r="S487" s="204"/>
      <c r="T487" s="204"/>
      <c r="U487" s="205"/>
      <c r="V487" s="204"/>
      <c r="W487" s="204"/>
      <c r="X487" s="204"/>
      <c r="Y487" s="204"/>
      <c r="Z487" s="204"/>
      <c r="AA487" s="204"/>
      <c r="AB487" s="204"/>
      <c r="AC487" s="204"/>
      <c r="AD487" s="204"/>
    </row>
    <row r="488">
      <c r="A488" s="202"/>
      <c r="B488" s="203"/>
      <c r="C488" s="204"/>
      <c r="D488" s="203"/>
      <c r="E488" s="204"/>
      <c r="F488" s="204"/>
      <c r="G488" s="93"/>
      <c r="H488" s="204"/>
      <c r="I488" s="205"/>
      <c r="J488" s="204"/>
      <c r="K488" s="204"/>
      <c r="L488" s="203"/>
      <c r="M488" s="204"/>
      <c r="N488" s="205"/>
      <c r="O488" s="205"/>
      <c r="P488" s="204"/>
      <c r="Q488" s="205"/>
      <c r="R488" s="204"/>
      <c r="S488" s="204"/>
      <c r="T488" s="204"/>
      <c r="U488" s="205"/>
      <c r="V488" s="204"/>
      <c r="W488" s="204"/>
      <c r="X488" s="204"/>
      <c r="Y488" s="204"/>
      <c r="Z488" s="204"/>
      <c r="AA488" s="204"/>
      <c r="AB488" s="204"/>
      <c r="AC488" s="204"/>
      <c r="AD488" s="204"/>
    </row>
    <row r="489">
      <c r="A489" s="202"/>
      <c r="B489" s="203"/>
      <c r="C489" s="204"/>
      <c r="D489" s="203"/>
      <c r="E489" s="204"/>
      <c r="F489" s="204"/>
      <c r="G489" s="93"/>
      <c r="H489" s="204"/>
      <c r="I489" s="205"/>
      <c r="J489" s="204"/>
      <c r="K489" s="204"/>
      <c r="L489" s="203"/>
      <c r="M489" s="204"/>
      <c r="N489" s="205"/>
      <c r="O489" s="205"/>
      <c r="P489" s="204"/>
      <c r="Q489" s="205"/>
      <c r="R489" s="204"/>
      <c r="S489" s="204"/>
      <c r="T489" s="204"/>
      <c r="U489" s="205"/>
      <c r="V489" s="204"/>
      <c r="W489" s="204"/>
      <c r="X489" s="204"/>
      <c r="Y489" s="204"/>
      <c r="Z489" s="204"/>
      <c r="AA489" s="204"/>
      <c r="AB489" s="204"/>
      <c r="AC489" s="204"/>
      <c r="AD489" s="204"/>
    </row>
    <row r="490">
      <c r="A490" s="202"/>
      <c r="B490" s="203"/>
      <c r="C490" s="204"/>
      <c r="D490" s="203"/>
      <c r="E490" s="204"/>
      <c r="F490" s="204"/>
      <c r="G490" s="93"/>
      <c r="H490" s="204"/>
      <c r="I490" s="205"/>
      <c r="J490" s="204"/>
      <c r="K490" s="204"/>
      <c r="L490" s="203"/>
      <c r="M490" s="204"/>
      <c r="N490" s="205"/>
      <c r="O490" s="205"/>
      <c r="P490" s="204"/>
      <c r="Q490" s="205"/>
      <c r="R490" s="204"/>
      <c r="S490" s="204"/>
      <c r="T490" s="204"/>
      <c r="U490" s="205"/>
      <c r="V490" s="204"/>
      <c r="W490" s="204"/>
      <c r="X490" s="204"/>
      <c r="Y490" s="204"/>
      <c r="Z490" s="204"/>
      <c r="AA490" s="204"/>
      <c r="AB490" s="204"/>
      <c r="AC490" s="204"/>
      <c r="AD490" s="204"/>
    </row>
    <row r="491">
      <c r="A491" s="202"/>
      <c r="B491" s="203"/>
      <c r="C491" s="204"/>
      <c r="D491" s="203"/>
      <c r="E491" s="204"/>
      <c r="F491" s="204"/>
      <c r="G491" s="93"/>
      <c r="H491" s="204"/>
      <c r="I491" s="205"/>
      <c r="J491" s="204"/>
      <c r="K491" s="204"/>
      <c r="L491" s="203"/>
      <c r="M491" s="204"/>
      <c r="N491" s="205"/>
      <c r="O491" s="205"/>
      <c r="P491" s="204"/>
      <c r="Q491" s="205"/>
      <c r="R491" s="204"/>
      <c r="S491" s="204"/>
      <c r="T491" s="204"/>
      <c r="U491" s="205"/>
      <c r="V491" s="204"/>
      <c r="W491" s="204"/>
      <c r="X491" s="204"/>
      <c r="Y491" s="204"/>
      <c r="Z491" s="204"/>
      <c r="AA491" s="204"/>
      <c r="AB491" s="204"/>
      <c r="AC491" s="204"/>
      <c r="AD491" s="204"/>
    </row>
    <row r="492">
      <c r="A492" s="202"/>
      <c r="B492" s="203"/>
      <c r="C492" s="204"/>
      <c r="D492" s="203"/>
      <c r="E492" s="204"/>
      <c r="F492" s="204"/>
      <c r="G492" s="93"/>
      <c r="H492" s="204"/>
      <c r="I492" s="205"/>
      <c r="J492" s="204"/>
      <c r="K492" s="204"/>
      <c r="L492" s="203"/>
      <c r="M492" s="204"/>
      <c r="N492" s="205"/>
      <c r="O492" s="205"/>
      <c r="P492" s="204"/>
      <c r="Q492" s="205"/>
      <c r="R492" s="204"/>
      <c r="S492" s="204"/>
      <c r="T492" s="204"/>
      <c r="U492" s="205"/>
      <c r="V492" s="204"/>
      <c r="W492" s="204"/>
      <c r="X492" s="204"/>
      <c r="Y492" s="204"/>
      <c r="Z492" s="204"/>
      <c r="AA492" s="204"/>
      <c r="AB492" s="204"/>
      <c r="AC492" s="204"/>
      <c r="AD492" s="204"/>
    </row>
    <row r="493">
      <c r="A493" s="202"/>
      <c r="B493" s="203"/>
      <c r="C493" s="204"/>
      <c r="D493" s="203"/>
      <c r="E493" s="204"/>
      <c r="F493" s="204"/>
      <c r="G493" s="93"/>
      <c r="H493" s="204"/>
      <c r="I493" s="205"/>
      <c r="J493" s="204"/>
      <c r="K493" s="204"/>
      <c r="L493" s="203"/>
      <c r="M493" s="204"/>
      <c r="N493" s="205"/>
      <c r="O493" s="205"/>
      <c r="P493" s="204"/>
      <c r="Q493" s="205"/>
      <c r="R493" s="204"/>
      <c r="S493" s="204"/>
      <c r="T493" s="204"/>
      <c r="U493" s="205"/>
      <c r="V493" s="204"/>
      <c r="W493" s="204"/>
      <c r="X493" s="204"/>
      <c r="Y493" s="204"/>
      <c r="Z493" s="204"/>
      <c r="AA493" s="204"/>
      <c r="AB493" s="204"/>
      <c r="AC493" s="204"/>
      <c r="AD493" s="204"/>
    </row>
    <row r="494">
      <c r="A494" s="202"/>
      <c r="B494" s="203"/>
      <c r="C494" s="204"/>
      <c r="D494" s="203"/>
      <c r="E494" s="204"/>
      <c r="F494" s="204"/>
      <c r="G494" s="93"/>
      <c r="H494" s="204"/>
      <c r="I494" s="205"/>
      <c r="J494" s="204"/>
      <c r="K494" s="204"/>
      <c r="L494" s="203"/>
      <c r="M494" s="204"/>
      <c r="N494" s="205"/>
      <c r="O494" s="205"/>
      <c r="P494" s="204"/>
      <c r="Q494" s="205"/>
      <c r="R494" s="204"/>
      <c r="S494" s="204"/>
      <c r="T494" s="204"/>
      <c r="U494" s="205"/>
      <c r="V494" s="204"/>
      <c r="W494" s="204"/>
      <c r="X494" s="204"/>
      <c r="Y494" s="204"/>
      <c r="Z494" s="204"/>
      <c r="AA494" s="204"/>
      <c r="AB494" s="204"/>
      <c r="AC494" s="204"/>
      <c r="AD494" s="204"/>
    </row>
    <row r="495">
      <c r="A495" s="202"/>
      <c r="B495" s="203"/>
      <c r="C495" s="204"/>
      <c r="D495" s="203"/>
      <c r="E495" s="204"/>
      <c r="F495" s="204"/>
      <c r="G495" s="93"/>
      <c r="H495" s="204"/>
      <c r="I495" s="205"/>
      <c r="J495" s="204"/>
      <c r="K495" s="204"/>
      <c r="L495" s="203"/>
      <c r="M495" s="204"/>
      <c r="N495" s="205"/>
      <c r="O495" s="205"/>
      <c r="P495" s="204"/>
      <c r="Q495" s="205"/>
      <c r="R495" s="204"/>
      <c r="S495" s="204"/>
      <c r="T495" s="204"/>
      <c r="U495" s="205"/>
      <c r="V495" s="204"/>
      <c r="W495" s="204"/>
      <c r="X495" s="204"/>
      <c r="Y495" s="204"/>
      <c r="Z495" s="204"/>
      <c r="AA495" s="204"/>
      <c r="AB495" s="204"/>
      <c r="AC495" s="204"/>
      <c r="AD495" s="204"/>
    </row>
    <row r="496">
      <c r="A496" s="202"/>
      <c r="B496" s="203"/>
      <c r="C496" s="204"/>
      <c r="D496" s="203"/>
      <c r="E496" s="204"/>
      <c r="F496" s="204"/>
      <c r="G496" s="93"/>
      <c r="H496" s="204"/>
      <c r="I496" s="205"/>
      <c r="J496" s="204"/>
      <c r="K496" s="204"/>
      <c r="L496" s="203"/>
      <c r="M496" s="204"/>
      <c r="N496" s="205"/>
      <c r="O496" s="205"/>
      <c r="P496" s="204"/>
      <c r="Q496" s="205"/>
      <c r="R496" s="204"/>
      <c r="S496" s="204"/>
      <c r="T496" s="204"/>
      <c r="U496" s="205"/>
      <c r="V496" s="204"/>
      <c r="W496" s="204"/>
      <c r="X496" s="204"/>
      <c r="Y496" s="204"/>
      <c r="Z496" s="204"/>
      <c r="AA496" s="204"/>
      <c r="AB496" s="204"/>
      <c r="AC496" s="204"/>
      <c r="AD496" s="204"/>
    </row>
    <row r="497">
      <c r="A497" s="202"/>
      <c r="B497" s="203"/>
      <c r="C497" s="204"/>
      <c r="D497" s="203"/>
      <c r="E497" s="204"/>
      <c r="F497" s="204"/>
      <c r="G497" s="93"/>
      <c r="H497" s="204"/>
      <c r="I497" s="205"/>
      <c r="J497" s="204"/>
      <c r="K497" s="204"/>
      <c r="L497" s="203"/>
      <c r="M497" s="204"/>
      <c r="N497" s="205"/>
      <c r="O497" s="205"/>
      <c r="P497" s="204"/>
      <c r="Q497" s="205"/>
      <c r="R497" s="204"/>
      <c r="S497" s="204"/>
      <c r="T497" s="204"/>
      <c r="U497" s="205"/>
      <c r="V497" s="204"/>
      <c r="W497" s="204"/>
      <c r="X497" s="204"/>
      <c r="Y497" s="204"/>
      <c r="Z497" s="204"/>
      <c r="AA497" s="204"/>
      <c r="AB497" s="204"/>
      <c r="AC497" s="204"/>
      <c r="AD497" s="204"/>
    </row>
    <row r="498">
      <c r="A498" s="202"/>
      <c r="B498" s="203"/>
      <c r="C498" s="204"/>
      <c r="D498" s="203"/>
      <c r="E498" s="204"/>
      <c r="F498" s="204"/>
      <c r="G498" s="93"/>
      <c r="H498" s="204"/>
      <c r="I498" s="205"/>
      <c r="J498" s="204"/>
      <c r="K498" s="204"/>
      <c r="L498" s="203"/>
      <c r="M498" s="204"/>
      <c r="N498" s="205"/>
      <c r="O498" s="205"/>
      <c r="P498" s="204"/>
      <c r="Q498" s="205"/>
      <c r="R498" s="204"/>
      <c r="S498" s="204"/>
      <c r="T498" s="204"/>
      <c r="U498" s="205"/>
      <c r="V498" s="204"/>
      <c r="W498" s="204"/>
      <c r="X498" s="204"/>
      <c r="Y498" s="204"/>
      <c r="Z498" s="204"/>
      <c r="AA498" s="204"/>
      <c r="AB498" s="204"/>
      <c r="AC498" s="204"/>
      <c r="AD498" s="204"/>
    </row>
    <row r="499">
      <c r="A499" s="202"/>
      <c r="B499" s="203"/>
      <c r="C499" s="204"/>
      <c r="D499" s="203"/>
      <c r="E499" s="204"/>
      <c r="F499" s="204"/>
      <c r="G499" s="93"/>
      <c r="H499" s="204"/>
      <c r="I499" s="205"/>
      <c r="J499" s="204"/>
      <c r="K499" s="204"/>
      <c r="L499" s="203"/>
      <c r="M499" s="204"/>
      <c r="N499" s="205"/>
      <c r="O499" s="205"/>
      <c r="P499" s="204"/>
      <c r="Q499" s="205"/>
      <c r="R499" s="204"/>
      <c r="S499" s="204"/>
      <c r="T499" s="204"/>
      <c r="U499" s="205"/>
      <c r="V499" s="204"/>
      <c r="W499" s="204"/>
      <c r="X499" s="204"/>
      <c r="Y499" s="204"/>
      <c r="Z499" s="204"/>
      <c r="AA499" s="204"/>
      <c r="AB499" s="204"/>
      <c r="AC499" s="204"/>
      <c r="AD499" s="204"/>
    </row>
    <row r="500">
      <c r="A500" s="202"/>
      <c r="B500" s="203"/>
      <c r="C500" s="204"/>
      <c r="D500" s="203"/>
      <c r="E500" s="204"/>
      <c r="F500" s="204"/>
      <c r="G500" s="93"/>
      <c r="H500" s="204"/>
      <c r="I500" s="205"/>
      <c r="J500" s="204"/>
      <c r="K500" s="204"/>
      <c r="L500" s="203"/>
      <c r="M500" s="204"/>
      <c r="N500" s="205"/>
      <c r="O500" s="205"/>
      <c r="P500" s="204"/>
      <c r="Q500" s="205"/>
      <c r="R500" s="204"/>
      <c r="S500" s="204"/>
      <c r="T500" s="204"/>
      <c r="U500" s="205"/>
      <c r="V500" s="204"/>
      <c r="W500" s="204"/>
      <c r="X500" s="204"/>
      <c r="Y500" s="204"/>
      <c r="Z500" s="204"/>
      <c r="AA500" s="204"/>
      <c r="AB500" s="204"/>
      <c r="AC500" s="204"/>
      <c r="AD500" s="204"/>
    </row>
    <row r="501">
      <c r="A501" s="202"/>
      <c r="B501" s="203"/>
      <c r="C501" s="204"/>
      <c r="D501" s="203"/>
      <c r="E501" s="204"/>
      <c r="F501" s="204"/>
      <c r="G501" s="93"/>
      <c r="H501" s="204"/>
      <c r="I501" s="205"/>
      <c r="J501" s="204"/>
      <c r="K501" s="204"/>
      <c r="L501" s="203"/>
      <c r="M501" s="204"/>
      <c r="N501" s="205"/>
      <c r="O501" s="205"/>
      <c r="P501" s="204"/>
      <c r="Q501" s="205"/>
      <c r="R501" s="204"/>
      <c r="S501" s="204"/>
      <c r="T501" s="204"/>
      <c r="U501" s="205"/>
      <c r="V501" s="204"/>
      <c r="W501" s="204"/>
      <c r="X501" s="204"/>
      <c r="Y501" s="204"/>
      <c r="Z501" s="204"/>
      <c r="AA501" s="204"/>
      <c r="AB501" s="204"/>
      <c r="AC501" s="204"/>
      <c r="AD501" s="204"/>
    </row>
    <row r="502">
      <c r="A502" s="202"/>
      <c r="B502" s="203"/>
      <c r="C502" s="204"/>
      <c r="D502" s="203"/>
      <c r="E502" s="204"/>
      <c r="F502" s="204"/>
      <c r="G502" s="93"/>
      <c r="H502" s="204"/>
      <c r="I502" s="205"/>
      <c r="J502" s="204"/>
      <c r="K502" s="204"/>
      <c r="L502" s="203"/>
      <c r="M502" s="204"/>
      <c r="N502" s="205"/>
      <c r="O502" s="205"/>
      <c r="P502" s="204"/>
      <c r="Q502" s="205"/>
      <c r="R502" s="204"/>
      <c r="S502" s="204"/>
      <c r="T502" s="204"/>
      <c r="U502" s="205"/>
      <c r="V502" s="204"/>
      <c r="W502" s="204"/>
      <c r="X502" s="204"/>
      <c r="Y502" s="204"/>
      <c r="Z502" s="204"/>
      <c r="AA502" s="204"/>
      <c r="AB502" s="204"/>
      <c r="AC502" s="204"/>
      <c r="AD502" s="204"/>
    </row>
    <row r="503">
      <c r="A503" s="202"/>
      <c r="B503" s="203"/>
      <c r="C503" s="204"/>
      <c r="D503" s="203"/>
      <c r="E503" s="204"/>
      <c r="F503" s="204"/>
      <c r="G503" s="93"/>
      <c r="H503" s="204"/>
      <c r="I503" s="205"/>
      <c r="J503" s="204"/>
      <c r="K503" s="204"/>
      <c r="L503" s="203"/>
      <c r="M503" s="204"/>
      <c r="N503" s="205"/>
      <c r="O503" s="205"/>
      <c r="P503" s="204"/>
      <c r="Q503" s="205"/>
      <c r="R503" s="204"/>
      <c r="S503" s="204"/>
      <c r="T503" s="204"/>
      <c r="U503" s="205"/>
      <c r="V503" s="204"/>
      <c r="W503" s="204"/>
      <c r="X503" s="204"/>
      <c r="Y503" s="204"/>
      <c r="Z503" s="204"/>
      <c r="AA503" s="204"/>
      <c r="AB503" s="204"/>
      <c r="AC503" s="204"/>
      <c r="AD503" s="204"/>
    </row>
    <row r="504">
      <c r="A504" s="202"/>
      <c r="B504" s="203"/>
      <c r="C504" s="204"/>
      <c r="D504" s="203"/>
      <c r="E504" s="204"/>
      <c r="F504" s="204"/>
      <c r="G504" s="93"/>
      <c r="H504" s="204"/>
      <c r="I504" s="205"/>
      <c r="J504" s="204"/>
      <c r="K504" s="204"/>
      <c r="L504" s="203"/>
      <c r="M504" s="204"/>
      <c r="N504" s="205"/>
      <c r="O504" s="205"/>
      <c r="P504" s="204"/>
      <c r="Q504" s="205"/>
      <c r="R504" s="204"/>
      <c r="S504" s="204"/>
      <c r="T504" s="204"/>
      <c r="U504" s="205"/>
      <c r="V504" s="204"/>
      <c r="W504" s="204"/>
      <c r="X504" s="204"/>
      <c r="Y504" s="204"/>
      <c r="Z504" s="204"/>
      <c r="AA504" s="204"/>
      <c r="AB504" s="204"/>
      <c r="AC504" s="204"/>
      <c r="AD504" s="204"/>
    </row>
    <row r="505">
      <c r="A505" s="202"/>
      <c r="B505" s="203"/>
      <c r="C505" s="204"/>
      <c r="D505" s="203"/>
      <c r="E505" s="204"/>
      <c r="F505" s="204"/>
      <c r="G505" s="93"/>
      <c r="H505" s="204"/>
      <c r="I505" s="205"/>
      <c r="J505" s="204"/>
      <c r="K505" s="204"/>
      <c r="L505" s="203"/>
      <c r="M505" s="204"/>
      <c r="N505" s="205"/>
      <c r="O505" s="205"/>
      <c r="P505" s="204"/>
      <c r="Q505" s="205"/>
      <c r="R505" s="204"/>
      <c r="S505" s="204"/>
      <c r="T505" s="204"/>
      <c r="U505" s="205"/>
      <c r="V505" s="204"/>
      <c r="W505" s="204"/>
      <c r="X505" s="204"/>
      <c r="Y505" s="204"/>
      <c r="Z505" s="204"/>
      <c r="AA505" s="204"/>
      <c r="AB505" s="204"/>
      <c r="AC505" s="204"/>
      <c r="AD505" s="204"/>
    </row>
    <row r="506">
      <c r="A506" s="202"/>
      <c r="B506" s="203"/>
      <c r="C506" s="204"/>
      <c r="D506" s="203"/>
      <c r="E506" s="204"/>
      <c r="F506" s="204"/>
      <c r="G506" s="93"/>
      <c r="H506" s="204"/>
      <c r="I506" s="205"/>
      <c r="J506" s="204"/>
      <c r="K506" s="204"/>
      <c r="L506" s="203"/>
      <c r="M506" s="204"/>
      <c r="N506" s="205"/>
      <c r="O506" s="205"/>
      <c r="P506" s="204"/>
      <c r="Q506" s="205"/>
      <c r="R506" s="204"/>
      <c r="S506" s="204"/>
      <c r="T506" s="204"/>
      <c r="U506" s="205"/>
      <c r="V506" s="204"/>
      <c r="W506" s="204"/>
      <c r="X506" s="204"/>
      <c r="Y506" s="204"/>
      <c r="Z506" s="204"/>
      <c r="AA506" s="204"/>
      <c r="AB506" s="204"/>
      <c r="AC506" s="204"/>
      <c r="AD506" s="204"/>
    </row>
    <row r="507">
      <c r="A507" s="202"/>
      <c r="B507" s="203"/>
      <c r="C507" s="204"/>
      <c r="D507" s="203"/>
      <c r="E507" s="204"/>
      <c r="F507" s="204"/>
      <c r="G507" s="93"/>
      <c r="H507" s="204"/>
      <c r="I507" s="205"/>
      <c r="J507" s="204"/>
      <c r="K507" s="204"/>
      <c r="L507" s="203"/>
      <c r="M507" s="204"/>
      <c r="N507" s="205"/>
      <c r="O507" s="205"/>
      <c r="P507" s="204"/>
      <c r="Q507" s="205"/>
      <c r="R507" s="204"/>
      <c r="S507" s="204"/>
      <c r="T507" s="204"/>
      <c r="U507" s="205"/>
      <c r="V507" s="204"/>
      <c r="W507" s="204"/>
      <c r="X507" s="204"/>
      <c r="Y507" s="204"/>
      <c r="Z507" s="204"/>
      <c r="AA507" s="204"/>
      <c r="AB507" s="204"/>
      <c r="AC507" s="204"/>
      <c r="AD507" s="204"/>
    </row>
    <row r="508">
      <c r="A508" s="202"/>
      <c r="B508" s="203"/>
      <c r="C508" s="204"/>
      <c r="D508" s="203"/>
      <c r="E508" s="204"/>
      <c r="F508" s="204"/>
      <c r="G508" s="93"/>
      <c r="H508" s="204"/>
      <c r="I508" s="205"/>
      <c r="J508" s="204"/>
      <c r="K508" s="204"/>
      <c r="L508" s="203"/>
      <c r="M508" s="204"/>
      <c r="N508" s="205"/>
      <c r="O508" s="205"/>
      <c r="P508" s="204"/>
      <c r="Q508" s="205"/>
      <c r="R508" s="204"/>
      <c r="S508" s="204"/>
      <c r="T508" s="204"/>
      <c r="U508" s="205"/>
      <c r="V508" s="204"/>
      <c r="W508" s="204"/>
      <c r="X508" s="204"/>
      <c r="Y508" s="204"/>
      <c r="Z508" s="204"/>
      <c r="AA508" s="204"/>
      <c r="AB508" s="204"/>
      <c r="AC508" s="204"/>
      <c r="AD508" s="204"/>
    </row>
    <row r="509">
      <c r="A509" s="202"/>
      <c r="B509" s="203"/>
      <c r="C509" s="204"/>
      <c r="D509" s="203"/>
      <c r="E509" s="204"/>
      <c r="F509" s="204"/>
      <c r="G509" s="93"/>
      <c r="H509" s="204"/>
      <c r="I509" s="205"/>
      <c r="J509" s="204"/>
      <c r="K509" s="204"/>
      <c r="L509" s="203"/>
      <c r="M509" s="204"/>
      <c r="N509" s="205"/>
      <c r="O509" s="205"/>
      <c r="P509" s="204"/>
      <c r="Q509" s="205"/>
      <c r="R509" s="204"/>
      <c r="S509" s="204"/>
      <c r="T509" s="204"/>
      <c r="U509" s="205"/>
      <c r="V509" s="204"/>
      <c r="W509" s="204"/>
      <c r="X509" s="204"/>
      <c r="Y509" s="204"/>
      <c r="Z509" s="204"/>
      <c r="AA509" s="204"/>
      <c r="AB509" s="204"/>
      <c r="AC509" s="204"/>
      <c r="AD509" s="204"/>
    </row>
    <row r="510">
      <c r="A510" s="202"/>
      <c r="B510" s="203"/>
      <c r="C510" s="204"/>
      <c r="D510" s="203"/>
      <c r="E510" s="204"/>
      <c r="F510" s="204"/>
      <c r="G510" s="93"/>
      <c r="H510" s="204"/>
      <c r="I510" s="205"/>
      <c r="J510" s="204"/>
      <c r="K510" s="204"/>
      <c r="L510" s="203"/>
      <c r="M510" s="204"/>
      <c r="N510" s="205"/>
      <c r="O510" s="205"/>
      <c r="P510" s="204"/>
      <c r="Q510" s="205"/>
      <c r="R510" s="204"/>
      <c r="S510" s="204"/>
      <c r="T510" s="204"/>
      <c r="U510" s="205"/>
      <c r="V510" s="204"/>
      <c r="W510" s="204"/>
      <c r="X510" s="204"/>
      <c r="Y510" s="204"/>
      <c r="Z510" s="204"/>
      <c r="AA510" s="204"/>
      <c r="AB510" s="204"/>
      <c r="AC510" s="204"/>
      <c r="AD510" s="204"/>
    </row>
    <row r="511">
      <c r="A511" s="202"/>
      <c r="B511" s="203"/>
      <c r="C511" s="204"/>
      <c r="D511" s="203"/>
      <c r="E511" s="204"/>
      <c r="F511" s="204"/>
      <c r="G511" s="93"/>
      <c r="H511" s="204"/>
      <c r="I511" s="205"/>
      <c r="J511" s="204"/>
      <c r="K511" s="204"/>
      <c r="L511" s="203"/>
      <c r="M511" s="204"/>
      <c r="N511" s="205"/>
      <c r="O511" s="205"/>
      <c r="P511" s="204"/>
      <c r="Q511" s="205"/>
      <c r="R511" s="204"/>
      <c r="S511" s="204"/>
      <c r="T511" s="204"/>
      <c r="U511" s="205"/>
      <c r="V511" s="204"/>
      <c r="W511" s="204"/>
      <c r="X511" s="204"/>
      <c r="Y511" s="204"/>
      <c r="Z511" s="204"/>
      <c r="AA511" s="204"/>
      <c r="AB511" s="204"/>
      <c r="AC511" s="204"/>
      <c r="AD511" s="204"/>
    </row>
    <row r="512">
      <c r="A512" s="202"/>
      <c r="B512" s="203"/>
      <c r="C512" s="204"/>
      <c r="D512" s="203"/>
      <c r="E512" s="204"/>
      <c r="F512" s="204"/>
      <c r="G512" s="93"/>
      <c r="H512" s="204"/>
      <c r="I512" s="205"/>
      <c r="J512" s="204"/>
      <c r="K512" s="204"/>
      <c r="L512" s="203"/>
      <c r="M512" s="204"/>
      <c r="N512" s="205"/>
      <c r="O512" s="205"/>
      <c r="P512" s="204"/>
      <c r="Q512" s="205"/>
      <c r="R512" s="204"/>
      <c r="S512" s="204"/>
      <c r="T512" s="204"/>
      <c r="U512" s="205"/>
      <c r="V512" s="204"/>
      <c r="W512" s="204"/>
      <c r="X512" s="204"/>
      <c r="Y512" s="204"/>
      <c r="Z512" s="204"/>
      <c r="AA512" s="204"/>
      <c r="AB512" s="204"/>
      <c r="AC512" s="204"/>
      <c r="AD512" s="204"/>
    </row>
    <row r="513">
      <c r="A513" s="202"/>
      <c r="B513" s="203"/>
      <c r="C513" s="204"/>
      <c r="D513" s="203"/>
      <c r="E513" s="204"/>
      <c r="F513" s="204"/>
      <c r="G513" s="93"/>
      <c r="H513" s="204"/>
      <c r="I513" s="205"/>
      <c r="J513" s="204"/>
      <c r="K513" s="204"/>
      <c r="L513" s="203"/>
      <c r="M513" s="204"/>
      <c r="N513" s="205"/>
      <c r="O513" s="205"/>
      <c r="P513" s="204"/>
      <c r="Q513" s="205"/>
      <c r="R513" s="204"/>
      <c r="S513" s="204"/>
      <c r="T513" s="204"/>
      <c r="U513" s="205"/>
      <c r="V513" s="204"/>
      <c r="W513" s="204"/>
      <c r="X513" s="204"/>
      <c r="Y513" s="204"/>
      <c r="Z513" s="204"/>
      <c r="AA513" s="204"/>
      <c r="AB513" s="204"/>
      <c r="AC513" s="204"/>
      <c r="AD513" s="204"/>
    </row>
    <row r="514">
      <c r="A514" s="202"/>
      <c r="B514" s="203"/>
      <c r="C514" s="204"/>
      <c r="D514" s="203"/>
      <c r="E514" s="204"/>
      <c r="F514" s="204"/>
      <c r="G514" s="93"/>
      <c r="H514" s="204"/>
      <c r="I514" s="205"/>
      <c r="J514" s="204"/>
      <c r="K514" s="204"/>
      <c r="L514" s="203"/>
      <c r="M514" s="204"/>
      <c r="N514" s="205"/>
      <c r="O514" s="205"/>
      <c r="P514" s="204"/>
      <c r="Q514" s="205"/>
      <c r="R514" s="204"/>
      <c r="S514" s="204"/>
      <c r="T514" s="204"/>
      <c r="U514" s="205"/>
      <c r="V514" s="204"/>
      <c r="W514" s="204"/>
      <c r="X514" s="204"/>
      <c r="Y514" s="204"/>
      <c r="Z514" s="204"/>
      <c r="AA514" s="204"/>
      <c r="AB514" s="204"/>
      <c r="AC514" s="204"/>
      <c r="AD514" s="204"/>
    </row>
    <row r="515">
      <c r="A515" s="202"/>
      <c r="B515" s="203"/>
      <c r="C515" s="204"/>
      <c r="D515" s="203"/>
      <c r="E515" s="204"/>
      <c r="F515" s="204"/>
      <c r="G515" s="93"/>
      <c r="H515" s="204"/>
      <c r="I515" s="205"/>
      <c r="J515" s="204"/>
      <c r="K515" s="204"/>
      <c r="L515" s="203"/>
      <c r="M515" s="204"/>
      <c r="N515" s="205"/>
      <c r="O515" s="205"/>
      <c r="P515" s="204"/>
      <c r="Q515" s="205"/>
      <c r="R515" s="204"/>
      <c r="S515" s="204"/>
      <c r="T515" s="204"/>
      <c r="U515" s="205"/>
      <c r="V515" s="204"/>
      <c r="W515" s="204"/>
      <c r="X515" s="204"/>
      <c r="Y515" s="204"/>
      <c r="Z515" s="204"/>
      <c r="AA515" s="204"/>
      <c r="AB515" s="204"/>
      <c r="AC515" s="204"/>
      <c r="AD515" s="204"/>
    </row>
    <row r="516">
      <c r="A516" s="202"/>
      <c r="B516" s="203"/>
      <c r="C516" s="204"/>
      <c r="D516" s="203"/>
      <c r="E516" s="204"/>
      <c r="F516" s="204"/>
      <c r="G516" s="93"/>
      <c r="H516" s="204"/>
      <c r="I516" s="205"/>
      <c r="J516" s="204"/>
      <c r="K516" s="204"/>
      <c r="L516" s="203"/>
      <c r="M516" s="204"/>
      <c r="N516" s="205"/>
      <c r="O516" s="205"/>
      <c r="P516" s="204"/>
      <c r="Q516" s="205"/>
      <c r="R516" s="204"/>
      <c r="S516" s="204"/>
      <c r="T516" s="204"/>
      <c r="U516" s="205"/>
      <c r="V516" s="204"/>
      <c r="W516" s="204"/>
      <c r="X516" s="204"/>
      <c r="Y516" s="204"/>
      <c r="Z516" s="204"/>
      <c r="AA516" s="204"/>
      <c r="AB516" s="204"/>
      <c r="AC516" s="204"/>
      <c r="AD516" s="204"/>
    </row>
    <row r="517">
      <c r="A517" s="202"/>
      <c r="B517" s="203"/>
      <c r="C517" s="204"/>
      <c r="D517" s="203"/>
      <c r="E517" s="204"/>
      <c r="F517" s="204"/>
      <c r="G517" s="93"/>
      <c r="H517" s="204"/>
      <c r="I517" s="205"/>
      <c r="J517" s="204"/>
      <c r="K517" s="204"/>
      <c r="L517" s="203"/>
      <c r="M517" s="204"/>
      <c r="N517" s="205"/>
      <c r="O517" s="205"/>
      <c r="P517" s="204"/>
      <c r="Q517" s="205"/>
      <c r="R517" s="204"/>
      <c r="S517" s="204"/>
      <c r="T517" s="204"/>
      <c r="U517" s="205"/>
      <c r="V517" s="204"/>
      <c r="W517" s="204"/>
      <c r="X517" s="204"/>
      <c r="Y517" s="204"/>
      <c r="Z517" s="204"/>
      <c r="AA517" s="204"/>
      <c r="AB517" s="204"/>
      <c r="AC517" s="204"/>
      <c r="AD517" s="204"/>
    </row>
    <row r="518">
      <c r="A518" s="202"/>
      <c r="B518" s="203"/>
      <c r="C518" s="204"/>
      <c r="D518" s="203"/>
      <c r="E518" s="204"/>
      <c r="F518" s="204"/>
      <c r="G518" s="93"/>
      <c r="H518" s="204"/>
      <c r="I518" s="205"/>
      <c r="J518" s="204"/>
      <c r="K518" s="204"/>
      <c r="L518" s="203"/>
      <c r="M518" s="204"/>
      <c r="N518" s="205"/>
      <c r="O518" s="205"/>
      <c r="P518" s="204"/>
      <c r="Q518" s="205"/>
      <c r="R518" s="204"/>
      <c r="S518" s="204"/>
      <c r="T518" s="204"/>
      <c r="U518" s="205"/>
      <c r="V518" s="204"/>
      <c r="W518" s="204"/>
      <c r="X518" s="204"/>
      <c r="Y518" s="204"/>
      <c r="Z518" s="204"/>
      <c r="AA518" s="204"/>
      <c r="AB518" s="204"/>
      <c r="AC518" s="204"/>
      <c r="AD518" s="204"/>
    </row>
    <row r="519">
      <c r="A519" s="202"/>
      <c r="B519" s="203"/>
      <c r="C519" s="204"/>
      <c r="D519" s="203"/>
      <c r="E519" s="204"/>
      <c r="F519" s="204"/>
      <c r="G519" s="93"/>
      <c r="H519" s="204"/>
      <c r="I519" s="205"/>
      <c r="J519" s="204"/>
      <c r="K519" s="204"/>
      <c r="L519" s="203"/>
      <c r="M519" s="204"/>
      <c r="N519" s="205"/>
      <c r="O519" s="205"/>
      <c r="P519" s="204"/>
      <c r="Q519" s="205"/>
      <c r="R519" s="204"/>
      <c r="S519" s="204"/>
      <c r="T519" s="204"/>
      <c r="U519" s="205"/>
      <c r="V519" s="204"/>
      <c r="W519" s="204"/>
      <c r="X519" s="204"/>
      <c r="Y519" s="204"/>
      <c r="Z519" s="204"/>
      <c r="AA519" s="204"/>
      <c r="AB519" s="204"/>
      <c r="AC519" s="204"/>
      <c r="AD519" s="204"/>
    </row>
    <row r="520">
      <c r="A520" s="202"/>
      <c r="B520" s="203"/>
      <c r="C520" s="204"/>
      <c r="D520" s="203"/>
      <c r="E520" s="204"/>
      <c r="F520" s="204"/>
      <c r="G520" s="93"/>
      <c r="H520" s="204"/>
      <c r="I520" s="205"/>
      <c r="J520" s="204"/>
      <c r="K520" s="204"/>
      <c r="L520" s="203"/>
      <c r="M520" s="204"/>
      <c r="N520" s="205"/>
      <c r="O520" s="205"/>
      <c r="P520" s="204"/>
      <c r="Q520" s="205"/>
      <c r="R520" s="204"/>
      <c r="S520" s="204"/>
      <c r="T520" s="204"/>
      <c r="U520" s="205"/>
      <c r="V520" s="204"/>
      <c r="W520" s="204"/>
      <c r="X520" s="204"/>
      <c r="Y520" s="204"/>
      <c r="Z520" s="204"/>
      <c r="AA520" s="204"/>
      <c r="AB520" s="204"/>
      <c r="AC520" s="204"/>
      <c r="AD520" s="204"/>
    </row>
    <row r="521">
      <c r="A521" s="202"/>
      <c r="B521" s="203"/>
      <c r="C521" s="204"/>
      <c r="D521" s="203"/>
      <c r="E521" s="204"/>
      <c r="F521" s="204"/>
      <c r="G521" s="93"/>
      <c r="H521" s="204"/>
      <c r="I521" s="205"/>
      <c r="J521" s="204"/>
      <c r="K521" s="204"/>
      <c r="L521" s="203"/>
      <c r="M521" s="204"/>
      <c r="N521" s="205"/>
      <c r="O521" s="205"/>
      <c r="P521" s="204"/>
      <c r="Q521" s="205"/>
      <c r="R521" s="204"/>
      <c r="S521" s="204"/>
      <c r="T521" s="204"/>
      <c r="U521" s="205"/>
      <c r="V521" s="204"/>
      <c r="W521" s="204"/>
      <c r="X521" s="204"/>
      <c r="Y521" s="204"/>
      <c r="Z521" s="204"/>
      <c r="AA521" s="204"/>
      <c r="AB521" s="204"/>
      <c r="AC521" s="204"/>
      <c r="AD521" s="204"/>
    </row>
    <row r="522">
      <c r="A522" s="202"/>
      <c r="B522" s="203"/>
      <c r="C522" s="204"/>
      <c r="D522" s="203"/>
      <c r="E522" s="204"/>
      <c r="F522" s="204"/>
      <c r="G522" s="93"/>
      <c r="H522" s="204"/>
      <c r="I522" s="205"/>
      <c r="J522" s="204"/>
      <c r="K522" s="204"/>
      <c r="L522" s="203"/>
      <c r="M522" s="204"/>
      <c r="N522" s="205"/>
      <c r="O522" s="205"/>
      <c r="P522" s="204"/>
      <c r="Q522" s="205"/>
      <c r="R522" s="204"/>
      <c r="S522" s="204"/>
      <c r="T522" s="204"/>
      <c r="U522" s="205"/>
      <c r="V522" s="204"/>
      <c r="W522" s="204"/>
      <c r="X522" s="204"/>
      <c r="Y522" s="204"/>
      <c r="Z522" s="204"/>
      <c r="AA522" s="204"/>
      <c r="AB522" s="204"/>
      <c r="AC522" s="204"/>
      <c r="AD522" s="204"/>
    </row>
    <row r="523">
      <c r="A523" s="202"/>
      <c r="B523" s="203"/>
      <c r="C523" s="204"/>
      <c r="D523" s="203"/>
      <c r="E523" s="204"/>
      <c r="F523" s="204"/>
      <c r="G523" s="93"/>
      <c r="H523" s="204"/>
      <c r="I523" s="205"/>
      <c r="J523" s="204"/>
      <c r="K523" s="204"/>
      <c r="L523" s="203"/>
      <c r="M523" s="204"/>
      <c r="N523" s="205"/>
      <c r="O523" s="205"/>
      <c r="P523" s="204"/>
      <c r="Q523" s="205"/>
      <c r="R523" s="204"/>
      <c r="S523" s="204"/>
      <c r="T523" s="204"/>
      <c r="U523" s="205"/>
      <c r="V523" s="204"/>
      <c r="W523" s="204"/>
      <c r="X523" s="204"/>
      <c r="Y523" s="204"/>
      <c r="Z523" s="204"/>
      <c r="AA523" s="204"/>
      <c r="AB523" s="204"/>
      <c r="AC523" s="204"/>
      <c r="AD523" s="204"/>
    </row>
    <row r="524">
      <c r="A524" s="202"/>
      <c r="B524" s="203"/>
      <c r="C524" s="204"/>
      <c r="D524" s="203"/>
      <c r="E524" s="204"/>
      <c r="F524" s="204"/>
      <c r="G524" s="93"/>
      <c r="H524" s="204"/>
      <c r="I524" s="205"/>
      <c r="J524" s="204"/>
      <c r="K524" s="204"/>
      <c r="L524" s="203"/>
      <c r="M524" s="204"/>
      <c r="N524" s="205"/>
      <c r="O524" s="205"/>
      <c r="P524" s="204"/>
      <c r="Q524" s="205"/>
      <c r="R524" s="204"/>
      <c r="S524" s="204"/>
      <c r="T524" s="204"/>
      <c r="U524" s="205"/>
      <c r="V524" s="204"/>
      <c r="W524" s="204"/>
      <c r="X524" s="204"/>
      <c r="Y524" s="204"/>
      <c r="Z524" s="204"/>
      <c r="AA524" s="204"/>
      <c r="AB524" s="204"/>
      <c r="AC524" s="204"/>
      <c r="AD524" s="204"/>
    </row>
    <row r="525">
      <c r="A525" s="202"/>
      <c r="B525" s="203"/>
      <c r="C525" s="204"/>
      <c r="D525" s="203"/>
      <c r="E525" s="204"/>
      <c r="F525" s="204"/>
      <c r="G525" s="93"/>
      <c r="H525" s="204"/>
      <c r="I525" s="205"/>
      <c r="J525" s="204"/>
      <c r="K525" s="204"/>
      <c r="L525" s="203"/>
      <c r="M525" s="204"/>
      <c r="N525" s="205"/>
      <c r="O525" s="205"/>
      <c r="P525" s="204"/>
      <c r="Q525" s="205"/>
      <c r="R525" s="204"/>
      <c r="S525" s="204"/>
      <c r="T525" s="204"/>
      <c r="U525" s="205"/>
      <c r="V525" s="204"/>
      <c r="W525" s="204"/>
      <c r="X525" s="204"/>
      <c r="Y525" s="204"/>
      <c r="Z525" s="204"/>
      <c r="AA525" s="204"/>
      <c r="AB525" s="204"/>
      <c r="AC525" s="204"/>
      <c r="AD525" s="204"/>
    </row>
    <row r="526">
      <c r="A526" s="202"/>
      <c r="B526" s="203"/>
      <c r="C526" s="204"/>
      <c r="D526" s="203"/>
      <c r="E526" s="204"/>
      <c r="F526" s="204"/>
      <c r="G526" s="93"/>
      <c r="H526" s="204"/>
      <c r="I526" s="205"/>
      <c r="J526" s="204"/>
      <c r="K526" s="204"/>
      <c r="L526" s="203"/>
      <c r="M526" s="204"/>
      <c r="N526" s="205"/>
      <c r="O526" s="205"/>
      <c r="P526" s="204"/>
      <c r="Q526" s="205"/>
      <c r="R526" s="204"/>
      <c r="S526" s="204"/>
      <c r="T526" s="204"/>
      <c r="U526" s="205"/>
      <c r="V526" s="204"/>
      <c r="W526" s="204"/>
      <c r="X526" s="204"/>
      <c r="Y526" s="204"/>
      <c r="Z526" s="204"/>
      <c r="AA526" s="204"/>
      <c r="AB526" s="204"/>
      <c r="AC526" s="204"/>
      <c r="AD526" s="204"/>
    </row>
    <row r="527">
      <c r="A527" s="202"/>
      <c r="B527" s="203"/>
      <c r="C527" s="204"/>
      <c r="D527" s="203"/>
      <c r="E527" s="204"/>
      <c r="F527" s="204"/>
      <c r="G527" s="93"/>
      <c r="H527" s="204"/>
      <c r="I527" s="205"/>
      <c r="J527" s="204"/>
      <c r="K527" s="204"/>
      <c r="L527" s="203"/>
      <c r="M527" s="204"/>
      <c r="N527" s="205"/>
      <c r="O527" s="205"/>
      <c r="P527" s="204"/>
      <c r="Q527" s="205"/>
      <c r="R527" s="204"/>
      <c r="S527" s="204"/>
      <c r="T527" s="204"/>
      <c r="U527" s="205"/>
      <c r="V527" s="204"/>
      <c r="W527" s="204"/>
      <c r="X527" s="204"/>
      <c r="Y527" s="204"/>
      <c r="Z527" s="204"/>
      <c r="AA527" s="204"/>
      <c r="AB527" s="204"/>
      <c r="AC527" s="204"/>
      <c r="AD527" s="204"/>
    </row>
    <row r="528">
      <c r="A528" s="202"/>
      <c r="B528" s="203"/>
      <c r="C528" s="204"/>
      <c r="D528" s="203"/>
      <c r="E528" s="204"/>
      <c r="F528" s="204"/>
      <c r="G528" s="93"/>
      <c r="H528" s="204"/>
      <c r="I528" s="205"/>
      <c r="J528" s="204"/>
      <c r="K528" s="204"/>
      <c r="L528" s="203"/>
      <c r="M528" s="204"/>
      <c r="N528" s="205"/>
      <c r="O528" s="205"/>
      <c r="P528" s="204"/>
      <c r="Q528" s="205"/>
      <c r="R528" s="204"/>
      <c r="S528" s="204"/>
      <c r="T528" s="204"/>
      <c r="U528" s="205"/>
      <c r="V528" s="204"/>
      <c r="W528" s="204"/>
      <c r="X528" s="204"/>
      <c r="Y528" s="204"/>
      <c r="Z528" s="204"/>
      <c r="AA528" s="204"/>
      <c r="AB528" s="204"/>
      <c r="AC528" s="204"/>
      <c r="AD528" s="204"/>
    </row>
    <row r="529">
      <c r="A529" s="202"/>
      <c r="B529" s="203"/>
      <c r="C529" s="204"/>
      <c r="D529" s="203"/>
      <c r="E529" s="204"/>
      <c r="F529" s="204"/>
      <c r="G529" s="93"/>
      <c r="H529" s="204"/>
      <c r="I529" s="205"/>
      <c r="J529" s="204"/>
      <c r="K529" s="204"/>
      <c r="L529" s="203"/>
      <c r="M529" s="204"/>
      <c r="N529" s="205"/>
      <c r="O529" s="205"/>
      <c r="P529" s="204"/>
      <c r="Q529" s="205"/>
      <c r="R529" s="204"/>
      <c r="S529" s="204"/>
      <c r="T529" s="204"/>
      <c r="U529" s="205"/>
      <c r="V529" s="204"/>
      <c r="W529" s="204"/>
      <c r="X529" s="204"/>
      <c r="Y529" s="204"/>
      <c r="Z529" s="204"/>
      <c r="AA529" s="204"/>
      <c r="AB529" s="204"/>
      <c r="AC529" s="204"/>
      <c r="AD529" s="204"/>
    </row>
    <row r="530">
      <c r="A530" s="202"/>
      <c r="B530" s="203"/>
      <c r="C530" s="204"/>
      <c r="D530" s="203"/>
      <c r="E530" s="204"/>
      <c r="F530" s="204"/>
      <c r="G530" s="93"/>
      <c r="H530" s="204"/>
      <c r="I530" s="205"/>
      <c r="J530" s="204"/>
      <c r="K530" s="204"/>
      <c r="L530" s="203"/>
      <c r="M530" s="204"/>
      <c r="N530" s="205"/>
      <c r="O530" s="205"/>
      <c r="P530" s="204"/>
      <c r="Q530" s="205"/>
      <c r="R530" s="204"/>
      <c r="S530" s="204"/>
      <c r="T530" s="204"/>
      <c r="U530" s="205"/>
      <c r="V530" s="204"/>
      <c r="W530" s="204"/>
      <c r="X530" s="204"/>
      <c r="Y530" s="204"/>
      <c r="Z530" s="204"/>
      <c r="AA530" s="204"/>
      <c r="AB530" s="204"/>
      <c r="AC530" s="204"/>
      <c r="AD530" s="204"/>
    </row>
    <row r="531">
      <c r="A531" s="202"/>
      <c r="B531" s="203"/>
      <c r="C531" s="204"/>
      <c r="D531" s="203"/>
      <c r="E531" s="204"/>
      <c r="F531" s="204"/>
      <c r="G531" s="93"/>
      <c r="H531" s="204"/>
      <c r="I531" s="205"/>
      <c r="J531" s="204"/>
      <c r="K531" s="204"/>
      <c r="L531" s="203"/>
      <c r="M531" s="204"/>
      <c r="N531" s="205"/>
      <c r="O531" s="205"/>
      <c r="P531" s="204"/>
      <c r="Q531" s="205"/>
      <c r="R531" s="204"/>
      <c r="S531" s="204"/>
      <c r="T531" s="204"/>
      <c r="U531" s="205"/>
      <c r="V531" s="204"/>
      <c r="W531" s="204"/>
      <c r="X531" s="204"/>
      <c r="Y531" s="204"/>
      <c r="Z531" s="204"/>
      <c r="AA531" s="204"/>
      <c r="AB531" s="204"/>
      <c r="AC531" s="204"/>
      <c r="AD531" s="204"/>
    </row>
    <row r="532">
      <c r="A532" s="202"/>
      <c r="B532" s="203"/>
      <c r="C532" s="204"/>
      <c r="D532" s="203"/>
      <c r="E532" s="204"/>
      <c r="F532" s="204"/>
      <c r="G532" s="93"/>
      <c r="H532" s="204"/>
      <c r="I532" s="205"/>
      <c r="J532" s="204"/>
      <c r="K532" s="204"/>
      <c r="L532" s="203"/>
      <c r="M532" s="204"/>
      <c r="N532" s="205"/>
      <c r="O532" s="205"/>
      <c r="P532" s="204"/>
      <c r="Q532" s="205"/>
      <c r="R532" s="204"/>
      <c r="S532" s="204"/>
      <c r="T532" s="204"/>
      <c r="U532" s="205"/>
      <c r="V532" s="204"/>
      <c r="W532" s="204"/>
      <c r="X532" s="204"/>
      <c r="Y532" s="204"/>
      <c r="Z532" s="204"/>
      <c r="AA532" s="204"/>
      <c r="AB532" s="204"/>
      <c r="AC532" s="204"/>
      <c r="AD532" s="204"/>
    </row>
    <row r="533">
      <c r="A533" s="202"/>
      <c r="B533" s="203"/>
      <c r="C533" s="204"/>
      <c r="D533" s="203"/>
      <c r="E533" s="204"/>
      <c r="F533" s="204"/>
      <c r="G533" s="93"/>
      <c r="H533" s="204"/>
      <c r="I533" s="205"/>
      <c r="J533" s="204"/>
      <c r="K533" s="204"/>
      <c r="L533" s="203"/>
      <c r="M533" s="204"/>
      <c r="N533" s="205"/>
      <c r="O533" s="205"/>
      <c r="P533" s="204"/>
      <c r="Q533" s="205"/>
      <c r="R533" s="204"/>
      <c r="S533" s="204"/>
      <c r="T533" s="204"/>
      <c r="U533" s="205"/>
      <c r="V533" s="204"/>
      <c r="W533" s="204"/>
      <c r="X533" s="204"/>
      <c r="Y533" s="204"/>
      <c r="Z533" s="204"/>
      <c r="AA533" s="204"/>
      <c r="AB533" s="204"/>
      <c r="AC533" s="204"/>
      <c r="AD533" s="204"/>
    </row>
    <row r="534">
      <c r="A534" s="202"/>
      <c r="B534" s="203"/>
      <c r="C534" s="204"/>
      <c r="D534" s="203"/>
      <c r="E534" s="204"/>
      <c r="F534" s="204"/>
      <c r="G534" s="93"/>
      <c r="H534" s="204"/>
      <c r="I534" s="205"/>
      <c r="J534" s="204"/>
      <c r="K534" s="204"/>
      <c r="L534" s="203"/>
      <c r="M534" s="204"/>
      <c r="N534" s="205"/>
      <c r="O534" s="205"/>
      <c r="P534" s="204"/>
      <c r="Q534" s="205"/>
      <c r="R534" s="204"/>
      <c r="S534" s="204"/>
      <c r="T534" s="204"/>
      <c r="U534" s="205"/>
      <c r="V534" s="204"/>
      <c r="W534" s="204"/>
      <c r="X534" s="204"/>
      <c r="Y534" s="204"/>
      <c r="Z534" s="204"/>
      <c r="AA534" s="204"/>
      <c r="AB534" s="204"/>
      <c r="AC534" s="204"/>
      <c r="AD534" s="204"/>
    </row>
    <row r="535">
      <c r="A535" s="202"/>
      <c r="B535" s="203"/>
      <c r="C535" s="204"/>
      <c r="D535" s="203"/>
      <c r="E535" s="204"/>
      <c r="F535" s="204"/>
      <c r="G535" s="93"/>
      <c r="H535" s="204"/>
      <c r="I535" s="205"/>
      <c r="J535" s="204"/>
      <c r="K535" s="204"/>
      <c r="L535" s="203"/>
      <c r="M535" s="204"/>
      <c r="N535" s="205"/>
      <c r="O535" s="205"/>
      <c r="P535" s="204"/>
      <c r="Q535" s="205"/>
      <c r="R535" s="204"/>
      <c r="S535" s="204"/>
      <c r="T535" s="204"/>
      <c r="U535" s="205"/>
      <c r="V535" s="204"/>
      <c r="W535" s="204"/>
      <c r="X535" s="204"/>
      <c r="Y535" s="204"/>
      <c r="Z535" s="204"/>
      <c r="AA535" s="204"/>
      <c r="AB535" s="204"/>
      <c r="AC535" s="204"/>
      <c r="AD535" s="204"/>
    </row>
    <row r="536">
      <c r="A536" s="202"/>
      <c r="B536" s="203"/>
      <c r="C536" s="204"/>
      <c r="D536" s="203"/>
      <c r="E536" s="204"/>
      <c r="F536" s="204"/>
      <c r="G536" s="93"/>
      <c r="H536" s="204"/>
      <c r="I536" s="205"/>
      <c r="J536" s="204"/>
      <c r="K536" s="204"/>
      <c r="L536" s="203"/>
      <c r="M536" s="204"/>
      <c r="N536" s="205"/>
      <c r="O536" s="205"/>
      <c r="P536" s="204"/>
      <c r="Q536" s="205"/>
      <c r="R536" s="204"/>
      <c r="S536" s="204"/>
      <c r="T536" s="204"/>
      <c r="U536" s="205"/>
      <c r="V536" s="204"/>
      <c r="W536" s="204"/>
      <c r="X536" s="204"/>
      <c r="Y536" s="204"/>
      <c r="Z536" s="204"/>
      <c r="AA536" s="204"/>
      <c r="AB536" s="204"/>
      <c r="AC536" s="204"/>
      <c r="AD536" s="204"/>
    </row>
    <row r="537">
      <c r="A537" s="202"/>
      <c r="B537" s="203"/>
      <c r="C537" s="204"/>
      <c r="D537" s="203"/>
      <c r="E537" s="204"/>
      <c r="F537" s="204"/>
      <c r="G537" s="93"/>
      <c r="H537" s="204"/>
      <c r="I537" s="205"/>
      <c r="J537" s="204"/>
      <c r="K537" s="204"/>
      <c r="L537" s="203"/>
      <c r="M537" s="204"/>
      <c r="N537" s="205"/>
      <c r="O537" s="205"/>
      <c r="P537" s="204"/>
      <c r="Q537" s="205"/>
      <c r="R537" s="204"/>
      <c r="S537" s="204"/>
      <c r="T537" s="204"/>
      <c r="U537" s="205"/>
      <c r="V537" s="204"/>
      <c r="W537" s="204"/>
      <c r="X537" s="204"/>
      <c r="Y537" s="204"/>
      <c r="Z537" s="204"/>
      <c r="AA537" s="204"/>
      <c r="AB537" s="204"/>
      <c r="AC537" s="204"/>
      <c r="AD537" s="204"/>
    </row>
    <row r="538">
      <c r="A538" s="202"/>
      <c r="B538" s="203"/>
      <c r="C538" s="204"/>
      <c r="D538" s="203"/>
      <c r="E538" s="204"/>
      <c r="F538" s="204"/>
      <c r="G538" s="93"/>
      <c r="H538" s="204"/>
      <c r="I538" s="205"/>
      <c r="J538" s="204"/>
      <c r="K538" s="204"/>
      <c r="L538" s="203"/>
      <c r="M538" s="204"/>
      <c r="N538" s="205"/>
      <c r="O538" s="205"/>
      <c r="P538" s="204"/>
      <c r="Q538" s="205"/>
      <c r="R538" s="204"/>
      <c r="S538" s="204"/>
      <c r="T538" s="204"/>
      <c r="U538" s="205"/>
      <c r="V538" s="204"/>
      <c r="W538" s="204"/>
      <c r="X538" s="204"/>
      <c r="Y538" s="204"/>
      <c r="Z538" s="204"/>
      <c r="AA538" s="204"/>
      <c r="AB538" s="204"/>
      <c r="AC538" s="204"/>
      <c r="AD538" s="204"/>
    </row>
    <row r="539">
      <c r="A539" s="202"/>
      <c r="B539" s="203"/>
      <c r="C539" s="204"/>
      <c r="D539" s="203"/>
      <c r="E539" s="204"/>
      <c r="F539" s="204"/>
      <c r="G539" s="93"/>
      <c r="H539" s="204"/>
      <c r="I539" s="205"/>
      <c r="J539" s="204"/>
      <c r="K539" s="204"/>
      <c r="L539" s="203"/>
      <c r="M539" s="204"/>
      <c r="N539" s="205"/>
      <c r="O539" s="205"/>
      <c r="P539" s="204"/>
      <c r="Q539" s="205"/>
      <c r="R539" s="204"/>
      <c r="S539" s="204"/>
      <c r="T539" s="204"/>
      <c r="U539" s="205"/>
      <c r="V539" s="204"/>
      <c r="W539" s="204"/>
      <c r="X539" s="204"/>
      <c r="Y539" s="204"/>
      <c r="Z539" s="204"/>
      <c r="AA539" s="204"/>
      <c r="AB539" s="204"/>
      <c r="AC539" s="204"/>
      <c r="AD539" s="204"/>
    </row>
    <row r="540">
      <c r="A540" s="202"/>
      <c r="B540" s="203"/>
      <c r="C540" s="204"/>
      <c r="D540" s="203"/>
      <c r="E540" s="204"/>
      <c r="F540" s="204"/>
      <c r="G540" s="93"/>
      <c r="H540" s="204"/>
      <c r="I540" s="205"/>
      <c r="J540" s="204"/>
      <c r="K540" s="204"/>
      <c r="L540" s="203"/>
      <c r="M540" s="204"/>
      <c r="N540" s="205"/>
      <c r="O540" s="205"/>
      <c r="P540" s="204"/>
      <c r="Q540" s="205"/>
      <c r="R540" s="204"/>
      <c r="S540" s="204"/>
      <c r="T540" s="204"/>
      <c r="U540" s="205"/>
      <c r="V540" s="204"/>
      <c r="W540" s="204"/>
      <c r="X540" s="204"/>
      <c r="Y540" s="204"/>
      <c r="Z540" s="204"/>
      <c r="AA540" s="204"/>
      <c r="AB540" s="204"/>
      <c r="AC540" s="204"/>
      <c r="AD540" s="204"/>
    </row>
    <row r="541">
      <c r="A541" s="202"/>
      <c r="B541" s="203"/>
      <c r="C541" s="204"/>
      <c r="D541" s="203"/>
      <c r="E541" s="204"/>
      <c r="F541" s="204"/>
      <c r="G541" s="93"/>
      <c r="H541" s="204"/>
      <c r="I541" s="205"/>
      <c r="J541" s="204"/>
      <c r="K541" s="204"/>
      <c r="L541" s="203"/>
      <c r="M541" s="204"/>
      <c r="N541" s="205"/>
      <c r="O541" s="205"/>
      <c r="P541" s="204"/>
      <c r="Q541" s="205"/>
      <c r="R541" s="204"/>
      <c r="S541" s="204"/>
      <c r="T541" s="204"/>
      <c r="U541" s="205"/>
      <c r="V541" s="204"/>
      <c r="W541" s="204"/>
      <c r="X541" s="204"/>
      <c r="Y541" s="204"/>
      <c r="Z541" s="204"/>
      <c r="AA541" s="204"/>
      <c r="AB541" s="204"/>
      <c r="AC541" s="204"/>
      <c r="AD541" s="204"/>
    </row>
    <row r="542">
      <c r="A542" s="202"/>
      <c r="B542" s="203"/>
      <c r="C542" s="204"/>
      <c r="D542" s="203"/>
      <c r="E542" s="204"/>
      <c r="F542" s="204"/>
      <c r="G542" s="93"/>
      <c r="H542" s="204"/>
      <c r="I542" s="205"/>
      <c r="J542" s="204"/>
      <c r="K542" s="204"/>
      <c r="L542" s="203"/>
      <c r="M542" s="204"/>
      <c r="N542" s="205"/>
      <c r="O542" s="205"/>
      <c r="P542" s="204"/>
      <c r="Q542" s="205"/>
      <c r="R542" s="204"/>
      <c r="S542" s="204"/>
      <c r="T542" s="204"/>
      <c r="U542" s="205"/>
      <c r="V542" s="204"/>
      <c r="W542" s="204"/>
      <c r="X542" s="204"/>
      <c r="Y542" s="204"/>
      <c r="Z542" s="204"/>
      <c r="AA542" s="204"/>
      <c r="AB542" s="204"/>
      <c r="AC542" s="204"/>
      <c r="AD542" s="204"/>
    </row>
    <row r="543">
      <c r="A543" s="202"/>
      <c r="B543" s="203"/>
      <c r="C543" s="204"/>
      <c r="D543" s="203"/>
      <c r="E543" s="204"/>
      <c r="F543" s="204"/>
      <c r="G543" s="93"/>
      <c r="H543" s="204"/>
      <c r="I543" s="205"/>
      <c r="J543" s="204"/>
      <c r="K543" s="204"/>
      <c r="L543" s="203"/>
      <c r="M543" s="204"/>
      <c r="N543" s="205"/>
      <c r="O543" s="205"/>
      <c r="P543" s="204"/>
      <c r="Q543" s="205"/>
      <c r="R543" s="204"/>
      <c r="S543" s="204"/>
      <c r="T543" s="204"/>
      <c r="U543" s="205"/>
      <c r="V543" s="204"/>
      <c r="W543" s="204"/>
      <c r="X543" s="204"/>
      <c r="Y543" s="204"/>
      <c r="Z543" s="204"/>
      <c r="AA543" s="204"/>
      <c r="AB543" s="204"/>
      <c r="AC543" s="204"/>
      <c r="AD543" s="204"/>
    </row>
    <row r="544">
      <c r="A544" s="202"/>
      <c r="B544" s="203"/>
      <c r="C544" s="204"/>
      <c r="D544" s="203"/>
      <c r="E544" s="204"/>
      <c r="F544" s="204"/>
      <c r="G544" s="93"/>
      <c r="H544" s="204"/>
      <c r="I544" s="205"/>
      <c r="J544" s="204"/>
      <c r="K544" s="204"/>
      <c r="L544" s="203"/>
      <c r="M544" s="204"/>
      <c r="N544" s="205"/>
      <c r="O544" s="205"/>
      <c r="P544" s="204"/>
      <c r="Q544" s="205"/>
      <c r="R544" s="204"/>
      <c r="S544" s="204"/>
      <c r="T544" s="204"/>
      <c r="U544" s="205"/>
      <c r="V544" s="204"/>
      <c r="W544" s="204"/>
      <c r="X544" s="204"/>
      <c r="Y544" s="204"/>
      <c r="Z544" s="204"/>
      <c r="AA544" s="204"/>
      <c r="AB544" s="204"/>
      <c r="AC544" s="204"/>
      <c r="AD544" s="204"/>
    </row>
    <row r="545">
      <c r="A545" s="202"/>
      <c r="B545" s="203"/>
      <c r="C545" s="204"/>
      <c r="D545" s="203"/>
      <c r="E545" s="204"/>
      <c r="F545" s="204"/>
      <c r="G545" s="93"/>
      <c r="H545" s="204"/>
      <c r="I545" s="205"/>
      <c r="J545" s="204"/>
      <c r="K545" s="204"/>
      <c r="L545" s="203"/>
      <c r="M545" s="204"/>
      <c r="N545" s="205"/>
      <c r="O545" s="205"/>
      <c r="P545" s="204"/>
      <c r="Q545" s="205"/>
      <c r="R545" s="204"/>
      <c r="S545" s="204"/>
      <c r="T545" s="204"/>
      <c r="U545" s="205"/>
      <c r="V545" s="204"/>
      <c r="W545" s="204"/>
      <c r="X545" s="204"/>
      <c r="Y545" s="204"/>
      <c r="Z545" s="204"/>
      <c r="AA545" s="204"/>
      <c r="AB545" s="204"/>
      <c r="AC545" s="204"/>
      <c r="AD545" s="204"/>
    </row>
    <row r="546">
      <c r="A546" s="202"/>
      <c r="B546" s="203"/>
      <c r="C546" s="204"/>
      <c r="D546" s="203"/>
      <c r="E546" s="204"/>
      <c r="F546" s="204"/>
      <c r="G546" s="93"/>
      <c r="H546" s="204"/>
      <c r="I546" s="205"/>
      <c r="J546" s="204"/>
      <c r="K546" s="204"/>
      <c r="L546" s="203"/>
      <c r="M546" s="204"/>
      <c r="N546" s="205"/>
      <c r="O546" s="205"/>
      <c r="P546" s="204"/>
      <c r="Q546" s="205"/>
      <c r="R546" s="204"/>
      <c r="S546" s="204"/>
      <c r="T546" s="204"/>
      <c r="U546" s="205"/>
      <c r="V546" s="204"/>
      <c r="W546" s="204"/>
      <c r="X546" s="204"/>
      <c r="Y546" s="204"/>
      <c r="Z546" s="204"/>
      <c r="AA546" s="204"/>
      <c r="AB546" s="204"/>
      <c r="AC546" s="204"/>
      <c r="AD546" s="204"/>
    </row>
    <row r="547">
      <c r="A547" s="202"/>
      <c r="B547" s="203"/>
      <c r="C547" s="204"/>
      <c r="D547" s="203"/>
      <c r="E547" s="204"/>
      <c r="F547" s="204"/>
      <c r="G547" s="93"/>
      <c r="H547" s="204"/>
      <c r="I547" s="205"/>
      <c r="J547" s="204"/>
      <c r="K547" s="204"/>
      <c r="L547" s="203"/>
      <c r="M547" s="204"/>
      <c r="N547" s="205"/>
      <c r="O547" s="205"/>
      <c r="P547" s="204"/>
      <c r="Q547" s="205"/>
      <c r="R547" s="204"/>
      <c r="S547" s="204"/>
      <c r="T547" s="204"/>
      <c r="U547" s="205"/>
      <c r="V547" s="204"/>
      <c r="W547" s="204"/>
      <c r="X547" s="204"/>
      <c r="Y547" s="204"/>
      <c r="Z547" s="204"/>
      <c r="AA547" s="204"/>
      <c r="AB547" s="204"/>
      <c r="AC547" s="204"/>
      <c r="AD547" s="204"/>
    </row>
    <row r="548">
      <c r="A548" s="202"/>
      <c r="B548" s="203"/>
      <c r="C548" s="204"/>
      <c r="D548" s="203"/>
      <c r="E548" s="204"/>
      <c r="F548" s="204"/>
      <c r="G548" s="93"/>
      <c r="H548" s="204"/>
      <c r="I548" s="205"/>
      <c r="J548" s="204"/>
      <c r="K548" s="204"/>
      <c r="L548" s="203"/>
      <c r="M548" s="204"/>
      <c r="N548" s="205"/>
      <c r="O548" s="205"/>
      <c r="P548" s="204"/>
      <c r="Q548" s="205"/>
      <c r="R548" s="204"/>
      <c r="S548" s="204"/>
      <c r="T548" s="204"/>
      <c r="U548" s="205"/>
      <c r="V548" s="204"/>
      <c r="W548" s="204"/>
      <c r="X548" s="204"/>
      <c r="Y548" s="204"/>
      <c r="Z548" s="204"/>
      <c r="AA548" s="204"/>
      <c r="AB548" s="204"/>
      <c r="AC548" s="204"/>
      <c r="AD548" s="204"/>
    </row>
    <row r="549">
      <c r="A549" s="202"/>
      <c r="B549" s="203"/>
      <c r="C549" s="204"/>
      <c r="D549" s="203"/>
      <c r="E549" s="204"/>
      <c r="F549" s="204"/>
      <c r="G549" s="93"/>
      <c r="H549" s="204"/>
      <c r="I549" s="205"/>
      <c r="J549" s="204"/>
      <c r="K549" s="204"/>
      <c r="L549" s="203"/>
      <c r="M549" s="204"/>
      <c r="N549" s="205"/>
      <c r="O549" s="205"/>
      <c r="P549" s="204"/>
      <c r="Q549" s="205"/>
      <c r="R549" s="204"/>
      <c r="S549" s="204"/>
      <c r="T549" s="204"/>
      <c r="U549" s="205"/>
      <c r="V549" s="204"/>
      <c r="W549" s="204"/>
      <c r="X549" s="204"/>
      <c r="Y549" s="204"/>
      <c r="Z549" s="204"/>
      <c r="AA549" s="204"/>
      <c r="AB549" s="204"/>
      <c r="AC549" s="204"/>
      <c r="AD549" s="204"/>
    </row>
    <row r="550">
      <c r="A550" s="202"/>
      <c r="B550" s="203"/>
      <c r="C550" s="204"/>
      <c r="D550" s="203"/>
      <c r="E550" s="204"/>
      <c r="F550" s="204"/>
      <c r="G550" s="93"/>
      <c r="H550" s="204"/>
      <c r="I550" s="205"/>
      <c r="J550" s="204"/>
      <c r="K550" s="204"/>
      <c r="L550" s="203"/>
      <c r="M550" s="204"/>
      <c r="N550" s="205"/>
      <c r="O550" s="205"/>
      <c r="P550" s="204"/>
      <c r="Q550" s="205"/>
      <c r="R550" s="204"/>
      <c r="S550" s="204"/>
      <c r="T550" s="204"/>
      <c r="U550" s="205"/>
      <c r="V550" s="204"/>
      <c r="W550" s="204"/>
      <c r="X550" s="204"/>
      <c r="Y550" s="204"/>
      <c r="Z550" s="204"/>
      <c r="AA550" s="204"/>
      <c r="AB550" s="204"/>
      <c r="AC550" s="204"/>
      <c r="AD550" s="204"/>
    </row>
    <row r="551">
      <c r="A551" s="202"/>
      <c r="B551" s="203"/>
      <c r="C551" s="204"/>
      <c r="D551" s="203"/>
      <c r="E551" s="204"/>
      <c r="F551" s="204"/>
      <c r="G551" s="93"/>
      <c r="H551" s="204"/>
      <c r="I551" s="205"/>
      <c r="J551" s="204"/>
      <c r="K551" s="204"/>
      <c r="L551" s="203"/>
      <c r="M551" s="204"/>
      <c r="N551" s="205"/>
      <c r="O551" s="205"/>
      <c r="P551" s="204"/>
      <c r="Q551" s="205"/>
      <c r="R551" s="204"/>
      <c r="S551" s="204"/>
      <c r="T551" s="204"/>
      <c r="U551" s="205"/>
      <c r="V551" s="204"/>
      <c r="W551" s="204"/>
      <c r="X551" s="204"/>
      <c r="Y551" s="204"/>
      <c r="Z551" s="204"/>
      <c r="AA551" s="204"/>
      <c r="AB551" s="204"/>
      <c r="AC551" s="204"/>
      <c r="AD551" s="204"/>
    </row>
    <row r="552">
      <c r="A552" s="202"/>
      <c r="B552" s="203"/>
      <c r="C552" s="204"/>
      <c r="D552" s="203"/>
      <c r="E552" s="204"/>
      <c r="F552" s="204"/>
      <c r="G552" s="93"/>
      <c r="H552" s="204"/>
      <c r="I552" s="205"/>
      <c r="J552" s="204"/>
      <c r="K552" s="204"/>
      <c r="L552" s="203"/>
      <c r="M552" s="204"/>
      <c r="N552" s="205"/>
      <c r="O552" s="205"/>
      <c r="P552" s="204"/>
      <c r="Q552" s="205"/>
      <c r="R552" s="204"/>
      <c r="S552" s="204"/>
      <c r="T552" s="204"/>
      <c r="U552" s="205"/>
      <c r="V552" s="204"/>
      <c r="W552" s="204"/>
      <c r="X552" s="204"/>
      <c r="Y552" s="204"/>
      <c r="Z552" s="204"/>
      <c r="AA552" s="204"/>
      <c r="AB552" s="204"/>
      <c r="AC552" s="204"/>
      <c r="AD552" s="204"/>
    </row>
    <row r="553">
      <c r="A553" s="202"/>
      <c r="B553" s="203"/>
      <c r="C553" s="204"/>
      <c r="D553" s="203"/>
      <c r="E553" s="204"/>
      <c r="F553" s="204"/>
      <c r="G553" s="93"/>
      <c r="H553" s="204"/>
      <c r="I553" s="205"/>
      <c r="J553" s="204"/>
      <c r="K553" s="204"/>
      <c r="L553" s="203"/>
      <c r="M553" s="204"/>
      <c r="N553" s="205"/>
      <c r="O553" s="205"/>
      <c r="P553" s="204"/>
      <c r="Q553" s="205"/>
      <c r="R553" s="204"/>
      <c r="S553" s="204"/>
      <c r="T553" s="204"/>
      <c r="U553" s="205"/>
      <c r="V553" s="204"/>
      <c r="W553" s="204"/>
      <c r="X553" s="204"/>
      <c r="Y553" s="204"/>
      <c r="Z553" s="204"/>
      <c r="AA553" s="204"/>
      <c r="AB553" s="204"/>
      <c r="AC553" s="204"/>
      <c r="AD553" s="204"/>
    </row>
    <row r="554">
      <c r="A554" s="202"/>
      <c r="B554" s="203"/>
      <c r="C554" s="204"/>
      <c r="D554" s="203"/>
      <c r="E554" s="204"/>
      <c r="F554" s="204"/>
      <c r="G554" s="93"/>
      <c r="H554" s="204"/>
      <c r="I554" s="205"/>
      <c r="J554" s="204"/>
      <c r="K554" s="204"/>
      <c r="L554" s="203"/>
      <c r="M554" s="204"/>
      <c r="N554" s="205"/>
      <c r="O554" s="205"/>
      <c r="P554" s="204"/>
      <c r="Q554" s="205"/>
      <c r="R554" s="204"/>
      <c r="S554" s="204"/>
      <c r="T554" s="204"/>
      <c r="U554" s="205"/>
      <c r="V554" s="204"/>
      <c r="W554" s="204"/>
      <c r="X554" s="204"/>
      <c r="Y554" s="204"/>
      <c r="Z554" s="204"/>
      <c r="AA554" s="204"/>
      <c r="AB554" s="204"/>
      <c r="AC554" s="204"/>
      <c r="AD554" s="204"/>
    </row>
    <row r="555">
      <c r="A555" s="202"/>
      <c r="B555" s="203"/>
      <c r="C555" s="204"/>
      <c r="D555" s="203"/>
      <c r="E555" s="204"/>
      <c r="F555" s="204"/>
      <c r="G555" s="93"/>
      <c r="H555" s="204"/>
      <c r="I555" s="205"/>
      <c r="J555" s="204"/>
      <c r="K555" s="204"/>
      <c r="L555" s="203"/>
      <c r="M555" s="204"/>
      <c r="N555" s="205"/>
      <c r="O555" s="205"/>
      <c r="P555" s="204"/>
      <c r="Q555" s="205"/>
      <c r="R555" s="204"/>
      <c r="S555" s="204"/>
      <c r="T555" s="204"/>
      <c r="U555" s="205"/>
      <c r="V555" s="204"/>
      <c r="W555" s="204"/>
      <c r="X555" s="204"/>
      <c r="Y555" s="204"/>
      <c r="Z555" s="204"/>
      <c r="AA555" s="204"/>
      <c r="AB555" s="204"/>
      <c r="AC555" s="204"/>
      <c r="AD555" s="204"/>
    </row>
    <row r="556">
      <c r="A556" s="202"/>
      <c r="B556" s="203"/>
      <c r="C556" s="204"/>
      <c r="D556" s="203"/>
      <c r="E556" s="204"/>
      <c r="F556" s="204"/>
      <c r="G556" s="93"/>
      <c r="H556" s="204"/>
      <c r="I556" s="205"/>
      <c r="J556" s="204"/>
      <c r="K556" s="204"/>
      <c r="L556" s="203"/>
      <c r="M556" s="204"/>
      <c r="N556" s="205"/>
      <c r="O556" s="205"/>
      <c r="P556" s="204"/>
      <c r="Q556" s="205"/>
      <c r="R556" s="204"/>
      <c r="S556" s="204"/>
      <c r="T556" s="204"/>
      <c r="U556" s="205"/>
      <c r="V556" s="204"/>
      <c r="W556" s="204"/>
      <c r="X556" s="204"/>
      <c r="Y556" s="204"/>
      <c r="Z556" s="204"/>
      <c r="AA556" s="204"/>
      <c r="AB556" s="204"/>
      <c r="AC556" s="204"/>
      <c r="AD556" s="204"/>
    </row>
    <row r="557">
      <c r="A557" s="202"/>
      <c r="B557" s="203"/>
      <c r="C557" s="204"/>
      <c r="D557" s="203"/>
      <c r="E557" s="204"/>
      <c r="F557" s="204"/>
      <c r="G557" s="93"/>
      <c r="H557" s="204"/>
      <c r="I557" s="205"/>
      <c r="J557" s="204"/>
      <c r="K557" s="204"/>
      <c r="L557" s="203"/>
      <c r="M557" s="204"/>
      <c r="N557" s="205"/>
      <c r="O557" s="205"/>
      <c r="P557" s="204"/>
      <c r="Q557" s="205"/>
      <c r="R557" s="204"/>
      <c r="S557" s="204"/>
      <c r="T557" s="204"/>
      <c r="U557" s="205"/>
      <c r="V557" s="204"/>
      <c r="W557" s="204"/>
      <c r="X557" s="204"/>
      <c r="Y557" s="204"/>
      <c r="Z557" s="204"/>
      <c r="AA557" s="204"/>
      <c r="AB557" s="204"/>
      <c r="AC557" s="204"/>
      <c r="AD557" s="204"/>
    </row>
    <row r="558">
      <c r="A558" s="202"/>
      <c r="B558" s="203"/>
      <c r="C558" s="204"/>
      <c r="D558" s="203"/>
      <c r="E558" s="204"/>
      <c r="F558" s="204"/>
      <c r="G558" s="93"/>
      <c r="H558" s="204"/>
      <c r="I558" s="205"/>
      <c r="J558" s="204"/>
      <c r="K558" s="204"/>
      <c r="L558" s="203"/>
      <c r="M558" s="204"/>
      <c r="N558" s="205"/>
      <c r="O558" s="205"/>
      <c r="P558" s="204"/>
      <c r="Q558" s="205"/>
      <c r="R558" s="204"/>
      <c r="S558" s="204"/>
      <c r="T558" s="204"/>
      <c r="U558" s="205"/>
      <c r="V558" s="204"/>
      <c r="W558" s="204"/>
      <c r="X558" s="204"/>
      <c r="Y558" s="204"/>
      <c r="Z558" s="204"/>
      <c r="AA558" s="204"/>
      <c r="AB558" s="204"/>
      <c r="AC558" s="204"/>
      <c r="AD558" s="204"/>
    </row>
    <row r="559">
      <c r="A559" s="202"/>
      <c r="B559" s="203"/>
      <c r="C559" s="204"/>
      <c r="D559" s="203"/>
      <c r="E559" s="204"/>
      <c r="F559" s="204"/>
      <c r="G559" s="93"/>
      <c r="H559" s="204"/>
      <c r="I559" s="205"/>
      <c r="J559" s="204"/>
      <c r="K559" s="204"/>
      <c r="L559" s="203"/>
      <c r="M559" s="204"/>
      <c r="N559" s="205"/>
      <c r="O559" s="205"/>
      <c r="P559" s="204"/>
      <c r="Q559" s="205"/>
      <c r="R559" s="204"/>
      <c r="S559" s="204"/>
      <c r="T559" s="204"/>
      <c r="U559" s="205"/>
      <c r="V559" s="204"/>
      <c r="W559" s="204"/>
      <c r="X559" s="204"/>
      <c r="Y559" s="204"/>
      <c r="Z559" s="204"/>
      <c r="AA559" s="204"/>
      <c r="AB559" s="204"/>
      <c r="AC559" s="204"/>
      <c r="AD559" s="204"/>
    </row>
    <row r="560">
      <c r="A560" s="202"/>
      <c r="B560" s="203"/>
      <c r="C560" s="204"/>
      <c r="D560" s="203"/>
      <c r="E560" s="204"/>
      <c r="F560" s="204"/>
      <c r="G560" s="93"/>
      <c r="H560" s="204"/>
      <c r="I560" s="205"/>
      <c r="J560" s="204"/>
      <c r="K560" s="204"/>
      <c r="L560" s="203"/>
      <c r="M560" s="204"/>
      <c r="N560" s="205"/>
      <c r="O560" s="205"/>
      <c r="P560" s="204"/>
      <c r="Q560" s="205"/>
      <c r="R560" s="204"/>
      <c r="S560" s="204"/>
      <c r="T560" s="204"/>
      <c r="U560" s="205"/>
      <c r="V560" s="204"/>
      <c r="W560" s="204"/>
      <c r="X560" s="204"/>
      <c r="Y560" s="204"/>
      <c r="Z560" s="204"/>
      <c r="AA560" s="204"/>
      <c r="AB560" s="204"/>
      <c r="AC560" s="204"/>
      <c r="AD560" s="204"/>
    </row>
    <row r="561">
      <c r="A561" s="202"/>
      <c r="B561" s="203"/>
      <c r="C561" s="204"/>
      <c r="D561" s="203"/>
      <c r="E561" s="204"/>
      <c r="F561" s="204"/>
      <c r="G561" s="93"/>
      <c r="H561" s="204"/>
      <c r="I561" s="205"/>
      <c r="J561" s="204"/>
      <c r="K561" s="204"/>
      <c r="L561" s="203"/>
      <c r="M561" s="204"/>
      <c r="N561" s="205"/>
      <c r="O561" s="205"/>
      <c r="P561" s="204"/>
      <c r="Q561" s="205"/>
      <c r="R561" s="204"/>
      <c r="S561" s="204"/>
      <c r="T561" s="204"/>
      <c r="U561" s="205"/>
      <c r="V561" s="204"/>
      <c r="W561" s="204"/>
      <c r="X561" s="204"/>
      <c r="Y561" s="204"/>
      <c r="Z561" s="204"/>
      <c r="AA561" s="204"/>
      <c r="AB561" s="204"/>
      <c r="AC561" s="204"/>
      <c r="AD561" s="204"/>
    </row>
    <row r="562">
      <c r="A562" s="202"/>
      <c r="B562" s="203"/>
      <c r="C562" s="204"/>
      <c r="D562" s="203"/>
      <c r="E562" s="204"/>
      <c r="F562" s="204"/>
      <c r="G562" s="93"/>
      <c r="H562" s="204"/>
      <c r="I562" s="205"/>
      <c r="J562" s="204"/>
      <c r="K562" s="204"/>
      <c r="L562" s="203"/>
      <c r="M562" s="204"/>
      <c r="N562" s="205"/>
      <c r="O562" s="205"/>
      <c r="P562" s="204"/>
      <c r="Q562" s="205"/>
      <c r="R562" s="204"/>
      <c r="S562" s="204"/>
      <c r="T562" s="204"/>
      <c r="U562" s="205"/>
      <c r="V562" s="204"/>
      <c r="W562" s="204"/>
      <c r="X562" s="204"/>
      <c r="Y562" s="204"/>
      <c r="Z562" s="204"/>
      <c r="AA562" s="204"/>
      <c r="AB562" s="204"/>
      <c r="AC562" s="204"/>
      <c r="AD562" s="204"/>
    </row>
    <row r="563">
      <c r="A563" s="202"/>
      <c r="B563" s="203"/>
      <c r="C563" s="204"/>
      <c r="D563" s="203"/>
      <c r="E563" s="204"/>
      <c r="F563" s="204"/>
      <c r="G563" s="93"/>
      <c r="H563" s="204"/>
      <c r="I563" s="205"/>
      <c r="J563" s="204"/>
      <c r="K563" s="204"/>
      <c r="L563" s="203"/>
      <c r="M563" s="204"/>
      <c r="N563" s="205"/>
      <c r="O563" s="205"/>
      <c r="P563" s="204"/>
      <c r="Q563" s="205"/>
      <c r="R563" s="204"/>
      <c r="S563" s="204"/>
      <c r="T563" s="204"/>
      <c r="U563" s="205"/>
      <c r="V563" s="204"/>
      <c r="W563" s="204"/>
      <c r="X563" s="204"/>
      <c r="Y563" s="204"/>
      <c r="Z563" s="204"/>
      <c r="AA563" s="204"/>
      <c r="AB563" s="204"/>
      <c r="AC563" s="204"/>
      <c r="AD563" s="204"/>
    </row>
    <row r="564">
      <c r="A564" s="202"/>
      <c r="B564" s="203"/>
      <c r="C564" s="204"/>
      <c r="D564" s="203"/>
      <c r="E564" s="204"/>
      <c r="F564" s="204"/>
      <c r="G564" s="93"/>
      <c r="H564" s="204"/>
      <c r="I564" s="205"/>
      <c r="J564" s="204"/>
      <c r="K564" s="204"/>
      <c r="L564" s="203"/>
      <c r="M564" s="204"/>
      <c r="N564" s="205"/>
      <c r="O564" s="205"/>
      <c r="P564" s="204"/>
      <c r="Q564" s="205"/>
      <c r="R564" s="204"/>
      <c r="S564" s="204"/>
      <c r="T564" s="204"/>
      <c r="U564" s="205"/>
      <c r="V564" s="204"/>
      <c r="W564" s="204"/>
      <c r="X564" s="204"/>
      <c r="Y564" s="204"/>
      <c r="Z564" s="204"/>
      <c r="AA564" s="204"/>
      <c r="AB564" s="204"/>
      <c r="AC564" s="204"/>
      <c r="AD564" s="204"/>
    </row>
    <row r="565">
      <c r="A565" s="202"/>
      <c r="B565" s="203"/>
      <c r="C565" s="204"/>
      <c r="D565" s="203"/>
      <c r="E565" s="204"/>
      <c r="F565" s="204"/>
      <c r="G565" s="93"/>
      <c r="H565" s="204"/>
      <c r="I565" s="205"/>
      <c r="J565" s="204"/>
      <c r="K565" s="204"/>
      <c r="L565" s="203"/>
      <c r="M565" s="204"/>
      <c r="N565" s="205"/>
      <c r="O565" s="205"/>
      <c r="P565" s="204"/>
      <c r="Q565" s="205"/>
      <c r="R565" s="204"/>
      <c r="S565" s="204"/>
      <c r="T565" s="204"/>
      <c r="U565" s="205"/>
      <c r="V565" s="204"/>
      <c r="W565" s="204"/>
      <c r="X565" s="204"/>
      <c r="Y565" s="204"/>
      <c r="Z565" s="204"/>
      <c r="AA565" s="204"/>
      <c r="AB565" s="204"/>
      <c r="AC565" s="204"/>
      <c r="AD565" s="204"/>
    </row>
    <row r="566">
      <c r="A566" s="202"/>
      <c r="B566" s="203"/>
      <c r="C566" s="204"/>
      <c r="D566" s="203"/>
      <c r="E566" s="204"/>
      <c r="F566" s="204"/>
      <c r="G566" s="93"/>
      <c r="H566" s="204"/>
      <c r="I566" s="205"/>
      <c r="J566" s="204"/>
      <c r="K566" s="204"/>
      <c r="L566" s="203"/>
      <c r="M566" s="204"/>
      <c r="N566" s="205"/>
      <c r="O566" s="205"/>
      <c r="P566" s="204"/>
      <c r="Q566" s="205"/>
      <c r="R566" s="204"/>
      <c r="S566" s="204"/>
      <c r="T566" s="204"/>
      <c r="U566" s="205"/>
      <c r="V566" s="204"/>
      <c r="W566" s="204"/>
      <c r="X566" s="204"/>
      <c r="Y566" s="204"/>
      <c r="Z566" s="204"/>
      <c r="AA566" s="204"/>
      <c r="AB566" s="204"/>
      <c r="AC566" s="204"/>
      <c r="AD566" s="204"/>
    </row>
    <row r="567">
      <c r="A567" s="202"/>
      <c r="B567" s="203"/>
      <c r="C567" s="204"/>
      <c r="D567" s="203"/>
      <c r="E567" s="204"/>
      <c r="F567" s="204"/>
      <c r="G567" s="93"/>
      <c r="H567" s="204"/>
      <c r="I567" s="205"/>
      <c r="J567" s="204"/>
      <c r="K567" s="204"/>
      <c r="L567" s="203"/>
      <c r="M567" s="204"/>
      <c r="N567" s="205"/>
      <c r="O567" s="205"/>
      <c r="P567" s="204"/>
      <c r="Q567" s="205"/>
      <c r="R567" s="204"/>
      <c r="S567" s="204"/>
      <c r="T567" s="204"/>
      <c r="U567" s="205"/>
      <c r="V567" s="204"/>
      <c r="W567" s="204"/>
      <c r="X567" s="204"/>
      <c r="Y567" s="204"/>
      <c r="Z567" s="204"/>
      <c r="AA567" s="204"/>
      <c r="AB567" s="204"/>
      <c r="AC567" s="204"/>
      <c r="AD567" s="204"/>
    </row>
    <row r="568">
      <c r="A568" s="202"/>
      <c r="B568" s="203"/>
      <c r="C568" s="204"/>
      <c r="D568" s="203"/>
      <c r="E568" s="204"/>
      <c r="F568" s="204"/>
      <c r="G568" s="93"/>
      <c r="H568" s="204"/>
      <c r="I568" s="205"/>
      <c r="J568" s="204"/>
      <c r="K568" s="204"/>
      <c r="L568" s="203"/>
      <c r="M568" s="204"/>
      <c r="N568" s="205"/>
      <c r="O568" s="205"/>
      <c r="P568" s="204"/>
      <c r="Q568" s="205"/>
      <c r="R568" s="204"/>
      <c r="S568" s="204"/>
      <c r="T568" s="204"/>
      <c r="U568" s="205"/>
      <c r="V568" s="204"/>
      <c r="W568" s="204"/>
      <c r="X568" s="204"/>
      <c r="Y568" s="204"/>
      <c r="Z568" s="204"/>
      <c r="AA568" s="204"/>
      <c r="AB568" s="204"/>
      <c r="AC568" s="204"/>
      <c r="AD568" s="204"/>
    </row>
    <row r="569">
      <c r="A569" s="202"/>
      <c r="B569" s="203"/>
      <c r="C569" s="204"/>
      <c r="D569" s="203"/>
      <c r="E569" s="204"/>
      <c r="F569" s="204"/>
      <c r="G569" s="93"/>
      <c r="H569" s="204"/>
      <c r="I569" s="205"/>
      <c r="J569" s="204"/>
      <c r="K569" s="204"/>
      <c r="L569" s="203"/>
      <c r="M569" s="204"/>
      <c r="N569" s="205"/>
      <c r="O569" s="205"/>
      <c r="P569" s="204"/>
      <c r="Q569" s="205"/>
      <c r="R569" s="204"/>
      <c r="S569" s="204"/>
      <c r="T569" s="204"/>
      <c r="U569" s="205"/>
      <c r="V569" s="204"/>
      <c r="W569" s="204"/>
      <c r="X569" s="204"/>
      <c r="Y569" s="204"/>
      <c r="Z569" s="204"/>
      <c r="AA569" s="204"/>
      <c r="AB569" s="204"/>
      <c r="AC569" s="204"/>
      <c r="AD569" s="204"/>
    </row>
    <row r="570">
      <c r="A570" s="202"/>
      <c r="B570" s="203"/>
      <c r="C570" s="204"/>
      <c r="D570" s="203"/>
      <c r="E570" s="204"/>
      <c r="F570" s="204"/>
      <c r="G570" s="93"/>
      <c r="H570" s="204"/>
      <c r="I570" s="205"/>
      <c r="J570" s="204"/>
      <c r="K570" s="204"/>
      <c r="L570" s="203"/>
      <c r="M570" s="204"/>
      <c r="N570" s="205"/>
      <c r="O570" s="205"/>
      <c r="P570" s="204"/>
      <c r="Q570" s="205"/>
      <c r="R570" s="204"/>
      <c r="S570" s="204"/>
      <c r="T570" s="204"/>
      <c r="U570" s="205"/>
      <c r="V570" s="204"/>
      <c r="W570" s="204"/>
      <c r="X570" s="204"/>
      <c r="Y570" s="204"/>
      <c r="Z570" s="204"/>
      <c r="AA570" s="204"/>
      <c r="AB570" s="204"/>
      <c r="AC570" s="204"/>
      <c r="AD570" s="204"/>
    </row>
    <row r="571">
      <c r="A571" s="202"/>
      <c r="B571" s="203"/>
      <c r="C571" s="204"/>
      <c r="D571" s="203"/>
      <c r="E571" s="204"/>
      <c r="F571" s="204"/>
      <c r="G571" s="93"/>
      <c r="H571" s="204"/>
      <c r="I571" s="205"/>
      <c r="J571" s="204"/>
      <c r="K571" s="204"/>
      <c r="L571" s="203"/>
      <c r="M571" s="204"/>
      <c r="N571" s="205"/>
      <c r="O571" s="205"/>
      <c r="P571" s="204"/>
      <c r="Q571" s="205"/>
      <c r="R571" s="204"/>
      <c r="S571" s="204"/>
      <c r="T571" s="204"/>
      <c r="U571" s="205"/>
      <c r="V571" s="204"/>
      <c r="W571" s="204"/>
      <c r="X571" s="204"/>
      <c r="Y571" s="204"/>
      <c r="Z571" s="204"/>
      <c r="AA571" s="204"/>
      <c r="AB571" s="204"/>
      <c r="AC571" s="204"/>
      <c r="AD571" s="204"/>
    </row>
    <row r="572">
      <c r="A572" s="202"/>
      <c r="B572" s="203"/>
      <c r="C572" s="204"/>
      <c r="D572" s="203"/>
      <c r="E572" s="204"/>
      <c r="F572" s="204"/>
      <c r="G572" s="93"/>
      <c r="H572" s="204"/>
      <c r="I572" s="205"/>
      <c r="J572" s="204"/>
      <c r="K572" s="204"/>
      <c r="L572" s="203"/>
      <c r="M572" s="204"/>
      <c r="N572" s="205"/>
      <c r="O572" s="205"/>
      <c r="P572" s="204"/>
      <c r="Q572" s="205"/>
      <c r="R572" s="204"/>
      <c r="S572" s="204"/>
      <c r="T572" s="204"/>
      <c r="U572" s="205"/>
      <c r="V572" s="204"/>
      <c r="W572" s="204"/>
      <c r="X572" s="204"/>
      <c r="Y572" s="204"/>
      <c r="Z572" s="204"/>
      <c r="AA572" s="204"/>
      <c r="AB572" s="204"/>
      <c r="AC572" s="204"/>
      <c r="AD572" s="204"/>
    </row>
    <row r="573">
      <c r="A573" s="202"/>
      <c r="B573" s="203"/>
      <c r="C573" s="204"/>
      <c r="D573" s="203"/>
      <c r="E573" s="204"/>
      <c r="F573" s="204"/>
      <c r="G573" s="93"/>
      <c r="H573" s="204"/>
      <c r="I573" s="205"/>
      <c r="J573" s="204"/>
      <c r="K573" s="204"/>
      <c r="L573" s="203"/>
      <c r="M573" s="204"/>
      <c r="N573" s="205"/>
      <c r="O573" s="205"/>
      <c r="P573" s="204"/>
      <c r="Q573" s="205"/>
      <c r="R573" s="204"/>
      <c r="S573" s="204"/>
      <c r="T573" s="204"/>
      <c r="U573" s="205"/>
      <c r="V573" s="204"/>
      <c r="W573" s="204"/>
      <c r="X573" s="204"/>
      <c r="Y573" s="204"/>
      <c r="Z573" s="204"/>
      <c r="AA573" s="204"/>
      <c r="AB573" s="204"/>
      <c r="AC573" s="204"/>
      <c r="AD573" s="204"/>
    </row>
    <row r="574">
      <c r="A574" s="202"/>
      <c r="B574" s="203"/>
      <c r="C574" s="204"/>
      <c r="D574" s="203"/>
      <c r="E574" s="204"/>
      <c r="F574" s="204"/>
      <c r="G574" s="93"/>
      <c r="H574" s="204"/>
      <c r="I574" s="205"/>
      <c r="J574" s="204"/>
      <c r="K574" s="204"/>
      <c r="L574" s="203"/>
      <c r="M574" s="204"/>
      <c r="N574" s="205"/>
      <c r="O574" s="205"/>
      <c r="P574" s="204"/>
      <c r="Q574" s="205"/>
      <c r="R574" s="204"/>
      <c r="S574" s="204"/>
      <c r="T574" s="204"/>
      <c r="U574" s="205"/>
      <c r="V574" s="204"/>
      <c r="W574" s="204"/>
      <c r="X574" s="204"/>
      <c r="Y574" s="204"/>
      <c r="Z574" s="204"/>
      <c r="AA574" s="204"/>
      <c r="AB574" s="204"/>
      <c r="AC574" s="204"/>
      <c r="AD574" s="204"/>
    </row>
    <row r="575">
      <c r="A575" s="202"/>
      <c r="B575" s="203"/>
      <c r="C575" s="204"/>
      <c r="D575" s="203"/>
      <c r="E575" s="204"/>
      <c r="F575" s="204"/>
      <c r="G575" s="93"/>
      <c r="H575" s="204"/>
      <c r="I575" s="205"/>
      <c r="J575" s="204"/>
      <c r="K575" s="204"/>
      <c r="L575" s="203"/>
      <c r="M575" s="204"/>
      <c r="N575" s="205"/>
      <c r="O575" s="205"/>
      <c r="P575" s="204"/>
      <c r="Q575" s="205"/>
      <c r="R575" s="204"/>
      <c r="S575" s="204"/>
      <c r="T575" s="204"/>
      <c r="U575" s="205"/>
      <c r="V575" s="204"/>
      <c r="W575" s="204"/>
      <c r="X575" s="204"/>
      <c r="Y575" s="204"/>
      <c r="Z575" s="204"/>
      <c r="AA575" s="204"/>
      <c r="AB575" s="204"/>
      <c r="AC575" s="204"/>
      <c r="AD575" s="204"/>
    </row>
    <row r="576">
      <c r="A576" s="202"/>
      <c r="B576" s="203"/>
      <c r="C576" s="204"/>
      <c r="D576" s="203"/>
      <c r="E576" s="204"/>
      <c r="F576" s="204"/>
      <c r="G576" s="93"/>
      <c r="H576" s="204"/>
      <c r="I576" s="205"/>
      <c r="J576" s="204"/>
      <c r="K576" s="204"/>
      <c r="L576" s="203"/>
      <c r="M576" s="204"/>
      <c r="N576" s="205"/>
      <c r="O576" s="205"/>
      <c r="P576" s="204"/>
      <c r="Q576" s="205"/>
      <c r="R576" s="204"/>
      <c r="S576" s="204"/>
      <c r="T576" s="204"/>
      <c r="U576" s="205"/>
      <c r="V576" s="204"/>
      <c r="W576" s="204"/>
      <c r="X576" s="204"/>
      <c r="Y576" s="204"/>
      <c r="Z576" s="204"/>
      <c r="AA576" s="204"/>
      <c r="AB576" s="204"/>
      <c r="AC576" s="204"/>
      <c r="AD576" s="204"/>
    </row>
    <row r="577">
      <c r="A577" s="202"/>
      <c r="B577" s="203"/>
      <c r="C577" s="204"/>
      <c r="D577" s="203"/>
      <c r="E577" s="204"/>
      <c r="F577" s="204"/>
      <c r="G577" s="93"/>
      <c r="H577" s="204"/>
      <c r="I577" s="205"/>
      <c r="J577" s="204"/>
      <c r="K577" s="204"/>
      <c r="L577" s="203"/>
      <c r="M577" s="204"/>
      <c r="N577" s="205"/>
      <c r="O577" s="205"/>
      <c r="P577" s="204"/>
      <c r="Q577" s="205"/>
      <c r="R577" s="204"/>
      <c r="S577" s="204"/>
      <c r="T577" s="204"/>
      <c r="U577" s="205"/>
      <c r="V577" s="204"/>
      <c r="W577" s="204"/>
      <c r="X577" s="204"/>
      <c r="Y577" s="204"/>
      <c r="Z577" s="204"/>
      <c r="AA577" s="204"/>
      <c r="AB577" s="204"/>
      <c r="AC577" s="204"/>
      <c r="AD577" s="204"/>
    </row>
    <row r="578">
      <c r="A578" s="202"/>
      <c r="B578" s="203"/>
      <c r="C578" s="204"/>
      <c r="D578" s="203"/>
      <c r="E578" s="204"/>
      <c r="F578" s="204"/>
      <c r="G578" s="93"/>
      <c r="H578" s="204"/>
      <c r="I578" s="205"/>
      <c r="J578" s="204"/>
      <c r="K578" s="204"/>
      <c r="L578" s="203"/>
      <c r="M578" s="204"/>
      <c r="N578" s="205"/>
      <c r="O578" s="205"/>
      <c r="P578" s="204"/>
      <c r="Q578" s="205"/>
      <c r="R578" s="204"/>
      <c r="S578" s="204"/>
      <c r="T578" s="204"/>
      <c r="U578" s="205"/>
      <c r="V578" s="204"/>
      <c r="W578" s="204"/>
      <c r="X578" s="204"/>
      <c r="Y578" s="204"/>
      <c r="Z578" s="204"/>
      <c r="AA578" s="204"/>
      <c r="AB578" s="204"/>
      <c r="AC578" s="204"/>
      <c r="AD578" s="204"/>
    </row>
    <row r="579">
      <c r="A579" s="202"/>
      <c r="B579" s="203"/>
      <c r="C579" s="204"/>
      <c r="D579" s="203"/>
      <c r="E579" s="204"/>
      <c r="F579" s="204"/>
      <c r="G579" s="93"/>
      <c r="H579" s="204"/>
      <c r="I579" s="205"/>
      <c r="J579" s="204"/>
      <c r="K579" s="204"/>
      <c r="L579" s="203"/>
      <c r="M579" s="204"/>
      <c r="N579" s="205"/>
      <c r="O579" s="205"/>
      <c r="P579" s="204"/>
      <c r="Q579" s="205"/>
      <c r="R579" s="204"/>
      <c r="S579" s="204"/>
      <c r="T579" s="204"/>
      <c r="U579" s="205"/>
      <c r="V579" s="204"/>
      <c r="W579" s="204"/>
      <c r="X579" s="204"/>
      <c r="Y579" s="204"/>
      <c r="Z579" s="204"/>
      <c r="AA579" s="204"/>
      <c r="AB579" s="204"/>
      <c r="AC579" s="204"/>
      <c r="AD579" s="204"/>
    </row>
    <row r="580">
      <c r="A580" s="202"/>
      <c r="B580" s="203"/>
      <c r="C580" s="204"/>
      <c r="D580" s="203"/>
      <c r="E580" s="204"/>
      <c r="F580" s="204"/>
      <c r="G580" s="93"/>
      <c r="H580" s="204"/>
      <c r="I580" s="205"/>
      <c r="J580" s="204"/>
      <c r="K580" s="204"/>
      <c r="L580" s="203"/>
      <c r="M580" s="204"/>
      <c r="N580" s="205"/>
      <c r="O580" s="205"/>
      <c r="P580" s="204"/>
      <c r="Q580" s="205"/>
      <c r="R580" s="204"/>
      <c r="S580" s="204"/>
      <c r="T580" s="204"/>
      <c r="U580" s="205"/>
      <c r="V580" s="204"/>
      <c r="W580" s="204"/>
      <c r="X580" s="204"/>
      <c r="Y580" s="204"/>
      <c r="Z580" s="204"/>
      <c r="AA580" s="204"/>
      <c r="AB580" s="204"/>
      <c r="AC580" s="204"/>
      <c r="AD580" s="204"/>
    </row>
    <row r="581">
      <c r="A581" s="202"/>
      <c r="B581" s="203"/>
      <c r="C581" s="204"/>
      <c r="D581" s="203"/>
      <c r="E581" s="204"/>
      <c r="F581" s="204"/>
      <c r="G581" s="93"/>
      <c r="H581" s="204"/>
      <c r="I581" s="205"/>
      <c r="J581" s="204"/>
      <c r="K581" s="204"/>
      <c r="L581" s="203"/>
      <c r="M581" s="204"/>
      <c r="N581" s="205"/>
      <c r="O581" s="205"/>
      <c r="P581" s="204"/>
      <c r="Q581" s="205"/>
      <c r="R581" s="204"/>
      <c r="S581" s="204"/>
      <c r="T581" s="204"/>
      <c r="U581" s="205"/>
      <c r="V581" s="204"/>
      <c r="W581" s="204"/>
      <c r="X581" s="204"/>
      <c r="Y581" s="204"/>
      <c r="Z581" s="204"/>
      <c r="AA581" s="204"/>
      <c r="AB581" s="204"/>
      <c r="AC581" s="204"/>
      <c r="AD581" s="204"/>
    </row>
    <row r="582">
      <c r="A582" s="202"/>
      <c r="B582" s="203"/>
      <c r="C582" s="204"/>
      <c r="D582" s="203"/>
      <c r="E582" s="204"/>
      <c r="F582" s="204"/>
      <c r="G582" s="93"/>
      <c r="H582" s="204"/>
      <c r="I582" s="205"/>
      <c r="J582" s="204"/>
      <c r="K582" s="204"/>
      <c r="L582" s="203"/>
      <c r="M582" s="204"/>
      <c r="N582" s="205"/>
      <c r="O582" s="205"/>
      <c r="P582" s="204"/>
      <c r="Q582" s="205"/>
      <c r="R582" s="204"/>
      <c r="S582" s="204"/>
      <c r="T582" s="204"/>
      <c r="U582" s="205"/>
      <c r="V582" s="204"/>
      <c r="W582" s="204"/>
      <c r="X582" s="204"/>
      <c r="Y582" s="204"/>
      <c r="Z582" s="204"/>
      <c r="AA582" s="204"/>
      <c r="AB582" s="204"/>
      <c r="AC582" s="204"/>
      <c r="AD582" s="204"/>
    </row>
    <row r="583">
      <c r="A583" s="202"/>
      <c r="B583" s="203"/>
      <c r="C583" s="204"/>
      <c r="D583" s="203"/>
      <c r="E583" s="204"/>
      <c r="F583" s="204"/>
      <c r="G583" s="93"/>
      <c r="H583" s="204"/>
      <c r="I583" s="205"/>
      <c r="J583" s="204"/>
      <c r="K583" s="204"/>
      <c r="L583" s="203"/>
      <c r="M583" s="204"/>
      <c r="N583" s="205"/>
      <c r="O583" s="205"/>
      <c r="P583" s="204"/>
      <c r="Q583" s="205"/>
      <c r="R583" s="204"/>
      <c r="S583" s="204"/>
      <c r="T583" s="204"/>
      <c r="U583" s="205"/>
      <c r="V583" s="204"/>
      <c r="W583" s="204"/>
      <c r="X583" s="204"/>
      <c r="Y583" s="204"/>
      <c r="Z583" s="204"/>
      <c r="AA583" s="204"/>
      <c r="AB583" s="204"/>
      <c r="AC583" s="204"/>
      <c r="AD583" s="204"/>
    </row>
    <row r="584">
      <c r="A584" s="202"/>
      <c r="B584" s="203"/>
      <c r="C584" s="204"/>
      <c r="D584" s="203"/>
      <c r="E584" s="204"/>
      <c r="F584" s="204"/>
      <c r="G584" s="93"/>
      <c r="H584" s="204"/>
      <c r="I584" s="205"/>
      <c r="J584" s="204"/>
      <c r="K584" s="204"/>
      <c r="L584" s="203"/>
      <c r="M584" s="204"/>
      <c r="N584" s="205"/>
      <c r="O584" s="205"/>
      <c r="P584" s="204"/>
      <c r="Q584" s="205"/>
      <c r="R584" s="204"/>
      <c r="S584" s="204"/>
      <c r="T584" s="204"/>
      <c r="U584" s="205"/>
      <c r="V584" s="204"/>
      <c r="W584" s="204"/>
      <c r="X584" s="204"/>
      <c r="Y584" s="204"/>
      <c r="Z584" s="204"/>
      <c r="AA584" s="204"/>
      <c r="AB584" s="204"/>
      <c r="AC584" s="204"/>
      <c r="AD584" s="204"/>
    </row>
    <row r="585">
      <c r="A585" s="202"/>
      <c r="B585" s="203"/>
      <c r="C585" s="204"/>
      <c r="D585" s="203"/>
      <c r="E585" s="204"/>
      <c r="F585" s="204"/>
      <c r="G585" s="93"/>
      <c r="H585" s="204"/>
      <c r="I585" s="205"/>
      <c r="J585" s="204"/>
      <c r="K585" s="204"/>
      <c r="L585" s="203"/>
      <c r="M585" s="204"/>
      <c r="N585" s="205"/>
      <c r="O585" s="205"/>
      <c r="P585" s="204"/>
      <c r="Q585" s="205"/>
      <c r="R585" s="204"/>
      <c r="S585" s="204"/>
      <c r="T585" s="204"/>
      <c r="U585" s="205"/>
      <c r="V585" s="204"/>
      <c r="W585" s="204"/>
      <c r="X585" s="204"/>
      <c r="Y585" s="204"/>
      <c r="Z585" s="204"/>
      <c r="AA585" s="204"/>
      <c r="AB585" s="204"/>
      <c r="AC585" s="204"/>
      <c r="AD585" s="204"/>
    </row>
    <row r="586">
      <c r="A586" s="202"/>
      <c r="B586" s="203"/>
      <c r="C586" s="204"/>
      <c r="D586" s="203"/>
      <c r="E586" s="204"/>
      <c r="F586" s="204"/>
      <c r="G586" s="93"/>
      <c r="H586" s="204"/>
      <c r="I586" s="205"/>
      <c r="J586" s="204"/>
      <c r="K586" s="204"/>
      <c r="L586" s="203"/>
      <c r="M586" s="204"/>
      <c r="N586" s="205"/>
      <c r="O586" s="205"/>
      <c r="P586" s="204"/>
      <c r="Q586" s="205"/>
      <c r="R586" s="204"/>
      <c r="S586" s="204"/>
      <c r="T586" s="204"/>
      <c r="U586" s="205"/>
      <c r="V586" s="204"/>
      <c r="W586" s="204"/>
      <c r="X586" s="204"/>
      <c r="Y586" s="204"/>
      <c r="Z586" s="204"/>
      <c r="AA586" s="204"/>
      <c r="AB586" s="204"/>
      <c r="AC586" s="204"/>
      <c r="AD586" s="204"/>
    </row>
    <row r="587">
      <c r="A587" s="202"/>
      <c r="B587" s="203"/>
      <c r="C587" s="204"/>
      <c r="D587" s="203"/>
      <c r="E587" s="204"/>
      <c r="F587" s="204"/>
      <c r="G587" s="93"/>
      <c r="H587" s="204"/>
      <c r="I587" s="205"/>
      <c r="J587" s="204"/>
      <c r="K587" s="204"/>
      <c r="L587" s="203"/>
      <c r="M587" s="204"/>
      <c r="N587" s="205"/>
      <c r="O587" s="205"/>
      <c r="P587" s="204"/>
      <c r="Q587" s="205"/>
      <c r="R587" s="204"/>
      <c r="S587" s="204"/>
      <c r="T587" s="204"/>
      <c r="U587" s="205"/>
      <c r="V587" s="204"/>
      <c r="W587" s="204"/>
      <c r="X587" s="204"/>
      <c r="Y587" s="204"/>
      <c r="Z587" s="204"/>
      <c r="AA587" s="204"/>
      <c r="AB587" s="204"/>
      <c r="AC587" s="204"/>
      <c r="AD587" s="204"/>
    </row>
    <row r="588">
      <c r="A588" s="202"/>
      <c r="B588" s="203"/>
      <c r="C588" s="204"/>
      <c r="D588" s="203"/>
      <c r="E588" s="204"/>
      <c r="F588" s="204"/>
      <c r="G588" s="93"/>
      <c r="H588" s="204"/>
      <c r="I588" s="205"/>
      <c r="J588" s="204"/>
      <c r="K588" s="204"/>
      <c r="L588" s="203"/>
      <c r="M588" s="204"/>
      <c r="N588" s="205"/>
      <c r="O588" s="205"/>
      <c r="P588" s="204"/>
      <c r="Q588" s="205"/>
      <c r="R588" s="204"/>
      <c r="S588" s="204"/>
      <c r="T588" s="204"/>
      <c r="U588" s="205"/>
      <c r="V588" s="204"/>
      <c r="W588" s="204"/>
      <c r="X588" s="204"/>
      <c r="Y588" s="204"/>
      <c r="Z588" s="204"/>
      <c r="AA588" s="204"/>
      <c r="AB588" s="204"/>
      <c r="AC588" s="204"/>
      <c r="AD588" s="204"/>
    </row>
    <row r="589">
      <c r="A589" s="202"/>
      <c r="B589" s="203"/>
      <c r="C589" s="204"/>
      <c r="D589" s="203"/>
      <c r="E589" s="204"/>
      <c r="F589" s="204"/>
      <c r="G589" s="93"/>
      <c r="H589" s="204"/>
      <c r="I589" s="205"/>
      <c r="J589" s="204"/>
      <c r="K589" s="204"/>
      <c r="L589" s="203"/>
      <c r="M589" s="204"/>
      <c r="N589" s="205"/>
      <c r="O589" s="205"/>
      <c r="P589" s="204"/>
      <c r="Q589" s="205"/>
      <c r="R589" s="204"/>
      <c r="S589" s="204"/>
      <c r="T589" s="204"/>
      <c r="U589" s="205"/>
      <c r="V589" s="204"/>
      <c r="W589" s="204"/>
      <c r="X589" s="204"/>
      <c r="Y589" s="204"/>
      <c r="Z589" s="204"/>
      <c r="AA589" s="204"/>
      <c r="AB589" s="204"/>
      <c r="AC589" s="204"/>
      <c r="AD589" s="204"/>
    </row>
    <row r="590">
      <c r="A590" s="202"/>
      <c r="B590" s="203"/>
      <c r="C590" s="204"/>
      <c r="D590" s="203"/>
      <c r="E590" s="204"/>
      <c r="F590" s="204"/>
      <c r="G590" s="93"/>
      <c r="H590" s="204"/>
      <c r="I590" s="205"/>
      <c r="J590" s="204"/>
      <c r="K590" s="204"/>
      <c r="L590" s="203"/>
      <c r="M590" s="204"/>
      <c r="N590" s="205"/>
      <c r="O590" s="205"/>
      <c r="P590" s="204"/>
      <c r="Q590" s="205"/>
      <c r="R590" s="204"/>
      <c r="S590" s="204"/>
      <c r="T590" s="204"/>
      <c r="U590" s="205"/>
      <c r="V590" s="204"/>
      <c r="W590" s="204"/>
      <c r="X590" s="204"/>
      <c r="Y590" s="204"/>
      <c r="Z590" s="204"/>
      <c r="AA590" s="204"/>
      <c r="AB590" s="204"/>
      <c r="AC590" s="204"/>
      <c r="AD590" s="204"/>
    </row>
    <row r="591">
      <c r="A591" s="202"/>
      <c r="B591" s="203"/>
      <c r="C591" s="204"/>
      <c r="D591" s="203"/>
      <c r="E591" s="204"/>
      <c r="F591" s="204"/>
      <c r="G591" s="93"/>
      <c r="H591" s="204"/>
      <c r="I591" s="205"/>
      <c r="J591" s="204"/>
      <c r="K591" s="204"/>
      <c r="L591" s="203"/>
      <c r="M591" s="204"/>
      <c r="N591" s="205"/>
      <c r="O591" s="205"/>
      <c r="P591" s="204"/>
      <c r="Q591" s="205"/>
      <c r="R591" s="204"/>
      <c r="S591" s="204"/>
      <c r="T591" s="204"/>
      <c r="U591" s="205"/>
      <c r="V591" s="204"/>
      <c r="W591" s="204"/>
      <c r="X591" s="204"/>
      <c r="Y591" s="204"/>
      <c r="Z591" s="204"/>
      <c r="AA591" s="204"/>
      <c r="AB591" s="204"/>
      <c r="AC591" s="204"/>
      <c r="AD591" s="204"/>
    </row>
    <row r="592">
      <c r="A592" s="202"/>
      <c r="B592" s="203"/>
      <c r="C592" s="204"/>
      <c r="D592" s="203"/>
      <c r="E592" s="204"/>
      <c r="F592" s="204"/>
      <c r="G592" s="93"/>
      <c r="H592" s="204"/>
      <c r="I592" s="205"/>
      <c r="J592" s="204"/>
      <c r="K592" s="204"/>
      <c r="L592" s="203"/>
      <c r="M592" s="204"/>
      <c r="N592" s="205"/>
      <c r="O592" s="205"/>
      <c r="P592" s="204"/>
      <c r="Q592" s="205"/>
      <c r="R592" s="204"/>
      <c r="S592" s="204"/>
      <c r="T592" s="204"/>
      <c r="U592" s="205"/>
      <c r="V592" s="204"/>
      <c r="W592" s="204"/>
      <c r="X592" s="204"/>
      <c r="Y592" s="204"/>
      <c r="Z592" s="204"/>
      <c r="AA592" s="204"/>
      <c r="AB592" s="204"/>
      <c r="AC592" s="204"/>
      <c r="AD592" s="204"/>
    </row>
    <row r="593">
      <c r="A593" s="202"/>
      <c r="B593" s="203"/>
      <c r="C593" s="204"/>
      <c r="D593" s="203"/>
      <c r="E593" s="204"/>
      <c r="F593" s="204"/>
      <c r="G593" s="93"/>
      <c r="H593" s="204"/>
      <c r="I593" s="205"/>
      <c r="J593" s="204"/>
      <c r="K593" s="204"/>
      <c r="L593" s="203"/>
      <c r="M593" s="204"/>
      <c r="N593" s="205"/>
      <c r="O593" s="205"/>
      <c r="P593" s="204"/>
      <c r="Q593" s="205"/>
      <c r="R593" s="204"/>
      <c r="S593" s="204"/>
      <c r="T593" s="204"/>
      <c r="U593" s="205"/>
      <c r="V593" s="204"/>
      <c r="W593" s="204"/>
      <c r="X593" s="204"/>
      <c r="Y593" s="204"/>
      <c r="Z593" s="204"/>
      <c r="AA593" s="204"/>
      <c r="AB593" s="204"/>
      <c r="AC593" s="204"/>
      <c r="AD593" s="204"/>
    </row>
    <row r="594">
      <c r="A594" s="202"/>
      <c r="B594" s="203"/>
      <c r="C594" s="204"/>
      <c r="D594" s="203"/>
      <c r="E594" s="204"/>
      <c r="F594" s="204"/>
      <c r="G594" s="93"/>
      <c r="H594" s="204"/>
      <c r="I594" s="205"/>
      <c r="J594" s="204"/>
      <c r="K594" s="204"/>
      <c r="L594" s="203"/>
      <c r="M594" s="204"/>
      <c r="N594" s="205"/>
      <c r="O594" s="205"/>
      <c r="P594" s="204"/>
      <c r="Q594" s="205"/>
      <c r="R594" s="204"/>
      <c r="S594" s="204"/>
      <c r="T594" s="204"/>
      <c r="U594" s="205"/>
      <c r="V594" s="204"/>
      <c r="W594" s="204"/>
      <c r="X594" s="204"/>
      <c r="Y594" s="204"/>
      <c r="Z594" s="204"/>
      <c r="AA594" s="204"/>
      <c r="AB594" s="204"/>
      <c r="AC594" s="204"/>
      <c r="AD594" s="204"/>
    </row>
    <row r="595">
      <c r="A595" s="202"/>
      <c r="B595" s="203"/>
      <c r="C595" s="204"/>
      <c r="D595" s="203"/>
      <c r="E595" s="204"/>
      <c r="F595" s="204"/>
      <c r="G595" s="93"/>
      <c r="H595" s="204"/>
      <c r="I595" s="205"/>
      <c r="J595" s="204"/>
      <c r="K595" s="204"/>
      <c r="L595" s="203"/>
      <c r="M595" s="204"/>
      <c r="N595" s="205"/>
      <c r="O595" s="205"/>
      <c r="P595" s="204"/>
      <c r="Q595" s="205"/>
      <c r="R595" s="204"/>
      <c r="S595" s="204"/>
      <c r="T595" s="204"/>
      <c r="U595" s="205"/>
      <c r="V595" s="204"/>
      <c r="W595" s="204"/>
      <c r="X595" s="204"/>
      <c r="Y595" s="204"/>
      <c r="Z595" s="204"/>
      <c r="AA595" s="204"/>
      <c r="AB595" s="204"/>
      <c r="AC595" s="204"/>
      <c r="AD595" s="204"/>
    </row>
    <row r="596">
      <c r="A596" s="202"/>
      <c r="B596" s="203"/>
      <c r="C596" s="204"/>
      <c r="D596" s="203"/>
      <c r="E596" s="204"/>
      <c r="F596" s="204"/>
      <c r="G596" s="93"/>
      <c r="H596" s="204"/>
      <c r="I596" s="205"/>
      <c r="J596" s="204"/>
      <c r="K596" s="204"/>
      <c r="L596" s="203"/>
      <c r="M596" s="204"/>
      <c r="N596" s="205"/>
      <c r="O596" s="205"/>
      <c r="P596" s="204"/>
      <c r="Q596" s="205"/>
      <c r="R596" s="204"/>
      <c r="S596" s="204"/>
      <c r="T596" s="204"/>
      <c r="U596" s="205"/>
      <c r="V596" s="204"/>
      <c r="W596" s="204"/>
      <c r="X596" s="204"/>
      <c r="Y596" s="204"/>
      <c r="Z596" s="204"/>
      <c r="AA596" s="204"/>
      <c r="AB596" s="204"/>
      <c r="AC596" s="204"/>
      <c r="AD596" s="204"/>
    </row>
    <row r="597">
      <c r="A597" s="202"/>
      <c r="B597" s="203"/>
      <c r="C597" s="204"/>
      <c r="D597" s="203"/>
      <c r="E597" s="204"/>
      <c r="F597" s="204"/>
      <c r="G597" s="93"/>
      <c r="H597" s="204"/>
      <c r="I597" s="205"/>
      <c r="J597" s="204"/>
      <c r="K597" s="204"/>
      <c r="L597" s="203"/>
      <c r="M597" s="204"/>
      <c r="N597" s="205"/>
      <c r="O597" s="205"/>
      <c r="P597" s="204"/>
      <c r="Q597" s="205"/>
      <c r="R597" s="204"/>
      <c r="S597" s="204"/>
      <c r="T597" s="204"/>
      <c r="U597" s="205"/>
      <c r="V597" s="204"/>
      <c r="W597" s="204"/>
      <c r="X597" s="204"/>
      <c r="Y597" s="204"/>
      <c r="Z597" s="204"/>
      <c r="AA597" s="204"/>
      <c r="AB597" s="204"/>
      <c r="AC597" s="204"/>
      <c r="AD597" s="204"/>
    </row>
    <row r="598">
      <c r="A598" s="202"/>
      <c r="B598" s="203"/>
      <c r="C598" s="204"/>
      <c r="D598" s="203"/>
      <c r="E598" s="204"/>
      <c r="F598" s="204"/>
      <c r="G598" s="93"/>
      <c r="H598" s="204"/>
      <c r="I598" s="205"/>
      <c r="J598" s="204"/>
      <c r="K598" s="204"/>
      <c r="L598" s="203"/>
      <c r="M598" s="204"/>
      <c r="N598" s="205"/>
      <c r="O598" s="205"/>
      <c r="P598" s="204"/>
      <c r="Q598" s="205"/>
      <c r="R598" s="204"/>
      <c r="S598" s="204"/>
      <c r="T598" s="204"/>
      <c r="U598" s="205"/>
      <c r="V598" s="204"/>
      <c r="W598" s="204"/>
      <c r="X598" s="204"/>
      <c r="Y598" s="204"/>
      <c r="Z598" s="204"/>
      <c r="AA598" s="204"/>
      <c r="AB598" s="204"/>
      <c r="AC598" s="204"/>
      <c r="AD598" s="204"/>
    </row>
    <row r="599">
      <c r="A599" s="202"/>
      <c r="B599" s="203"/>
      <c r="C599" s="204"/>
      <c r="D599" s="203"/>
      <c r="E599" s="204"/>
      <c r="F599" s="204"/>
      <c r="G599" s="93"/>
      <c r="H599" s="204"/>
      <c r="I599" s="205"/>
      <c r="J599" s="204"/>
      <c r="K599" s="204"/>
      <c r="L599" s="203"/>
      <c r="M599" s="204"/>
      <c r="N599" s="205"/>
      <c r="O599" s="205"/>
      <c r="P599" s="204"/>
      <c r="Q599" s="205"/>
      <c r="R599" s="204"/>
      <c r="S599" s="204"/>
      <c r="T599" s="204"/>
      <c r="U599" s="205"/>
      <c r="V599" s="204"/>
      <c r="W599" s="204"/>
      <c r="X599" s="204"/>
      <c r="Y599" s="204"/>
      <c r="Z599" s="204"/>
      <c r="AA599" s="204"/>
      <c r="AB599" s="204"/>
      <c r="AC599" s="204"/>
      <c r="AD599" s="204"/>
    </row>
    <row r="600">
      <c r="A600" s="202"/>
      <c r="B600" s="203"/>
      <c r="C600" s="204"/>
      <c r="D600" s="203"/>
      <c r="E600" s="204"/>
      <c r="F600" s="204"/>
      <c r="G600" s="93"/>
      <c r="H600" s="204"/>
      <c r="I600" s="205"/>
      <c r="J600" s="204"/>
      <c r="K600" s="204"/>
      <c r="L600" s="203"/>
      <c r="M600" s="204"/>
      <c r="N600" s="205"/>
      <c r="O600" s="205"/>
      <c r="P600" s="204"/>
      <c r="Q600" s="205"/>
      <c r="R600" s="204"/>
      <c r="S600" s="204"/>
      <c r="T600" s="204"/>
      <c r="U600" s="205"/>
      <c r="V600" s="204"/>
      <c r="W600" s="204"/>
      <c r="X600" s="204"/>
      <c r="Y600" s="204"/>
      <c r="Z600" s="204"/>
      <c r="AA600" s="204"/>
      <c r="AB600" s="204"/>
      <c r="AC600" s="204"/>
      <c r="AD600" s="204"/>
    </row>
    <row r="601">
      <c r="A601" s="202"/>
      <c r="B601" s="203"/>
      <c r="C601" s="204"/>
      <c r="D601" s="203"/>
      <c r="E601" s="204"/>
      <c r="F601" s="204"/>
      <c r="G601" s="93"/>
      <c r="H601" s="204"/>
      <c r="I601" s="205"/>
      <c r="J601" s="204"/>
      <c r="K601" s="204"/>
      <c r="L601" s="203"/>
      <c r="M601" s="204"/>
      <c r="N601" s="205"/>
      <c r="O601" s="205"/>
      <c r="P601" s="204"/>
      <c r="Q601" s="205"/>
      <c r="R601" s="204"/>
      <c r="S601" s="204"/>
      <c r="T601" s="204"/>
      <c r="U601" s="205"/>
      <c r="V601" s="204"/>
      <c r="W601" s="204"/>
      <c r="X601" s="204"/>
      <c r="Y601" s="204"/>
      <c r="Z601" s="204"/>
      <c r="AA601" s="204"/>
      <c r="AB601" s="204"/>
      <c r="AC601" s="204"/>
      <c r="AD601" s="204"/>
    </row>
    <row r="602">
      <c r="A602" s="202"/>
      <c r="B602" s="203"/>
      <c r="C602" s="204"/>
      <c r="D602" s="203"/>
      <c r="E602" s="204"/>
      <c r="F602" s="204"/>
      <c r="G602" s="93"/>
      <c r="H602" s="204"/>
      <c r="I602" s="205"/>
      <c r="J602" s="204"/>
      <c r="K602" s="204"/>
      <c r="L602" s="203"/>
      <c r="M602" s="204"/>
      <c r="N602" s="205"/>
      <c r="O602" s="205"/>
      <c r="P602" s="204"/>
      <c r="Q602" s="205"/>
      <c r="R602" s="204"/>
      <c r="S602" s="204"/>
      <c r="T602" s="204"/>
      <c r="U602" s="205"/>
      <c r="V602" s="204"/>
      <c r="W602" s="204"/>
      <c r="X602" s="204"/>
      <c r="Y602" s="204"/>
      <c r="Z602" s="204"/>
      <c r="AA602" s="204"/>
      <c r="AB602" s="204"/>
      <c r="AC602" s="204"/>
      <c r="AD602" s="204"/>
    </row>
    <row r="603">
      <c r="A603" s="202"/>
      <c r="B603" s="203"/>
      <c r="C603" s="204"/>
      <c r="D603" s="203"/>
      <c r="E603" s="204"/>
      <c r="F603" s="204"/>
      <c r="G603" s="93"/>
      <c r="H603" s="204"/>
      <c r="I603" s="205"/>
      <c r="J603" s="204"/>
      <c r="K603" s="204"/>
      <c r="L603" s="203"/>
      <c r="M603" s="204"/>
      <c r="N603" s="205"/>
      <c r="O603" s="205"/>
      <c r="P603" s="204"/>
      <c r="Q603" s="205"/>
      <c r="R603" s="204"/>
      <c r="S603" s="204"/>
      <c r="T603" s="204"/>
      <c r="U603" s="205"/>
      <c r="V603" s="204"/>
      <c r="W603" s="204"/>
      <c r="X603" s="204"/>
      <c r="Y603" s="204"/>
      <c r="Z603" s="204"/>
      <c r="AA603" s="204"/>
      <c r="AB603" s="204"/>
      <c r="AC603" s="204"/>
      <c r="AD603" s="204"/>
    </row>
    <row r="604">
      <c r="A604" s="202"/>
      <c r="B604" s="203"/>
      <c r="C604" s="204"/>
      <c r="D604" s="203"/>
      <c r="E604" s="204"/>
      <c r="F604" s="204"/>
      <c r="G604" s="93"/>
      <c r="H604" s="204"/>
      <c r="I604" s="205"/>
      <c r="J604" s="204"/>
      <c r="K604" s="204"/>
      <c r="L604" s="203"/>
      <c r="M604" s="204"/>
      <c r="N604" s="205"/>
      <c r="O604" s="205"/>
      <c r="P604" s="204"/>
      <c r="Q604" s="205"/>
      <c r="R604" s="204"/>
      <c r="S604" s="204"/>
      <c r="T604" s="204"/>
      <c r="U604" s="205"/>
      <c r="V604" s="204"/>
      <c r="W604" s="204"/>
      <c r="X604" s="204"/>
      <c r="Y604" s="204"/>
      <c r="Z604" s="204"/>
      <c r="AA604" s="204"/>
      <c r="AB604" s="204"/>
      <c r="AC604" s="204"/>
      <c r="AD604" s="204"/>
    </row>
    <row r="605">
      <c r="A605" s="202"/>
      <c r="B605" s="203"/>
      <c r="C605" s="204"/>
      <c r="D605" s="203"/>
      <c r="E605" s="204"/>
      <c r="F605" s="204"/>
      <c r="G605" s="93"/>
      <c r="H605" s="204"/>
      <c r="I605" s="205"/>
      <c r="J605" s="204"/>
      <c r="K605" s="204"/>
      <c r="L605" s="203"/>
      <c r="M605" s="204"/>
      <c r="N605" s="205"/>
      <c r="O605" s="205"/>
      <c r="P605" s="204"/>
      <c r="Q605" s="205"/>
      <c r="R605" s="204"/>
      <c r="S605" s="204"/>
      <c r="T605" s="204"/>
      <c r="U605" s="205"/>
      <c r="V605" s="204"/>
      <c r="W605" s="204"/>
      <c r="X605" s="204"/>
      <c r="Y605" s="204"/>
      <c r="Z605" s="204"/>
      <c r="AA605" s="204"/>
      <c r="AB605" s="204"/>
      <c r="AC605" s="204"/>
      <c r="AD605" s="204"/>
    </row>
    <row r="606">
      <c r="A606" s="202"/>
      <c r="B606" s="203"/>
      <c r="C606" s="204"/>
      <c r="D606" s="203"/>
      <c r="E606" s="204"/>
      <c r="F606" s="204"/>
      <c r="G606" s="93"/>
      <c r="H606" s="204"/>
      <c r="I606" s="205"/>
      <c r="J606" s="204"/>
      <c r="K606" s="204"/>
      <c r="L606" s="203"/>
      <c r="M606" s="204"/>
      <c r="N606" s="205"/>
      <c r="O606" s="205"/>
      <c r="P606" s="204"/>
      <c r="Q606" s="205"/>
      <c r="R606" s="204"/>
      <c r="S606" s="204"/>
      <c r="T606" s="204"/>
      <c r="U606" s="205"/>
      <c r="V606" s="204"/>
      <c r="W606" s="204"/>
      <c r="X606" s="204"/>
      <c r="Y606" s="204"/>
      <c r="Z606" s="204"/>
      <c r="AA606" s="204"/>
      <c r="AB606" s="204"/>
      <c r="AC606" s="204"/>
      <c r="AD606" s="204"/>
    </row>
    <row r="607">
      <c r="A607" s="202"/>
      <c r="B607" s="203"/>
      <c r="C607" s="204"/>
      <c r="D607" s="203"/>
      <c r="E607" s="204"/>
      <c r="F607" s="204"/>
      <c r="G607" s="93"/>
      <c r="H607" s="204"/>
      <c r="I607" s="205"/>
      <c r="J607" s="204"/>
      <c r="K607" s="204"/>
      <c r="L607" s="203"/>
      <c r="M607" s="204"/>
      <c r="N607" s="205"/>
      <c r="O607" s="205"/>
      <c r="P607" s="204"/>
      <c r="Q607" s="205"/>
      <c r="R607" s="204"/>
      <c r="S607" s="204"/>
      <c r="T607" s="204"/>
      <c r="U607" s="205"/>
      <c r="V607" s="204"/>
      <c r="W607" s="204"/>
      <c r="X607" s="204"/>
      <c r="Y607" s="204"/>
      <c r="Z607" s="204"/>
      <c r="AA607" s="204"/>
      <c r="AB607" s="204"/>
      <c r="AC607" s="204"/>
      <c r="AD607" s="204"/>
    </row>
    <row r="608">
      <c r="A608" s="202"/>
      <c r="B608" s="203"/>
      <c r="C608" s="204"/>
      <c r="D608" s="203"/>
      <c r="E608" s="204"/>
      <c r="F608" s="204"/>
      <c r="G608" s="93"/>
      <c r="H608" s="204"/>
      <c r="I608" s="205"/>
      <c r="J608" s="204"/>
      <c r="K608" s="204"/>
      <c r="L608" s="203"/>
      <c r="M608" s="204"/>
      <c r="N608" s="205"/>
      <c r="O608" s="205"/>
      <c r="P608" s="204"/>
      <c r="Q608" s="205"/>
      <c r="R608" s="204"/>
      <c r="S608" s="204"/>
      <c r="T608" s="204"/>
      <c r="U608" s="205"/>
      <c r="V608" s="204"/>
      <c r="W608" s="204"/>
      <c r="X608" s="204"/>
      <c r="Y608" s="204"/>
      <c r="Z608" s="204"/>
      <c r="AA608" s="204"/>
      <c r="AB608" s="204"/>
      <c r="AC608" s="204"/>
      <c r="AD608" s="204"/>
    </row>
    <row r="609">
      <c r="A609" s="202"/>
      <c r="B609" s="203"/>
      <c r="C609" s="204"/>
      <c r="D609" s="203"/>
      <c r="E609" s="204"/>
      <c r="F609" s="204"/>
      <c r="G609" s="93"/>
      <c r="H609" s="204"/>
      <c r="I609" s="205"/>
      <c r="J609" s="204"/>
      <c r="K609" s="204"/>
      <c r="L609" s="203"/>
      <c r="M609" s="204"/>
      <c r="N609" s="205"/>
      <c r="O609" s="205"/>
      <c r="P609" s="204"/>
      <c r="Q609" s="205"/>
      <c r="R609" s="204"/>
      <c r="S609" s="204"/>
      <c r="T609" s="204"/>
      <c r="U609" s="205"/>
      <c r="V609" s="204"/>
      <c r="W609" s="204"/>
      <c r="X609" s="204"/>
      <c r="Y609" s="204"/>
      <c r="Z609" s="204"/>
      <c r="AA609" s="204"/>
      <c r="AB609" s="204"/>
      <c r="AC609" s="204"/>
      <c r="AD609" s="204"/>
    </row>
    <row r="610">
      <c r="A610" s="202"/>
      <c r="B610" s="203"/>
      <c r="C610" s="204"/>
      <c r="D610" s="203"/>
      <c r="E610" s="204"/>
      <c r="F610" s="204"/>
      <c r="G610" s="93"/>
      <c r="H610" s="204"/>
      <c r="I610" s="205"/>
      <c r="J610" s="204"/>
      <c r="K610" s="204"/>
      <c r="L610" s="203"/>
      <c r="M610" s="204"/>
      <c r="N610" s="205"/>
      <c r="O610" s="205"/>
      <c r="P610" s="204"/>
      <c r="Q610" s="205"/>
      <c r="R610" s="204"/>
      <c r="S610" s="204"/>
      <c r="T610" s="204"/>
      <c r="U610" s="205"/>
      <c r="V610" s="204"/>
      <c r="W610" s="204"/>
      <c r="X610" s="204"/>
      <c r="Y610" s="204"/>
      <c r="Z610" s="204"/>
      <c r="AA610" s="204"/>
      <c r="AB610" s="204"/>
      <c r="AC610" s="204"/>
      <c r="AD610" s="204"/>
    </row>
    <row r="611">
      <c r="A611" s="202"/>
      <c r="B611" s="203"/>
      <c r="C611" s="204"/>
      <c r="D611" s="203"/>
      <c r="E611" s="204"/>
      <c r="F611" s="204"/>
      <c r="G611" s="93"/>
      <c r="H611" s="204"/>
      <c r="I611" s="205"/>
      <c r="J611" s="204"/>
      <c r="K611" s="204"/>
      <c r="L611" s="203"/>
      <c r="M611" s="204"/>
      <c r="N611" s="205"/>
      <c r="O611" s="205"/>
      <c r="P611" s="204"/>
      <c r="Q611" s="205"/>
      <c r="R611" s="204"/>
      <c r="S611" s="204"/>
      <c r="T611" s="204"/>
      <c r="U611" s="205"/>
      <c r="V611" s="204"/>
      <c r="W611" s="204"/>
      <c r="X611" s="204"/>
      <c r="Y611" s="204"/>
      <c r="Z611" s="204"/>
      <c r="AA611" s="204"/>
      <c r="AB611" s="204"/>
      <c r="AC611" s="204"/>
      <c r="AD611" s="204"/>
    </row>
    <row r="612">
      <c r="A612" s="202"/>
      <c r="B612" s="203"/>
      <c r="C612" s="204"/>
      <c r="D612" s="203"/>
      <c r="E612" s="204"/>
      <c r="F612" s="204"/>
      <c r="G612" s="93"/>
      <c r="H612" s="204"/>
      <c r="I612" s="205"/>
      <c r="J612" s="204"/>
      <c r="K612" s="204"/>
      <c r="L612" s="203"/>
      <c r="M612" s="204"/>
      <c r="N612" s="205"/>
      <c r="O612" s="205"/>
      <c r="P612" s="204"/>
      <c r="Q612" s="205"/>
      <c r="R612" s="204"/>
      <c r="S612" s="204"/>
      <c r="T612" s="204"/>
      <c r="U612" s="205"/>
      <c r="V612" s="204"/>
      <c r="W612" s="204"/>
      <c r="X612" s="204"/>
      <c r="Y612" s="204"/>
      <c r="Z612" s="204"/>
      <c r="AA612" s="204"/>
      <c r="AB612" s="204"/>
      <c r="AC612" s="204"/>
      <c r="AD612" s="204"/>
    </row>
    <row r="613">
      <c r="A613" s="202"/>
      <c r="B613" s="203"/>
      <c r="C613" s="204"/>
      <c r="D613" s="203"/>
      <c r="E613" s="204"/>
      <c r="F613" s="204"/>
      <c r="G613" s="93"/>
      <c r="H613" s="204"/>
      <c r="I613" s="205"/>
      <c r="J613" s="204"/>
      <c r="K613" s="204"/>
      <c r="L613" s="203"/>
      <c r="M613" s="204"/>
      <c r="N613" s="205"/>
      <c r="O613" s="205"/>
      <c r="P613" s="204"/>
      <c r="Q613" s="205"/>
      <c r="R613" s="204"/>
      <c r="S613" s="204"/>
      <c r="T613" s="204"/>
      <c r="U613" s="205"/>
      <c r="V613" s="204"/>
      <c r="W613" s="204"/>
      <c r="X613" s="204"/>
      <c r="Y613" s="204"/>
      <c r="Z613" s="204"/>
      <c r="AA613" s="204"/>
      <c r="AB613" s="204"/>
      <c r="AC613" s="204"/>
      <c r="AD613" s="204"/>
    </row>
    <row r="614">
      <c r="A614" s="202"/>
      <c r="B614" s="203"/>
      <c r="C614" s="204"/>
      <c r="D614" s="203"/>
      <c r="E614" s="204"/>
      <c r="F614" s="204"/>
      <c r="G614" s="93"/>
      <c r="H614" s="204"/>
      <c r="I614" s="205"/>
      <c r="J614" s="204"/>
      <c r="K614" s="204"/>
      <c r="L614" s="203"/>
      <c r="M614" s="204"/>
      <c r="N614" s="205"/>
      <c r="O614" s="205"/>
      <c r="P614" s="204"/>
      <c r="Q614" s="205"/>
      <c r="R614" s="204"/>
      <c r="S614" s="204"/>
      <c r="T614" s="204"/>
      <c r="U614" s="205"/>
      <c r="V614" s="204"/>
      <c r="W614" s="204"/>
      <c r="X614" s="204"/>
      <c r="Y614" s="204"/>
      <c r="Z614" s="204"/>
      <c r="AA614" s="204"/>
      <c r="AB614" s="204"/>
      <c r="AC614" s="204"/>
      <c r="AD614" s="204"/>
    </row>
    <row r="615">
      <c r="A615" s="202"/>
      <c r="B615" s="203"/>
      <c r="C615" s="204"/>
      <c r="D615" s="203"/>
      <c r="E615" s="204"/>
      <c r="F615" s="204"/>
      <c r="G615" s="93"/>
      <c r="H615" s="204"/>
      <c r="I615" s="205"/>
      <c r="J615" s="204"/>
      <c r="K615" s="204"/>
      <c r="L615" s="203"/>
      <c r="M615" s="204"/>
      <c r="N615" s="205"/>
      <c r="O615" s="205"/>
      <c r="P615" s="204"/>
      <c r="Q615" s="205"/>
      <c r="R615" s="204"/>
      <c r="S615" s="204"/>
      <c r="T615" s="204"/>
      <c r="U615" s="205"/>
      <c r="V615" s="204"/>
      <c r="W615" s="204"/>
      <c r="X615" s="204"/>
      <c r="Y615" s="204"/>
      <c r="Z615" s="204"/>
      <c r="AA615" s="204"/>
      <c r="AB615" s="204"/>
      <c r="AC615" s="204"/>
      <c r="AD615" s="204"/>
    </row>
    <row r="616">
      <c r="A616" s="202"/>
      <c r="B616" s="203"/>
      <c r="C616" s="204"/>
      <c r="D616" s="203"/>
      <c r="E616" s="204"/>
      <c r="F616" s="204"/>
      <c r="G616" s="93"/>
      <c r="H616" s="204"/>
      <c r="I616" s="205"/>
      <c r="J616" s="204"/>
      <c r="K616" s="204"/>
      <c r="L616" s="203"/>
      <c r="M616" s="204"/>
      <c r="N616" s="205"/>
      <c r="O616" s="205"/>
      <c r="P616" s="204"/>
      <c r="Q616" s="205"/>
      <c r="R616" s="204"/>
      <c r="S616" s="204"/>
      <c r="T616" s="204"/>
      <c r="U616" s="205"/>
      <c r="V616" s="204"/>
      <c r="W616" s="204"/>
      <c r="X616" s="204"/>
      <c r="Y616" s="204"/>
      <c r="Z616" s="204"/>
      <c r="AA616" s="204"/>
      <c r="AB616" s="204"/>
      <c r="AC616" s="204"/>
      <c r="AD616" s="204"/>
    </row>
    <row r="617">
      <c r="A617" s="202"/>
      <c r="B617" s="203"/>
      <c r="C617" s="204"/>
      <c r="D617" s="203"/>
      <c r="E617" s="204"/>
      <c r="F617" s="204"/>
      <c r="G617" s="93"/>
      <c r="H617" s="204"/>
      <c r="I617" s="205"/>
      <c r="J617" s="204"/>
      <c r="K617" s="204"/>
      <c r="L617" s="203"/>
      <c r="M617" s="204"/>
      <c r="N617" s="205"/>
      <c r="O617" s="205"/>
      <c r="P617" s="204"/>
      <c r="Q617" s="205"/>
      <c r="R617" s="204"/>
      <c r="S617" s="204"/>
      <c r="T617" s="204"/>
      <c r="U617" s="205"/>
      <c r="V617" s="204"/>
      <c r="W617" s="204"/>
      <c r="X617" s="204"/>
      <c r="Y617" s="204"/>
      <c r="Z617" s="204"/>
      <c r="AA617" s="204"/>
      <c r="AB617" s="204"/>
      <c r="AC617" s="204"/>
      <c r="AD617" s="204"/>
    </row>
    <row r="618">
      <c r="A618" s="202"/>
      <c r="B618" s="203"/>
      <c r="C618" s="204"/>
      <c r="D618" s="203"/>
      <c r="E618" s="204"/>
      <c r="F618" s="204"/>
      <c r="G618" s="93"/>
      <c r="H618" s="204"/>
      <c r="I618" s="205"/>
      <c r="J618" s="204"/>
      <c r="K618" s="204"/>
      <c r="L618" s="203"/>
      <c r="M618" s="204"/>
      <c r="N618" s="205"/>
      <c r="O618" s="205"/>
      <c r="P618" s="204"/>
      <c r="Q618" s="205"/>
      <c r="R618" s="204"/>
      <c r="S618" s="204"/>
      <c r="T618" s="204"/>
      <c r="U618" s="205"/>
      <c r="V618" s="204"/>
      <c r="W618" s="204"/>
      <c r="X618" s="204"/>
      <c r="Y618" s="204"/>
      <c r="Z618" s="204"/>
      <c r="AA618" s="204"/>
      <c r="AB618" s="204"/>
      <c r="AC618" s="204"/>
      <c r="AD618" s="204"/>
    </row>
    <row r="619">
      <c r="A619" s="202"/>
      <c r="B619" s="203"/>
      <c r="C619" s="204"/>
      <c r="D619" s="203"/>
      <c r="E619" s="204"/>
      <c r="F619" s="204"/>
      <c r="G619" s="93"/>
      <c r="H619" s="204"/>
      <c r="I619" s="205"/>
      <c r="J619" s="204"/>
      <c r="K619" s="204"/>
      <c r="L619" s="203"/>
      <c r="M619" s="204"/>
      <c r="N619" s="205"/>
      <c r="O619" s="205"/>
      <c r="P619" s="204"/>
      <c r="Q619" s="205"/>
      <c r="R619" s="204"/>
      <c r="S619" s="204"/>
      <c r="T619" s="204"/>
      <c r="U619" s="205"/>
      <c r="V619" s="204"/>
      <c r="W619" s="204"/>
      <c r="X619" s="204"/>
      <c r="Y619" s="204"/>
      <c r="Z619" s="204"/>
      <c r="AA619" s="204"/>
      <c r="AB619" s="204"/>
      <c r="AC619" s="204"/>
      <c r="AD619" s="204"/>
    </row>
    <row r="620">
      <c r="A620" s="202"/>
      <c r="B620" s="203"/>
      <c r="C620" s="204"/>
      <c r="D620" s="203"/>
      <c r="E620" s="204"/>
      <c r="F620" s="204"/>
      <c r="G620" s="93"/>
      <c r="H620" s="204"/>
      <c r="I620" s="205"/>
      <c r="J620" s="204"/>
      <c r="K620" s="204"/>
      <c r="L620" s="203"/>
      <c r="M620" s="204"/>
      <c r="N620" s="205"/>
      <c r="O620" s="205"/>
      <c r="P620" s="204"/>
      <c r="Q620" s="205"/>
      <c r="R620" s="204"/>
      <c r="S620" s="204"/>
      <c r="T620" s="204"/>
      <c r="U620" s="205"/>
      <c r="V620" s="204"/>
      <c r="W620" s="204"/>
      <c r="X620" s="204"/>
      <c r="Y620" s="204"/>
      <c r="Z620" s="204"/>
      <c r="AA620" s="204"/>
      <c r="AB620" s="204"/>
      <c r="AC620" s="204"/>
      <c r="AD620" s="204"/>
    </row>
    <row r="621">
      <c r="A621" s="202"/>
      <c r="B621" s="203"/>
      <c r="C621" s="204"/>
      <c r="D621" s="203"/>
      <c r="E621" s="204"/>
      <c r="F621" s="204"/>
      <c r="G621" s="93"/>
      <c r="H621" s="204"/>
      <c r="I621" s="205"/>
      <c r="J621" s="204"/>
      <c r="K621" s="204"/>
      <c r="L621" s="203"/>
      <c r="M621" s="204"/>
      <c r="N621" s="205"/>
      <c r="O621" s="205"/>
      <c r="P621" s="204"/>
      <c r="Q621" s="205"/>
      <c r="R621" s="204"/>
      <c r="S621" s="204"/>
      <c r="T621" s="204"/>
      <c r="U621" s="205"/>
      <c r="V621" s="204"/>
      <c r="W621" s="204"/>
      <c r="X621" s="204"/>
      <c r="Y621" s="204"/>
      <c r="Z621" s="204"/>
      <c r="AA621" s="204"/>
      <c r="AB621" s="204"/>
      <c r="AC621" s="204"/>
      <c r="AD621" s="204"/>
    </row>
    <row r="622">
      <c r="A622" s="202"/>
      <c r="B622" s="203"/>
      <c r="C622" s="204"/>
      <c r="D622" s="203"/>
      <c r="E622" s="204"/>
      <c r="F622" s="204"/>
      <c r="G622" s="93"/>
      <c r="H622" s="204"/>
      <c r="I622" s="205"/>
      <c r="J622" s="204"/>
      <c r="K622" s="204"/>
      <c r="L622" s="203"/>
      <c r="M622" s="204"/>
      <c r="N622" s="205"/>
      <c r="O622" s="205"/>
      <c r="P622" s="204"/>
      <c r="Q622" s="205"/>
      <c r="R622" s="204"/>
      <c r="S622" s="204"/>
      <c r="T622" s="204"/>
      <c r="U622" s="205"/>
      <c r="V622" s="204"/>
      <c r="W622" s="204"/>
      <c r="X622" s="204"/>
      <c r="Y622" s="204"/>
      <c r="Z622" s="204"/>
      <c r="AA622" s="204"/>
      <c r="AB622" s="204"/>
      <c r="AC622" s="204"/>
      <c r="AD622" s="204"/>
    </row>
    <row r="623">
      <c r="A623" s="202"/>
      <c r="B623" s="203"/>
      <c r="C623" s="204"/>
      <c r="D623" s="203"/>
      <c r="E623" s="204"/>
      <c r="F623" s="204"/>
      <c r="G623" s="93"/>
      <c r="H623" s="204"/>
      <c r="I623" s="205"/>
      <c r="J623" s="204"/>
      <c r="K623" s="204"/>
      <c r="L623" s="203"/>
      <c r="M623" s="204"/>
      <c r="N623" s="205"/>
      <c r="O623" s="205"/>
      <c r="P623" s="204"/>
      <c r="Q623" s="205"/>
      <c r="R623" s="204"/>
      <c r="S623" s="204"/>
      <c r="T623" s="204"/>
      <c r="U623" s="205"/>
      <c r="V623" s="204"/>
      <c r="W623" s="204"/>
      <c r="X623" s="204"/>
      <c r="Y623" s="204"/>
      <c r="Z623" s="204"/>
      <c r="AA623" s="204"/>
      <c r="AB623" s="204"/>
      <c r="AC623" s="204"/>
      <c r="AD623" s="204"/>
    </row>
    <row r="624">
      <c r="A624" s="202"/>
      <c r="B624" s="203"/>
      <c r="C624" s="204"/>
      <c r="D624" s="203"/>
      <c r="E624" s="204"/>
      <c r="F624" s="204"/>
      <c r="G624" s="93"/>
      <c r="H624" s="204"/>
      <c r="I624" s="205"/>
      <c r="J624" s="204"/>
      <c r="K624" s="204"/>
      <c r="L624" s="203"/>
      <c r="M624" s="204"/>
      <c r="N624" s="205"/>
      <c r="O624" s="205"/>
      <c r="P624" s="204"/>
      <c r="Q624" s="205"/>
      <c r="R624" s="204"/>
      <c r="S624" s="204"/>
      <c r="T624" s="204"/>
      <c r="U624" s="205"/>
      <c r="V624" s="204"/>
      <c r="W624" s="204"/>
      <c r="X624" s="204"/>
      <c r="Y624" s="204"/>
      <c r="Z624" s="204"/>
      <c r="AA624" s="204"/>
      <c r="AB624" s="204"/>
      <c r="AC624" s="204"/>
      <c r="AD624" s="204"/>
    </row>
    <row r="625">
      <c r="A625" s="202"/>
      <c r="B625" s="203"/>
      <c r="C625" s="204"/>
      <c r="D625" s="203"/>
      <c r="E625" s="204"/>
      <c r="F625" s="204"/>
      <c r="G625" s="93"/>
      <c r="H625" s="204"/>
      <c r="I625" s="205"/>
      <c r="J625" s="204"/>
      <c r="K625" s="204"/>
      <c r="L625" s="203"/>
      <c r="M625" s="204"/>
      <c r="N625" s="205"/>
      <c r="O625" s="205"/>
      <c r="P625" s="204"/>
      <c r="Q625" s="205"/>
      <c r="R625" s="204"/>
      <c r="S625" s="204"/>
      <c r="T625" s="204"/>
      <c r="U625" s="205"/>
      <c r="V625" s="204"/>
      <c r="W625" s="204"/>
      <c r="X625" s="204"/>
      <c r="Y625" s="204"/>
      <c r="Z625" s="204"/>
      <c r="AA625" s="204"/>
      <c r="AB625" s="204"/>
      <c r="AC625" s="204"/>
      <c r="AD625" s="204"/>
    </row>
    <row r="626">
      <c r="A626" s="202"/>
      <c r="B626" s="203"/>
      <c r="C626" s="204"/>
      <c r="D626" s="203"/>
      <c r="E626" s="204"/>
      <c r="F626" s="204"/>
      <c r="G626" s="93"/>
      <c r="H626" s="204"/>
      <c r="I626" s="205"/>
      <c r="J626" s="204"/>
      <c r="K626" s="204"/>
      <c r="L626" s="203"/>
      <c r="M626" s="204"/>
      <c r="N626" s="205"/>
      <c r="O626" s="205"/>
      <c r="P626" s="204"/>
      <c r="Q626" s="205"/>
      <c r="R626" s="204"/>
      <c r="S626" s="204"/>
      <c r="T626" s="204"/>
      <c r="U626" s="205"/>
      <c r="V626" s="204"/>
      <c r="W626" s="204"/>
      <c r="X626" s="204"/>
      <c r="Y626" s="204"/>
      <c r="Z626" s="204"/>
      <c r="AA626" s="204"/>
      <c r="AB626" s="204"/>
      <c r="AC626" s="204"/>
      <c r="AD626" s="204"/>
    </row>
    <row r="627">
      <c r="A627" s="202"/>
      <c r="B627" s="203"/>
      <c r="C627" s="204"/>
      <c r="D627" s="203"/>
      <c r="E627" s="204"/>
      <c r="F627" s="204"/>
      <c r="G627" s="93"/>
      <c r="H627" s="204"/>
      <c r="I627" s="205"/>
      <c r="J627" s="204"/>
      <c r="K627" s="204"/>
      <c r="L627" s="203"/>
      <c r="M627" s="204"/>
      <c r="N627" s="205"/>
      <c r="O627" s="205"/>
      <c r="P627" s="204"/>
      <c r="Q627" s="205"/>
      <c r="R627" s="204"/>
      <c r="S627" s="204"/>
      <c r="T627" s="204"/>
      <c r="U627" s="205"/>
      <c r="V627" s="204"/>
      <c r="W627" s="204"/>
      <c r="X627" s="204"/>
      <c r="Y627" s="204"/>
      <c r="Z627" s="204"/>
      <c r="AA627" s="204"/>
      <c r="AB627" s="204"/>
      <c r="AC627" s="204"/>
      <c r="AD627" s="204"/>
    </row>
    <row r="628">
      <c r="A628" s="202"/>
      <c r="B628" s="203"/>
      <c r="C628" s="204"/>
      <c r="D628" s="203"/>
      <c r="E628" s="204"/>
      <c r="F628" s="204"/>
      <c r="G628" s="93"/>
      <c r="H628" s="204"/>
      <c r="I628" s="205"/>
      <c r="J628" s="204"/>
      <c r="K628" s="204"/>
      <c r="L628" s="203"/>
      <c r="M628" s="204"/>
      <c r="N628" s="205"/>
      <c r="O628" s="205"/>
      <c r="P628" s="204"/>
      <c r="Q628" s="205"/>
      <c r="R628" s="204"/>
      <c r="S628" s="204"/>
      <c r="T628" s="204"/>
      <c r="U628" s="205"/>
      <c r="V628" s="204"/>
      <c r="W628" s="204"/>
      <c r="X628" s="204"/>
      <c r="Y628" s="204"/>
      <c r="Z628" s="204"/>
      <c r="AA628" s="204"/>
      <c r="AB628" s="204"/>
      <c r="AC628" s="204"/>
      <c r="AD628" s="204"/>
    </row>
    <row r="629">
      <c r="A629" s="202"/>
      <c r="B629" s="203"/>
      <c r="C629" s="204"/>
      <c r="D629" s="203"/>
      <c r="E629" s="204"/>
      <c r="F629" s="204"/>
      <c r="G629" s="93"/>
      <c r="H629" s="204"/>
      <c r="I629" s="205"/>
      <c r="J629" s="204"/>
      <c r="K629" s="204"/>
      <c r="L629" s="203"/>
      <c r="M629" s="204"/>
      <c r="N629" s="205"/>
      <c r="O629" s="205"/>
      <c r="P629" s="204"/>
      <c r="Q629" s="205"/>
      <c r="R629" s="204"/>
      <c r="S629" s="204"/>
      <c r="T629" s="204"/>
      <c r="U629" s="205"/>
      <c r="V629" s="204"/>
      <c r="W629" s="204"/>
      <c r="X629" s="204"/>
      <c r="Y629" s="204"/>
      <c r="Z629" s="204"/>
      <c r="AA629" s="204"/>
      <c r="AB629" s="204"/>
      <c r="AC629" s="204"/>
      <c r="AD629" s="204"/>
    </row>
    <row r="630">
      <c r="A630" s="202"/>
      <c r="B630" s="203"/>
      <c r="C630" s="204"/>
      <c r="D630" s="203"/>
      <c r="E630" s="204"/>
      <c r="F630" s="204"/>
      <c r="G630" s="93"/>
      <c r="H630" s="204"/>
      <c r="I630" s="205"/>
      <c r="J630" s="204"/>
      <c r="K630" s="204"/>
      <c r="L630" s="203"/>
      <c r="M630" s="204"/>
      <c r="N630" s="205"/>
      <c r="O630" s="205"/>
      <c r="P630" s="204"/>
      <c r="Q630" s="205"/>
      <c r="R630" s="204"/>
      <c r="S630" s="204"/>
      <c r="T630" s="204"/>
      <c r="U630" s="205"/>
      <c r="V630" s="204"/>
      <c r="W630" s="204"/>
      <c r="X630" s="204"/>
      <c r="Y630" s="204"/>
      <c r="Z630" s="204"/>
      <c r="AA630" s="204"/>
      <c r="AB630" s="204"/>
      <c r="AC630" s="204"/>
      <c r="AD630" s="204"/>
    </row>
    <row r="631">
      <c r="A631" s="202"/>
      <c r="B631" s="203"/>
      <c r="C631" s="204"/>
      <c r="D631" s="203"/>
      <c r="E631" s="204"/>
      <c r="F631" s="204"/>
      <c r="G631" s="93"/>
      <c r="H631" s="204"/>
      <c r="I631" s="205"/>
      <c r="J631" s="204"/>
      <c r="K631" s="204"/>
      <c r="L631" s="203"/>
      <c r="M631" s="204"/>
      <c r="N631" s="205"/>
      <c r="O631" s="205"/>
      <c r="P631" s="204"/>
      <c r="Q631" s="205"/>
      <c r="R631" s="204"/>
      <c r="S631" s="204"/>
      <c r="T631" s="204"/>
      <c r="U631" s="205"/>
      <c r="V631" s="204"/>
      <c r="W631" s="204"/>
      <c r="X631" s="204"/>
      <c r="Y631" s="204"/>
      <c r="Z631" s="204"/>
      <c r="AA631" s="204"/>
      <c r="AB631" s="204"/>
      <c r="AC631" s="204"/>
      <c r="AD631" s="204"/>
    </row>
    <row r="632">
      <c r="A632" s="202"/>
      <c r="B632" s="203"/>
      <c r="C632" s="204"/>
      <c r="D632" s="203"/>
      <c r="E632" s="204"/>
      <c r="F632" s="204"/>
      <c r="G632" s="93"/>
      <c r="H632" s="204"/>
      <c r="I632" s="205"/>
      <c r="J632" s="204"/>
      <c r="K632" s="204"/>
      <c r="L632" s="203"/>
      <c r="M632" s="204"/>
      <c r="N632" s="205"/>
      <c r="O632" s="205"/>
      <c r="P632" s="204"/>
      <c r="Q632" s="205"/>
      <c r="R632" s="204"/>
      <c r="S632" s="204"/>
      <c r="T632" s="204"/>
      <c r="U632" s="205"/>
      <c r="V632" s="204"/>
      <c r="W632" s="204"/>
      <c r="X632" s="204"/>
      <c r="Y632" s="204"/>
      <c r="Z632" s="204"/>
      <c r="AA632" s="204"/>
      <c r="AB632" s="204"/>
      <c r="AC632" s="204"/>
      <c r="AD632" s="204"/>
    </row>
    <row r="633">
      <c r="A633" s="202"/>
      <c r="B633" s="203"/>
      <c r="C633" s="204"/>
      <c r="D633" s="203"/>
      <c r="E633" s="204"/>
      <c r="F633" s="204"/>
      <c r="G633" s="93"/>
      <c r="H633" s="204"/>
      <c r="I633" s="205"/>
      <c r="J633" s="204"/>
      <c r="K633" s="204"/>
      <c r="L633" s="203"/>
      <c r="M633" s="204"/>
      <c r="N633" s="205"/>
      <c r="O633" s="205"/>
      <c r="P633" s="204"/>
      <c r="Q633" s="205"/>
      <c r="R633" s="204"/>
      <c r="S633" s="204"/>
      <c r="T633" s="204"/>
      <c r="U633" s="205"/>
      <c r="V633" s="204"/>
      <c r="W633" s="204"/>
      <c r="X633" s="204"/>
      <c r="Y633" s="204"/>
      <c r="Z633" s="204"/>
      <c r="AA633" s="204"/>
      <c r="AB633" s="204"/>
      <c r="AC633" s="204"/>
      <c r="AD633" s="204"/>
    </row>
    <row r="634">
      <c r="A634" s="202"/>
      <c r="B634" s="203"/>
      <c r="C634" s="204"/>
      <c r="D634" s="203"/>
      <c r="E634" s="204"/>
      <c r="F634" s="204"/>
      <c r="G634" s="93"/>
      <c r="H634" s="204"/>
      <c r="I634" s="205"/>
      <c r="J634" s="204"/>
      <c r="K634" s="204"/>
      <c r="L634" s="203"/>
      <c r="M634" s="204"/>
      <c r="N634" s="205"/>
      <c r="O634" s="205"/>
      <c r="P634" s="204"/>
      <c r="Q634" s="205"/>
      <c r="R634" s="204"/>
      <c r="S634" s="204"/>
      <c r="T634" s="204"/>
      <c r="U634" s="205"/>
      <c r="V634" s="204"/>
      <c r="W634" s="204"/>
      <c r="X634" s="204"/>
      <c r="Y634" s="204"/>
      <c r="Z634" s="204"/>
      <c r="AA634" s="204"/>
      <c r="AB634" s="204"/>
      <c r="AC634" s="204"/>
      <c r="AD634" s="204"/>
    </row>
    <row r="635">
      <c r="A635" s="202"/>
      <c r="B635" s="203"/>
      <c r="C635" s="204"/>
      <c r="D635" s="203"/>
      <c r="E635" s="204"/>
      <c r="F635" s="204"/>
      <c r="G635" s="93"/>
      <c r="H635" s="204"/>
      <c r="I635" s="205"/>
      <c r="J635" s="204"/>
      <c r="K635" s="204"/>
      <c r="L635" s="203"/>
      <c r="M635" s="204"/>
      <c r="N635" s="205"/>
      <c r="O635" s="205"/>
      <c r="P635" s="204"/>
      <c r="Q635" s="205"/>
      <c r="R635" s="204"/>
      <c r="S635" s="204"/>
      <c r="T635" s="204"/>
      <c r="U635" s="205"/>
      <c r="V635" s="204"/>
      <c r="W635" s="204"/>
      <c r="X635" s="204"/>
      <c r="Y635" s="204"/>
      <c r="Z635" s="204"/>
      <c r="AA635" s="204"/>
      <c r="AB635" s="204"/>
      <c r="AC635" s="204"/>
      <c r="AD635" s="204"/>
    </row>
    <row r="636">
      <c r="A636" s="202"/>
      <c r="B636" s="203"/>
      <c r="C636" s="204"/>
      <c r="D636" s="203"/>
      <c r="E636" s="204"/>
      <c r="F636" s="204"/>
      <c r="G636" s="93"/>
      <c r="H636" s="204"/>
      <c r="I636" s="205"/>
      <c r="J636" s="204"/>
      <c r="K636" s="204"/>
      <c r="L636" s="203"/>
      <c r="M636" s="204"/>
      <c r="N636" s="205"/>
      <c r="O636" s="205"/>
      <c r="P636" s="204"/>
      <c r="Q636" s="205"/>
      <c r="R636" s="204"/>
      <c r="S636" s="204"/>
      <c r="T636" s="204"/>
      <c r="U636" s="205"/>
      <c r="V636" s="204"/>
      <c r="W636" s="204"/>
      <c r="X636" s="204"/>
      <c r="Y636" s="204"/>
      <c r="Z636" s="204"/>
      <c r="AA636" s="204"/>
      <c r="AB636" s="204"/>
      <c r="AC636" s="204"/>
      <c r="AD636" s="204"/>
    </row>
    <row r="637">
      <c r="A637" s="202"/>
      <c r="B637" s="203"/>
      <c r="C637" s="204"/>
      <c r="D637" s="203"/>
      <c r="E637" s="204"/>
      <c r="F637" s="204"/>
      <c r="G637" s="93"/>
      <c r="H637" s="204"/>
      <c r="I637" s="205"/>
      <c r="J637" s="204"/>
      <c r="K637" s="204"/>
      <c r="L637" s="203"/>
      <c r="M637" s="204"/>
      <c r="N637" s="205"/>
      <c r="O637" s="205"/>
      <c r="P637" s="204"/>
      <c r="Q637" s="205"/>
      <c r="R637" s="204"/>
      <c r="S637" s="204"/>
      <c r="T637" s="204"/>
      <c r="U637" s="205"/>
      <c r="V637" s="204"/>
      <c r="W637" s="204"/>
      <c r="X637" s="204"/>
      <c r="Y637" s="204"/>
      <c r="Z637" s="204"/>
      <c r="AA637" s="204"/>
      <c r="AB637" s="204"/>
      <c r="AC637" s="204"/>
      <c r="AD637" s="204"/>
    </row>
    <row r="638">
      <c r="A638" s="202"/>
      <c r="B638" s="203"/>
      <c r="C638" s="204"/>
      <c r="D638" s="203"/>
      <c r="E638" s="204"/>
      <c r="F638" s="204"/>
      <c r="G638" s="93"/>
      <c r="H638" s="204"/>
      <c r="I638" s="205"/>
      <c r="J638" s="204"/>
      <c r="K638" s="204"/>
      <c r="L638" s="203"/>
      <c r="M638" s="204"/>
      <c r="N638" s="205"/>
      <c r="O638" s="205"/>
      <c r="P638" s="204"/>
      <c r="Q638" s="205"/>
      <c r="R638" s="204"/>
      <c r="S638" s="204"/>
      <c r="T638" s="204"/>
      <c r="U638" s="205"/>
      <c r="V638" s="204"/>
      <c r="W638" s="204"/>
      <c r="X638" s="204"/>
      <c r="Y638" s="204"/>
      <c r="Z638" s="204"/>
      <c r="AA638" s="204"/>
      <c r="AB638" s="204"/>
      <c r="AC638" s="204"/>
      <c r="AD638" s="204"/>
    </row>
    <row r="639">
      <c r="A639" s="202"/>
      <c r="B639" s="203"/>
      <c r="C639" s="204"/>
      <c r="D639" s="203"/>
      <c r="E639" s="204"/>
      <c r="F639" s="204"/>
      <c r="G639" s="93"/>
      <c r="H639" s="204"/>
      <c r="I639" s="205"/>
      <c r="J639" s="204"/>
      <c r="K639" s="204"/>
      <c r="L639" s="203"/>
      <c r="M639" s="204"/>
      <c r="N639" s="205"/>
      <c r="O639" s="205"/>
      <c r="P639" s="204"/>
      <c r="Q639" s="205"/>
      <c r="R639" s="204"/>
      <c r="S639" s="204"/>
      <c r="T639" s="204"/>
      <c r="U639" s="205"/>
      <c r="V639" s="204"/>
      <c r="W639" s="204"/>
      <c r="X639" s="204"/>
      <c r="Y639" s="204"/>
      <c r="Z639" s="204"/>
      <c r="AA639" s="204"/>
      <c r="AB639" s="204"/>
      <c r="AC639" s="204"/>
      <c r="AD639" s="204"/>
    </row>
    <row r="640">
      <c r="A640" s="202"/>
      <c r="B640" s="203"/>
      <c r="C640" s="204"/>
      <c r="D640" s="203"/>
      <c r="E640" s="204"/>
      <c r="F640" s="204"/>
      <c r="G640" s="93"/>
      <c r="H640" s="204"/>
      <c r="I640" s="205"/>
      <c r="J640" s="204"/>
      <c r="K640" s="204"/>
      <c r="L640" s="203"/>
      <c r="M640" s="204"/>
      <c r="N640" s="205"/>
      <c r="O640" s="205"/>
      <c r="P640" s="204"/>
      <c r="Q640" s="205"/>
      <c r="R640" s="204"/>
      <c r="S640" s="204"/>
      <c r="T640" s="204"/>
      <c r="U640" s="205"/>
      <c r="V640" s="204"/>
      <c r="W640" s="204"/>
      <c r="X640" s="204"/>
      <c r="Y640" s="204"/>
      <c r="Z640" s="204"/>
      <c r="AA640" s="204"/>
      <c r="AB640" s="204"/>
      <c r="AC640" s="204"/>
      <c r="AD640" s="204"/>
    </row>
    <row r="641">
      <c r="A641" s="202"/>
      <c r="B641" s="203"/>
      <c r="C641" s="204"/>
      <c r="D641" s="203"/>
      <c r="E641" s="204"/>
      <c r="F641" s="204"/>
      <c r="G641" s="93"/>
      <c r="H641" s="204"/>
      <c r="I641" s="205"/>
      <c r="J641" s="204"/>
      <c r="K641" s="204"/>
      <c r="L641" s="203"/>
      <c r="M641" s="204"/>
      <c r="N641" s="205"/>
      <c r="O641" s="205"/>
      <c r="P641" s="204"/>
      <c r="Q641" s="205"/>
      <c r="R641" s="204"/>
      <c r="S641" s="204"/>
      <c r="T641" s="204"/>
      <c r="U641" s="205"/>
      <c r="V641" s="204"/>
      <c r="W641" s="204"/>
      <c r="X641" s="204"/>
      <c r="Y641" s="204"/>
      <c r="Z641" s="204"/>
      <c r="AA641" s="204"/>
      <c r="AB641" s="204"/>
      <c r="AC641" s="204"/>
      <c r="AD641" s="204"/>
    </row>
    <row r="642">
      <c r="A642" s="202"/>
      <c r="B642" s="203"/>
      <c r="C642" s="204"/>
      <c r="D642" s="203"/>
      <c r="E642" s="204"/>
      <c r="F642" s="204"/>
      <c r="G642" s="93"/>
      <c r="H642" s="204"/>
      <c r="I642" s="205"/>
      <c r="J642" s="204"/>
      <c r="K642" s="204"/>
      <c r="L642" s="203"/>
      <c r="M642" s="204"/>
      <c r="N642" s="205"/>
      <c r="O642" s="205"/>
      <c r="P642" s="204"/>
      <c r="Q642" s="205"/>
      <c r="R642" s="204"/>
      <c r="S642" s="204"/>
      <c r="T642" s="204"/>
      <c r="U642" s="205"/>
      <c r="V642" s="204"/>
      <c r="W642" s="204"/>
      <c r="X642" s="204"/>
      <c r="Y642" s="204"/>
      <c r="Z642" s="204"/>
      <c r="AA642" s="204"/>
      <c r="AB642" s="204"/>
      <c r="AC642" s="204"/>
      <c r="AD642" s="204"/>
    </row>
    <row r="643">
      <c r="A643" s="202"/>
      <c r="B643" s="203"/>
      <c r="C643" s="204"/>
      <c r="D643" s="203"/>
      <c r="E643" s="204"/>
      <c r="F643" s="204"/>
      <c r="G643" s="93"/>
      <c r="H643" s="204"/>
      <c r="I643" s="205"/>
      <c r="J643" s="204"/>
      <c r="K643" s="204"/>
      <c r="L643" s="203"/>
      <c r="M643" s="204"/>
      <c r="N643" s="205"/>
      <c r="O643" s="205"/>
      <c r="P643" s="204"/>
      <c r="Q643" s="205"/>
      <c r="R643" s="204"/>
      <c r="S643" s="204"/>
      <c r="T643" s="204"/>
      <c r="U643" s="205"/>
      <c r="V643" s="204"/>
      <c r="W643" s="204"/>
      <c r="X643" s="204"/>
      <c r="Y643" s="204"/>
      <c r="Z643" s="204"/>
      <c r="AA643" s="204"/>
      <c r="AB643" s="204"/>
      <c r="AC643" s="204"/>
      <c r="AD643" s="204"/>
    </row>
    <row r="644">
      <c r="A644" s="202"/>
      <c r="B644" s="203"/>
      <c r="C644" s="204"/>
      <c r="D644" s="203"/>
      <c r="E644" s="204"/>
      <c r="F644" s="204"/>
      <c r="G644" s="93"/>
      <c r="H644" s="204"/>
      <c r="I644" s="205"/>
      <c r="J644" s="204"/>
      <c r="K644" s="204"/>
      <c r="L644" s="203"/>
      <c r="M644" s="204"/>
      <c r="N644" s="205"/>
      <c r="O644" s="205"/>
      <c r="P644" s="204"/>
      <c r="Q644" s="205"/>
      <c r="R644" s="204"/>
      <c r="S644" s="204"/>
      <c r="T644" s="204"/>
      <c r="U644" s="205"/>
      <c r="V644" s="204"/>
      <c r="W644" s="204"/>
      <c r="X644" s="204"/>
      <c r="Y644" s="204"/>
      <c r="Z644" s="204"/>
      <c r="AA644" s="204"/>
      <c r="AB644" s="204"/>
      <c r="AC644" s="204"/>
      <c r="AD644" s="204"/>
    </row>
    <row r="645">
      <c r="A645" s="202"/>
      <c r="B645" s="203"/>
      <c r="C645" s="204"/>
      <c r="D645" s="203"/>
      <c r="E645" s="204"/>
      <c r="F645" s="204"/>
      <c r="G645" s="93"/>
      <c r="H645" s="204"/>
      <c r="I645" s="205"/>
      <c r="J645" s="204"/>
      <c r="K645" s="204"/>
      <c r="L645" s="203"/>
      <c r="M645" s="204"/>
      <c r="N645" s="205"/>
      <c r="O645" s="205"/>
      <c r="P645" s="204"/>
      <c r="Q645" s="205"/>
      <c r="R645" s="204"/>
      <c r="S645" s="204"/>
      <c r="T645" s="204"/>
      <c r="U645" s="205"/>
      <c r="V645" s="204"/>
      <c r="W645" s="204"/>
      <c r="X645" s="204"/>
      <c r="Y645" s="204"/>
      <c r="Z645" s="204"/>
      <c r="AA645" s="204"/>
      <c r="AB645" s="204"/>
      <c r="AC645" s="204"/>
      <c r="AD645" s="204"/>
    </row>
    <row r="646">
      <c r="A646" s="202"/>
      <c r="B646" s="203"/>
      <c r="C646" s="204"/>
      <c r="D646" s="203"/>
      <c r="E646" s="204"/>
      <c r="F646" s="204"/>
      <c r="G646" s="93"/>
      <c r="H646" s="204"/>
      <c r="I646" s="205"/>
      <c r="J646" s="204"/>
      <c r="K646" s="204"/>
      <c r="L646" s="203"/>
      <c r="M646" s="204"/>
      <c r="N646" s="205"/>
      <c r="O646" s="205"/>
      <c r="P646" s="204"/>
      <c r="Q646" s="205"/>
      <c r="R646" s="204"/>
      <c r="S646" s="204"/>
      <c r="T646" s="204"/>
      <c r="U646" s="205"/>
      <c r="V646" s="204"/>
      <c r="W646" s="204"/>
      <c r="X646" s="204"/>
      <c r="Y646" s="204"/>
      <c r="Z646" s="204"/>
      <c r="AA646" s="204"/>
      <c r="AB646" s="204"/>
      <c r="AC646" s="204"/>
      <c r="AD646" s="204"/>
    </row>
    <row r="647">
      <c r="A647" s="202"/>
      <c r="B647" s="203"/>
      <c r="C647" s="204"/>
      <c r="D647" s="203"/>
      <c r="E647" s="204"/>
      <c r="F647" s="204"/>
      <c r="G647" s="93"/>
      <c r="H647" s="204"/>
      <c r="I647" s="205"/>
      <c r="J647" s="204"/>
      <c r="K647" s="204"/>
      <c r="L647" s="203"/>
      <c r="M647" s="204"/>
      <c r="N647" s="205"/>
      <c r="O647" s="205"/>
      <c r="P647" s="204"/>
      <c r="Q647" s="205"/>
      <c r="R647" s="204"/>
      <c r="S647" s="204"/>
      <c r="T647" s="204"/>
      <c r="U647" s="205"/>
      <c r="V647" s="204"/>
      <c r="W647" s="204"/>
      <c r="X647" s="204"/>
      <c r="Y647" s="204"/>
      <c r="Z647" s="204"/>
      <c r="AA647" s="204"/>
      <c r="AB647" s="204"/>
      <c r="AC647" s="204"/>
      <c r="AD647" s="204"/>
    </row>
    <row r="648">
      <c r="A648" s="202"/>
      <c r="B648" s="203"/>
      <c r="C648" s="204"/>
      <c r="D648" s="203"/>
      <c r="E648" s="204"/>
      <c r="F648" s="204"/>
      <c r="G648" s="93"/>
      <c r="H648" s="204"/>
      <c r="I648" s="205"/>
      <c r="J648" s="204"/>
      <c r="K648" s="204"/>
      <c r="L648" s="203"/>
      <c r="M648" s="204"/>
      <c r="N648" s="205"/>
      <c r="O648" s="205"/>
      <c r="P648" s="204"/>
      <c r="Q648" s="205"/>
      <c r="R648" s="204"/>
      <c r="S648" s="204"/>
      <c r="T648" s="204"/>
      <c r="U648" s="205"/>
      <c r="V648" s="204"/>
      <c r="W648" s="204"/>
      <c r="X648" s="204"/>
      <c r="Y648" s="204"/>
      <c r="Z648" s="204"/>
      <c r="AA648" s="204"/>
      <c r="AB648" s="204"/>
      <c r="AC648" s="204"/>
      <c r="AD648" s="204"/>
    </row>
    <row r="649">
      <c r="A649" s="202"/>
      <c r="B649" s="203"/>
      <c r="C649" s="204"/>
      <c r="D649" s="203"/>
      <c r="E649" s="204"/>
      <c r="F649" s="204"/>
      <c r="G649" s="93"/>
      <c r="H649" s="204"/>
      <c r="I649" s="205"/>
      <c r="J649" s="204"/>
      <c r="K649" s="204"/>
      <c r="L649" s="203"/>
      <c r="M649" s="204"/>
      <c r="N649" s="205"/>
      <c r="O649" s="205"/>
      <c r="P649" s="204"/>
      <c r="Q649" s="205"/>
      <c r="R649" s="204"/>
      <c r="S649" s="204"/>
      <c r="T649" s="204"/>
      <c r="U649" s="205"/>
      <c r="V649" s="204"/>
      <c r="W649" s="204"/>
      <c r="X649" s="204"/>
      <c r="Y649" s="204"/>
      <c r="Z649" s="204"/>
      <c r="AA649" s="204"/>
      <c r="AB649" s="204"/>
      <c r="AC649" s="204"/>
      <c r="AD649" s="204"/>
    </row>
    <row r="650">
      <c r="A650" s="202"/>
      <c r="B650" s="203"/>
      <c r="C650" s="204"/>
      <c r="D650" s="203"/>
      <c r="E650" s="204"/>
      <c r="F650" s="204"/>
      <c r="G650" s="93"/>
      <c r="H650" s="204"/>
      <c r="I650" s="205"/>
      <c r="J650" s="204"/>
      <c r="K650" s="204"/>
      <c r="L650" s="203"/>
      <c r="M650" s="204"/>
      <c r="N650" s="205"/>
      <c r="O650" s="205"/>
      <c r="P650" s="204"/>
      <c r="Q650" s="205"/>
      <c r="R650" s="204"/>
      <c r="S650" s="204"/>
      <c r="T650" s="204"/>
      <c r="U650" s="205"/>
      <c r="V650" s="204"/>
      <c r="W650" s="204"/>
      <c r="X650" s="204"/>
      <c r="Y650" s="204"/>
      <c r="Z650" s="204"/>
      <c r="AA650" s="204"/>
      <c r="AB650" s="204"/>
      <c r="AC650" s="204"/>
      <c r="AD650" s="204"/>
    </row>
    <row r="651">
      <c r="A651" s="202"/>
      <c r="B651" s="203"/>
      <c r="C651" s="204"/>
      <c r="D651" s="203"/>
      <c r="E651" s="204"/>
      <c r="F651" s="204"/>
      <c r="G651" s="93"/>
      <c r="H651" s="204"/>
      <c r="I651" s="205"/>
      <c r="J651" s="204"/>
      <c r="K651" s="204"/>
      <c r="L651" s="203"/>
      <c r="M651" s="204"/>
      <c r="N651" s="205"/>
      <c r="O651" s="205"/>
      <c r="P651" s="204"/>
      <c r="Q651" s="205"/>
      <c r="R651" s="204"/>
      <c r="S651" s="204"/>
      <c r="T651" s="204"/>
      <c r="U651" s="205"/>
      <c r="V651" s="204"/>
      <c r="W651" s="204"/>
      <c r="X651" s="204"/>
      <c r="Y651" s="204"/>
      <c r="Z651" s="204"/>
      <c r="AA651" s="204"/>
      <c r="AB651" s="204"/>
      <c r="AC651" s="204"/>
      <c r="AD651" s="204"/>
    </row>
    <row r="652">
      <c r="A652" s="202"/>
      <c r="B652" s="203"/>
      <c r="C652" s="204"/>
      <c r="D652" s="203"/>
      <c r="E652" s="204"/>
      <c r="F652" s="204"/>
      <c r="G652" s="93"/>
      <c r="H652" s="204"/>
      <c r="I652" s="205"/>
      <c r="J652" s="204"/>
      <c r="K652" s="204"/>
      <c r="L652" s="203"/>
      <c r="M652" s="204"/>
      <c r="N652" s="205"/>
      <c r="O652" s="205"/>
      <c r="P652" s="204"/>
      <c r="Q652" s="205"/>
      <c r="R652" s="204"/>
      <c r="S652" s="204"/>
      <c r="T652" s="204"/>
      <c r="U652" s="205"/>
      <c r="V652" s="204"/>
      <c r="W652" s="204"/>
      <c r="X652" s="204"/>
      <c r="Y652" s="204"/>
      <c r="Z652" s="204"/>
      <c r="AA652" s="204"/>
      <c r="AB652" s="204"/>
      <c r="AC652" s="204"/>
      <c r="AD652" s="204"/>
    </row>
    <row r="653">
      <c r="A653" s="202"/>
      <c r="B653" s="203"/>
      <c r="C653" s="204"/>
      <c r="D653" s="203"/>
      <c r="E653" s="204"/>
      <c r="F653" s="204"/>
      <c r="G653" s="93"/>
      <c r="H653" s="204"/>
      <c r="I653" s="205"/>
      <c r="J653" s="204"/>
      <c r="K653" s="204"/>
      <c r="L653" s="203"/>
      <c r="M653" s="204"/>
      <c r="N653" s="205"/>
      <c r="O653" s="205"/>
      <c r="P653" s="204"/>
      <c r="Q653" s="205"/>
      <c r="R653" s="204"/>
      <c r="S653" s="204"/>
      <c r="T653" s="204"/>
      <c r="U653" s="205"/>
      <c r="V653" s="204"/>
      <c r="W653" s="204"/>
      <c r="X653" s="204"/>
      <c r="Y653" s="204"/>
      <c r="Z653" s="204"/>
      <c r="AA653" s="204"/>
      <c r="AB653" s="204"/>
      <c r="AC653" s="204"/>
      <c r="AD653" s="204"/>
    </row>
    <row r="654">
      <c r="A654" s="202"/>
      <c r="B654" s="203"/>
      <c r="C654" s="204"/>
      <c r="D654" s="203"/>
      <c r="E654" s="204"/>
      <c r="F654" s="204"/>
      <c r="G654" s="93"/>
      <c r="H654" s="204"/>
      <c r="I654" s="205"/>
      <c r="J654" s="204"/>
      <c r="K654" s="204"/>
      <c r="L654" s="203"/>
      <c r="M654" s="204"/>
      <c r="N654" s="205"/>
      <c r="O654" s="205"/>
      <c r="P654" s="204"/>
      <c r="Q654" s="205"/>
      <c r="R654" s="204"/>
      <c r="S654" s="204"/>
      <c r="T654" s="204"/>
      <c r="U654" s="205"/>
      <c r="V654" s="204"/>
      <c r="W654" s="204"/>
      <c r="X654" s="204"/>
      <c r="Y654" s="204"/>
      <c r="Z654" s="204"/>
      <c r="AA654" s="204"/>
      <c r="AB654" s="204"/>
      <c r="AC654" s="204"/>
      <c r="AD654" s="204"/>
    </row>
    <row r="655">
      <c r="A655" s="202"/>
      <c r="B655" s="203"/>
      <c r="C655" s="204"/>
      <c r="D655" s="203"/>
      <c r="E655" s="204"/>
      <c r="F655" s="204"/>
      <c r="G655" s="93"/>
      <c r="H655" s="204"/>
      <c r="I655" s="205"/>
      <c r="J655" s="204"/>
      <c r="K655" s="204"/>
      <c r="L655" s="203"/>
      <c r="M655" s="204"/>
      <c r="N655" s="205"/>
      <c r="O655" s="205"/>
      <c r="P655" s="204"/>
      <c r="Q655" s="205"/>
      <c r="R655" s="204"/>
      <c r="S655" s="204"/>
      <c r="T655" s="204"/>
      <c r="U655" s="205"/>
      <c r="V655" s="204"/>
      <c r="W655" s="204"/>
      <c r="X655" s="204"/>
      <c r="Y655" s="204"/>
      <c r="Z655" s="204"/>
      <c r="AA655" s="204"/>
      <c r="AB655" s="204"/>
      <c r="AC655" s="204"/>
      <c r="AD655" s="204"/>
    </row>
    <row r="656">
      <c r="A656" s="202"/>
      <c r="B656" s="203"/>
      <c r="C656" s="204"/>
      <c r="D656" s="203"/>
      <c r="E656" s="204"/>
      <c r="F656" s="204"/>
      <c r="G656" s="93"/>
      <c r="H656" s="204"/>
      <c r="I656" s="205"/>
      <c r="J656" s="204"/>
      <c r="K656" s="204"/>
      <c r="L656" s="203"/>
      <c r="M656" s="204"/>
      <c r="N656" s="205"/>
      <c r="O656" s="205"/>
      <c r="P656" s="204"/>
      <c r="Q656" s="205"/>
      <c r="R656" s="204"/>
      <c r="S656" s="204"/>
      <c r="T656" s="204"/>
      <c r="U656" s="205"/>
      <c r="V656" s="204"/>
      <c r="W656" s="204"/>
      <c r="X656" s="204"/>
      <c r="Y656" s="204"/>
      <c r="Z656" s="204"/>
      <c r="AA656" s="204"/>
      <c r="AB656" s="204"/>
      <c r="AC656" s="204"/>
      <c r="AD656" s="204"/>
    </row>
    <row r="657">
      <c r="A657" s="202"/>
      <c r="B657" s="203"/>
      <c r="C657" s="204"/>
      <c r="D657" s="203"/>
      <c r="E657" s="204"/>
      <c r="F657" s="204"/>
      <c r="G657" s="93"/>
      <c r="H657" s="204"/>
      <c r="I657" s="205"/>
      <c r="J657" s="204"/>
      <c r="K657" s="204"/>
      <c r="L657" s="203"/>
      <c r="M657" s="204"/>
      <c r="N657" s="205"/>
      <c r="O657" s="205"/>
      <c r="P657" s="204"/>
      <c r="Q657" s="205"/>
      <c r="R657" s="204"/>
      <c r="S657" s="204"/>
      <c r="T657" s="204"/>
      <c r="U657" s="205"/>
      <c r="V657" s="204"/>
      <c r="W657" s="204"/>
      <c r="X657" s="204"/>
      <c r="Y657" s="204"/>
      <c r="Z657" s="204"/>
      <c r="AA657" s="204"/>
      <c r="AB657" s="204"/>
      <c r="AC657" s="204"/>
      <c r="AD657" s="204"/>
    </row>
    <row r="658">
      <c r="A658" s="202"/>
      <c r="B658" s="203"/>
      <c r="C658" s="204"/>
      <c r="D658" s="203"/>
      <c r="E658" s="204"/>
      <c r="F658" s="204"/>
      <c r="G658" s="93"/>
      <c r="H658" s="204"/>
      <c r="I658" s="205"/>
      <c r="J658" s="204"/>
      <c r="K658" s="204"/>
      <c r="L658" s="203"/>
      <c r="M658" s="204"/>
      <c r="N658" s="205"/>
      <c r="O658" s="205"/>
      <c r="P658" s="204"/>
      <c r="Q658" s="205"/>
      <c r="R658" s="204"/>
      <c r="S658" s="204"/>
      <c r="T658" s="204"/>
      <c r="U658" s="205"/>
      <c r="V658" s="204"/>
      <c r="W658" s="204"/>
      <c r="X658" s="204"/>
      <c r="Y658" s="204"/>
      <c r="Z658" s="204"/>
      <c r="AA658" s="204"/>
      <c r="AB658" s="204"/>
      <c r="AC658" s="204"/>
      <c r="AD658" s="204"/>
    </row>
    <row r="659">
      <c r="A659" s="202"/>
      <c r="B659" s="203"/>
      <c r="C659" s="204"/>
      <c r="D659" s="203"/>
      <c r="E659" s="204"/>
      <c r="F659" s="204"/>
      <c r="G659" s="93"/>
      <c r="H659" s="204"/>
      <c r="I659" s="205"/>
      <c r="J659" s="204"/>
      <c r="K659" s="204"/>
      <c r="L659" s="203"/>
      <c r="M659" s="204"/>
      <c r="N659" s="205"/>
      <c r="O659" s="205"/>
      <c r="P659" s="204"/>
      <c r="Q659" s="205"/>
      <c r="R659" s="204"/>
      <c r="S659" s="204"/>
      <c r="T659" s="204"/>
      <c r="U659" s="205"/>
      <c r="V659" s="204"/>
      <c r="W659" s="204"/>
      <c r="X659" s="204"/>
      <c r="Y659" s="204"/>
      <c r="Z659" s="204"/>
      <c r="AA659" s="204"/>
      <c r="AB659" s="204"/>
      <c r="AC659" s="204"/>
      <c r="AD659" s="204"/>
    </row>
    <row r="660">
      <c r="A660" s="202"/>
      <c r="B660" s="203"/>
      <c r="C660" s="204"/>
      <c r="D660" s="203"/>
      <c r="E660" s="204"/>
      <c r="F660" s="204"/>
      <c r="G660" s="93"/>
      <c r="H660" s="204"/>
      <c r="I660" s="205"/>
      <c r="J660" s="204"/>
      <c r="K660" s="204"/>
      <c r="L660" s="203"/>
      <c r="M660" s="204"/>
      <c r="N660" s="205"/>
      <c r="O660" s="205"/>
      <c r="P660" s="204"/>
      <c r="Q660" s="205"/>
      <c r="R660" s="204"/>
      <c r="S660" s="204"/>
      <c r="T660" s="204"/>
      <c r="U660" s="205"/>
      <c r="V660" s="204"/>
      <c r="W660" s="204"/>
      <c r="X660" s="204"/>
      <c r="Y660" s="204"/>
      <c r="Z660" s="204"/>
      <c r="AA660" s="204"/>
      <c r="AB660" s="204"/>
      <c r="AC660" s="204"/>
      <c r="AD660" s="204"/>
    </row>
    <row r="661">
      <c r="A661" s="202"/>
      <c r="B661" s="203"/>
      <c r="C661" s="204"/>
      <c r="D661" s="203"/>
      <c r="E661" s="204"/>
      <c r="F661" s="204"/>
      <c r="G661" s="93"/>
      <c r="H661" s="204"/>
      <c r="I661" s="205"/>
      <c r="J661" s="204"/>
      <c r="K661" s="204"/>
      <c r="L661" s="203"/>
      <c r="M661" s="204"/>
      <c r="N661" s="205"/>
      <c r="O661" s="205"/>
      <c r="P661" s="204"/>
      <c r="Q661" s="205"/>
      <c r="R661" s="204"/>
      <c r="S661" s="204"/>
      <c r="T661" s="204"/>
      <c r="U661" s="205"/>
      <c r="V661" s="204"/>
      <c r="W661" s="204"/>
      <c r="X661" s="204"/>
      <c r="Y661" s="204"/>
      <c r="Z661" s="204"/>
      <c r="AA661" s="204"/>
      <c r="AB661" s="204"/>
      <c r="AC661" s="204"/>
      <c r="AD661" s="204"/>
    </row>
    <row r="662">
      <c r="A662" s="202"/>
      <c r="B662" s="203"/>
      <c r="C662" s="204"/>
      <c r="D662" s="203"/>
      <c r="E662" s="204"/>
      <c r="F662" s="204"/>
      <c r="G662" s="93"/>
      <c r="H662" s="204"/>
      <c r="I662" s="205"/>
      <c r="J662" s="204"/>
      <c r="K662" s="204"/>
      <c r="L662" s="203"/>
      <c r="M662" s="204"/>
      <c r="N662" s="205"/>
      <c r="O662" s="205"/>
      <c r="P662" s="204"/>
      <c r="Q662" s="205"/>
      <c r="R662" s="204"/>
      <c r="S662" s="204"/>
      <c r="T662" s="204"/>
      <c r="U662" s="205"/>
      <c r="V662" s="204"/>
      <c r="W662" s="204"/>
      <c r="X662" s="204"/>
      <c r="Y662" s="204"/>
      <c r="Z662" s="204"/>
      <c r="AA662" s="204"/>
      <c r="AB662" s="204"/>
      <c r="AC662" s="204"/>
      <c r="AD662" s="204"/>
    </row>
    <row r="663">
      <c r="A663" s="202"/>
      <c r="B663" s="203"/>
      <c r="C663" s="204"/>
      <c r="D663" s="203"/>
      <c r="E663" s="204"/>
      <c r="F663" s="204"/>
      <c r="G663" s="93"/>
      <c r="H663" s="204"/>
      <c r="I663" s="205"/>
      <c r="J663" s="204"/>
      <c r="K663" s="204"/>
      <c r="L663" s="203"/>
      <c r="M663" s="204"/>
      <c r="N663" s="205"/>
      <c r="O663" s="205"/>
      <c r="P663" s="204"/>
      <c r="Q663" s="205"/>
      <c r="R663" s="204"/>
      <c r="S663" s="204"/>
      <c r="T663" s="204"/>
      <c r="U663" s="205"/>
      <c r="V663" s="204"/>
      <c r="W663" s="204"/>
      <c r="X663" s="204"/>
      <c r="Y663" s="204"/>
      <c r="Z663" s="204"/>
      <c r="AA663" s="204"/>
      <c r="AB663" s="204"/>
      <c r="AC663" s="204"/>
      <c r="AD663" s="204"/>
    </row>
    <row r="664">
      <c r="A664" s="202"/>
      <c r="B664" s="203"/>
      <c r="C664" s="204"/>
      <c r="D664" s="203"/>
      <c r="E664" s="204"/>
      <c r="F664" s="204"/>
      <c r="G664" s="93"/>
      <c r="H664" s="204"/>
      <c r="I664" s="205"/>
      <c r="J664" s="204"/>
      <c r="K664" s="204"/>
      <c r="L664" s="203"/>
      <c r="M664" s="204"/>
      <c r="N664" s="205"/>
      <c r="O664" s="205"/>
      <c r="P664" s="204"/>
      <c r="Q664" s="205"/>
      <c r="R664" s="204"/>
      <c r="S664" s="204"/>
      <c r="T664" s="204"/>
      <c r="U664" s="205"/>
      <c r="V664" s="204"/>
      <c r="W664" s="204"/>
      <c r="X664" s="204"/>
      <c r="Y664" s="204"/>
      <c r="Z664" s="204"/>
      <c r="AA664" s="204"/>
      <c r="AB664" s="204"/>
      <c r="AC664" s="204"/>
      <c r="AD664" s="204"/>
    </row>
    <row r="665">
      <c r="A665" s="202"/>
      <c r="B665" s="203"/>
      <c r="C665" s="204"/>
      <c r="D665" s="203"/>
      <c r="E665" s="204"/>
      <c r="F665" s="204"/>
      <c r="G665" s="93"/>
      <c r="H665" s="204"/>
      <c r="I665" s="205"/>
      <c r="J665" s="204"/>
      <c r="K665" s="204"/>
      <c r="L665" s="203"/>
      <c r="M665" s="204"/>
      <c r="N665" s="205"/>
      <c r="O665" s="205"/>
      <c r="P665" s="204"/>
      <c r="Q665" s="205"/>
      <c r="R665" s="204"/>
      <c r="S665" s="204"/>
      <c r="T665" s="204"/>
      <c r="U665" s="205"/>
      <c r="V665" s="204"/>
      <c r="W665" s="204"/>
      <c r="X665" s="204"/>
      <c r="Y665" s="204"/>
      <c r="Z665" s="204"/>
      <c r="AA665" s="204"/>
      <c r="AB665" s="204"/>
      <c r="AC665" s="204"/>
      <c r="AD665" s="204"/>
    </row>
    <row r="666">
      <c r="A666" s="202"/>
      <c r="B666" s="203"/>
      <c r="C666" s="204"/>
      <c r="D666" s="203"/>
      <c r="E666" s="204"/>
      <c r="F666" s="204"/>
      <c r="G666" s="93"/>
      <c r="H666" s="204"/>
      <c r="I666" s="205"/>
      <c r="J666" s="204"/>
      <c r="K666" s="204"/>
      <c r="L666" s="203"/>
      <c r="M666" s="204"/>
      <c r="N666" s="205"/>
      <c r="O666" s="205"/>
      <c r="P666" s="204"/>
      <c r="Q666" s="205"/>
      <c r="R666" s="204"/>
      <c r="S666" s="204"/>
      <c r="T666" s="204"/>
      <c r="U666" s="205"/>
      <c r="V666" s="204"/>
      <c r="W666" s="204"/>
      <c r="X666" s="204"/>
      <c r="Y666" s="204"/>
      <c r="Z666" s="204"/>
      <c r="AA666" s="204"/>
      <c r="AB666" s="204"/>
      <c r="AC666" s="204"/>
      <c r="AD666" s="204"/>
    </row>
    <row r="667">
      <c r="A667" s="202"/>
      <c r="B667" s="203"/>
      <c r="C667" s="204"/>
      <c r="D667" s="203"/>
      <c r="E667" s="204"/>
      <c r="F667" s="204"/>
      <c r="G667" s="93"/>
      <c r="H667" s="204"/>
      <c r="I667" s="205"/>
      <c r="J667" s="204"/>
      <c r="K667" s="204"/>
      <c r="L667" s="203"/>
      <c r="M667" s="204"/>
      <c r="N667" s="205"/>
      <c r="O667" s="205"/>
      <c r="P667" s="204"/>
      <c r="Q667" s="205"/>
      <c r="R667" s="204"/>
      <c r="S667" s="204"/>
      <c r="T667" s="204"/>
      <c r="U667" s="205"/>
      <c r="V667" s="204"/>
      <c r="W667" s="204"/>
      <c r="X667" s="204"/>
      <c r="Y667" s="204"/>
      <c r="Z667" s="204"/>
      <c r="AA667" s="204"/>
      <c r="AB667" s="204"/>
      <c r="AC667" s="204"/>
      <c r="AD667" s="204"/>
    </row>
    <row r="668">
      <c r="A668" s="202"/>
      <c r="B668" s="203"/>
      <c r="C668" s="204"/>
      <c r="D668" s="203"/>
      <c r="E668" s="204"/>
      <c r="F668" s="204"/>
      <c r="G668" s="93"/>
      <c r="H668" s="204"/>
      <c r="I668" s="205"/>
      <c r="J668" s="204"/>
      <c r="K668" s="204"/>
      <c r="L668" s="203"/>
      <c r="M668" s="204"/>
      <c r="N668" s="205"/>
      <c r="O668" s="205"/>
      <c r="P668" s="204"/>
      <c r="Q668" s="205"/>
      <c r="R668" s="204"/>
      <c r="S668" s="204"/>
      <c r="T668" s="204"/>
      <c r="U668" s="205"/>
      <c r="V668" s="204"/>
      <c r="W668" s="204"/>
      <c r="X668" s="204"/>
      <c r="Y668" s="204"/>
      <c r="Z668" s="204"/>
      <c r="AA668" s="204"/>
      <c r="AB668" s="204"/>
      <c r="AC668" s="204"/>
      <c r="AD668" s="204"/>
    </row>
    <row r="669">
      <c r="A669" s="202"/>
      <c r="B669" s="203"/>
      <c r="C669" s="204"/>
      <c r="D669" s="203"/>
      <c r="E669" s="204"/>
      <c r="F669" s="204"/>
      <c r="G669" s="93"/>
      <c r="H669" s="204"/>
      <c r="I669" s="205"/>
      <c r="J669" s="204"/>
      <c r="K669" s="204"/>
      <c r="L669" s="203"/>
      <c r="M669" s="204"/>
      <c r="N669" s="205"/>
      <c r="O669" s="205"/>
      <c r="P669" s="204"/>
      <c r="Q669" s="205"/>
      <c r="R669" s="204"/>
      <c r="S669" s="204"/>
      <c r="T669" s="204"/>
      <c r="U669" s="205"/>
      <c r="V669" s="204"/>
      <c r="W669" s="204"/>
      <c r="X669" s="204"/>
      <c r="Y669" s="204"/>
      <c r="Z669" s="204"/>
      <c r="AA669" s="204"/>
      <c r="AB669" s="204"/>
      <c r="AC669" s="204"/>
      <c r="AD669" s="204"/>
    </row>
    <row r="670">
      <c r="A670" s="202"/>
      <c r="B670" s="203"/>
      <c r="C670" s="204"/>
      <c r="D670" s="203"/>
      <c r="E670" s="204"/>
      <c r="F670" s="204"/>
      <c r="G670" s="93"/>
      <c r="H670" s="204"/>
      <c r="I670" s="205"/>
      <c r="J670" s="204"/>
      <c r="K670" s="204"/>
      <c r="L670" s="203"/>
      <c r="M670" s="204"/>
      <c r="N670" s="205"/>
      <c r="O670" s="205"/>
      <c r="P670" s="204"/>
      <c r="Q670" s="205"/>
      <c r="R670" s="204"/>
      <c r="S670" s="204"/>
      <c r="T670" s="204"/>
      <c r="U670" s="205"/>
      <c r="V670" s="204"/>
      <c r="W670" s="204"/>
      <c r="X670" s="204"/>
      <c r="Y670" s="204"/>
      <c r="Z670" s="204"/>
      <c r="AA670" s="204"/>
      <c r="AB670" s="204"/>
      <c r="AC670" s="204"/>
      <c r="AD670" s="204"/>
    </row>
    <row r="671">
      <c r="A671" s="202"/>
      <c r="B671" s="203"/>
      <c r="C671" s="204"/>
      <c r="D671" s="203"/>
      <c r="E671" s="204"/>
      <c r="F671" s="204"/>
      <c r="G671" s="93"/>
      <c r="H671" s="204"/>
      <c r="I671" s="205"/>
      <c r="J671" s="204"/>
      <c r="K671" s="204"/>
      <c r="L671" s="203"/>
      <c r="M671" s="204"/>
      <c r="N671" s="205"/>
      <c r="O671" s="205"/>
      <c r="P671" s="204"/>
      <c r="Q671" s="205"/>
      <c r="R671" s="204"/>
      <c r="S671" s="204"/>
      <c r="T671" s="204"/>
      <c r="U671" s="205"/>
      <c r="V671" s="204"/>
      <c r="W671" s="204"/>
      <c r="X671" s="204"/>
      <c r="Y671" s="204"/>
      <c r="Z671" s="204"/>
      <c r="AA671" s="204"/>
      <c r="AB671" s="204"/>
      <c r="AC671" s="204"/>
      <c r="AD671" s="204"/>
    </row>
    <row r="672">
      <c r="A672" s="202"/>
      <c r="B672" s="203"/>
      <c r="C672" s="204"/>
      <c r="D672" s="203"/>
      <c r="E672" s="204"/>
      <c r="F672" s="204"/>
      <c r="G672" s="93"/>
      <c r="H672" s="204"/>
      <c r="I672" s="205"/>
      <c r="J672" s="204"/>
      <c r="K672" s="204"/>
      <c r="L672" s="203"/>
      <c r="M672" s="204"/>
      <c r="N672" s="205"/>
      <c r="O672" s="205"/>
      <c r="P672" s="204"/>
      <c r="Q672" s="205"/>
      <c r="R672" s="204"/>
      <c r="S672" s="204"/>
      <c r="T672" s="204"/>
      <c r="U672" s="205"/>
      <c r="V672" s="204"/>
      <c r="W672" s="204"/>
      <c r="X672" s="204"/>
      <c r="Y672" s="204"/>
      <c r="Z672" s="204"/>
      <c r="AA672" s="204"/>
      <c r="AB672" s="204"/>
      <c r="AC672" s="204"/>
      <c r="AD672" s="204"/>
    </row>
    <row r="673">
      <c r="A673" s="202"/>
      <c r="B673" s="203"/>
      <c r="C673" s="204"/>
      <c r="D673" s="203"/>
      <c r="E673" s="204"/>
      <c r="F673" s="204"/>
      <c r="G673" s="93"/>
      <c r="H673" s="204"/>
      <c r="I673" s="205"/>
      <c r="J673" s="204"/>
      <c r="K673" s="204"/>
      <c r="L673" s="203"/>
      <c r="M673" s="204"/>
      <c r="N673" s="205"/>
      <c r="O673" s="205"/>
      <c r="P673" s="204"/>
      <c r="Q673" s="205"/>
      <c r="R673" s="204"/>
      <c r="S673" s="204"/>
      <c r="T673" s="204"/>
      <c r="U673" s="205"/>
      <c r="V673" s="204"/>
      <c r="W673" s="204"/>
      <c r="X673" s="204"/>
      <c r="Y673" s="204"/>
      <c r="Z673" s="204"/>
      <c r="AA673" s="204"/>
      <c r="AB673" s="204"/>
      <c r="AC673" s="204"/>
      <c r="AD673" s="204"/>
    </row>
    <row r="674">
      <c r="A674" s="202"/>
      <c r="B674" s="203"/>
      <c r="C674" s="204"/>
      <c r="D674" s="203"/>
      <c r="E674" s="204"/>
      <c r="F674" s="204"/>
      <c r="G674" s="93"/>
      <c r="H674" s="204"/>
      <c r="I674" s="205"/>
      <c r="J674" s="204"/>
      <c r="K674" s="204"/>
      <c r="L674" s="203"/>
      <c r="M674" s="204"/>
      <c r="N674" s="205"/>
      <c r="O674" s="205"/>
      <c r="P674" s="204"/>
      <c r="Q674" s="205"/>
      <c r="R674" s="204"/>
      <c r="S674" s="204"/>
      <c r="T674" s="204"/>
      <c r="U674" s="205"/>
      <c r="V674" s="204"/>
      <c r="W674" s="204"/>
      <c r="X674" s="204"/>
      <c r="Y674" s="204"/>
      <c r="Z674" s="204"/>
      <c r="AA674" s="204"/>
      <c r="AB674" s="204"/>
      <c r="AC674" s="204"/>
      <c r="AD674" s="204"/>
    </row>
    <row r="675">
      <c r="A675" s="202"/>
      <c r="B675" s="203"/>
      <c r="C675" s="204"/>
      <c r="D675" s="203"/>
      <c r="E675" s="204"/>
      <c r="F675" s="204"/>
      <c r="G675" s="93"/>
      <c r="H675" s="204"/>
      <c r="I675" s="205"/>
      <c r="J675" s="204"/>
      <c r="K675" s="204"/>
      <c r="L675" s="203"/>
      <c r="M675" s="204"/>
      <c r="N675" s="205"/>
      <c r="O675" s="205"/>
      <c r="P675" s="204"/>
      <c r="Q675" s="205"/>
      <c r="R675" s="204"/>
      <c r="S675" s="204"/>
      <c r="T675" s="204"/>
      <c r="U675" s="205"/>
      <c r="V675" s="204"/>
      <c r="W675" s="204"/>
      <c r="X675" s="204"/>
      <c r="Y675" s="204"/>
      <c r="Z675" s="204"/>
      <c r="AA675" s="204"/>
      <c r="AB675" s="204"/>
      <c r="AC675" s="204"/>
      <c r="AD675" s="204"/>
    </row>
    <row r="676">
      <c r="A676" s="202"/>
      <c r="B676" s="203"/>
      <c r="C676" s="204"/>
      <c r="D676" s="203"/>
      <c r="E676" s="204"/>
      <c r="F676" s="204"/>
      <c r="G676" s="93"/>
      <c r="H676" s="204"/>
      <c r="I676" s="205"/>
      <c r="J676" s="204"/>
      <c r="K676" s="204"/>
      <c r="L676" s="203"/>
      <c r="M676" s="204"/>
      <c r="N676" s="205"/>
      <c r="O676" s="205"/>
      <c r="P676" s="204"/>
      <c r="Q676" s="205"/>
      <c r="R676" s="204"/>
      <c r="S676" s="204"/>
      <c r="T676" s="204"/>
      <c r="U676" s="205"/>
      <c r="V676" s="204"/>
      <c r="W676" s="204"/>
      <c r="X676" s="204"/>
      <c r="Y676" s="204"/>
      <c r="Z676" s="204"/>
      <c r="AA676" s="204"/>
      <c r="AB676" s="204"/>
      <c r="AC676" s="204"/>
      <c r="AD676" s="204"/>
    </row>
    <row r="677">
      <c r="A677" s="202"/>
      <c r="B677" s="203"/>
      <c r="C677" s="204"/>
      <c r="D677" s="203"/>
      <c r="E677" s="204"/>
      <c r="F677" s="204"/>
      <c r="G677" s="93"/>
      <c r="H677" s="204"/>
      <c r="I677" s="205"/>
      <c r="J677" s="204"/>
      <c r="K677" s="204"/>
      <c r="L677" s="203"/>
      <c r="M677" s="204"/>
      <c r="N677" s="205"/>
      <c r="O677" s="205"/>
      <c r="P677" s="204"/>
      <c r="Q677" s="205"/>
      <c r="R677" s="204"/>
      <c r="S677" s="204"/>
      <c r="T677" s="204"/>
      <c r="U677" s="205"/>
      <c r="V677" s="204"/>
      <c r="W677" s="204"/>
      <c r="X677" s="204"/>
      <c r="Y677" s="204"/>
      <c r="Z677" s="204"/>
      <c r="AA677" s="204"/>
      <c r="AB677" s="204"/>
      <c r="AC677" s="204"/>
      <c r="AD677" s="204"/>
    </row>
    <row r="678">
      <c r="A678" s="202"/>
      <c r="B678" s="203"/>
      <c r="C678" s="204"/>
      <c r="D678" s="203"/>
      <c r="E678" s="204"/>
      <c r="F678" s="204"/>
      <c r="G678" s="93"/>
      <c r="H678" s="204"/>
      <c r="I678" s="205"/>
      <c r="J678" s="204"/>
      <c r="K678" s="204"/>
      <c r="L678" s="203"/>
      <c r="M678" s="204"/>
      <c r="N678" s="205"/>
      <c r="O678" s="205"/>
      <c r="P678" s="204"/>
      <c r="Q678" s="205"/>
      <c r="R678" s="204"/>
      <c r="S678" s="204"/>
      <c r="T678" s="204"/>
      <c r="U678" s="205"/>
      <c r="V678" s="204"/>
      <c r="W678" s="204"/>
      <c r="X678" s="204"/>
      <c r="Y678" s="204"/>
      <c r="Z678" s="204"/>
      <c r="AA678" s="204"/>
      <c r="AB678" s="204"/>
      <c r="AC678" s="204"/>
      <c r="AD678" s="204"/>
    </row>
    <row r="679">
      <c r="A679" s="202"/>
      <c r="B679" s="203"/>
      <c r="C679" s="204"/>
      <c r="D679" s="203"/>
      <c r="E679" s="204"/>
      <c r="F679" s="204"/>
      <c r="G679" s="93"/>
      <c r="H679" s="204"/>
      <c r="I679" s="205"/>
      <c r="J679" s="204"/>
      <c r="K679" s="204"/>
      <c r="L679" s="203"/>
      <c r="M679" s="204"/>
      <c r="N679" s="205"/>
      <c r="O679" s="205"/>
      <c r="P679" s="204"/>
      <c r="Q679" s="205"/>
      <c r="R679" s="204"/>
      <c r="S679" s="204"/>
      <c r="T679" s="204"/>
      <c r="U679" s="205"/>
      <c r="V679" s="204"/>
      <c r="W679" s="204"/>
      <c r="X679" s="204"/>
      <c r="Y679" s="204"/>
      <c r="Z679" s="204"/>
      <c r="AA679" s="204"/>
      <c r="AB679" s="204"/>
      <c r="AC679" s="204"/>
      <c r="AD679" s="204"/>
    </row>
    <row r="680">
      <c r="A680" s="202"/>
      <c r="B680" s="203"/>
      <c r="C680" s="204"/>
      <c r="D680" s="203"/>
      <c r="E680" s="204"/>
      <c r="F680" s="204"/>
      <c r="G680" s="93"/>
      <c r="H680" s="204"/>
      <c r="I680" s="205"/>
      <c r="J680" s="204"/>
      <c r="K680" s="204"/>
      <c r="L680" s="203"/>
      <c r="M680" s="204"/>
      <c r="N680" s="205"/>
      <c r="O680" s="205"/>
      <c r="P680" s="204"/>
      <c r="Q680" s="205"/>
      <c r="R680" s="204"/>
      <c r="S680" s="204"/>
      <c r="T680" s="204"/>
      <c r="U680" s="205"/>
      <c r="V680" s="204"/>
      <c r="W680" s="204"/>
      <c r="X680" s="204"/>
      <c r="Y680" s="204"/>
      <c r="Z680" s="204"/>
      <c r="AA680" s="204"/>
      <c r="AB680" s="204"/>
      <c r="AC680" s="204"/>
      <c r="AD680" s="204"/>
    </row>
    <row r="681">
      <c r="A681" s="202"/>
      <c r="B681" s="203"/>
      <c r="C681" s="204"/>
      <c r="D681" s="203"/>
      <c r="E681" s="204"/>
      <c r="F681" s="204"/>
      <c r="G681" s="93"/>
      <c r="H681" s="204"/>
      <c r="I681" s="205"/>
      <c r="J681" s="204"/>
      <c r="K681" s="204"/>
      <c r="L681" s="203"/>
      <c r="M681" s="204"/>
      <c r="N681" s="205"/>
      <c r="O681" s="205"/>
      <c r="P681" s="204"/>
      <c r="Q681" s="205"/>
      <c r="R681" s="204"/>
      <c r="S681" s="204"/>
      <c r="T681" s="204"/>
      <c r="U681" s="205"/>
      <c r="V681" s="204"/>
      <c r="W681" s="204"/>
      <c r="X681" s="204"/>
      <c r="Y681" s="204"/>
      <c r="Z681" s="204"/>
      <c r="AA681" s="204"/>
      <c r="AB681" s="204"/>
      <c r="AC681" s="204"/>
      <c r="AD681" s="204"/>
    </row>
    <row r="682">
      <c r="A682" s="202"/>
      <c r="B682" s="203"/>
      <c r="C682" s="204"/>
      <c r="D682" s="203"/>
      <c r="E682" s="204"/>
      <c r="F682" s="204"/>
      <c r="G682" s="93"/>
      <c r="H682" s="204"/>
      <c r="I682" s="205"/>
      <c r="J682" s="204"/>
      <c r="K682" s="204"/>
      <c r="L682" s="203"/>
      <c r="M682" s="204"/>
      <c r="N682" s="205"/>
      <c r="O682" s="205"/>
      <c r="P682" s="204"/>
      <c r="Q682" s="205"/>
      <c r="R682" s="204"/>
      <c r="S682" s="204"/>
      <c r="T682" s="204"/>
      <c r="U682" s="205"/>
      <c r="V682" s="204"/>
      <c r="W682" s="204"/>
      <c r="X682" s="204"/>
      <c r="Y682" s="204"/>
      <c r="Z682" s="204"/>
      <c r="AA682" s="204"/>
      <c r="AB682" s="204"/>
      <c r="AC682" s="204"/>
      <c r="AD682" s="204"/>
    </row>
    <row r="683">
      <c r="A683" s="202"/>
      <c r="B683" s="203"/>
      <c r="C683" s="204"/>
      <c r="D683" s="203"/>
      <c r="E683" s="204"/>
      <c r="F683" s="204"/>
      <c r="G683" s="93"/>
      <c r="H683" s="204"/>
      <c r="I683" s="205"/>
      <c r="J683" s="204"/>
      <c r="K683" s="204"/>
      <c r="L683" s="203"/>
      <c r="M683" s="204"/>
      <c r="N683" s="205"/>
      <c r="O683" s="205"/>
      <c r="P683" s="204"/>
      <c r="Q683" s="205"/>
      <c r="R683" s="204"/>
      <c r="S683" s="204"/>
      <c r="T683" s="204"/>
      <c r="U683" s="205"/>
      <c r="V683" s="204"/>
      <c r="W683" s="204"/>
      <c r="X683" s="204"/>
      <c r="Y683" s="204"/>
      <c r="Z683" s="204"/>
      <c r="AA683" s="204"/>
      <c r="AB683" s="204"/>
      <c r="AC683" s="204"/>
      <c r="AD683" s="204"/>
    </row>
    <row r="684">
      <c r="A684" s="202"/>
      <c r="B684" s="203"/>
      <c r="C684" s="204"/>
      <c r="D684" s="203"/>
      <c r="E684" s="204"/>
      <c r="F684" s="204"/>
      <c r="G684" s="93"/>
      <c r="H684" s="204"/>
      <c r="I684" s="205"/>
      <c r="J684" s="204"/>
      <c r="K684" s="204"/>
      <c r="L684" s="203"/>
      <c r="M684" s="204"/>
      <c r="N684" s="205"/>
      <c r="O684" s="205"/>
      <c r="P684" s="204"/>
      <c r="Q684" s="205"/>
      <c r="R684" s="204"/>
      <c r="S684" s="204"/>
      <c r="T684" s="204"/>
      <c r="U684" s="205"/>
      <c r="V684" s="204"/>
      <c r="W684" s="204"/>
      <c r="X684" s="204"/>
      <c r="Y684" s="204"/>
      <c r="Z684" s="204"/>
      <c r="AA684" s="204"/>
      <c r="AB684" s="204"/>
      <c r="AC684" s="204"/>
      <c r="AD684" s="204"/>
    </row>
    <row r="685">
      <c r="A685" s="202"/>
      <c r="B685" s="203"/>
      <c r="C685" s="204"/>
      <c r="D685" s="203"/>
      <c r="E685" s="204"/>
      <c r="F685" s="204"/>
      <c r="G685" s="93"/>
      <c r="H685" s="204"/>
      <c r="I685" s="205"/>
      <c r="J685" s="204"/>
      <c r="K685" s="204"/>
      <c r="L685" s="203"/>
      <c r="M685" s="204"/>
      <c r="N685" s="205"/>
      <c r="O685" s="205"/>
      <c r="P685" s="204"/>
      <c r="Q685" s="205"/>
      <c r="R685" s="204"/>
      <c r="S685" s="204"/>
      <c r="T685" s="204"/>
      <c r="U685" s="205"/>
      <c r="V685" s="204"/>
      <c r="W685" s="204"/>
      <c r="X685" s="204"/>
      <c r="Y685" s="204"/>
      <c r="Z685" s="204"/>
      <c r="AA685" s="204"/>
      <c r="AB685" s="204"/>
      <c r="AC685" s="204"/>
      <c r="AD685" s="204"/>
    </row>
    <row r="686">
      <c r="A686" s="202"/>
      <c r="B686" s="203"/>
      <c r="C686" s="204"/>
      <c r="D686" s="203"/>
      <c r="E686" s="204"/>
      <c r="F686" s="204"/>
      <c r="G686" s="93"/>
      <c r="H686" s="204"/>
      <c r="I686" s="205"/>
      <c r="J686" s="204"/>
      <c r="K686" s="204"/>
      <c r="L686" s="203"/>
      <c r="M686" s="204"/>
      <c r="N686" s="205"/>
      <c r="O686" s="205"/>
      <c r="P686" s="204"/>
      <c r="Q686" s="205"/>
      <c r="R686" s="204"/>
      <c r="S686" s="204"/>
      <c r="T686" s="204"/>
      <c r="U686" s="205"/>
      <c r="V686" s="204"/>
      <c r="W686" s="204"/>
      <c r="X686" s="204"/>
      <c r="Y686" s="204"/>
      <c r="Z686" s="204"/>
      <c r="AA686" s="204"/>
      <c r="AB686" s="204"/>
      <c r="AC686" s="204"/>
      <c r="AD686" s="204"/>
    </row>
    <row r="687">
      <c r="A687" s="202"/>
      <c r="B687" s="203"/>
      <c r="C687" s="204"/>
      <c r="D687" s="203"/>
      <c r="E687" s="204"/>
      <c r="F687" s="204"/>
      <c r="G687" s="93"/>
      <c r="H687" s="204"/>
      <c r="I687" s="205"/>
      <c r="J687" s="204"/>
      <c r="K687" s="204"/>
      <c r="L687" s="203"/>
      <c r="M687" s="204"/>
      <c r="N687" s="205"/>
      <c r="O687" s="205"/>
      <c r="P687" s="204"/>
      <c r="Q687" s="205"/>
      <c r="R687" s="204"/>
      <c r="S687" s="204"/>
      <c r="T687" s="204"/>
      <c r="U687" s="205"/>
      <c r="V687" s="204"/>
      <c r="W687" s="204"/>
      <c r="X687" s="204"/>
      <c r="Y687" s="204"/>
      <c r="Z687" s="204"/>
      <c r="AA687" s="204"/>
      <c r="AB687" s="204"/>
      <c r="AC687" s="204"/>
      <c r="AD687" s="204"/>
    </row>
    <row r="688">
      <c r="A688" s="202"/>
      <c r="B688" s="203"/>
      <c r="C688" s="204"/>
      <c r="D688" s="203"/>
      <c r="E688" s="204"/>
      <c r="F688" s="204"/>
      <c r="G688" s="93"/>
      <c r="H688" s="204"/>
      <c r="I688" s="205"/>
      <c r="J688" s="204"/>
      <c r="K688" s="204"/>
      <c r="L688" s="203"/>
      <c r="M688" s="204"/>
      <c r="N688" s="205"/>
      <c r="O688" s="205"/>
      <c r="P688" s="204"/>
      <c r="Q688" s="205"/>
      <c r="R688" s="204"/>
      <c r="S688" s="204"/>
      <c r="T688" s="204"/>
      <c r="U688" s="205"/>
      <c r="V688" s="204"/>
      <c r="W688" s="204"/>
      <c r="X688" s="204"/>
      <c r="Y688" s="204"/>
      <c r="Z688" s="204"/>
      <c r="AA688" s="204"/>
      <c r="AB688" s="204"/>
      <c r="AC688" s="204"/>
      <c r="AD688" s="204"/>
    </row>
    <row r="689">
      <c r="A689" s="202"/>
      <c r="B689" s="203"/>
      <c r="C689" s="204"/>
      <c r="D689" s="203"/>
      <c r="E689" s="204"/>
      <c r="F689" s="204"/>
      <c r="G689" s="93"/>
      <c r="H689" s="204"/>
      <c r="I689" s="205"/>
      <c r="J689" s="204"/>
      <c r="K689" s="204"/>
      <c r="L689" s="203"/>
      <c r="M689" s="204"/>
      <c r="N689" s="205"/>
      <c r="O689" s="205"/>
      <c r="P689" s="204"/>
      <c r="Q689" s="205"/>
      <c r="R689" s="204"/>
      <c r="S689" s="204"/>
      <c r="T689" s="204"/>
      <c r="U689" s="205"/>
      <c r="V689" s="204"/>
      <c r="W689" s="204"/>
      <c r="X689" s="204"/>
      <c r="Y689" s="204"/>
      <c r="Z689" s="204"/>
      <c r="AA689" s="204"/>
      <c r="AB689" s="204"/>
      <c r="AC689" s="204"/>
      <c r="AD689" s="204"/>
    </row>
    <row r="690">
      <c r="A690" s="202"/>
      <c r="B690" s="203"/>
      <c r="C690" s="204"/>
      <c r="D690" s="203"/>
      <c r="E690" s="204"/>
      <c r="F690" s="204"/>
      <c r="G690" s="93"/>
      <c r="H690" s="204"/>
      <c r="I690" s="205"/>
      <c r="J690" s="204"/>
      <c r="K690" s="204"/>
      <c r="L690" s="203"/>
      <c r="M690" s="204"/>
      <c r="N690" s="205"/>
      <c r="O690" s="205"/>
      <c r="P690" s="204"/>
      <c r="Q690" s="205"/>
      <c r="R690" s="204"/>
      <c r="S690" s="204"/>
      <c r="T690" s="204"/>
      <c r="U690" s="205"/>
      <c r="V690" s="204"/>
      <c r="W690" s="204"/>
      <c r="X690" s="204"/>
      <c r="Y690" s="204"/>
      <c r="Z690" s="204"/>
      <c r="AA690" s="204"/>
      <c r="AB690" s="204"/>
      <c r="AC690" s="204"/>
      <c r="AD690" s="204"/>
    </row>
    <row r="691">
      <c r="A691" s="202"/>
      <c r="B691" s="203"/>
      <c r="C691" s="204"/>
      <c r="D691" s="203"/>
      <c r="E691" s="204"/>
      <c r="F691" s="204"/>
      <c r="G691" s="93"/>
      <c r="H691" s="204"/>
      <c r="I691" s="205"/>
      <c r="J691" s="204"/>
      <c r="K691" s="204"/>
      <c r="L691" s="203"/>
      <c r="M691" s="204"/>
      <c r="N691" s="205"/>
      <c r="O691" s="205"/>
      <c r="P691" s="204"/>
      <c r="Q691" s="205"/>
      <c r="R691" s="204"/>
      <c r="S691" s="204"/>
      <c r="T691" s="204"/>
      <c r="U691" s="205"/>
      <c r="V691" s="204"/>
      <c r="W691" s="204"/>
      <c r="X691" s="204"/>
      <c r="Y691" s="204"/>
      <c r="Z691" s="204"/>
      <c r="AA691" s="204"/>
      <c r="AB691" s="204"/>
      <c r="AC691" s="204"/>
      <c r="AD691" s="204"/>
    </row>
    <row r="692">
      <c r="A692" s="202"/>
      <c r="B692" s="203"/>
      <c r="C692" s="204"/>
      <c r="D692" s="203"/>
      <c r="E692" s="204"/>
      <c r="F692" s="204"/>
      <c r="G692" s="93"/>
      <c r="H692" s="204"/>
      <c r="I692" s="205"/>
      <c r="J692" s="204"/>
      <c r="K692" s="204"/>
      <c r="L692" s="203"/>
      <c r="M692" s="204"/>
      <c r="N692" s="205"/>
      <c r="O692" s="205"/>
      <c r="P692" s="204"/>
      <c r="Q692" s="205"/>
      <c r="R692" s="204"/>
      <c r="S692" s="204"/>
      <c r="T692" s="204"/>
      <c r="U692" s="205"/>
      <c r="V692" s="204"/>
      <c r="W692" s="204"/>
      <c r="X692" s="204"/>
      <c r="Y692" s="204"/>
      <c r="Z692" s="204"/>
      <c r="AA692" s="204"/>
      <c r="AB692" s="204"/>
      <c r="AC692" s="204"/>
      <c r="AD692" s="204"/>
    </row>
    <row r="693">
      <c r="A693" s="202"/>
      <c r="B693" s="203"/>
      <c r="C693" s="204"/>
      <c r="D693" s="203"/>
      <c r="E693" s="204"/>
      <c r="F693" s="204"/>
      <c r="G693" s="93"/>
      <c r="H693" s="204"/>
      <c r="I693" s="205"/>
      <c r="J693" s="204"/>
      <c r="K693" s="204"/>
      <c r="L693" s="203"/>
      <c r="M693" s="204"/>
      <c r="N693" s="205"/>
      <c r="O693" s="205"/>
      <c r="P693" s="204"/>
      <c r="Q693" s="205"/>
      <c r="R693" s="204"/>
      <c r="S693" s="204"/>
      <c r="T693" s="204"/>
      <c r="U693" s="205"/>
      <c r="V693" s="204"/>
      <c r="W693" s="204"/>
      <c r="X693" s="204"/>
      <c r="Y693" s="204"/>
      <c r="Z693" s="204"/>
      <c r="AA693" s="204"/>
      <c r="AB693" s="204"/>
      <c r="AC693" s="204"/>
      <c r="AD693" s="204"/>
    </row>
    <row r="694">
      <c r="A694" s="202"/>
      <c r="B694" s="203"/>
      <c r="C694" s="204"/>
      <c r="D694" s="203"/>
      <c r="E694" s="204"/>
      <c r="F694" s="204"/>
      <c r="G694" s="93"/>
      <c r="H694" s="204"/>
      <c r="I694" s="205"/>
      <c r="J694" s="204"/>
      <c r="K694" s="204"/>
      <c r="L694" s="203"/>
      <c r="M694" s="204"/>
      <c r="N694" s="205"/>
      <c r="O694" s="205"/>
      <c r="P694" s="204"/>
      <c r="Q694" s="205"/>
      <c r="R694" s="204"/>
      <c r="S694" s="204"/>
      <c r="T694" s="204"/>
      <c r="U694" s="205"/>
      <c r="V694" s="204"/>
      <c r="W694" s="204"/>
      <c r="X694" s="204"/>
      <c r="Y694" s="204"/>
      <c r="Z694" s="204"/>
      <c r="AA694" s="204"/>
      <c r="AB694" s="204"/>
      <c r="AC694" s="204"/>
      <c r="AD694" s="204"/>
    </row>
    <row r="695">
      <c r="A695" s="202"/>
      <c r="B695" s="203"/>
      <c r="C695" s="204"/>
      <c r="D695" s="203"/>
      <c r="E695" s="204"/>
      <c r="F695" s="204"/>
      <c r="G695" s="93"/>
      <c r="H695" s="204"/>
      <c r="I695" s="205"/>
      <c r="J695" s="204"/>
      <c r="K695" s="204"/>
      <c r="L695" s="203"/>
      <c r="M695" s="204"/>
      <c r="N695" s="205"/>
      <c r="O695" s="205"/>
      <c r="P695" s="204"/>
      <c r="Q695" s="205"/>
      <c r="R695" s="204"/>
      <c r="S695" s="204"/>
      <c r="T695" s="204"/>
      <c r="U695" s="205"/>
      <c r="V695" s="204"/>
      <c r="W695" s="204"/>
      <c r="X695" s="204"/>
      <c r="Y695" s="204"/>
      <c r="Z695" s="204"/>
      <c r="AA695" s="204"/>
      <c r="AB695" s="204"/>
      <c r="AC695" s="204"/>
      <c r="AD695" s="204"/>
    </row>
    <row r="696">
      <c r="A696" s="202"/>
      <c r="B696" s="203"/>
      <c r="C696" s="204"/>
      <c r="D696" s="203"/>
      <c r="E696" s="204"/>
      <c r="F696" s="204"/>
      <c r="G696" s="93"/>
      <c r="H696" s="204"/>
      <c r="I696" s="205"/>
      <c r="J696" s="204"/>
      <c r="K696" s="204"/>
      <c r="L696" s="203"/>
      <c r="M696" s="204"/>
      <c r="N696" s="205"/>
      <c r="O696" s="205"/>
      <c r="P696" s="204"/>
      <c r="Q696" s="205"/>
      <c r="R696" s="204"/>
      <c r="S696" s="204"/>
      <c r="T696" s="204"/>
      <c r="U696" s="205"/>
      <c r="V696" s="204"/>
      <c r="W696" s="204"/>
      <c r="X696" s="204"/>
      <c r="Y696" s="204"/>
      <c r="Z696" s="204"/>
      <c r="AA696" s="204"/>
      <c r="AB696" s="204"/>
      <c r="AC696" s="204"/>
      <c r="AD696" s="204"/>
    </row>
    <row r="697">
      <c r="A697" s="202"/>
      <c r="B697" s="203"/>
      <c r="C697" s="204"/>
      <c r="D697" s="203"/>
      <c r="E697" s="204"/>
      <c r="F697" s="204"/>
      <c r="G697" s="93"/>
      <c r="H697" s="204"/>
      <c r="I697" s="205"/>
      <c r="J697" s="204"/>
      <c r="K697" s="204"/>
      <c r="L697" s="203"/>
      <c r="M697" s="204"/>
      <c r="N697" s="205"/>
      <c r="O697" s="205"/>
      <c r="P697" s="204"/>
      <c r="Q697" s="205"/>
      <c r="R697" s="204"/>
      <c r="S697" s="204"/>
      <c r="T697" s="204"/>
      <c r="U697" s="205"/>
      <c r="V697" s="204"/>
      <c r="W697" s="204"/>
      <c r="X697" s="204"/>
      <c r="Y697" s="204"/>
      <c r="Z697" s="204"/>
      <c r="AA697" s="204"/>
      <c r="AB697" s="204"/>
      <c r="AC697" s="204"/>
      <c r="AD697" s="204"/>
    </row>
    <row r="698">
      <c r="A698" s="202"/>
      <c r="B698" s="203"/>
      <c r="C698" s="204"/>
      <c r="D698" s="203"/>
      <c r="E698" s="204"/>
      <c r="F698" s="204"/>
      <c r="G698" s="93"/>
      <c r="H698" s="204"/>
      <c r="I698" s="205"/>
      <c r="J698" s="204"/>
      <c r="K698" s="204"/>
      <c r="L698" s="203"/>
      <c r="M698" s="204"/>
      <c r="N698" s="205"/>
      <c r="O698" s="205"/>
      <c r="P698" s="204"/>
      <c r="Q698" s="205"/>
      <c r="R698" s="204"/>
      <c r="S698" s="204"/>
      <c r="T698" s="204"/>
      <c r="U698" s="205"/>
      <c r="V698" s="204"/>
      <c r="W698" s="204"/>
      <c r="X698" s="204"/>
      <c r="Y698" s="204"/>
      <c r="Z698" s="204"/>
      <c r="AA698" s="204"/>
      <c r="AB698" s="204"/>
      <c r="AC698" s="204"/>
      <c r="AD698" s="204"/>
    </row>
    <row r="699">
      <c r="A699" s="202"/>
      <c r="B699" s="203"/>
      <c r="C699" s="204"/>
      <c r="D699" s="203"/>
      <c r="E699" s="204"/>
      <c r="F699" s="204"/>
      <c r="G699" s="93"/>
      <c r="H699" s="204"/>
      <c r="I699" s="205"/>
      <c r="J699" s="204"/>
      <c r="K699" s="204"/>
      <c r="L699" s="203"/>
      <c r="M699" s="204"/>
      <c r="N699" s="205"/>
      <c r="O699" s="205"/>
      <c r="P699" s="204"/>
      <c r="Q699" s="205"/>
      <c r="R699" s="204"/>
      <c r="S699" s="204"/>
      <c r="T699" s="204"/>
      <c r="U699" s="205"/>
      <c r="V699" s="204"/>
      <c r="W699" s="204"/>
      <c r="X699" s="204"/>
      <c r="Y699" s="204"/>
      <c r="Z699" s="204"/>
      <c r="AA699" s="204"/>
      <c r="AB699" s="204"/>
      <c r="AC699" s="204"/>
      <c r="AD699" s="204"/>
    </row>
    <row r="700">
      <c r="A700" s="202"/>
      <c r="B700" s="203"/>
      <c r="C700" s="204"/>
      <c r="D700" s="203"/>
      <c r="E700" s="204"/>
      <c r="F700" s="204"/>
      <c r="G700" s="93"/>
      <c r="H700" s="204"/>
      <c r="I700" s="205"/>
      <c r="J700" s="204"/>
      <c r="K700" s="204"/>
      <c r="L700" s="203"/>
      <c r="M700" s="204"/>
      <c r="N700" s="205"/>
      <c r="O700" s="205"/>
      <c r="P700" s="204"/>
      <c r="Q700" s="205"/>
      <c r="R700" s="204"/>
      <c r="S700" s="204"/>
      <c r="T700" s="204"/>
      <c r="U700" s="205"/>
      <c r="V700" s="204"/>
      <c r="W700" s="204"/>
      <c r="X700" s="204"/>
      <c r="Y700" s="204"/>
      <c r="Z700" s="204"/>
      <c r="AA700" s="204"/>
      <c r="AB700" s="204"/>
      <c r="AC700" s="204"/>
      <c r="AD700" s="204"/>
    </row>
    <row r="701">
      <c r="A701" s="202"/>
      <c r="B701" s="203"/>
      <c r="C701" s="204"/>
      <c r="D701" s="203"/>
      <c r="E701" s="204"/>
      <c r="F701" s="204"/>
      <c r="G701" s="93"/>
      <c r="H701" s="204"/>
      <c r="I701" s="205"/>
      <c r="J701" s="204"/>
      <c r="K701" s="204"/>
      <c r="L701" s="203"/>
      <c r="M701" s="204"/>
      <c r="N701" s="205"/>
      <c r="O701" s="205"/>
      <c r="P701" s="204"/>
      <c r="Q701" s="205"/>
      <c r="R701" s="204"/>
      <c r="S701" s="204"/>
      <c r="T701" s="204"/>
      <c r="U701" s="205"/>
      <c r="V701" s="204"/>
      <c r="W701" s="204"/>
      <c r="X701" s="204"/>
      <c r="Y701" s="204"/>
      <c r="Z701" s="204"/>
      <c r="AA701" s="204"/>
      <c r="AB701" s="204"/>
      <c r="AC701" s="204"/>
      <c r="AD701" s="204"/>
    </row>
    <row r="702">
      <c r="A702" s="202"/>
      <c r="B702" s="203"/>
      <c r="C702" s="204"/>
      <c r="D702" s="203"/>
      <c r="E702" s="204"/>
      <c r="F702" s="204"/>
      <c r="G702" s="93"/>
      <c r="H702" s="204"/>
      <c r="I702" s="205"/>
      <c r="J702" s="204"/>
      <c r="K702" s="204"/>
      <c r="L702" s="203"/>
      <c r="M702" s="204"/>
      <c r="N702" s="205"/>
      <c r="O702" s="205"/>
      <c r="P702" s="204"/>
      <c r="Q702" s="205"/>
      <c r="R702" s="204"/>
      <c r="S702" s="204"/>
      <c r="T702" s="204"/>
      <c r="U702" s="205"/>
      <c r="V702" s="204"/>
      <c r="W702" s="204"/>
      <c r="X702" s="204"/>
      <c r="Y702" s="204"/>
      <c r="Z702" s="204"/>
      <c r="AA702" s="204"/>
      <c r="AB702" s="204"/>
      <c r="AC702" s="204"/>
      <c r="AD702" s="204"/>
    </row>
    <row r="703">
      <c r="A703" s="202"/>
      <c r="B703" s="203"/>
      <c r="C703" s="204"/>
      <c r="D703" s="203"/>
      <c r="E703" s="204"/>
      <c r="F703" s="204"/>
      <c r="G703" s="93"/>
      <c r="H703" s="204"/>
      <c r="I703" s="205"/>
      <c r="J703" s="204"/>
      <c r="K703" s="204"/>
      <c r="L703" s="203"/>
      <c r="M703" s="204"/>
      <c r="N703" s="205"/>
      <c r="O703" s="205"/>
      <c r="P703" s="204"/>
      <c r="Q703" s="205"/>
      <c r="R703" s="204"/>
      <c r="S703" s="204"/>
      <c r="T703" s="204"/>
      <c r="U703" s="205"/>
      <c r="V703" s="204"/>
      <c r="W703" s="204"/>
      <c r="X703" s="204"/>
      <c r="Y703" s="204"/>
      <c r="Z703" s="204"/>
      <c r="AA703" s="204"/>
      <c r="AB703" s="204"/>
      <c r="AC703" s="204"/>
      <c r="AD703" s="204"/>
    </row>
    <row r="704">
      <c r="A704" s="202"/>
      <c r="B704" s="203"/>
      <c r="C704" s="204"/>
      <c r="D704" s="203"/>
      <c r="E704" s="204"/>
      <c r="F704" s="204"/>
      <c r="G704" s="93"/>
      <c r="H704" s="204"/>
      <c r="I704" s="205"/>
      <c r="J704" s="204"/>
      <c r="K704" s="204"/>
      <c r="L704" s="203"/>
      <c r="M704" s="204"/>
      <c r="N704" s="205"/>
      <c r="O704" s="205"/>
      <c r="P704" s="204"/>
      <c r="Q704" s="205"/>
      <c r="R704" s="204"/>
      <c r="S704" s="204"/>
      <c r="T704" s="204"/>
      <c r="U704" s="205"/>
      <c r="V704" s="204"/>
      <c r="W704" s="204"/>
      <c r="X704" s="204"/>
      <c r="Y704" s="204"/>
      <c r="Z704" s="204"/>
      <c r="AA704" s="204"/>
      <c r="AB704" s="204"/>
      <c r="AC704" s="204"/>
      <c r="AD704" s="204"/>
    </row>
    <row r="705">
      <c r="A705" s="202"/>
      <c r="B705" s="203"/>
      <c r="C705" s="204"/>
      <c r="D705" s="203"/>
      <c r="E705" s="204"/>
      <c r="F705" s="204"/>
      <c r="G705" s="93"/>
      <c r="H705" s="204"/>
      <c r="I705" s="205"/>
      <c r="J705" s="204"/>
      <c r="K705" s="204"/>
      <c r="L705" s="203"/>
      <c r="M705" s="204"/>
      <c r="N705" s="205"/>
      <c r="O705" s="205"/>
      <c r="P705" s="204"/>
      <c r="Q705" s="205"/>
      <c r="R705" s="204"/>
      <c r="S705" s="204"/>
      <c r="T705" s="204"/>
      <c r="U705" s="205"/>
      <c r="V705" s="204"/>
      <c r="W705" s="204"/>
      <c r="X705" s="204"/>
      <c r="Y705" s="204"/>
      <c r="Z705" s="204"/>
      <c r="AA705" s="204"/>
      <c r="AB705" s="204"/>
      <c r="AC705" s="204"/>
      <c r="AD705" s="204"/>
    </row>
    <row r="706">
      <c r="A706" s="202"/>
      <c r="B706" s="203"/>
      <c r="C706" s="204"/>
      <c r="D706" s="203"/>
      <c r="E706" s="204"/>
      <c r="F706" s="204"/>
      <c r="G706" s="93"/>
      <c r="H706" s="204"/>
      <c r="I706" s="205"/>
      <c r="J706" s="204"/>
      <c r="K706" s="204"/>
      <c r="L706" s="203"/>
      <c r="M706" s="204"/>
      <c r="N706" s="205"/>
      <c r="O706" s="205"/>
      <c r="P706" s="204"/>
      <c r="Q706" s="205"/>
      <c r="R706" s="204"/>
      <c r="S706" s="204"/>
      <c r="T706" s="204"/>
      <c r="U706" s="205"/>
      <c r="V706" s="204"/>
      <c r="W706" s="204"/>
      <c r="X706" s="204"/>
      <c r="Y706" s="204"/>
      <c r="Z706" s="204"/>
      <c r="AA706" s="204"/>
      <c r="AB706" s="204"/>
      <c r="AC706" s="204"/>
      <c r="AD706" s="204"/>
    </row>
    <row r="707">
      <c r="A707" s="202"/>
      <c r="B707" s="203"/>
      <c r="C707" s="204"/>
      <c r="D707" s="203"/>
      <c r="E707" s="204"/>
      <c r="F707" s="204"/>
      <c r="G707" s="93"/>
      <c r="H707" s="204"/>
      <c r="I707" s="205"/>
      <c r="J707" s="204"/>
      <c r="K707" s="204"/>
      <c r="L707" s="203"/>
      <c r="M707" s="204"/>
      <c r="N707" s="205"/>
      <c r="O707" s="205"/>
      <c r="P707" s="204"/>
      <c r="Q707" s="205"/>
      <c r="R707" s="204"/>
      <c r="S707" s="204"/>
      <c r="T707" s="204"/>
      <c r="U707" s="205"/>
      <c r="V707" s="204"/>
      <c r="W707" s="204"/>
      <c r="X707" s="204"/>
      <c r="Y707" s="204"/>
      <c r="Z707" s="204"/>
      <c r="AA707" s="204"/>
      <c r="AB707" s="204"/>
      <c r="AC707" s="204"/>
      <c r="AD707" s="204"/>
    </row>
    <row r="708">
      <c r="A708" s="202"/>
      <c r="B708" s="203"/>
      <c r="C708" s="204"/>
      <c r="D708" s="203"/>
      <c r="E708" s="204"/>
      <c r="F708" s="204"/>
      <c r="G708" s="93"/>
      <c r="H708" s="204"/>
      <c r="I708" s="205"/>
      <c r="J708" s="204"/>
      <c r="K708" s="204"/>
      <c r="L708" s="203"/>
      <c r="M708" s="204"/>
      <c r="N708" s="205"/>
      <c r="O708" s="205"/>
      <c r="P708" s="204"/>
      <c r="Q708" s="205"/>
      <c r="R708" s="204"/>
      <c r="S708" s="204"/>
      <c r="T708" s="204"/>
      <c r="U708" s="205"/>
      <c r="V708" s="204"/>
      <c r="W708" s="204"/>
      <c r="X708" s="204"/>
      <c r="Y708" s="204"/>
      <c r="Z708" s="204"/>
      <c r="AA708" s="204"/>
      <c r="AB708" s="204"/>
      <c r="AC708" s="204"/>
      <c r="AD708" s="204"/>
    </row>
    <row r="709">
      <c r="A709" s="202"/>
      <c r="B709" s="203"/>
      <c r="C709" s="204"/>
      <c r="D709" s="203"/>
      <c r="E709" s="204"/>
      <c r="F709" s="204"/>
      <c r="G709" s="93"/>
      <c r="H709" s="204"/>
      <c r="I709" s="205"/>
      <c r="J709" s="204"/>
      <c r="K709" s="204"/>
      <c r="L709" s="203"/>
      <c r="M709" s="204"/>
      <c r="N709" s="205"/>
      <c r="O709" s="205"/>
      <c r="P709" s="204"/>
      <c r="Q709" s="205"/>
      <c r="R709" s="204"/>
      <c r="S709" s="204"/>
      <c r="T709" s="204"/>
      <c r="U709" s="205"/>
      <c r="V709" s="204"/>
      <c r="W709" s="204"/>
      <c r="X709" s="204"/>
      <c r="Y709" s="204"/>
      <c r="Z709" s="204"/>
      <c r="AA709" s="204"/>
      <c r="AB709" s="204"/>
      <c r="AC709" s="204"/>
      <c r="AD709" s="204"/>
    </row>
    <row r="710">
      <c r="A710" s="202"/>
      <c r="B710" s="203"/>
      <c r="C710" s="204"/>
      <c r="D710" s="203"/>
      <c r="E710" s="204"/>
      <c r="F710" s="204"/>
      <c r="G710" s="93"/>
      <c r="H710" s="204"/>
      <c r="I710" s="205"/>
      <c r="J710" s="204"/>
      <c r="K710" s="204"/>
      <c r="L710" s="203"/>
      <c r="M710" s="204"/>
      <c r="N710" s="205"/>
      <c r="O710" s="205"/>
      <c r="P710" s="204"/>
      <c r="Q710" s="205"/>
      <c r="R710" s="204"/>
      <c r="S710" s="204"/>
      <c r="T710" s="204"/>
      <c r="U710" s="205"/>
      <c r="V710" s="204"/>
      <c r="W710" s="204"/>
      <c r="X710" s="204"/>
      <c r="Y710" s="204"/>
      <c r="Z710" s="204"/>
      <c r="AA710" s="204"/>
      <c r="AB710" s="204"/>
      <c r="AC710" s="204"/>
      <c r="AD710" s="204"/>
    </row>
    <row r="711">
      <c r="A711" s="202"/>
      <c r="B711" s="203"/>
      <c r="C711" s="204"/>
      <c r="D711" s="203"/>
      <c r="E711" s="204"/>
      <c r="F711" s="204"/>
      <c r="G711" s="93"/>
      <c r="H711" s="204"/>
      <c r="I711" s="205"/>
      <c r="J711" s="204"/>
      <c r="K711" s="204"/>
      <c r="L711" s="203"/>
      <c r="M711" s="204"/>
      <c r="N711" s="205"/>
      <c r="O711" s="205"/>
      <c r="P711" s="204"/>
      <c r="Q711" s="205"/>
      <c r="R711" s="204"/>
      <c r="S711" s="204"/>
      <c r="T711" s="204"/>
      <c r="U711" s="205"/>
      <c r="V711" s="204"/>
      <c r="W711" s="204"/>
      <c r="X711" s="204"/>
      <c r="Y711" s="204"/>
      <c r="Z711" s="204"/>
      <c r="AA711" s="204"/>
      <c r="AB711" s="204"/>
      <c r="AC711" s="204"/>
      <c r="AD711" s="204"/>
    </row>
    <row r="712">
      <c r="A712" s="202"/>
      <c r="B712" s="203"/>
      <c r="C712" s="204"/>
      <c r="D712" s="203"/>
      <c r="E712" s="204"/>
      <c r="F712" s="204"/>
      <c r="G712" s="93"/>
      <c r="H712" s="204"/>
      <c r="I712" s="205"/>
      <c r="J712" s="204"/>
      <c r="K712" s="204"/>
      <c r="L712" s="203"/>
      <c r="M712" s="204"/>
      <c r="N712" s="205"/>
      <c r="O712" s="205"/>
      <c r="P712" s="204"/>
      <c r="Q712" s="205"/>
      <c r="R712" s="204"/>
      <c r="S712" s="204"/>
      <c r="T712" s="204"/>
      <c r="U712" s="205"/>
      <c r="V712" s="204"/>
      <c r="W712" s="204"/>
      <c r="X712" s="204"/>
      <c r="Y712" s="204"/>
      <c r="Z712" s="204"/>
      <c r="AA712" s="204"/>
      <c r="AB712" s="204"/>
      <c r="AC712" s="204"/>
      <c r="AD712" s="204"/>
    </row>
    <row r="713">
      <c r="A713" s="202"/>
      <c r="B713" s="203"/>
      <c r="C713" s="204"/>
      <c r="D713" s="203"/>
      <c r="E713" s="204"/>
      <c r="F713" s="204"/>
      <c r="G713" s="93"/>
      <c r="H713" s="204"/>
      <c r="I713" s="205"/>
      <c r="J713" s="204"/>
      <c r="K713" s="204"/>
      <c r="L713" s="203"/>
      <c r="M713" s="204"/>
      <c r="N713" s="205"/>
      <c r="O713" s="205"/>
      <c r="P713" s="204"/>
      <c r="Q713" s="205"/>
      <c r="R713" s="204"/>
      <c r="S713" s="204"/>
      <c r="T713" s="204"/>
      <c r="U713" s="205"/>
      <c r="V713" s="204"/>
      <c r="W713" s="204"/>
      <c r="X713" s="204"/>
      <c r="Y713" s="204"/>
      <c r="Z713" s="204"/>
      <c r="AA713" s="204"/>
      <c r="AB713" s="204"/>
      <c r="AC713" s="204"/>
      <c r="AD713" s="204"/>
    </row>
    <row r="714">
      <c r="A714" s="202"/>
      <c r="B714" s="203"/>
      <c r="C714" s="204"/>
      <c r="D714" s="203"/>
      <c r="E714" s="204"/>
      <c r="F714" s="204"/>
      <c r="G714" s="93"/>
      <c r="H714" s="204"/>
      <c r="I714" s="205"/>
      <c r="J714" s="204"/>
      <c r="K714" s="204"/>
      <c r="L714" s="203"/>
      <c r="M714" s="204"/>
      <c r="N714" s="205"/>
      <c r="O714" s="205"/>
      <c r="P714" s="204"/>
      <c r="Q714" s="205"/>
      <c r="R714" s="204"/>
      <c r="S714" s="204"/>
      <c r="T714" s="204"/>
      <c r="U714" s="205"/>
      <c r="V714" s="204"/>
      <c r="W714" s="204"/>
      <c r="X714" s="204"/>
      <c r="Y714" s="204"/>
      <c r="Z714" s="204"/>
      <c r="AA714" s="204"/>
      <c r="AB714" s="204"/>
      <c r="AC714" s="204"/>
      <c r="AD714" s="204"/>
    </row>
    <row r="715">
      <c r="A715" s="202"/>
      <c r="B715" s="203"/>
      <c r="C715" s="204"/>
      <c r="D715" s="203"/>
      <c r="E715" s="204"/>
      <c r="F715" s="204"/>
      <c r="G715" s="93"/>
      <c r="H715" s="204"/>
      <c r="I715" s="205"/>
      <c r="J715" s="204"/>
      <c r="K715" s="204"/>
      <c r="L715" s="203"/>
      <c r="M715" s="204"/>
      <c r="N715" s="205"/>
      <c r="O715" s="205"/>
      <c r="P715" s="204"/>
      <c r="Q715" s="205"/>
      <c r="R715" s="204"/>
      <c r="S715" s="204"/>
      <c r="T715" s="204"/>
      <c r="U715" s="205"/>
      <c r="V715" s="204"/>
      <c r="W715" s="204"/>
      <c r="X715" s="204"/>
      <c r="Y715" s="204"/>
      <c r="Z715" s="204"/>
      <c r="AA715" s="204"/>
      <c r="AB715" s="204"/>
      <c r="AC715" s="204"/>
      <c r="AD715" s="204"/>
    </row>
    <row r="716">
      <c r="A716" s="202"/>
      <c r="B716" s="203"/>
      <c r="C716" s="204"/>
      <c r="D716" s="203"/>
      <c r="E716" s="204"/>
      <c r="F716" s="204"/>
      <c r="G716" s="93"/>
      <c r="H716" s="204"/>
      <c r="I716" s="205"/>
      <c r="J716" s="204"/>
      <c r="K716" s="204"/>
      <c r="L716" s="203"/>
      <c r="M716" s="204"/>
      <c r="N716" s="205"/>
      <c r="O716" s="205"/>
      <c r="P716" s="204"/>
      <c r="Q716" s="205"/>
      <c r="R716" s="204"/>
      <c r="S716" s="204"/>
      <c r="T716" s="204"/>
      <c r="U716" s="205"/>
      <c r="V716" s="204"/>
      <c r="W716" s="204"/>
      <c r="X716" s="204"/>
      <c r="Y716" s="204"/>
      <c r="Z716" s="204"/>
      <c r="AA716" s="204"/>
      <c r="AB716" s="204"/>
      <c r="AC716" s="204"/>
      <c r="AD716" s="204"/>
    </row>
    <row r="717">
      <c r="A717" s="202"/>
      <c r="B717" s="203"/>
      <c r="C717" s="204"/>
      <c r="D717" s="203"/>
      <c r="E717" s="204"/>
      <c r="F717" s="204"/>
      <c r="G717" s="93"/>
      <c r="H717" s="204"/>
      <c r="I717" s="205"/>
      <c r="J717" s="204"/>
      <c r="K717" s="204"/>
      <c r="L717" s="203"/>
      <c r="M717" s="204"/>
      <c r="N717" s="205"/>
      <c r="O717" s="205"/>
      <c r="P717" s="204"/>
      <c r="Q717" s="205"/>
      <c r="R717" s="204"/>
      <c r="S717" s="204"/>
      <c r="T717" s="204"/>
      <c r="U717" s="205"/>
      <c r="V717" s="204"/>
      <c r="W717" s="204"/>
      <c r="X717" s="204"/>
      <c r="Y717" s="204"/>
      <c r="Z717" s="204"/>
      <c r="AA717" s="204"/>
      <c r="AB717" s="204"/>
      <c r="AC717" s="204"/>
      <c r="AD717" s="204"/>
    </row>
    <row r="718">
      <c r="A718" s="202"/>
      <c r="B718" s="203"/>
      <c r="C718" s="204"/>
      <c r="D718" s="203"/>
      <c r="E718" s="204"/>
      <c r="F718" s="204"/>
      <c r="G718" s="93"/>
      <c r="H718" s="204"/>
      <c r="I718" s="205"/>
      <c r="J718" s="204"/>
      <c r="K718" s="204"/>
      <c r="L718" s="203"/>
      <c r="M718" s="204"/>
      <c r="N718" s="205"/>
      <c r="O718" s="205"/>
      <c r="P718" s="204"/>
      <c r="Q718" s="205"/>
      <c r="R718" s="204"/>
      <c r="S718" s="204"/>
      <c r="T718" s="204"/>
      <c r="U718" s="205"/>
      <c r="V718" s="204"/>
      <c r="W718" s="204"/>
      <c r="X718" s="204"/>
      <c r="Y718" s="204"/>
      <c r="Z718" s="204"/>
      <c r="AA718" s="204"/>
      <c r="AB718" s="204"/>
      <c r="AC718" s="204"/>
      <c r="AD718" s="204"/>
    </row>
    <row r="719">
      <c r="A719" s="202"/>
      <c r="B719" s="203"/>
      <c r="C719" s="204"/>
      <c r="D719" s="203"/>
      <c r="E719" s="204"/>
      <c r="F719" s="204"/>
      <c r="G719" s="93"/>
      <c r="H719" s="204"/>
      <c r="I719" s="205"/>
      <c r="J719" s="204"/>
      <c r="K719" s="204"/>
      <c r="L719" s="203"/>
      <c r="M719" s="204"/>
      <c r="N719" s="205"/>
      <c r="O719" s="205"/>
      <c r="P719" s="204"/>
      <c r="Q719" s="205"/>
      <c r="R719" s="204"/>
      <c r="S719" s="204"/>
      <c r="T719" s="204"/>
      <c r="U719" s="205"/>
      <c r="V719" s="204"/>
      <c r="W719" s="204"/>
      <c r="X719" s="204"/>
      <c r="Y719" s="204"/>
      <c r="Z719" s="204"/>
      <c r="AA719" s="204"/>
      <c r="AB719" s="204"/>
      <c r="AC719" s="204"/>
      <c r="AD719" s="204"/>
    </row>
    <row r="720">
      <c r="A720" s="202"/>
      <c r="B720" s="203"/>
      <c r="C720" s="204"/>
      <c r="D720" s="203"/>
      <c r="E720" s="204"/>
      <c r="F720" s="204"/>
      <c r="G720" s="93"/>
      <c r="H720" s="204"/>
      <c r="I720" s="205"/>
      <c r="J720" s="204"/>
      <c r="K720" s="204"/>
      <c r="L720" s="203"/>
      <c r="M720" s="204"/>
      <c r="N720" s="205"/>
      <c r="O720" s="205"/>
      <c r="P720" s="204"/>
      <c r="Q720" s="205"/>
      <c r="R720" s="204"/>
      <c r="S720" s="204"/>
      <c r="T720" s="204"/>
      <c r="U720" s="205"/>
      <c r="V720" s="204"/>
      <c r="W720" s="204"/>
      <c r="X720" s="204"/>
      <c r="Y720" s="204"/>
      <c r="Z720" s="204"/>
      <c r="AA720" s="204"/>
      <c r="AB720" s="204"/>
      <c r="AC720" s="204"/>
      <c r="AD720" s="204"/>
    </row>
    <row r="721">
      <c r="A721" s="202"/>
      <c r="B721" s="203"/>
      <c r="C721" s="204"/>
      <c r="D721" s="203"/>
      <c r="E721" s="204"/>
      <c r="F721" s="204"/>
      <c r="G721" s="93"/>
      <c r="H721" s="204"/>
      <c r="I721" s="205"/>
      <c r="J721" s="204"/>
      <c r="K721" s="204"/>
      <c r="L721" s="203"/>
      <c r="M721" s="204"/>
      <c r="N721" s="205"/>
      <c r="O721" s="205"/>
      <c r="P721" s="204"/>
      <c r="Q721" s="205"/>
      <c r="R721" s="204"/>
      <c r="S721" s="204"/>
      <c r="T721" s="204"/>
      <c r="U721" s="205"/>
      <c r="V721" s="204"/>
      <c r="W721" s="204"/>
      <c r="X721" s="204"/>
      <c r="Y721" s="204"/>
      <c r="Z721" s="204"/>
      <c r="AA721" s="204"/>
      <c r="AB721" s="204"/>
      <c r="AC721" s="204"/>
      <c r="AD721" s="204"/>
    </row>
    <row r="722">
      <c r="A722" s="202"/>
      <c r="B722" s="203"/>
      <c r="C722" s="204"/>
      <c r="D722" s="203"/>
      <c r="E722" s="204"/>
      <c r="F722" s="204"/>
      <c r="G722" s="93"/>
      <c r="H722" s="204"/>
      <c r="I722" s="205"/>
      <c r="J722" s="204"/>
      <c r="K722" s="204"/>
      <c r="L722" s="203"/>
      <c r="M722" s="204"/>
      <c r="N722" s="205"/>
      <c r="O722" s="205"/>
      <c r="P722" s="204"/>
      <c r="Q722" s="205"/>
      <c r="R722" s="204"/>
      <c r="S722" s="204"/>
      <c r="T722" s="204"/>
      <c r="U722" s="205"/>
      <c r="V722" s="204"/>
      <c r="W722" s="204"/>
      <c r="X722" s="204"/>
      <c r="Y722" s="204"/>
      <c r="Z722" s="204"/>
      <c r="AA722" s="204"/>
      <c r="AB722" s="204"/>
      <c r="AC722" s="204"/>
      <c r="AD722" s="204"/>
    </row>
    <row r="723">
      <c r="A723" s="202"/>
      <c r="B723" s="203"/>
      <c r="C723" s="204"/>
      <c r="D723" s="203"/>
      <c r="E723" s="204"/>
      <c r="F723" s="204"/>
      <c r="G723" s="93"/>
      <c r="H723" s="204"/>
      <c r="I723" s="205"/>
      <c r="J723" s="204"/>
      <c r="K723" s="204"/>
      <c r="L723" s="203"/>
      <c r="M723" s="204"/>
      <c r="N723" s="205"/>
      <c r="O723" s="205"/>
      <c r="P723" s="204"/>
      <c r="Q723" s="205"/>
      <c r="R723" s="204"/>
      <c r="S723" s="204"/>
      <c r="T723" s="204"/>
      <c r="U723" s="205"/>
      <c r="V723" s="204"/>
      <c r="W723" s="204"/>
      <c r="X723" s="204"/>
      <c r="Y723" s="204"/>
      <c r="Z723" s="204"/>
      <c r="AA723" s="204"/>
      <c r="AB723" s="204"/>
      <c r="AC723" s="204"/>
      <c r="AD723" s="204"/>
    </row>
    <row r="724">
      <c r="A724" s="202"/>
      <c r="B724" s="203"/>
      <c r="C724" s="204"/>
      <c r="D724" s="203"/>
      <c r="E724" s="204"/>
      <c r="F724" s="204"/>
      <c r="G724" s="93"/>
      <c r="H724" s="204"/>
      <c r="I724" s="205"/>
      <c r="J724" s="204"/>
      <c r="K724" s="204"/>
      <c r="L724" s="203"/>
      <c r="M724" s="204"/>
      <c r="N724" s="205"/>
      <c r="O724" s="205"/>
      <c r="P724" s="204"/>
      <c r="Q724" s="205"/>
      <c r="R724" s="204"/>
      <c r="S724" s="204"/>
      <c r="T724" s="204"/>
      <c r="U724" s="205"/>
      <c r="V724" s="204"/>
      <c r="W724" s="204"/>
      <c r="X724" s="204"/>
      <c r="Y724" s="204"/>
      <c r="Z724" s="204"/>
      <c r="AA724" s="204"/>
      <c r="AB724" s="204"/>
      <c r="AC724" s="204"/>
      <c r="AD724" s="204"/>
    </row>
    <row r="725">
      <c r="A725" s="202"/>
      <c r="B725" s="203"/>
      <c r="C725" s="204"/>
      <c r="D725" s="203"/>
      <c r="E725" s="204"/>
      <c r="F725" s="204"/>
      <c r="G725" s="93"/>
      <c r="H725" s="204"/>
      <c r="I725" s="205"/>
      <c r="J725" s="204"/>
      <c r="K725" s="204"/>
      <c r="L725" s="203"/>
      <c r="M725" s="204"/>
      <c r="N725" s="205"/>
      <c r="O725" s="205"/>
      <c r="P725" s="204"/>
      <c r="Q725" s="205"/>
      <c r="R725" s="204"/>
      <c r="S725" s="204"/>
      <c r="T725" s="204"/>
      <c r="U725" s="205"/>
      <c r="V725" s="204"/>
      <c r="W725" s="204"/>
      <c r="X725" s="204"/>
      <c r="Y725" s="204"/>
      <c r="Z725" s="204"/>
      <c r="AA725" s="204"/>
      <c r="AB725" s="204"/>
      <c r="AC725" s="204"/>
      <c r="AD725" s="204"/>
    </row>
    <row r="726">
      <c r="A726" s="202"/>
      <c r="B726" s="203"/>
      <c r="C726" s="204"/>
      <c r="D726" s="203"/>
      <c r="E726" s="204"/>
      <c r="F726" s="204"/>
      <c r="G726" s="93"/>
      <c r="H726" s="204"/>
      <c r="I726" s="205"/>
      <c r="J726" s="204"/>
      <c r="K726" s="204"/>
      <c r="L726" s="203"/>
      <c r="M726" s="204"/>
      <c r="N726" s="205"/>
      <c r="O726" s="205"/>
      <c r="P726" s="204"/>
      <c r="Q726" s="205"/>
      <c r="R726" s="204"/>
      <c r="S726" s="204"/>
      <c r="T726" s="204"/>
      <c r="U726" s="205"/>
      <c r="V726" s="204"/>
      <c r="W726" s="204"/>
      <c r="X726" s="204"/>
      <c r="Y726" s="204"/>
      <c r="Z726" s="204"/>
      <c r="AA726" s="204"/>
      <c r="AB726" s="204"/>
      <c r="AC726" s="204"/>
      <c r="AD726" s="204"/>
    </row>
    <row r="727">
      <c r="A727" s="202"/>
      <c r="B727" s="203"/>
      <c r="C727" s="204"/>
      <c r="D727" s="203"/>
      <c r="E727" s="204"/>
      <c r="F727" s="204"/>
      <c r="G727" s="93"/>
      <c r="H727" s="204"/>
      <c r="I727" s="205"/>
      <c r="J727" s="204"/>
      <c r="K727" s="204"/>
      <c r="L727" s="203"/>
      <c r="M727" s="204"/>
      <c r="N727" s="205"/>
      <c r="O727" s="205"/>
      <c r="P727" s="204"/>
      <c r="Q727" s="205"/>
      <c r="R727" s="204"/>
      <c r="S727" s="204"/>
      <c r="T727" s="204"/>
      <c r="U727" s="205"/>
      <c r="V727" s="204"/>
      <c r="W727" s="204"/>
      <c r="X727" s="204"/>
      <c r="Y727" s="204"/>
      <c r="Z727" s="204"/>
      <c r="AA727" s="204"/>
      <c r="AB727" s="204"/>
      <c r="AC727" s="204"/>
      <c r="AD727" s="204"/>
    </row>
    <row r="728">
      <c r="A728" s="202"/>
      <c r="B728" s="203"/>
      <c r="C728" s="204"/>
      <c r="D728" s="203"/>
      <c r="E728" s="204"/>
      <c r="F728" s="204"/>
      <c r="G728" s="93"/>
      <c r="H728" s="204"/>
      <c r="I728" s="205"/>
      <c r="J728" s="204"/>
      <c r="K728" s="204"/>
      <c r="L728" s="203"/>
      <c r="M728" s="204"/>
      <c r="N728" s="205"/>
      <c r="O728" s="205"/>
      <c r="P728" s="204"/>
      <c r="Q728" s="205"/>
      <c r="R728" s="204"/>
      <c r="S728" s="204"/>
      <c r="T728" s="204"/>
      <c r="U728" s="205"/>
      <c r="V728" s="204"/>
      <c r="W728" s="204"/>
      <c r="X728" s="204"/>
      <c r="Y728" s="204"/>
      <c r="Z728" s="204"/>
      <c r="AA728" s="204"/>
      <c r="AB728" s="204"/>
      <c r="AC728" s="204"/>
      <c r="AD728" s="204"/>
    </row>
    <row r="729">
      <c r="A729" s="202"/>
      <c r="B729" s="203"/>
      <c r="C729" s="204"/>
      <c r="D729" s="203"/>
      <c r="E729" s="204"/>
      <c r="F729" s="204"/>
      <c r="G729" s="93"/>
      <c r="H729" s="204"/>
      <c r="I729" s="205"/>
      <c r="J729" s="204"/>
      <c r="K729" s="204"/>
      <c r="L729" s="203"/>
      <c r="M729" s="204"/>
      <c r="N729" s="205"/>
      <c r="O729" s="205"/>
      <c r="P729" s="204"/>
      <c r="Q729" s="205"/>
      <c r="R729" s="204"/>
      <c r="S729" s="204"/>
      <c r="T729" s="204"/>
      <c r="U729" s="205"/>
      <c r="V729" s="204"/>
      <c r="W729" s="204"/>
      <c r="X729" s="204"/>
      <c r="Y729" s="204"/>
      <c r="Z729" s="204"/>
      <c r="AA729" s="204"/>
      <c r="AB729" s="204"/>
      <c r="AC729" s="204"/>
      <c r="AD729" s="204"/>
    </row>
    <row r="730">
      <c r="A730" s="202"/>
      <c r="B730" s="203"/>
      <c r="C730" s="204"/>
      <c r="D730" s="203"/>
      <c r="E730" s="204"/>
      <c r="F730" s="204"/>
      <c r="G730" s="93"/>
      <c r="H730" s="204"/>
      <c r="I730" s="205"/>
      <c r="J730" s="204"/>
      <c r="K730" s="204"/>
      <c r="L730" s="203"/>
      <c r="M730" s="204"/>
      <c r="N730" s="205"/>
      <c r="O730" s="205"/>
      <c r="P730" s="204"/>
      <c r="Q730" s="205"/>
      <c r="R730" s="204"/>
      <c r="S730" s="204"/>
      <c r="T730" s="204"/>
      <c r="U730" s="205"/>
      <c r="V730" s="204"/>
      <c r="W730" s="204"/>
      <c r="X730" s="204"/>
      <c r="Y730" s="204"/>
      <c r="Z730" s="204"/>
      <c r="AA730" s="204"/>
      <c r="AB730" s="204"/>
      <c r="AC730" s="204"/>
      <c r="AD730" s="204"/>
    </row>
    <row r="731">
      <c r="A731" s="202"/>
      <c r="B731" s="203"/>
      <c r="C731" s="204"/>
      <c r="D731" s="203"/>
      <c r="E731" s="204"/>
      <c r="F731" s="204"/>
      <c r="G731" s="93"/>
      <c r="H731" s="204"/>
      <c r="I731" s="205"/>
      <c r="J731" s="204"/>
      <c r="K731" s="204"/>
      <c r="L731" s="203"/>
      <c r="M731" s="204"/>
      <c r="N731" s="205"/>
      <c r="O731" s="205"/>
      <c r="P731" s="204"/>
      <c r="Q731" s="205"/>
      <c r="R731" s="204"/>
      <c r="S731" s="204"/>
      <c r="T731" s="204"/>
      <c r="U731" s="205"/>
      <c r="V731" s="204"/>
      <c r="W731" s="204"/>
      <c r="X731" s="204"/>
      <c r="Y731" s="204"/>
      <c r="Z731" s="204"/>
      <c r="AA731" s="204"/>
      <c r="AB731" s="204"/>
      <c r="AC731" s="204"/>
      <c r="AD731" s="204"/>
    </row>
    <row r="732">
      <c r="A732" s="202"/>
      <c r="B732" s="203"/>
      <c r="C732" s="204"/>
      <c r="D732" s="203"/>
      <c r="E732" s="204"/>
      <c r="F732" s="204"/>
      <c r="G732" s="93"/>
      <c r="H732" s="204"/>
      <c r="I732" s="205"/>
      <c r="J732" s="204"/>
      <c r="K732" s="204"/>
      <c r="L732" s="203"/>
      <c r="M732" s="204"/>
      <c r="N732" s="205"/>
      <c r="O732" s="205"/>
      <c r="P732" s="204"/>
      <c r="Q732" s="205"/>
      <c r="R732" s="204"/>
      <c r="S732" s="204"/>
      <c r="T732" s="204"/>
      <c r="U732" s="205"/>
      <c r="V732" s="204"/>
      <c r="W732" s="204"/>
      <c r="X732" s="204"/>
      <c r="Y732" s="204"/>
      <c r="Z732" s="204"/>
      <c r="AA732" s="204"/>
      <c r="AB732" s="204"/>
      <c r="AC732" s="204"/>
      <c r="AD732" s="204"/>
    </row>
    <row r="733">
      <c r="A733" s="202"/>
      <c r="B733" s="203"/>
      <c r="C733" s="204"/>
      <c r="D733" s="203"/>
      <c r="E733" s="204"/>
      <c r="F733" s="204"/>
      <c r="G733" s="93"/>
      <c r="H733" s="204"/>
      <c r="I733" s="205"/>
      <c r="J733" s="204"/>
      <c r="K733" s="204"/>
      <c r="L733" s="203"/>
      <c r="M733" s="204"/>
      <c r="N733" s="205"/>
      <c r="O733" s="205"/>
      <c r="P733" s="204"/>
      <c r="Q733" s="205"/>
      <c r="R733" s="204"/>
      <c r="S733" s="204"/>
      <c r="T733" s="204"/>
      <c r="U733" s="205"/>
      <c r="V733" s="204"/>
      <c r="W733" s="204"/>
      <c r="X733" s="204"/>
      <c r="Y733" s="204"/>
      <c r="Z733" s="204"/>
      <c r="AA733" s="204"/>
      <c r="AB733" s="204"/>
      <c r="AC733" s="204"/>
      <c r="AD733" s="204"/>
    </row>
    <row r="734">
      <c r="A734" s="202"/>
      <c r="B734" s="203"/>
      <c r="C734" s="204"/>
      <c r="D734" s="203"/>
      <c r="E734" s="204"/>
      <c r="F734" s="204"/>
      <c r="G734" s="93"/>
      <c r="H734" s="204"/>
      <c r="I734" s="205"/>
      <c r="J734" s="204"/>
      <c r="K734" s="204"/>
      <c r="L734" s="203"/>
      <c r="M734" s="204"/>
      <c r="N734" s="205"/>
      <c r="O734" s="205"/>
      <c r="P734" s="204"/>
      <c r="Q734" s="205"/>
      <c r="R734" s="204"/>
      <c r="S734" s="204"/>
      <c r="T734" s="204"/>
      <c r="U734" s="205"/>
      <c r="V734" s="204"/>
      <c r="W734" s="204"/>
      <c r="X734" s="204"/>
      <c r="Y734" s="204"/>
      <c r="Z734" s="204"/>
      <c r="AA734" s="204"/>
      <c r="AB734" s="204"/>
      <c r="AC734" s="204"/>
      <c r="AD734" s="204"/>
    </row>
    <row r="735">
      <c r="A735" s="202"/>
      <c r="B735" s="203"/>
      <c r="C735" s="204"/>
      <c r="D735" s="203"/>
      <c r="E735" s="204"/>
      <c r="F735" s="204"/>
      <c r="G735" s="93"/>
      <c r="H735" s="204"/>
      <c r="I735" s="205"/>
      <c r="J735" s="204"/>
      <c r="K735" s="204"/>
      <c r="L735" s="203"/>
      <c r="M735" s="204"/>
      <c r="N735" s="205"/>
      <c r="O735" s="205"/>
      <c r="P735" s="204"/>
      <c r="Q735" s="205"/>
      <c r="R735" s="204"/>
      <c r="S735" s="204"/>
      <c r="T735" s="204"/>
      <c r="U735" s="205"/>
      <c r="V735" s="204"/>
      <c r="W735" s="204"/>
      <c r="X735" s="204"/>
      <c r="Y735" s="204"/>
      <c r="Z735" s="204"/>
      <c r="AA735" s="204"/>
      <c r="AB735" s="204"/>
      <c r="AC735" s="204"/>
      <c r="AD735" s="204"/>
    </row>
    <row r="736">
      <c r="A736" s="202"/>
      <c r="B736" s="203"/>
      <c r="C736" s="204"/>
      <c r="D736" s="203"/>
      <c r="E736" s="204"/>
      <c r="F736" s="204"/>
      <c r="G736" s="93"/>
      <c r="H736" s="204"/>
      <c r="I736" s="205"/>
      <c r="J736" s="204"/>
      <c r="K736" s="204"/>
      <c r="L736" s="203"/>
      <c r="M736" s="204"/>
      <c r="N736" s="205"/>
      <c r="O736" s="205"/>
      <c r="P736" s="204"/>
      <c r="Q736" s="205"/>
      <c r="R736" s="204"/>
      <c r="S736" s="204"/>
      <c r="T736" s="204"/>
      <c r="U736" s="205"/>
      <c r="V736" s="204"/>
      <c r="W736" s="204"/>
      <c r="X736" s="204"/>
      <c r="Y736" s="204"/>
      <c r="Z736" s="204"/>
      <c r="AA736" s="204"/>
      <c r="AB736" s="204"/>
      <c r="AC736" s="204"/>
      <c r="AD736" s="204"/>
    </row>
    <row r="737">
      <c r="A737" s="202"/>
      <c r="B737" s="203"/>
      <c r="C737" s="204"/>
      <c r="D737" s="203"/>
      <c r="E737" s="204"/>
      <c r="F737" s="204"/>
      <c r="G737" s="93"/>
      <c r="H737" s="204"/>
      <c r="I737" s="205"/>
      <c r="J737" s="204"/>
      <c r="K737" s="204"/>
      <c r="L737" s="203"/>
      <c r="M737" s="204"/>
      <c r="N737" s="205"/>
      <c r="O737" s="205"/>
      <c r="P737" s="204"/>
      <c r="Q737" s="205"/>
      <c r="R737" s="204"/>
      <c r="S737" s="204"/>
      <c r="T737" s="204"/>
      <c r="U737" s="205"/>
      <c r="V737" s="204"/>
      <c r="W737" s="204"/>
      <c r="X737" s="204"/>
      <c r="Y737" s="204"/>
      <c r="Z737" s="204"/>
      <c r="AA737" s="204"/>
      <c r="AB737" s="204"/>
      <c r="AC737" s="204"/>
      <c r="AD737" s="204"/>
    </row>
    <row r="738">
      <c r="A738" s="202"/>
      <c r="B738" s="203"/>
      <c r="C738" s="204"/>
      <c r="D738" s="203"/>
      <c r="E738" s="204"/>
      <c r="F738" s="204"/>
      <c r="G738" s="93"/>
      <c r="H738" s="204"/>
      <c r="I738" s="205"/>
      <c r="J738" s="204"/>
      <c r="K738" s="204"/>
      <c r="L738" s="203"/>
      <c r="M738" s="204"/>
      <c r="N738" s="205"/>
      <c r="O738" s="205"/>
      <c r="P738" s="204"/>
      <c r="Q738" s="205"/>
      <c r="R738" s="204"/>
      <c r="S738" s="204"/>
      <c r="T738" s="204"/>
      <c r="U738" s="205"/>
      <c r="V738" s="204"/>
      <c r="W738" s="204"/>
      <c r="X738" s="204"/>
      <c r="Y738" s="204"/>
      <c r="Z738" s="204"/>
      <c r="AA738" s="204"/>
      <c r="AB738" s="204"/>
      <c r="AC738" s="204"/>
      <c r="AD738" s="204"/>
    </row>
    <row r="739">
      <c r="A739" s="202"/>
      <c r="B739" s="203"/>
      <c r="C739" s="204"/>
      <c r="D739" s="203"/>
      <c r="E739" s="204"/>
      <c r="F739" s="204"/>
      <c r="G739" s="93"/>
      <c r="H739" s="204"/>
      <c r="I739" s="205"/>
      <c r="J739" s="204"/>
      <c r="K739" s="204"/>
      <c r="L739" s="203"/>
      <c r="M739" s="204"/>
      <c r="N739" s="205"/>
      <c r="O739" s="205"/>
      <c r="P739" s="204"/>
      <c r="Q739" s="205"/>
      <c r="R739" s="204"/>
      <c r="S739" s="204"/>
      <c r="T739" s="204"/>
      <c r="U739" s="205"/>
      <c r="V739" s="204"/>
      <c r="W739" s="204"/>
      <c r="X739" s="204"/>
      <c r="Y739" s="204"/>
      <c r="Z739" s="204"/>
      <c r="AA739" s="204"/>
      <c r="AB739" s="204"/>
      <c r="AC739" s="204"/>
      <c r="AD739" s="204"/>
    </row>
    <row r="740">
      <c r="A740" s="202"/>
      <c r="B740" s="203"/>
      <c r="C740" s="204"/>
      <c r="D740" s="203"/>
      <c r="E740" s="204"/>
      <c r="F740" s="204"/>
      <c r="G740" s="93"/>
      <c r="H740" s="204"/>
      <c r="I740" s="205"/>
      <c r="J740" s="204"/>
      <c r="K740" s="204"/>
      <c r="L740" s="203"/>
      <c r="M740" s="204"/>
      <c r="N740" s="205"/>
      <c r="O740" s="205"/>
      <c r="P740" s="204"/>
      <c r="Q740" s="205"/>
      <c r="R740" s="204"/>
      <c r="S740" s="204"/>
      <c r="T740" s="204"/>
      <c r="U740" s="205"/>
      <c r="V740" s="204"/>
      <c r="W740" s="204"/>
      <c r="X740" s="204"/>
      <c r="Y740" s="204"/>
      <c r="Z740" s="204"/>
      <c r="AA740" s="204"/>
      <c r="AB740" s="204"/>
      <c r="AC740" s="204"/>
      <c r="AD740" s="204"/>
    </row>
    <row r="741">
      <c r="A741" s="202"/>
      <c r="B741" s="203"/>
      <c r="C741" s="204"/>
      <c r="D741" s="203"/>
      <c r="E741" s="204"/>
      <c r="F741" s="204"/>
      <c r="G741" s="93"/>
      <c r="H741" s="204"/>
      <c r="I741" s="205"/>
      <c r="J741" s="204"/>
      <c r="K741" s="204"/>
      <c r="L741" s="203"/>
      <c r="M741" s="204"/>
      <c r="N741" s="205"/>
      <c r="O741" s="205"/>
      <c r="P741" s="204"/>
      <c r="Q741" s="205"/>
      <c r="R741" s="204"/>
      <c r="S741" s="204"/>
      <c r="T741" s="204"/>
      <c r="U741" s="205"/>
      <c r="V741" s="204"/>
      <c r="W741" s="204"/>
      <c r="X741" s="204"/>
      <c r="Y741" s="204"/>
      <c r="Z741" s="204"/>
      <c r="AA741" s="204"/>
      <c r="AB741" s="204"/>
      <c r="AC741" s="204"/>
      <c r="AD741" s="204"/>
    </row>
    <row r="742">
      <c r="A742" s="202"/>
      <c r="B742" s="203"/>
      <c r="C742" s="204"/>
      <c r="D742" s="203"/>
      <c r="E742" s="204"/>
      <c r="F742" s="204"/>
      <c r="G742" s="93"/>
      <c r="H742" s="204"/>
      <c r="I742" s="205"/>
      <c r="J742" s="204"/>
      <c r="K742" s="204"/>
      <c r="L742" s="203"/>
      <c r="M742" s="204"/>
      <c r="N742" s="205"/>
      <c r="O742" s="205"/>
      <c r="P742" s="204"/>
      <c r="Q742" s="205"/>
      <c r="R742" s="204"/>
      <c r="S742" s="204"/>
      <c r="T742" s="204"/>
      <c r="U742" s="205"/>
      <c r="V742" s="204"/>
      <c r="W742" s="204"/>
      <c r="X742" s="204"/>
      <c r="Y742" s="204"/>
      <c r="Z742" s="204"/>
      <c r="AA742" s="204"/>
      <c r="AB742" s="204"/>
      <c r="AC742" s="204"/>
      <c r="AD742" s="204"/>
    </row>
    <row r="743">
      <c r="A743" s="202"/>
      <c r="B743" s="203"/>
      <c r="C743" s="204"/>
      <c r="D743" s="203"/>
      <c r="E743" s="204"/>
      <c r="F743" s="204"/>
      <c r="G743" s="93"/>
      <c r="H743" s="204"/>
      <c r="I743" s="205"/>
      <c r="J743" s="204"/>
      <c r="K743" s="204"/>
      <c r="L743" s="203"/>
      <c r="M743" s="204"/>
      <c r="N743" s="205"/>
      <c r="O743" s="205"/>
      <c r="P743" s="204"/>
      <c r="Q743" s="205"/>
      <c r="R743" s="204"/>
      <c r="S743" s="204"/>
      <c r="T743" s="204"/>
      <c r="U743" s="205"/>
      <c r="V743" s="204"/>
      <c r="W743" s="204"/>
      <c r="X743" s="204"/>
      <c r="Y743" s="204"/>
      <c r="Z743" s="204"/>
      <c r="AA743" s="204"/>
      <c r="AB743" s="204"/>
      <c r="AC743" s="204"/>
      <c r="AD743" s="204"/>
    </row>
    <row r="744">
      <c r="A744" s="202"/>
      <c r="B744" s="203"/>
      <c r="C744" s="204"/>
      <c r="D744" s="203"/>
      <c r="E744" s="204"/>
      <c r="F744" s="204"/>
      <c r="G744" s="93"/>
      <c r="H744" s="204"/>
      <c r="I744" s="205"/>
      <c r="J744" s="204"/>
      <c r="K744" s="204"/>
      <c r="L744" s="203"/>
      <c r="M744" s="204"/>
      <c r="N744" s="205"/>
      <c r="O744" s="205"/>
      <c r="P744" s="204"/>
      <c r="Q744" s="205"/>
      <c r="R744" s="204"/>
      <c r="S744" s="204"/>
      <c r="T744" s="204"/>
      <c r="U744" s="205"/>
      <c r="V744" s="204"/>
      <c r="W744" s="204"/>
      <c r="X744" s="204"/>
      <c r="Y744" s="204"/>
      <c r="Z744" s="204"/>
      <c r="AA744" s="204"/>
      <c r="AB744" s="204"/>
      <c r="AC744" s="204"/>
      <c r="AD744" s="204"/>
    </row>
    <row r="745">
      <c r="A745" s="202"/>
      <c r="B745" s="203"/>
      <c r="C745" s="204"/>
      <c r="D745" s="203"/>
      <c r="E745" s="204"/>
      <c r="F745" s="204"/>
      <c r="G745" s="93"/>
      <c r="H745" s="204"/>
      <c r="I745" s="205"/>
      <c r="J745" s="204"/>
      <c r="K745" s="204"/>
      <c r="L745" s="203"/>
      <c r="M745" s="204"/>
      <c r="N745" s="205"/>
      <c r="O745" s="205"/>
      <c r="P745" s="204"/>
      <c r="Q745" s="205"/>
      <c r="R745" s="204"/>
      <c r="S745" s="204"/>
      <c r="T745" s="204"/>
      <c r="U745" s="205"/>
      <c r="V745" s="204"/>
      <c r="W745" s="204"/>
      <c r="X745" s="204"/>
      <c r="Y745" s="204"/>
      <c r="Z745" s="204"/>
      <c r="AA745" s="204"/>
      <c r="AB745" s="204"/>
      <c r="AC745" s="204"/>
      <c r="AD745" s="204"/>
    </row>
    <row r="746">
      <c r="A746" s="202"/>
      <c r="B746" s="203"/>
      <c r="C746" s="204"/>
      <c r="D746" s="203"/>
      <c r="E746" s="204"/>
      <c r="F746" s="204"/>
      <c r="G746" s="93"/>
      <c r="H746" s="204"/>
      <c r="I746" s="205"/>
      <c r="J746" s="204"/>
      <c r="K746" s="204"/>
      <c r="L746" s="203"/>
      <c r="M746" s="204"/>
      <c r="N746" s="205"/>
      <c r="O746" s="205"/>
      <c r="P746" s="204"/>
      <c r="Q746" s="205"/>
      <c r="R746" s="204"/>
      <c r="S746" s="204"/>
      <c r="T746" s="204"/>
      <c r="U746" s="205"/>
      <c r="V746" s="204"/>
      <c r="W746" s="204"/>
      <c r="X746" s="204"/>
      <c r="Y746" s="204"/>
      <c r="Z746" s="204"/>
      <c r="AA746" s="204"/>
      <c r="AB746" s="204"/>
      <c r="AC746" s="204"/>
      <c r="AD746" s="204"/>
    </row>
    <row r="747">
      <c r="A747" s="202"/>
      <c r="B747" s="203"/>
      <c r="C747" s="204"/>
      <c r="D747" s="203"/>
      <c r="E747" s="204"/>
      <c r="F747" s="204"/>
      <c r="G747" s="93"/>
      <c r="H747" s="204"/>
      <c r="I747" s="205"/>
      <c r="J747" s="204"/>
      <c r="K747" s="204"/>
      <c r="L747" s="203"/>
      <c r="M747" s="204"/>
      <c r="N747" s="205"/>
      <c r="O747" s="205"/>
      <c r="P747" s="204"/>
      <c r="Q747" s="205"/>
      <c r="R747" s="204"/>
      <c r="S747" s="204"/>
      <c r="T747" s="204"/>
      <c r="U747" s="205"/>
      <c r="V747" s="204"/>
      <c r="W747" s="204"/>
      <c r="X747" s="204"/>
      <c r="Y747" s="204"/>
      <c r="Z747" s="204"/>
      <c r="AA747" s="204"/>
      <c r="AB747" s="204"/>
      <c r="AC747" s="204"/>
      <c r="AD747" s="204"/>
    </row>
    <row r="748">
      <c r="A748" s="202"/>
      <c r="B748" s="203"/>
      <c r="C748" s="204"/>
      <c r="D748" s="203"/>
      <c r="E748" s="204"/>
      <c r="F748" s="204"/>
      <c r="G748" s="93"/>
      <c r="H748" s="204"/>
      <c r="I748" s="205"/>
      <c r="J748" s="204"/>
      <c r="K748" s="204"/>
      <c r="L748" s="203"/>
      <c r="M748" s="204"/>
      <c r="N748" s="205"/>
      <c r="O748" s="205"/>
      <c r="P748" s="204"/>
      <c r="Q748" s="205"/>
      <c r="R748" s="204"/>
      <c r="S748" s="204"/>
      <c r="T748" s="204"/>
      <c r="U748" s="205"/>
      <c r="V748" s="204"/>
      <c r="W748" s="204"/>
      <c r="X748" s="204"/>
      <c r="Y748" s="204"/>
      <c r="Z748" s="204"/>
      <c r="AA748" s="204"/>
      <c r="AB748" s="204"/>
      <c r="AC748" s="204"/>
      <c r="AD748" s="204"/>
    </row>
    <row r="749">
      <c r="A749" s="202"/>
      <c r="B749" s="203"/>
      <c r="C749" s="204"/>
      <c r="D749" s="203"/>
      <c r="E749" s="204"/>
      <c r="F749" s="204"/>
      <c r="G749" s="93"/>
      <c r="H749" s="204"/>
      <c r="I749" s="205"/>
      <c r="J749" s="204"/>
      <c r="K749" s="204"/>
      <c r="L749" s="203"/>
      <c r="M749" s="204"/>
      <c r="N749" s="205"/>
      <c r="O749" s="205"/>
      <c r="P749" s="204"/>
      <c r="Q749" s="205"/>
      <c r="R749" s="204"/>
      <c r="S749" s="204"/>
      <c r="T749" s="204"/>
      <c r="U749" s="205"/>
      <c r="V749" s="204"/>
      <c r="W749" s="204"/>
      <c r="X749" s="204"/>
      <c r="Y749" s="204"/>
      <c r="Z749" s="204"/>
      <c r="AA749" s="204"/>
      <c r="AB749" s="204"/>
      <c r="AC749" s="204"/>
      <c r="AD749" s="204"/>
    </row>
    <row r="750">
      <c r="A750" s="202"/>
      <c r="B750" s="203"/>
      <c r="C750" s="204"/>
      <c r="D750" s="203"/>
      <c r="E750" s="204"/>
      <c r="F750" s="204"/>
      <c r="G750" s="93"/>
      <c r="H750" s="204"/>
      <c r="I750" s="205"/>
      <c r="J750" s="204"/>
      <c r="K750" s="204"/>
      <c r="L750" s="203"/>
      <c r="M750" s="204"/>
      <c r="N750" s="205"/>
      <c r="O750" s="205"/>
      <c r="P750" s="204"/>
      <c r="Q750" s="205"/>
      <c r="R750" s="204"/>
      <c r="S750" s="204"/>
      <c r="T750" s="204"/>
      <c r="U750" s="205"/>
      <c r="V750" s="204"/>
      <c r="W750" s="204"/>
      <c r="X750" s="204"/>
      <c r="Y750" s="204"/>
      <c r="Z750" s="204"/>
      <c r="AA750" s="204"/>
      <c r="AB750" s="204"/>
      <c r="AC750" s="204"/>
      <c r="AD750" s="204"/>
    </row>
    <row r="751">
      <c r="A751" s="202"/>
      <c r="B751" s="203"/>
      <c r="C751" s="204"/>
      <c r="D751" s="203"/>
      <c r="E751" s="204"/>
      <c r="F751" s="204"/>
      <c r="G751" s="93"/>
      <c r="H751" s="204"/>
      <c r="I751" s="205"/>
      <c r="J751" s="204"/>
      <c r="K751" s="204"/>
      <c r="L751" s="203"/>
      <c r="M751" s="204"/>
      <c r="N751" s="205"/>
      <c r="O751" s="205"/>
      <c r="P751" s="204"/>
      <c r="Q751" s="205"/>
      <c r="R751" s="204"/>
      <c r="S751" s="204"/>
      <c r="T751" s="204"/>
      <c r="U751" s="205"/>
      <c r="V751" s="204"/>
      <c r="W751" s="204"/>
      <c r="X751" s="204"/>
      <c r="Y751" s="204"/>
      <c r="Z751" s="204"/>
      <c r="AA751" s="204"/>
      <c r="AB751" s="204"/>
      <c r="AC751" s="204"/>
      <c r="AD751" s="204"/>
    </row>
    <row r="752">
      <c r="A752" s="202"/>
      <c r="B752" s="203"/>
      <c r="C752" s="204"/>
      <c r="D752" s="203"/>
      <c r="E752" s="204"/>
      <c r="F752" s="204"/>
      <c r="G752" s="93"/>
      <c r="H752" s="204"/>
      <c r="I752" s="205"/>
      <c r="J752" s="204"/>
      <c r="K752" s="204"/>
      <c r="L752" s="203"/>
      <c r="M752" s="204"/>
      <c r="N752" s="205"/>
      <c r="O752" s="205"/>
      <c r="P752" s="204"/>
      <c r="Q752" s="205"/>
      <c r="R752" s="204"/>
      <c r="S752" s="204"/>
      <c r="T752" s="204"/>
      <c r="U752" s="205"/>
      <c r="V752" s="204"/>
      <c r="W752" s="204"/>
      <c r="X752" s="204"/>
      <c r="Y752" s="204"/>
      <c r="Z752" s="204"/>
      <c r="AA752" s="204"/>
      <c r="AB752" s="204"/>
      <c r="AC752" s="204"/>
      <c r="AD752" s="204"/>
    </row>
    <row r="753">
      <c r="A753" s="202"/>
      <c r="B753" s="203"/>
      <c r="C753" s="204"/>
      <c r="D753" s="203"/>
      <c r="E753" s="204"/>
      <c r="F753" s="204"/>
      <c r="G753" s="93"/>
      <c r="H753" s="204"/>
      <c r="I753" s="205"/>
      <c r="J753" s="204"/>
      <c r="K753" s="204"/>
      <c r="L753" s="203"/>
      <c r="M753" s="204"/>
      <c r="N753" s="205"/>
      <c r="O753" s="205"/>
      <c r="P753" s="204"/>
      <c r="Q753" s="205"/>
      <c r="R753" s="204"/>
      <c r="S753" s="204"/>
      <c r="T753" s="204"/>
      <c r="U753" s="205"/>
      <c r="V753" s="204"/>
      <c r="W753" s="204"/>
      <c r="X753" s="204"/>
      <c r="Y753" s="204"/>
      <c r="Z753" s="204"/>
      <c r="AA753" s="204"/>
      <c r="AB753" s="204"/>
      <c r="AC753" s="204"/>
      <c r="AD753" s="204"/>
    </row>
    <row r="754">
      <c r="A754" s="202"/>
      <c r="B754" s="203"/>
      <c r="C754" s="204"/>
      <c r="D754" s="203"/>
      <c r="E754" s="204"/>
      <c r="F754" s="204"/>
      <c r="G754" s="93"/>
      <c r="H754" s="204"/>
      <c r="I754" s="205"/>
      <c r="J754" s="204"/>
      <c r="K754" s="204"/>
      <c r="L754" s="203"/>
      <c r="M754" s="204"/>
      <c r="N754" s="205"/>
      <c r="O754" s="205"/>
      <c r="P754" s="204"/>
      <c r="Q754" s="205"/>
      <c r="R754" s="204"/>
      <c r="S754" s="204"/>
      <c r="T754" s="204"/>
      <c r="U754" s="205"/>
      <c r="V754" s="204"/>
      <c r="W754" s="204"/>
      <c r="X754" s="204"/>
      <c r="Y754" s="204"/>
      <c r="Z754" s="204"/>
      <c r="AA754" s="204"/>
      <c r="AB754" s="204"/>
      <c r="AC754" s="204"/>
      <c r="AD754" s="204"/>
    </row>
    <row r="755">
      <c r="A755" s="202"/>
      <c r="B755" s="203"/>
      <c r="C755" s="204"/>
      <c r="D755" s="203"/>
      <c r="E755" s="204"/>
      <c r="F755" s="204"/>
      <c r="G755" s="93"/>
      <c r="H755" s="204"/>
      <c r="I755" s="205"/>
      <c r="J755" s="204"/>
      <c r="K755" s="204"/>
      <c r="L755" s="203"/>
      <c r="M755" s="204"/>
      <c r="N755" s="205"/>
      <c r="O755" s="205"/>
      <c r="P755" s="204"/>
      <c r="Q755" s="205"/>
      <c r="R755" s="204"/>
      <c r="S755" s="204"/>
      <c r="T755" s="204"/>
      <c r="U755" s="205"/>
      <c r="V755" s="204"/>
      <c r="W755" s="204"/>
      <c r="X755" s="204"/>
      <c r="Y755" s="204"/>
      <c r="Z755" s="204"/>
      <c r="AA755" s="204"/>
      <c r="AB755" s="204"/>
      <c r="AC755" s="204"/>
      <c r="AD755" s="204"/>
    </row>
    <row r="756">
      <c r="A756" s="202"/>
      <c r="B756" s="203"/>
      <c r="C756" s="204"/>
      <c r="D756" s="203"/>
      <c r="E756" s="204"/>
      <c r="F756" s="204"/>
      <c r="G756" s="93"/>
      <c r="H756" s="204"/>
      <c r="I756" s="205"/>
      <c r="J756" s="204"/>
      <c r="K756" s="204"/>
      <c r="L756" s="203"/>
      <c r="M756" s="204"/>
      <c r="N756" s="205"/>
      <c r="O756" s="205"/>
      <c r="P756" s="204"/>
      <c r="Q756" s="205"/>
      <c r="R756" s="204"/>
      <c r="S756" s="204"/>
      <c r="T756" s="204"/>
      <c r="U756" s="205"/>
      <c r="V756" s="204"/>
      <c r="W756" s="204"/>
      <c r="X756" s="204"/>
      <c r="Y756" s="204"/>
      <c r="Z756" s="204"/>
      <c r="AA756" s="204"/>
      <c r="AB756" s="204"/>
      <c r="AC756" s="204"/>
      <c r="AD756" s="204"/>
    </row>
    <row r="757">
      <c r="A757" s="202"/>
      <c r="B757" s="203"/>
      <c r="C757" s="204"/>
      <c r="D757" s="203"/>
      <c r="E757" s="204"/>
      <c r="F757" s="204"/>
      <c r="G757" s="93"/>
      <c r="H757" s="204"/>
      <c r="I757" s="205"/>
      <c r="J757" s="204"/>
      <c r="K757" s="204"/>
      <c r="L757" s="203"/>
      <c r="M757" s="204"/>
      <c r="N757" s="205"/>
      <c r="O757" s="205"/>
      <c r="P757" s="204"/>
      <c r="Q757" s="205"/>
      <c r="R757" s="204"/>
      <c r="S757" s="204"/>
      <c r="T757" s="204"/>
      <c r="U757" s="205"/>
      <c r="V757" s="204"/>
      <c r="W757" s="204"/>
      <c r="X757" s="204"/>
      <c r="Y757" s="204"/>
      <c r="Z757" s="204"/>
      <c r="AA757" s="204"/>
      <c r="AB757" s="204"/>
      <c r="AC757" s="204"/>
      <c r="AD757" s="204"/>
    </row>
    <row r="758">
      <c r="A758" s="202"/>
      <c r="B758" s="203"/>
      <c r="C758" s="204"/>
      <c r="D758" s="203"/>
      <c r="E758" s="204"/>
      <c r="F758" s="204"/>
      <c r="G758" s="93"/>
      <c r="H758" s="204"/>
      <c r="I758" s="205"/>
      <c r="J758" s="204"/>
      <c r="K758" s="204"/>
      <c r="L758" s="203"/>
      <c r="M758" s="204"/>
      <c r="N758" s="205"/>
      <c r="O758" s="205"/>
      <c r="P758" s="204"/>
      <c r="Q758" s="205"/>
      <c r="R758" s="204"/>
      <c r="S758" s="204"/>
      <c r="T758" s="204"/>
      <c r="U758" s="205"/>
      <c r="V758" s="204"/>
      <c r="W758" s="204"/>
      <c r="X758" s="204"/>
      <c r="Y758" s="204"/>
      <c r="Z758" s="204"/>
      <c r="AA758" s="204"/>
      <c r="AB758" s="204"/>
      <c r="AC758" s="204"/>
      <c r="AD758" s="204"/>
    </row>
    <row r="759">
      <c r="A759" s="202"/>
      <c r="B759" s="203"/>
      <c r="C759" s="204"/>
      <c r="D759" s="203"/>
      <c r="E759" s="204"/>
      <c r="F759" s="204"/>
      <c r="G759" s="93"/>
      <c r="H759" s="204"/>
      <c r="I759" s="205"/>
      <c r="J759" s="204"/>
      <c r="K759" s="204"/>
      <c r="L759" s="203"/>
      <c r="M759" s="204"/>
      <c r="N759" s="205"/>
      <c r="O759" s="205"/>
      <c r="P759" s="204"/>
      <c r="Q759" s="205"/>
      <c r="R759" s="204"/>
      <c r="S759" s="204"/>
      <c r="T759" s="204"/>
      <c r="U759" s="205"/>
      <c r="V759" s="204"/>
      <c r="W759" s="204"/>
      <c r="X759" s="204"/>
      <c r="Y759" s="204"/>
      <c r="Z759" s="204"/>
      <c r="AA759" s="204"/>
      <c r="AB759" s="204"/>
      <c r="AC759" s="204"/>
      <c r="AD759" s="204"/>
    </row>
    <row r="760">
      <c r="A760" s="202"/>
      <c r="B760" s="203"/>
      <c r="C760" s="204"/>
      <c r="D760" s="203"/>
      <c r="E760" s="204"/>
      <c r="F760" s="204"/>
      <c r="G760" s="93"/>
      <c r="H760" s="204"/>
      <c r="I760" s="205"/>
      <c r="J760" s="204"/>
      <c r="K760" s="204"/>
      <c r="L760" s="203"/>
      <c r="M760" s="204"/>
      <c r="N760" s="205"/>
      <c r="O760" s="205"/>
      <c r="P760" s="204"/>
      <c r="Q760" s="205"/>
      <c r="R760" s="204"/>
      <c r="S760" s="204"/>
      <c r="T760" s="204"/>
      <c r="U760" s="205"/>
      <c r="V760" s="204"/>
      <c r="W760" s="204"/>
      <c r="X760" s="204"/>
      <c r="Y760" s="204"/>
      <c r="Z760" s="204"/>
      <c r="AA760" s="204"/>
      <c r="AB760" s="204"/>
      <c r="AC760" s="204"/>
      <c r="AD760" s="204"/>
    </row>
    <row r="761">
      <c r="A761" s="202"/>
      <c r="B761" s="203"/>
      <c r="C761" s="204"/>
      <c r="D761" s="203"/>
      <c r="E761" s="204"/>
      <c r="F761" s="204"/>
      <c r="G761" s="93"/>
      <c r="H761" s="204"/>
      <c r="I761" s="205"/>
      <c r="J761" s="204"/>
      <c r="K761" s="204"/>
      <c r="L761" s="203"/>
      <c r="M761" s="204"/>
      <c r="N761" s="205"/>
      <c r="O761" s="205"/>
      <c r="P761" s="204"/>
      <c r="Q761" s="205"/>
      <c r="R761" s="204"/>
      <c r="S761" s="204"/>
      <c r="T761" s="204"/>
      <c r="U761" s="205"/>
      <c r="V761" s="204"/>
      <c r="W761" s="204"/>
      <c r="X761" s="204"/>
      <c r="Y761" s="204"/>
      <c r="Z761" s="204"/>
      <c r="AA761" s="204"/>
      <c r="AB761" s="204"/>
      <c r="AC761" s="204"/>
      <c r="AD761" s="204"/>
    </row>
    <row r="762">
      <c r="A762" s="202"/>
      <c r="B762" s="203"/>
      <c r="C762" s="204"/>
      <c r="D762" s="203"/>
      <c r="E762" s="204"/>
      <c r="F762" s="204"/>
      <c r="G762" s="93"/>
      <c r="H762" s="204"/>
      <c r="I762" s="205"/>
      <c r="J762" s="204"/>
      <c r="K762" s="204"/>
      <c r="L762" s="203"/>
      <c r="M762" s="204"/>
      <c r="N762" s="205"/>
      <c r="O762" s="205"/>
      <c r="P762" s="204"/>
      <c r="Q762" s="205"/>
      <c r="R762" s="204"/>
      <c r="S762" s="204"/>
      <c r="T762" s="204"/>
      <c r="U762" s="205"/>
      <c r="V762" s="204"/>
      <c r="W762" s="204"/>
      <c r="X762" s="204"/>
      <c r="Y762" s="204"/>
      <c r="Z762" s="204"/>
      <c r="AA762" s="204"/>
      <c r="AB762" s="204"/>
      <c r="AC762" s="204"/>
      <c r="AD762" s="204"/>
    </row>
    <row r="763">
      <c r="A763" s="202"/>
      <c r="B763" s="203"/>
      <c r="C763" s="204"/>
      <c r="D763" s="203"/>
      <c r="E763" s="204"/>
      <c r="F763" s="204"/>
      <c r="G763" s="93"/>
      <c r="H763" s="204"/>
      <c r="I763" s="205"/>
      <c r="J763" s="204"/>
      <c r="K763" s="204"/>
      <c r="L763" s="203"/>
      <c r="M763" s="204"/>
      <c r="N763" s="205"/>
      <c r="O763" s="205"/>
      <c r="P763" s="204"/>
      <c r="Q763" s="205"/>
      <c r="R763" s="204"/>
      <c r="S763" s="204"/>
      <c r="T763" s="204"/>
      <c r="U763" s="205"/>
      <c r="V763" s="204"/>
      <c r="W763" s="204"/>
      <c r="X763" s="204"/>
      <c r="Y763" s="204"/>
      <c r="Z763" s="204"/>
      <c r="AA763" s="204"/>
      <c r="AB763" s="204"/>
      <c r="AC763" s="204"/>
      <c r="AD763" s="204"/>
    </row>
    <row r="764">
      <c r="A764" s="202"/>
      <c r="B764" s="203"/>
      <c r="C764" s="204"/>
      <c r="D764" s="203"/>
      <c r="E764" s="204"/>
      <c r="F764" s="204"/>
      <c r="G764" s="93"/>
      <c r="H764" s="204"/>
      <c r="I764" s="205"/>
      <c r="J764" s="204"/>
      <c r="K764" s="204"/>
      <c r="L764" s="203"/>
      <c r="M764" s="204"/>
      <c r="N764" s="205"/>
      <c r="O764" s="205"/>
      <c r="P764" s="204"/>
      <c r="Q764" s="205"/>
      <c r="R764" s="204"/>
      <c r="S764" s="204"/>
      <c r="T764" s="204"/>
      <c r="U764" s="205"/>
      <c r="V764" s="204"/>
      <c r="W764" s="204"/>
      <c r="X764" s="204"/>
      <c r="Y764" s="204"/>
      <c r="Z764" s="204"/>
      <c r="AA764" s="204"/>
      <c r="AB764" s="204"/>
      <c r="AC764" s="204"/>
      <c r="AD764" s="204"/>
    </row>
    <row r="765">
      <c r="A765" s="202"/>
      <c r="B765" s="203"/>
      <c r="C765" s="204"/>
      <c r="D765" s="203"/>
      <c r="E765" s="204"/>
      <c r="F765" s="204"/>
      <c r="G765" s="93"/>
      <c r="H765" s="204"/>
      <c r="I765" s="205"/>
      <c r="J765" s="204"/>
      <c r="K765" s="204"/>
      <c r="L765" s="203"/>
      <c r="M765" s="204"/>
      <c r="N765" s="205"/>
      <c r="O765" s="205"/>
      <c r="P765" s="204"/>
      <c r="Q765" s="205"/>
      <c r="R765" s="204"/>
      <c r="S765" s="204"/>
      <c r="T765" s="204"/>
      <c r="U765" s="205"/>
      <c r="V765" s="204"/>
      <c r="W765" s="204"/>
      <c r="X765" s="204"/>
      <c r="Y765" s="204"/>
      <c r="Z765" s="204"/>
      <c r="AA765" s="204"/>
      <c r="AB765" s="204"/>
      <c r="AC765" s="204"/>
      <c r="AD765" s="204"/>
    </row>
    <row r="766">
      <c r="A766" s="202"/>
      <c r="B766" s="203"/>
      <c r="C766" s="204"/>
      <c r="D766" s="203"/>
      <c r="E766" s="204"/>
      <c r="F766" s="204"/>
      <c r="G766" s="93"/>
      <c r="H766" s="204"/>
      <c r="I766" s="205"/>
      <c r="J766" s="204"/>
      <c r="K766" s="204"/>
      <c r="L766" s="203"/>
      <c r="M766" s="204"/>
      <c r="N766" s="205"/>
      <c r="O766" s="205"/>
      <c r="P766" s="204"/>
      <c r="Q766" s="205"/>
      <c r="R766" s="204"/>
      <c r="S766" s="204"/>
      <c r="T766" s="204"/>
      <c r="U766" s="205"/>
      <c r="V766" s="204"/>
      <c r="W766" s="204"/>
      <c r="X766" s="204"/>
      <c r="Y766" s="204"/>
      <c r="Z766" s="204"/>
      <c r="AA766" s="204"/>
      <c r="AB766" s="204"/>
      <c r="AC766" s="204"/>
      <c r="AD766" s="204"/>
    </row>
    <row r="767">
      <c r="A767" s="202"/>
      <c r="B767" s="203"/>
      <c r="C767" s="204"/>
      <c r="D767" s="203"/>
      <c r="E767" s="204"/>
      <c r="F767" s="204"/>
      <c r="G767" s="93"/>
      <c r="H767" s="204"/>
      <c r="I767" s="205"/>
      <c r="J767" s="204"/>
      <c r="K767" s="204"/>
      <c r="L767" s="203"/>
      <c r="M767" s="204"/>
      <c r="N767" s="205"/>
      <c r="O767" s="205"/>
      <c r="P767" s="204"/>
      <c r="Q767" s="205"/>
      <c r="R767" s="204"/>
      <c r="S767" s="204"/>
      <c r="T767" s="204"/>
      <c r="U767" s="205"/>
      <c r="V767" s="204"/>
      <c r="W767" s="204"/>
      <c r="X767" s="204"/>
      <c r="Y767" s="204"/>
      <c r="Z767" s="204"/>
      <c r="AA767" s="204"/>
      <c r="AB767" s="204"/>
      <c r="AC767" s="204"/>
      <c r="AD767" s="204"/>
    </row>
    <row r="768">
      <c r="A768" s="202"/>
      <c r="B768" s="203"/>
      <c r="C768" s="204"/>
      <c r="D768" s="203"/>
      <c r="E768" s="204"/>
      <c r="F768" s="204"/>
      <c r="G768" s="93"/>
      <c r="H768" s="204"/>
      <c r="I768" s="205"/>
      <c r="J768" s="204"/>
      <c r="K768" s="204"/>
      <c r="L768" s="203"/>
      <c r="M768" s="204"/>
      <c r="N768" s="205"/>
      <c r="O768" s="205"/>
      <c r="P768" s="204"/>
      <c r="Q768" s="205"/>
      <c r="R768" s="204"/>
      <c r="S768" s="204"/>
      <c r="T768" s="204"/>
      <c r="U768" s="205"/>
      <c r="V768" s="204"/>
      <c r="W768" s="204"/>
      <c r="X768" s="204"/>
      <c r="Y768" s="204"/>
      <c r="Z768" s="204"/>
      <c r="AA768" s="204"/>
      <c r="AB768" s="204"/>
      <c r="AC768" s="204"/>
      <c r="AD768" s="204"/>
    </row>
    <row r="769">
      <c r="A769" s="202"/>
      <c r="B769" s="203"/>
      <c r="C769" s="204"/>
      <c r="D769" s="203"/>
      <c r="E769" s="204"/>
      <c r="F769" s="204"/>
      <c r="G769" s="93"/>
      <c r="H769" s="204"/>
      <c r="I769" s="205"/>
      <c r="J769" s="204"/>
      <c r="K769" s="204"/>
      <c r="L769" s="203"/>
      <c r="M769" s="204"/>
      <c r="N769" s="205"/>
      <c r="O769" s="205"/>
      <c r="P769" s="204"/>
      <c r="Q769" s="205"/>
      <c r="R769" s="204"/>
      <c r="S769" s="204"/>
      <c r="T769" s="204"/>
      <c r="U769" s="205"/>
      <c r="V769" s="204"/>
      <c r="W769" s="204"/>
      <c r="X769" s="204"/>
      <c r="Y769" s="204"/>
      <c r="Z769" s="204"/>
      <c r="AA769" s="204"/>
      <c r="AB769" s="204"/>
      <c r="AC769" s="204"/>
      <c r="AD769" s="204"/>
    </row>
    <row r="770">
      <c r="A770" s="202"/>
      <c r="B770" s="203"/>
      <c r="C770" s="204"/>
      <c r="D770" s="203"/>
      <c r="E770" s="204"/>
      <c r="F770" s="204"/>
      <c r="G770" s="93"/>
      <c r="H770" s="204"/>
      <c r="I770" s="205"/>
      <c r="J770" s="204"/>
      <c r="K770" s="204"/>
      <c r="L770" s="203"/>
      <c r="M770" s="204"/>
      <c r="N770" s="205"/>
      <c r="O770" s="205"/>
      <c r="P770" s="204"/>
      <c r="Q770" s="205"/>
      <c r="R770" s="204"/>
      <c r="S770" s="204"/>
      <c r="T770" s="204"/>
      <c r="U770" s="205"/>
      <c r="V770" s="204"/>
      <c r="W770" s="204"/>
      <c r="X770" s="204"/>
      <c r="Y770" s="204"/>
      <c r="Z770" s="204"/>
      <c r="AA770" s="204"/>
      <c r="AB770" s="204"/>
      <c r="AC770" s="204"/>
      <c r="AD770" s="204"/>
    </row>
    <row r="771">
      <c r="A771" s="202"/>
      <c r="B771" s="203"/>
      <c r="C771" s="204"/>
      <c r="D771" s="203"/>
      <c r="E771" s="204"/>
      <c r="F771" s="204"/>
      <c r="G771" s="93"/>
      <c r="H771" s="204"/>
      <c r="I771" s="205"/>
      <c r="J771" s="204"/>
      <c r="K771" s="204"/>
      <c r="L771" s="203"/>
      <c r="M771" s="204"/>
      <c r="N771" s="205"/>
      <c r="O771" s="205"/>
      <c r="P771" s="204"/>
      <c r="Q771" s="205"/>
      <c r="R771" s="204"/>
      <c r="S771" s="204"/>
      <c r="T771" s="204"/>
      <c r="U771" s="205"/>
      <c r="V771" s="204"/>
      <c r="W771" s="204"/>
      <c r="X771" s="204"/>
      <c r="Y771" s="204"/>
      <c r="Z771" s="204"/>
      <c r="AA771" s="204"/>
      <c r="AB771" s="204"/>
      <c r="AC771" s="204"/>
      <c r="AD771" s="204"/>
    </row>
    <row r="772">
      <c r="A772" s="202"/>
      <c r="B772" s="203"/>
      <c r="C772" s="204"/>
      <c r="D772" s="203"/>
      <c r="E772" s="204"/>
      <c r="F772" s="204"/>
      <c r="G772" s="93"/>
      <c r="H772" s="204"/>
      <c r="I772" s="205"/>
      <c r="J772" s="204"/>
      <c r="K772" s="204"/>
      <c r="L772" s="203"/>
      <c r="M772" s="204"/>
      <c r="N772" s="205"/>
      <c r="O772" s="205"/>
      <c r="P772" s="204"/>
      <c r="Q772" s="205"/>
      <c r="R772" s="204"/>
      <c r="S772" s="204"/>
      <c r="T772" s="204"/>
      <c r="U772" s="205"/>
      <c r="V772" s="204"/>
      <c r="W772" s="204"/>
      <c r="X772" s="204"/>
      <c r="Y772" s="204"/>
      <c r="Z772" s="204"/>
      <c r="AA772" s="204"/>
      <c r="AB772" s="204"/>
      <c r="AC772" s="204"/>
      <c r="AD772" s="204"/>
    </row>
    <row r="773">
      <c r="A773" s="202"/>
      <c r="B773" s="203"/>
      <c r="C773" s="204"/>
      <c r="D773" s="203"/>
      <c r="E773" s="204"/>
      <c r="F773" s="204"/>
      <c r="G773" s="93"/>
      <c r="H773" s="204"/>
      <c r="I773" s="205"/>
      <c r="J773" s="204"/>
      <c r="K773" s="204"/>
      <c r="L773" s="203"/>
      <c r="M773" s="204"/>
      <c r="N773" s="205"/>
      <c r="O773" s="205"/>
      <c r="P773" s="204"/>
      <c r="Q773" s="205"/>
      <c r="R773" s="204"/>
      <c r="S773" s="204"/>
      <c r="T773" s="204"/>
      <c r="U773" s="205"/>
      <c r="V773" s="204"/>
      <c r="W773" s="204"/>
      <c r="X773" s="204"/>
      <c r="Y773" s="204"/>
      <c r="Z773" s="204"/>
      <c r="AA773" s="204"/>
      <c r="AB773" s="204"/>
      <c r="AC773" s="204"/>
      <c r="AD773" s="204"/>
    </row>
    <row r="774">
      <c r="A774" s="202"/>
      <c r="B774" s="203"/>
      <c r="C774" s="204"/>
      <c r="D774" s="203"/>
      <c r="E774" s="204"/>
      <c r="F774" s="204"/>
      <c r="G774" s="93"/>
      <c r="H774" s="204"/>
      <c r="I774" s="205"/>
      <c r="J774" s="204"/>
      <c r="K774" s="204"/>
      <c r="L774" s="203"/>
      <c r="M774" s="204"/>
      <c r="N774" s="205"/>
      <c r="O774" s="205"/>
      <c r="P774" s="204"/>
      <c r="Q774" s="205"/>
      <c r="R774" s="204"/>
      <c r="S774" s="204"/>
      <c r="T774" s="204"/>
      <c r="U774" s="205"/>
      <c r="V774" s="204"/>
      <c r="W774" s="204"/>
      <c r="X774" s="204"/>
      <c r="Y774" s="204"/>
      <c r="Z774" s="204"/>
      <c r="AA774" s="204"/>
      <c r="AB774" s="204"/>
      <c r="AC774" s="204"/>
      <c r="AD774" s="204"/>
    </row>
    <row r="775">
      <c r="A775" s="202"/>
      <c r="B775" s="203"/>
      <c r="C775" s="204"/>
      <c r="D775" s="203"/>
      <c r="E775" s="204"/>
      <c r="F775" s="204"/>
      <c r="G775" s="93"/>
      <c r="H775" s="204"/>
      <c r="I775" s="205"/>
      <c r="J775" s="204"/>
      <c r="K775" s="204"/>
      <c r="L775" s="203"/>
      <c r="M775" s="204"/>
      <c r="N775" s="205"/>
      <c r="O775" s="205"/>
      <c r="P775" s="204"/>
      <c r="Q775" s="205"/>
      <c r="R775" s="204"/>
      <c r="S775" s="204"/>
      <c r="T775" s="204"/>
      <c r="U775" s="205"/>
      <c r="V775" s="204"/>
      <c r="W775" s="204"/>
      <c r="X775" s="204"/>
      <c r="Y775" s="204"/>
      <c r="Z775" s="204"/>
      <c r="AA775" s="204"/>
      <c r="AB775" s="204"/>
      <c r="AC775" s="204"/>
      <c r="AD775" s="204"/>
    </row>
    <row r="776">
      <c r="A776" s="202"/>
      <c r="B776" s="203"/>
      <c r="C776" s="204"/>
      <c r="D776" s="203"/>
      <c r="E776" s="204"/>
      <c r="F776" s="204"/>
      <c r="G776" s="93"/>
      <c r="H776" s="204"/>
      <c r="I776" s="205"/>
      <c r="J776" s="204"/>
      <c r="K776" s="204"/>
      <c r="L776" s="203"/>
      <c r="M776" s="204"/>
      <c r="N776" s="205"/>
      <c r="O776" s="205"/>
      <c r="P776" s="204"/>
      <c r="Q776" s="205"/>
      <c r="R776" s="204"/>
      <c r="S776" s="204"/>
      <c r="T776" s="204"/>
      <c r="U776" s="205"/>
      <c r="V776" s="204"/>
      <c r="W776" s="204"/>
      <c r="X776" s="204"/>
      <c r="Y776" s="204"/>
      <c r="Z776" s="204"/>
      <c r="AA776" s="204"/>
      <c r="AB776" s="204"/>
      <c r="AC776" s="204"/>
      <c r="AD776" s="204"/>
    </row>
    <row r="777">
      <c r="A777" s="202"/>
      <c r="B777" s="203"/>
      <c r="C777" s="204"/>
      <c r="D777" s="203"/>
      <c r="E777" s="204"/>
      <c r="F777" s="204"/>
      <c r="G777" s="93"/>
      <c r="H777" s="204"/>
      <c r="I777" s="205"/>
      <c r="J777" s="204"/>
      <c r="K777" s="204"/>
      <c r="L777" s="203"/>
      <c r="M777" s="204"/>
      <c r="N777" s="205"/>
      <c r="O777" s="205"/>
      <c r="P777" s="204"/>
      <c r="Q777" s="205"/>
      <c r="R777" s="204"/>
      <c r="S777" s="204"/>
      <c r="T777" s="204"/>
      <c r="U777" s="205"/>
      <c r="V777" s="204"/>
      <c r="W777" s="204"/>
      <c r="X777" s="204"/>
      <c r="Y777" s="204"/>
      <c r="Z777" s="204"/>
      <c r="AA777" s="204"/>
      <c r="AB777" s="204"/>
      <c r="AC777" s="204"/>
      <c r="AD777" s="204"/>
    </row>
    <row r="778">
      <c r="A778" s="202"/>
      <c r="B778" s="203"/>
      <c r="C778" s="204"/>
      <c r="D778" s="203"/>
      <c r="E778" s="204"/>
      <c r="F778" s="204"/>
      <c r="G778" s="93"/>
      <c r="H778" s="204"/>
      <c r="I778" s="205"/>
      <c r="J778" s="204"/>
      <c r="K778" s="204"/>
      <c r="L778" s="203"/>
      <c r="M778" s="204"/>
      <c r="N778" s="205"/>
      <c r="O778" s="205"/>
      <c r="P778" s="204"/>
      <c r="Q778" s="205"/>
      <c r="R778" s="204"/>
      <c r="S778" s="204"/>
      <c r="T778" s="204"/>
      <c r="U778" s="205"/>
      <c r="V778" s="204"/>
      <c r="W778" s="204"/>
      <c r="X778" s="204"/>
      <c r="Y778" s="204"/>
      <c r="Z778" s="204"/>
      <c r="AA778" s="204"/>
      <c r="AB778" s="204"/>
      <c r="AC778" s="204"/>
      <c r="AD778" s="204"/>
    </row>
    <row r="779">
      <c r="A779" s="202"/>
      <c r="B779" s="203"/>
      <c r="C779" s="204"/>
      <c r="D779" s="203"/>
      <c r="E779" s="204"/>
      <c r="F779" s="204"/>
      <c r="G779" s="93"/>
      <c r="H779" s="204"/>
      <c r="I779" s="205"/>
      <c r="J779" s="204"/>
      <c r="K779" s="204"/>
      <c r="L779" s="203"/>
      <c r="M779" s="204"/>
      <c r="N779" s="205"/>
      <c r="O779" s="205"/>
      <c r="P779" s="204"/>
      <c r="Q779" s="205"/>
      <c r="R779" s="204"/>
      <c r="S779" s="204"/>
      <c r="T779" s="204"/>
      <c r="U779" s="205"/>
      <c r="V779" s="204"/>
      <c r="W779" s="204"/>
      <c r="X779" s="204"/>
      <c r="Y779" s="204"/>
      <c r="Z779" s="204"/>
      <c r="AA779" s="204"/>
      <c r="AB779" s="204"/>
      <c r="AC779" s="204"/>
      <c r="AD779" s="204"/>
    </row>
    <row r="780">
      <c r="A780" s="202"/>
      <c r="B780" s="203"/>
      <c r="C780" s="204"/>
      <c r="D780" s="203"/>
      <c r="E780" s="204"/>
      <c r="F780" s="204"/>
      <c r="G780" s="93"/>
      <c r="H780" s="204"/>
      <c r="I780" s="205"/>
      <c r="J780" s="204"/>
      <c r="K780" s="204"/>
      <c r="L780" s="203"/>
      <c r="M780" s="204"/>
      <c r="N780" s="205"/>
      <c r="O780" s="205"/>
      <c r="P780" s="204"/>
      <c r="Q780" s="205"/>
      <c r="R780" s="204"/>
      <c r="S780" s="204"/>
      <c r="T780" s="204"/>
      <c r="U780" s="205"/>
      <c r="V780" s="204"/>
      <c r="W780" s="204"/>
      <c r="X780" s="204"/>
      <c r="Y780" s="204"/>
      <c r="Z780" s="204"/>
      <c r="AA780" s="204"/>
      <c r="AB780" s="204"/>
      <c r="AC780" s="204"/>
      <c r="AD780" s="204"/>
    </row>
    <row r="781">
      <c r="A781" s="202"/>
      <c r="B781" s="203"/>
      <c r="C781" s="204"/>
      <c r="D781" s="203"/>
      <c r="E781" s="204"/>
      <c r="F781" s="204"/>
      <c r="G781" s="93"/>
      <c r="H781" s="204"/>
      <c r="I781" s="205"/>
      <c r="J781" s="204"/>
      <c r="K781" s="204"/>
      <c r="L781" s="203"/>
      <c r="M781" s="204"/>
      <c r="N781" s="205"/>
      <c r="O781" s="205"/>
      <c r="P781" s="204"/>
      <c r="Q781" s="205"/>
      <c r="R781" s="204"/>
      <c r="S781" s="204"/>
      <c r="T781" s="204"/>
      <c r="U781" s="205"/>
      <c r="V781" s="204"/>
      <c r="W781" s="204"/>
      <c r="X781" s="204"/>
      <c r="Y781" s="204"/>
      <c r="Z781" s="204"/>
      <c r="AA781" s="204"/>
      <c r="AB781" s="204"/>
      <c r="AC781" s="204"/>
      <c r="AD781" s="204"/>
    </row>
    <row r="782">
      <c r="A782" s="202"/>
      <c r="B782" s="203"/>
      <c r="C782" s="204"/>
      <c r="D782" s="203"/>
      <c r="E782" s="204"/>
      <c r="F782" s="204"/>
      <c r="G782" s="93"/>
      <c r="H782" s="204"/>
      <c r="I782" s="205"/>
      <c r="J782" s="204"/>
      <c r="K782" s="204"/>
      <c r="L782" s="203"/>
      <c r="M782" s="204"/>
      <c r="N782" s="205"/>
      <c r="O782" s="205"/>
      <c r="P782" s="204"/>
      <c r="Q782" s="205"/>
      <c r="R782" s="204"/>
      <c r="S782" s="204"/>
      <c r="T782" s="204"/>
      <c r="U782" s="205"/>
      <c r="V782" s="204"/>
      <c r="W782" s="204"/>
      <c r="X782" s="204"/>
      <c r="Y782" s="204"/>
      <c r="Z782" s="204"/>
      <c r="AA782" s="204"/>
      <c r="AB782" s="204"/>
      <c r="AC782" s="204"/>
      <c r="AD782" s="204"/>
    </row>
    <row r="783">
      <c r="A783" s="202"/>
      <c r="B783" s="203"/>
      <c r="C783" s="204"/>
      <c r="D783" s="203"/>
      <c r="E783" s="204"/>
      <c r="F783" s="204"/>
      <c r="G783" s="93"/>
      <c r="H783" s="204"/>
      <c r="I783" s="205"/>
      <c r="J783" s="204"/>
      <c r="K783" s="204"/>
      <c r="L783" s="203"/>
      <c r="M783" s="204"/>
      <c r="N783" s="205"/>
      <c r="O783" s="205"/>
      <c r="P783" s="204"/>
      <c r="Q783" s="205"/>
      <c r="R783" s="204"/>
      <c r="S783" s="204"/>
      <c r="T783" s="204"/>
      <c r="U783" s="205"/>
      <c r="V783" s="204"/>
      <c r="W783" s="204"/>
      <c r="X783" s="204"/>
      <c r="Y783" s="204"/>
      <c r="Z783" s="204"/>
      <c r="AA783" s="204"/>
      <c r="AB783" s="204"/>
      <c r="AC783" s="204"/>
      <c r="AD783" s="204"/>
    </row>
    <row r="784">
      <c r="A784" s="202"/>
      <c r="B784" s="203"/>
      <c r="C784" s="204"/>
      <c r="D784" s="203"/>
      <c r="E784" s="204"/>
      <c r="F784" s="204"/>
      <c r="G784" s="93"/>
      <c r="H784" s="204"/>
      <c r="I784" s="205"/>
      <c r="J784" s="204"/>
      <c r="K784" s="204"/>
      <c r="L784" s="203"/>
      <c r="M784" s="204"/>
      <c r="N784" s="205"/>
      <c r="O784" s="205"/>
      <c r="P784" s="204"/>
      <c r="Q784" s="205"/>
      <c r="R784" s="204"/>
      <c r="S784" s="204"/>
      <c r="T784" s="204"/>
      <c r="U784" s="205"/>
      <c r="V784" s="204"/>
      <c r="W784" s="204"/>
      <c r="X784" s="204"/>
      <c r="Y784" s="204"/>
      <c r="Z784" s="204"/>
      <c r="AA784" s="204"/>
      <c r="AB784" s="204"/>
      <c r="AC784" s="204"/>
      <c r="AD784" s="204"/>
    </row>
    <row r="785">
      <c r="A785" s="202"/>
      <c r="B785" s="203"/>
      <c r="C785" s="204"/>
      <c r="D785" s="203"/>
      <c r="E785" s="204"/>
      <c r="F785" s="204"/>
      <c r="G785" s="93"/>
      <c r="H785" s="204"/>
      <c r="I785" s="205"/>
      <c r="J785" s="204"/>
      <c r="K785" s="204"/>
      <c r="L785" s="203"/>
      <c r="M785" s="204"/>
      <c r="N785" s="205"/>
      <c r="O785" s="205"/>
      <c r="P785" s="204"/>
      <c r="Q785" s="205"/>
      <c r="R785" s="204"/>
      <c r="S785" s="204"/>
      <c r="T785" s="204"/>
      <c r="U785" s="205"/>
      <c r="V785" s="204"/>
      <c r="W785" s="204"/>
      <c r="X785" s="204"/>
      <c r="Y785" s="204"/>
      <c r="Z785" s="204"/>
      <c r="AA785" s="204"/>
      <c r="AB785" s="204"/>
      <c r="AC785" s="204"/>
      <c r="AD785" s="204"/>
    </row>
    <row r="786">
      <c r="A786" s="202"/>
      <c r="B786" s="203"/>
      <c r="C786" s="204"/>
      <c r="D786" s="203"/>
      <c r="E786" s="204"/>
      <c r="F786" s="204"/>
      <c r="G786" s="93"/>
      <c r="H786" s="204"/>
      <c r="I786" s="205"/>
      <c r="J786" s="204"/>
      <c r="K786" s="204"/>
      <c r="L786" s="203"/>
      <c r="M786" s="204"/>
      <c r="N786" s="205"/>
      <c r="O786" s="205"/>
      <c r="P786" s="204"/>
      <c r="Q786" s="205"/>
      <c r="R786" s="204"/>
      <c r="S786" s="204"/>
      <c r="T786" s="204"/>
      <c r="U786" s="205"/>
      <c r="V786" s="204"/>
      <c r="W786" s="204"/>
      <c r="X786" s="204"/>
      <c r="Y786" s="204"/>
      <c r="Z786" s="204"/>
      <c r="AA786" s="204"/>
      <c r="AB786" s="204"/>
      <c r="AC786" s="204"/>
      <c r="AD786" s="204"/>
    </row>
    <row r="787">
      <c r="A787" s="202"/>
      <c r="B787" s="203"/>
      <c r="C787" s="204"/>
      <c r="D787" s="203"/>
      <c r="E787" s="204"/>
      <c r="F787" s="204"/>
      <c r="G787" s="93"/>
      <c r="H787" s="204"/>
      <c r="I787" s="205"/>
      <c r="J787" s="204"/>
      <c r="K787" s="204"/>
      <c r="L787" s="203"/>
      <c r="M787" s="204"/>
      <c r="N787" s="205"/>
      <c r="O787" s="205"/>
      <c r="P787" s="204"/>
      <c r="Q787" s="205"/>
      <c r="R787" s="204"/>
      <c r="S787" s="204"/>
      <c r="T787" s="204"/>
      <c r="U787" s="205"/>
      <c r="V787" s="204"/>
      <c r="W787" s="204"/>
      <c r="X787" s="204"/>
      <c r="Y787" s="204"/>
      <c r="Z787" s="204"/>
      <c r="AA787" s="204"/>
      <c r="AB787" s="204"/>
      <c r="AC787" s="204"/>
      <c r="AD787" s="204"/>
    </row>
    <row r="788">
      <c r="A788" s="202"/>
      <c r="B788" s="203"/>
      <c r="C788" s="204"/>
      <c r="D788" s="203"/>
      <c r="E788" s="204"/>
      <c r="F788" s="204"/>
      <c r="G788" s="93"/>
      <c r="H788" s="204"/>
      <c r="I788" s="205"/>
      <c r="J788" s="204"/>
      <c r="K788" s="204"/>
      <c r="L788" s="203"/>
      <c r="M788" s="204"/>
      <c r="N788" s="205"/>
      <c r="O788" s="205"/>
      <c r="P788" s="204"/>
      <c r="Q788" s="205"/>
      <c r="R788" s="204"/>
      <c r="S788" s="204"/>
      <c r="T788" s="204"/>
      <c r="U788" s="205"/>
      <c r="V788" s="204"/>
      <c r="W788" s="204"/>
      <c r="X788" s="204"/>
      <c r="Y788" s="204"/>
      <c r="Z788" s="204"/>
      <c r="AA788" s="204"/>
      <c r="AB788" s="204"/>
      <c r="AC788" s="204"/>
      <c r="AD788" s="204"/>
    </row>
    <row r="789">
      <c r="A789" s="202"/>
      <c r="B789" s="203"/>
      <c r="C789" s="204"/>
      <c r="D789" s="203"/>
      <c r="E789" s="204"/>
      <c r="F789" s="204"/>
      <c r="G789" s="93"/>
      <c r="H789" s="204"/>
      <c r="I789" s="205"/>
      <c r="J789" s="204"/>
      <c r="K789" s="204"/>
      <c r="L789" s="203"/>
      <c r="M789" s="204"/>
      <c r="N789" s="205"/>
      <c r="O789" s="205"/>
      <c r="P789" s="204"/>
      <c r="Q789" s="205"/>
      <c r="R789" s="204"/>
      <c r="S789" s="204"/>
      <c r="T789" s="204"/>
      <c r="U789" s="205"/>
      <c r="V789" s="204"/>
      <c r="W789" s="204"/>
      <c r="X789" s="204"/>
      <c r="Y789" s="204"/>
      <c r="Z789" s="204"/>
      <c r="AA789" s="204"/>
      <c r="AB789" s="204"/>
      <c r="AC789" s="204"/>
      <c r="AD789" s="204"/>
    </row>
    <row r="790">
      <c r="A790" s="202"/>
      <c r="B790" s="203"/>
      <c r="C790" s="204"/>
      <c r="D790" s="203"/>
      <c r="E790" s="204"/>
      <c r="F790" s="204"/>
      <c r="G790" s="93"/>
      <c r="H790" s="204"/>
      <c r="I790" s="205"/>
      <c r="J790" s="204"/>
      <c r="K790" s="204"/>
      <c r="L790" s="203"/>
      <c r="M790" s="204"/>
      <c r="N790" s="205"/>
      <c r="O790" s="205"/>
      <c r="P790" s="204"/>
      <c r="Q790" s="205"/>
      <c r="R790" s="204"/>
      <c r="S790" s="204"/>
      <c r="T790" s="204"/>
      <c r="U790" s="205"/>
      <c r="V790" s="204"/>
      <c r="W790" s="204"/>
      <c r="X790" s="204"/>
      <c r="Y790" s="204"/>
      <c r="Z790" s="204"/>
      <c r="AA790" s="204"/>
      <c r="AB790" s="204"/>
      <c r="AC790" s="204"/>
      <c r="AD790" s="204"/>
    </row>
    <row r="791">
      <c r="A791" s="202"/>
      <c r="B791" s="203"/>
      <c r="C791" s="204"/>
      <c r="D791" s="203"/>
      <c r="E791" s="204"/>
      <c r="F791" s="204"/>
      <c r="G791" s="93"/>
      <c r="H791" s="204"/>
      <c r="I791" s="205"/>
      <c r="J791" s="204"/>
      <c r="K791" s="204"/>
      <c r="L791" s="203"/>
      <c r="M791" s="204"/>
      <c r="N791" s="205"/>
      <c r="O791" s="205"/>
      <c r="P791" s="204"/>
      <c r="Q791" s="205"/>
      <c r="R791" s="204"/>
      <c r="S791" s="204"/>
      <c r="T791" s="204"/>
      <c r="U791" s="205"/>
      <c r="V791" s="204"/>
      <c r="W791" s="204"/>
      <c r="X791" s="204"/>
      <c r="Y791" s="204"/>
      <c r="Z791" s="204"/>
      <c r="AA791" s="204"/>
      <c r="AB791" s="204"/>
      <c r="AC791" s="204"/>
      <c r="AD791" s="204"/>
    </row>
    <row r="792">
      <c r="A792" s="202"/>
      <c r="B792" s="203"/>
      <c r="C792" s="204"/>
      <c r="D792" s="203"/>
      <c r="E792" s="204"/>
      <c r="F792" s="204"/>
      <c r="G792" s="93"/>
      <c r="H792" s="204"/>
      <c r="I792" s="205"/>
      <c r="J792" s="204"/>
      <c r="K792" s="204"/>
      <c r="L792" s="203"/>
      <c r="M792" s="204"/>
      <c r="N792" s="205"/>
      <c r="O792" s="205"/>
      <c r="P792" s="204"/>
      <c r="Q792" s="205"/>
      <c r="R792" s="204"/>
      <c r="S792" s="204"/>
      <c r="T792" s="204"/>
      <c r="U792" s="205"/>
      <c r="V792" s="204"/>
      <c r="W792" s="204"/>
      <c r="X792" s="204"/>
      <c r="Y792" s="204"/>
      <c r="Z792" s="204"/>
      <c r="AA792" s="204"/>
      <c r="AB792" s="204"/>
      <c r="AC792" s="204"/>
      <c r="AD792" s="204"/>
    </row>
    <row r="793">
      <c r="A793" s="202"/>
      <c r="B793" s="203"/>
      <c r="C793" s="204"/>
      <c r="D793" s="203"/>
      <c r="E793" s="204"/>
      <c r="F793" s="204"/>
      <c r="G793" s="93"/>
      <c r="H793" s="204"/>
      <c r="I793" s="205"/>
      <c r="J793" s="204"/>
      <c r="K793" s="204"/>
      <c r="L793" s="203"/>
      <c r="M793" s="204"/>
      <c r="N793" s="205"/>
      <c r="O793" s="205"/>
      <c r="P793" s="204"/>
      <c r="Q793" s="205"/>
      <c r="R793" s="204"/>
      <c r="S793" s="204"/>
      <c r="T793" s="204"/>
      <c r="U793" s="205"/>
      <c r="V793" s="204"/>
      <c r="W793" s="204"/>
      <c r="X793" s="204"/>
      <c r="Y793" s="204"/>
      <c r="Z793" s="204"/>
      <c r="AA793" s="204"/>
      <c r="AB793" s="204"/>
      <c r="AC793" s="204"/>
      <c r="AD793" s="204"/>
    </row>
    <row r="794">
      <c r="A794" s="202"/>
      <c r="B794" s="203"/>
      <c r="C794" s="204"/>
      <c r="D794" s="203"/>
      <c r="E794" s="204"/>
      <c r="F794" s="204"/>
      <c r="G794" s="93"/>
      <c r="H794" s="204"/>
      <c r="I794" s="205"/>
      <c r="J794" s="204"/>
      <c r="K794" s="204"/>
      <c r="L794" s="203"/>
      <c r="M794" s="204"/>
      <c r="N794" s="205"/>
      <c r="O794" s="205"/>
      <c r="P794" s="204"/>
      <c r="Q794" s="205"/>
      <c r="R794" s="204"/>
      <c r="S794" s="204"/>
      <c r="T794" s="204"/>
      <c r="U794" s="205"/>
      <c r="V794" s="204"/>
      <c r="W794" s="204"/>
      <c r="X794" s="204"/>
      <c r="Y794" s="204"/>
      <c r="Z794" s="204"/>
      <c r="AA794" s="204"/>
      <c r="AB794" s="204"/>
      <c r="AC794" s="204"/>
      <c r="AD794" s="204"/>
    </row>
    <row r="795">
      <c r="A795" s="202"/>
      <c r="B795" s="203"/>
      <c r="C795" s="204"/>
      <c r="D795" s="203"/>
      <c r="E795" s="204"/>
      <c r="F795" s="204"/>
      <c r="G795" s="93"/>
      <c r="H795" s="204"/>
      <c r="I795" s="205"/>
      <c r="J795" s="204"/>
      <c r="K795" s="204"/>
      <c r="L795" s="203"/>
      <c r="M795" s="204"/>
      <c r="N795" s="205"/>
      <c r="O795" s="205"/>
      <c r="P795" s="204"/>
      <c r="Q795" s="205"/>
      <c r="R795" s="204"/>
      <c r="S795" s="204"/>
      <c r="T795" s="204"/>
      <c r="U795" s="205"/>
      <c r="V795" s="204"/>
      <c r="W795" s="204"/>
      <c r="X795" s="204"/>
      <c r="Y795" s="204"/>
      <c r="Z795" s="204"/>
      <c r="AA795" s="204"/>
      <c r="AB795" s="204"/>
      <c r="AC795" s="204"/>
      <c r="AD795" s="204"/>
    </row>
    <row r="796">
      <c r="A796" s="202"/>
      <c r="B796" s="203"/>
      <c r="C796" s="204"/>
      <c r="D796" s="203"/>
      <c r="E796" s="204"/>
      <c r="F796" s="204"/>
      <c r="G796" s="93"/>
      <c r="H796" s="204"/>
      <c r="I796" s="205"/>
      <c r="J796" s="204"/>
      <c r="K796" s="204"/>
      <c r="L796" s="203"/>
      <c r="M796" s="204"/>
      <c r="N796" s="205"/>
      <c r="O796" s="205"/>
      <c r="P796" s="204"/>
      <c r="Q796" s="205"/>
      <c r="R796" s="204"/>
      <c r="S796" s="204"/>
      <c r="T796" s="204"/>
      <c r="U796" s="205"/>
      <c r="V796" s="204"/>
      <c r="W796" s="204"/>
      <c r="X796" s="204"/>
      <c r="Y796" s="204"/>
      <c r="Z796" s="204"/>
      <c r="AA796" s="204"/>
      <c r="AB796" s="204"/>
      <c r="AC796" s="204"/>
      <c r="AD796" s="204"/>
    </row>
    <row r="797">
      <c r="A797" s="202"/>
      <c r="B797" s="203"/>
      <c r="C797" s="204"/>
      <c r="D797" s="203"/>
      <c r="E797" s="204"/>
      <c r="F797" s="204"/>
      <c r="G797" s="93"/>
      <c r="H797" s="204"/>
      <c r="I797" s="205"/>
      <c r="J797" s="204"/>
      <c r="K797" s="204"/>
      <c r="L797" s="203"/>
      <c r="M797" s="204"/>
      <c r="N797" s="205"/>
      <c r="O797" s="205"/>
      <c r="P797" s="204"/>
      <c r="Q797" s="205"/>
      <c r="R797" s="204"/>
      <c r="S797" s="204"/>
      <c r="T797" s="204"/>
      <c r="U797" s="205"/>
      <c r="V797" s="204"/>
      <c r="W797" s="204"/>
      <c r="X797" s="204"/>
      <c r="Y797" s="204"/>
      <c r="Z797" s="204"/>
      <c r="AA797" s="204"/>
      <c r="AB797" s="204"/>
      <c r="AC797" s="204"/>
      <c r="AD797" s="204"/>
    </row>
    <row r="798">
      <c r="A798" s="202"/>
      <c r="B798" s="203"/>
      <c r="C798" s="204"/>
      <c r="D798" s="203"/>
      <c r="E798" s="204"/>
      <c r="F798" s="204"/>
      <c r="G798" s="93"/>
      <c r="H798" s="204"/>
      <c r="I798" s="205"/>
      <c r="J798" s="204"/>
      <c r="K798" s="204"/>
      <c r="L798" s="203"/>
      <c r="M798" s="204"/>
      <c r="N798" s="205"/>
      <c r="O798" s="205"/>
      <c r="P798" s="204"/>
      <c r="Q798" s="205"/>
      <c r="R798" s="204"/>
      <c r="S798" s="204"/>
      <c r="T798" s="204"/>
      <c r="U798" s="205"/>
      <c r="V798" s="204"/>
      <c r="W798" s="204"/>
      <c r="X798" s="204"/>
      <c r="Y798" s="204"/>
      <c r="Z798" s="204"/>
      <c r="AA798" s="204"/>
      <c r="AB798" s="204"/>
      <c r="AC798" s="204"/>
      <c r="AD798" s="204"/>
    </row>
    <row r="799">
      <c r="A799" s="202"/>
      <c r="B799" s="203"/>
      <c r="C799" s="204"/>
      <c r="D799" s="203"/>
      <c r="E799" s="204"/>
      <c r="F799" s="204"/>
      <c r="G799" s="93"/>
      <c r="H799" s="204"/>
      <c r="I799" s="205"/>
      <c r="J799" s="204"/>
      <c r="K799" s="204"/>
      <c r="L799" s="203"/>
      <c r="M799" s="204"/>
      <c r="N799" s="205"/>
      <c r="O799" s="205"/>
      <c r="P799" s="204"/>
      <c r="Q799" s="205"/>
      <c r="R799" s="204"/>
      <c r="S799" s="204"/>
      <c r="T799" s="204"/>
      <c r="U799" s="205"/>
      <c r="V799" s="204"/>
      <c r="W799" s="204"/>
      <c r="X799" s="204"/>
      <c r="Y799" s="204"/>
      <c r="Z799" s="204"/>
      <c r="AA799" s="204"/>
      <c r="AB799" s="204"/>
      <c r="AC799" s="204"/>
      <c r="AD799" s="204"/>
    </row>
    <row r="800">
      <c r="A800" s="202"/>
      <c r="B800" s="203"/>
      <c r="C800" s="204"/>
      <c r="D800" s="203"/>
      <c r="E800" s="204"/>
      <c r="F800" s="204"/>
      <c r="G800" s="93"/>
      <c r="H800" s="204"/>
      <c r="I800" s="205"/>
      <c r="J800" s="204"/>
      <c r="K800" s="204"/>
      <c r="L800" s="203"/>
      <c r="M800" s="204"/>
      <c r="N800" s="205"/>
      <c r="O800" s="205"/>
      <c r="P800" s="204"/>
      <c r="Q800" s="205"/>
      <c r="R800" s="204"/>
      <c r="S800" s="204"/>
      <c r="T800" s="204"/>
      <c r="U800" s="205"/>
      <c r="V800" s="204"/>
      <c r="W800" s="204"/>
      <c r="X800" s="204"/>
      <c r="Y800" s="204"/>
      <c r="Z800" s="204"/>
      <c r="AA800" s="204"/>
      <c r="AB800" s="204"/>
      <c r="AC800" s="204"/>
      <c r="AD800" s="204"/>
    </row>
    <row r="801">
      <c r="A801" s="202"/>
      <c r="B801" s="203"/>
      <c r="C801" s="204"/>
      <c r="D801" s="203"/>
      <c r="E801" s="204"/>
      <c r="F801" s="204"/>
      <c r="G801" s="93"/>
      <c r="H801" s="204"/>
      <c r="I801" s="205"/>
      <c r="J801" s="204"/>
      <c r="K801" s="204"/>
      <c r="L801" s="203"/>
      <c r="M801" s="204"/>
      <c r="N801" s="205"/>
      <c r="O801" s="205"/>
      <c r="P801" s="204"/>
      <c r="Q801" s="205"/>
      <c r="R801" s="204"/>
      <c r="S801" s="204"/>
      <c r="T801" s="204"/>
      <c r="U801" s="205"/>
      <c r="V801" s="204"/>
      <c r="W801" s="204"/>
      <c r="X801" s="204"/>
      <c r="Y801" s="204"/>
      <c r="Z801" s="204"/>
      <c r="AA801" s="204"/>
      <c r="AB801" s="204"/>
      <c r="AC801" s="204"/>
      <c r="AD801" s="204"/>
    </row>
    <row r="802">
      <c r="A802" s="202"/>
      <c r="B802" s="203"/>
      <c r="C802" s="204"/>
      <c r="D802" s="203"/>
      <c r="E802" s="204"/>
      <c r="F802" s="204"/>
      <c r="G802" s="93"/>
      <c r="H802" s="204"/>
      <c r="I802" s="205"/>
      <c r="J802" s="204"/>
      <c r="K802" s="204"/>
      <c r="L802" s="203"/>
      <c r="M802" s="204"/>
      <c r="N802" s="205"/>
      <c r="O802" s="205"/>
      <c r="P802" s="204"/>
      <c r="Q802" s="205"/>
      <c r="R802" s="204"/>
      <c r="S802" s="204"/>
      <c r="T802" s="204"/>
      <c r="U802" s="205"/>
      <c r="V802" s="204"/>
      <c r="W802" s="204"/>
      <c r="X802" s="204"/>
      <c r="Y802" s="204"/>
      <c r="Z802" s="204"/>
      <c r="AA802" s="204"/>
      <c r="AB802" s="204"/>
      <c r="AC802" s="204"/>
      <c r="AD802" s="204"/>
    </row>
    <row r="803">
      <c r="A803" s="202"/>
      <c r="B803" s="203"/>
      <c r="C803" s="204"/>
      <c r="D803" s="203"/>
      <c r="E803" s="204"/>
      <c r="F803" s="204"/>
      <c r="G803" s="93"/>
      <c r="H803" s="204"/>
      <c r="I803" s="205"/>
      <c r="J803" s="204"/>
      <c r="K803" s="204"/>
      <c r="L803" s="203"/>
      <c r="M803" s="204"/>
      <c r="N803" s="205"/>
      <c r="O803" s="205"/>
      <c r="P803" s="204"/>
      <c r="Q803" s="205"/>
      <c r="R803" s="204"/>
      <c r="S803" s="204"/>
      <c r="T803" s="204"/>
      <c r="U803" s="205"/>
      <c r="V803" s="204"/>
      <c r="W803" s="204"/>
      <c r="X803" s="204"/>
      <c r="Y803" s="204"/>
      <c r="Z803" s="204"/>
      <c r="AA803" s="204"/>
      <c r="AB803" s="204"/>
      <c r="AC803" s="204"/>
      <c r="AD803" s="204"/>
    </row>
    <row r="804">
      <c r="A804" s="202"/>
      <c r="B804" s="203"/>
      <c r="C804" s="204"/>
      <c r="D804" s="203"/>
      <c r="E804" s="204"/>
      <c r="F804" s="204"/>
      <c r="G804" s="93"/>
      <c r="H804" s="204"/>
      <c r="I804" s="205"/>
      <c r="J804" s="204"/>
      <c r="K804" s="204"/>
      <c r="L804" s="203"/>
      <c r="M804" s="204"/>
      <c r="N804" s="205"/>
      <c r="O804" s="205"/>
      <c r="P804" s="204"/>
      <c r="Q804" s="205"/>
      <c r="R804" s="204"/>
      <c r="S804" s="204"/>
      <c r="T804" s="204"/>
      <c r="U804" s="205"/>
      <c r="V804" s="204"/>
      <c r="W804" s="204"/>
      <c r="X804" s="204"/>
      <c r="Y804" s="204"/>
      <c r="Z804" s="204"/>
      <c r="AA804" s="204"/>
      <c r="AB804" s="204"/>
      <c r="AC804" s="204"/>
      <c r="AD804" s="204"/>
    </row>
    <row r="805">
      <c r="A805" s="202"/>
      <c r="B805" s="203"/>
      <c r="C805" s="204"/>
      <c r="D805" s="203"/>
      <c r="E805" s="204"/>
      <c r="F805" s="204"/>
      <c r="G805" s="93"/>
      <c r="H805" s="204"/>
      <c r="I805" s="205"/>
      <c r="J805" s="204"/>
      <c r="K805" s="204"/>
      <c r="L805" s="203"/>
      <c r="M805" s="204"/>
      <c r="N805" s="205"/>
      <c r="O805" s="205"/>
      <c r="P805" s="204"/>
      <c r="Q805" s="205"/>
      <c r="R805" s="204"/>
      <c r="S805" s="204"/>
      <c r="T805" s="204"/>
      <c r="U805" s="205"/>
      <c r="V805" s="204"/>
      <c r="W805" s="204"/>
      <c r="X805" s="204"/>
      <c r="Y805" s="204"/>
      <c r="Z805" s="204"/>
      <c r="AA805" s="204"/>
      <c r="AB805" s="204"/>
      <c r="AC805" s="204"/>
      <c r="AD805" s="204"/>
    </row>
    <row r="806">
      <c r="A806" s="202"/>
      <c r="B806" s="203"/>
      <c r="C806" s="204"/>
      <c r="D806" s="203"/>
      <c r="E806" s="204"/>
      <c r="F806" s="204"/>
      <c r="G806" s="93"/>
      <c r="H806" s="204"/>
      <c r="I806" s="205"/>
      <c r="J806" s="204"/>
      <c r="K806" s="204"/>
      <c r="L806" s="203"/>
      <c r="M806" s="204"/>
      <c r="N806" s="205"/>
      <c r="O806" s="205"/>
      <c r="P806" s="204"/>
      <c r="Q806" s="205"/>
      <c r="R806" s="204"/>
      <c r="S806" s="204"/>
      <c r="T806" s="204"/>
      <c r="U806" s="205"/>
      <c r="V806" s="204"/>
      <c r="W806" s="204"/>
      <c r="X806" s="204"/>
      <c r="Y806" s="204"/>
      <c r="Z806" s="204"/>
      <c r="AA806" s="204"/>
      <c r="AB806" s="204"/>
      <c r="AC806" s="204"/>
      <c r="AD806" s="204"/>
    </row>
    <row r="807">
      <c r="A807" s="202"/>
      <c r="B807" s="203"/>
      <c r="C807" s="204"/>
      <c r="D807" s="203"/>
      <c r="E807" s="204"/>
      <c r="F807" s="204"/>
      <c r="G807" s="93"/>
      <c r="H807" s="204"/>
      <c r="I807" s="205"/>
      <c r="J807" s="204"/>
      <c r="K807" s="204"/>
      <c r="L807" s="203"/>
      <c r="M807" s="204"/>
      <c r="N807" s="205"/>
      <c r="O807" s="205"/>
      <c r="P807" s="204"/>
      <c r="Q807" s="205"/>
      <c r="R807" s="204"/>
      <c r="S807" s="204"/>
      <c r="T807" s="204"/>
      <c r="U807" s="205"/>
      <c r="V807" s="204"/>
      <c r="W807" s="204"/>
      <c r="X807" s="204"/>
      <c r="Y807" s="204"/>
      <c r="Z807" s="204"/>
      <c r="AA807" s="204"/>
      <c r="AB807" s="204"/>
      <c r="AC807" s="204"/>
      <c r="AD807" s="204"/>
    </row>
    <row r="808">
      <c r="A808" s="202"/>
      <c r="B808" s="203"/>
      <c r="C808" s="204"/>
      <c r="D808" s="203"/>
      <c r="E808" s="204"/>
      <c r="F808" s="204"/>
      <c r="G808" s="93"/>
      <c r="H808" s="204"/>
      <c r="I808" s="205"/>
      <c r="J808" s="204"/>
      <c r="K808" s="204"/>
      <c r="L808" s="203"/>
      <c r="M808" s="204"/>
      <c r="N808" s="205"/>
      <c r="O808" s="205"/>
      <c r="P808" s="204"/>
      <c r="Q808" s="205"/>
      <c r="R808" s="204"/>
      <c r="S808" s="204"/>
      <c r="T808" s="204"/>
      <c r="U808" s="205"/>
      <c r="V808" s="204"/>
      <c r="W808" s="204"/>
      <c r="X808" s="204"/>
      <c r="Y808" s="204"/>
      <c r="Z808" s="204"/>
      <c r="AA808" s="204"/>
      <c r="AB808" s="204"/>
      <c r="AC808" s="204"/>
      <c r="AD808" s="204"/>
    </row>
    <row r="809">
      <c r="A809" s="202"/>
      <c r="B809" s="203"/>
      <c r="C809" s="204"/>
      <c r="D809" s="203"/>
      <c r="E809" s="204"/>
      <c r="F809" s="204"/>
      <c r="G809" s="93"/>
      <c r="H809" s="204"/>
      <c r="I809" s="205"/>
      <c r="J809" s="204"/>
      <c r="K809" s="204"/>
      <c r="L809" s="203"/>
      <c r="M809" s="204"/>
      <c r="N809" s="205"/>
      <c r="O809" s="205"/>
      <c r="P809" s="204"/>
      <c r="Q809" s="205"/>
      <c r="R809" s="204"/>
      <c r="S809" s="204"/>
      <c r="T809" s="204"/>
      <c r="U809" s="205"/>
      <c r="V809" s="204"/>
      <c r="W809" s="204"/>
      <c r="X809" s="204"/>
      <c r="Y809" s="204"/>
      <c r="Z809" s="204"/>
      <c r="AA809" s="204"/>
      <c r="AB809" s="204"/>
      <c r="AC809" s="204"/>
      <c r="AD809" s="204"/>
    </row>
    <row r="810">
      <c r="A810" s="202"/>
      <c r="B810" s="203"/>
      <c r="C810" s="204"/>
      <c r="D810" s="203"/>
      <c r="E810" s="204"/>
      <c r="F810" s="204"/>
      <c r="G810" s="93"/>
      <c r="H810" s="204"/>
      <c r="I810" s="205"/>
      <c r="J810" s="204"/>
      <c r="K810" s="204"/>
      <c r="L810" s="203"/>
      <c r="M810" s="204"/>
      <c r="N810" s="205"/>
      <c r="O810" s="205"/>
      <c r="P810" s="204"/>
      <c r="Q810" s="205"/>
      <c r="R810" s="204"/>
      <c r="S810" s="204"/>
      <c r="T810" s="204"/>
      <c r="U810" s="205"/>
      <c r="V810" s="204"/>
      <c r="W810" s="204"/>
      <c r="X810" s="204"/>
      <c r="Y810" s="204"/>
      <c r="Z810" s="204"/>
      <c r="AA810" s="204"/>
      <c r="AB810" s="204"/>
      <c r="AC810" s="204"/>
      <c r="AD810" s="204"/>
    </row>
    <row r="811">
      <c r="A811" s="202"/>
      <c r="B811" s="203"/>
      <c r="C811" s="204"/>
      <c r="D811" s="203"/>
      <c r="E811" s="204"/>
      <c r="F811" s="204"/>
      <c r="G811" s="93"/>
      <c r="H811" s="204"/>
      <c r="I811" s="205"/>
      <c r="J811" s="204"/>
      <c r="K811" s="204"/>
      <c r="L811" s="203"/>
      <c r="M811" s="204"/>
      <c r="N811" s="205"/>
      <c r="O811" s="205"/>
      <c r="P811" s="204"/>
      <c r="Q811" s="205"/>
      <c r="R811" s="204"/>
      <c r="S811" s="204"/>
      <c r="T811" s="204"/>
      <c r="U811" s="205"/>
      <c r="V811" s="204"/>
      <c r="W811" s="204"/>
      <c r="X811" s="204"/>
      <c r="Y811" s="204"/>
      <c r="Z811" s="204"/>
      <c r="AA811" s="204"/>
      <c r="AB811" s="204"/>
      <c r="AC811" s="204"/>
      <c r="AD811" s="204"/>
    </row>
    <row r="812">
      <c r="A812" s="202"/>
      <c r="B812" s="203"/>
      <c r="C812" s="204"/>
      <c r="D812" s="203"/>
      <c r="E812" s="204"/>
      <c r="F812" s="204"/>
      <c r="G812" s="93"/>
      <c r="H812" s="204"/>
      <c r="I812" s="205"/>
      <c r="J812" s="204"/>
      <c r="K812" s="204"/>
      <c r="L812" s="203"/>
      <c r="M812" s="204"/>
      <c r="N812" s="205"/>
      <c r="O812" s="205"/>
      <c r="P812" s="204"/>
      <c r="Q812" s="205"/>
      <c r="R812" s="204"/>
      <c r="S812" s="204"/>
      <c r="T812" s="204"/>
      <c r="U812" s="205"/>
      <c r="V812" s="204"/>
      <c r="W812" s="204"/>
      <c r="X812" s="204"/>
      <c r="Y812" s="204"/>
      <c r="Z812" s="204"/>
      <c r="AA812" s="204"/>
      <c r="AB812" s="204"/>
      <c r="AC812" s="204"/>
      <c r="AD812" s="204"/>
    </row>
    <row r="813">
      <c r="A813" s="202"/>
      <c r="B813" s="203"/>
      <c r="C813" s="204"/>
      <c r="D813" s="203"/>
      <c r="E813" s="204"/>
      <c r="F813" s="204"/>
      <c r="G813" s="93"/>
      <c r="H813" s="204"/>
      <c r="I813" s="205"/>
      <c r="J813" s="204"/>
      <c r="K813" s="204"/>
      <c r="L813" s="203"/>
      <c r="M813" s="204"/>
      <c r="N813" s="205"/>
      <c r="O813" s="205"/>
      <c r="P813" s="204"/>
      <c r="Q813" s="205"/>
      <c r="R813" s="204"/>
      <c r="S813" s="204"/>
      <c r="T813" s="204"/>
      <c r="U813" s="205"/>
      <c r="V813" s="204"/>
      <c r="W813" s="204"/>
      <c r="X813" s="204"/>
      <c r="Y813" s="204"/>
      <c r="Z813" s="204"/>
      <c r="AA813" s="204"/>
      <c r="AB813" s="204"/>
      <c r="AC813" s="204"/>
      <c r="AD813" s="204"/>
    </row>
    <row r="814">
      <c r="A814" s="202"/>
      <c r="B814" s="203"/>
      <c r="C814" s="204"/>
      <c r="D814" s="203"/>
      <c r="E814" s="204"/>
      <c r="F814" s="204"/>
      <c r="G814" s="93"/>
      <c r="H814" s="204"/>
      <c r="I814" s="205"/>
      <c r="J814" s="204"/>
      <c r="K814" s="204"/>
      <c r="L814" s="203"/>
      <c r="M814" s="204"/>
      <c r="N814" s="205"/>
      <c r="O814" s="205"/>
      <c r="P814" s="204"/>
      <c r="Q814" s="205"/>
      <c r="R814" s="204"/>
      <c r="S814" s="204"/>
      <c r="T814" s="204"/>
      <c r="U814" s="205"/>
      <c r="V814" s="204"/>
      <c r="W814" s="204"/>
      <c r="X814" s="204"/>
      <c r="Y814" s="204"/>
      <c r="Z814" s="204"/>
      <c r="AA814" s="204"/>
      <c r="AB814" s="204"/>
      <c r="AC814" s="204"/>
      <c r="AD814" s="204"/>
    </row>
    <row r="815">
      <c r="A815" s="202"/>
      <c r="B815" s="203"/>
      <c r="C815" s="204"/>
      <c r="D815" s="203"/>
      <c r="E815" s="204"/>
      <c r="F815" s="204"/>
      <c r="G815" s="93"/>
      <c r="H815" s="204"/>
      <c r="I815" s="205"/>
      <c r="J815" s="204"/>
      <c r="K815" s="204"/>
      <c r="L815" s="203"/>
      <c r="M815" s="204"/>
      <c r="N815" s="205"/>
      <c r="O815" s="205"/>
      <c r="P815" s="204"/>
      <c r="Q815" s="205"/>
      <c r="R815" s="204"/>
      <c r="S815" s="204"/>
      <c r="T815" s="204"/>
      <c r="U815" s="205"/>
      <c r="V815" s="204"/>
      <c r="W815" s="204"/>
      <c r="X815" s="204"/>
      <c r="Y815" s="204"/>
      <c r="Z815" s="204"/>
      <c r="AA815" s="204"/>
      <c r="AB815" s="204"/>
      <c r="AC815" s="204"/>
      <c r="AD815" s="204"/>
    </row>
    <row r="816">
      <c r="A816" s="202"/>
      <c r="B816" s="203"/>
      <c r="C816" s="204"/>
      <c r="D816" s="203"/>
      <c r="E816" s="204"/>
      <c r="F816" s="204"/>
      <c r="G816" s="93"/>
      <c r="H816" s="204"/>
      <c r="I816" s="205"/>
      <c r="J816" s="204"/>
      <c r="K816" s="204"/>
      <c r="L816" s="203"/>
      <c r="M816" s="204"/>
      <c r="N816" s="205"/>
      <c r="O816" s="205"/>
      <c r="P816" s="204"/>
      <c r="Q816" s="205"/>
      <c r="R816" s="204"/>
      <c r="S816" s="204"/>
      <c r="T816" s="204"/>
      <c r="U816" s="205"/>
      <c r="V816" s="204"/>
      <c r="W816" s="204"/>
      <c r="X816" s="204"/>
      <c r="Y816" s="204"/>
      <c r="Z816" s="204"/>
      <c r="AA816" s="204"/>
      <c r="AB816" s="204"/>
      <c r="AC816" s="204"/>
      <c r="AD816" s="204"/>
    </row>
    <row r="817">
      <c r="A817" s="202"/>
      <c r="B817" s="203"/>
      <c r="C817" s="204"/>
      <c r="D817" s="203"/>
      <c r="E817" s="204"/>
      <c r="F817" s="204"/>
      <c r="G817" s="93"/>
      <c r="H817" s="204"/>
      <c r="I817" s="205"/>
      <c r="J817" s="204"/>
      <c r="K817" s="204"/>
      <c r="L817" s="203"/>
      <c r="M817" s="204"/>
      <c r="N817" s="205"/>
      <c r="O817" s="205"/>
      <c r="P817" s="204"/>
      <c r="Q817" s="205"/>
      <c r="R817" s="204"/>
      <c r="S817" s="204"/>
      <c r="T817" s="204"/>
      <c r="U817" s="205"/>
      <c r="V817" s="204"/>
      <c r="W817" s="204"/>
      <c r="X817" s="204"/>
      <c r="Y817" s="204"/>
      <c r="Z817" s="204"/>
      <c r="AA817" s="204"/>
      <c r="AB817" s="204"/>
      <c r="AC817" s="204"/>
      <c r="AD817" s="204"/>
    </row>
    <row r="818">
      <c r="A818" s="202"/>
      <c r="B818" s="203"/>
      <c r="C818" s="204"/>
      <c r="D818" s="203"/>
      <c r="E818" s="204"/>
      <c r="F818" s="204"/>
      <c r="G818" s="93"/>
      <c r="H818" s="204"/>
      <c r="I818" s="205"/>
      <c r="J818" s="204"/>
      <c r="K818" s="204"/>
      <c r="L818" s="203"/>
      <c r="M818" s="204"/>
      <c r="N818" s="205"/>
      <c r="O818" s="205"/>
      <c r="P818" s="204"/>
      <c r="Q818" s="205"/>
      <c r="R818" s="204"/>
      <c r="S818" s="204"/>
      <c r="T818" s="204"/>
      <c r="U818" s="205"/>
      <c r="V818" s="204"/>
      <c r="W818" s="204"/>
      <c r="X818" s="204"/>
      <c r="Y818" s="204"/>
      <c r="Z818" s="204"/>
      <c r="AA818" s="204"/>
      <c r="AB818" s="204"/>
      <c r="AC818" s="204"/>
      <c r="AD818" s="204"/>
    </row>
    <row r="819">
      <c r="A819" s="202"/>
      <c r="B819" s="203"/>
      <c r="C819" s="204"/>
      <c r="D819" s="203"/>
      <c r="E819" s="204"/>
      <c r="F819" s="204"/>
      <c r="G819" s="93"/>
      <c r="H819" s="204"/>
      <c r="I819" s="205"/>
      <c r="J819" s="204"/>
      <c r="K819" s="204"/>
      <c r="L819" s="203"/>
      <c r="M819" s="204"/>
      <c r="N819" s="205"/>
      <c r="O819" s="205"/>
      <c r="P819" s="204"/>
      <c r="Q819" s="205"/>
      <c r="R819" s="204"/>
      <c r="S819" s="204"/>
      <c r="T819" s="204"/>
      <c r="U819" s="205"/>
      <c r="V819" s="204"/>
      <c r="W819" s="204"/>
      <c r="X819" s="204"/>
      <c r="Y819" s="204"/>
      <c r="Z819" s="204"/>
      <c r="AA819" s="204"/>
      <c r="AB819" s="204"/>
      <c r="AC819" s="204"/>
      <c r="AD819" s="204"/>
    </row>
    <row r="820">
      <c r="A820" s="202"/>
      <c r="B820" s="203"/>
      <c r="C820" s="204"/>
      <c r="D820" s="203"/>
      <c r="E820" s="204"/>
      <c r="F820" s="204"/>
      <c r="G820" s="93"/>
      <c r="H820" s="204"/>
      <c r="I820" s="205"/>
      <c r="J820" s="204"/>
      <c r="K820" s="204"/>
      <c r="L820" s="203"/>
      <c r="M820" s="204"/>
      <c r="N820" s="205"/>
      <c r="O820" s="205"/>
      <c r="P820" s="204"/>
      <c r="Q820" s="205"/>
      <c r="R820" s="204"/>
      <c r="S820" s="204"/>
      <c r="T820" s="204"/>
      <c r="U820" s="205"/>
      <c r="V820" s="204"/>
      <c r="W820" s="204"/>
      <c r="X820" s="204"/>
      <c r="Y820" s="204"/>
      <c r="Z820" s="204"/>
      <c r="AA820" s="204"/>
      <c r="AB820" s="204"/>
      <c r="AC820" s="204"/>
      <c r="AD820" s="204"/>
    </row>
    <row r="821">
      <c r="A821" s="202"/>
      <c r="B821" s="203"/>
      <c r="C821" s="204"/>
      <c r="D821" s="203"/>
      <c r="E821" s="204"/>
      <c r="F821" s="204"/>
      <c r="G821" s="93"/>
      <c r="H821" s="204"/>
      <c r="I821" s="205"/>
      <c r="J821" s="204"/>
      <c r="K821" s="204"/>
      <c r="L821" s="203"/>
      <c r="M821" s="204"/>
      <c r="N821" s="205"/>
      <c r="O821" s="205"/>
      <c r="P821" s="204"/>
      <c r="Q821" s="205"/>
      <c r="R821" s="204"/>
      <c r="S821" s="204"/>
      <c r="T821" s="204"/>
      <c r="U821" s="205"/>
      <c r="V821" s="204"/>
      <c r="W821" s="204"/>
      <c r="X821" s="204"/>
      <c r="Y821" s="204"/>
      <c r="Z821" s="204"/>
      <c r="AA821" s="204"/>
      <c r="AB821" s="204"/>
      <c r="AC821" s="204"/>
      <c r="AD821" s="204"/>
    </row>
    <row r="822">
      <c r="A822" s="202"/>
      <c r="B822" s="203"/>
      <c r="C822" s="204"/>
      <c r="D822" s="203"/>
      <c r="E822" s="204"/>
      <c r="F822" s="204"/>
      <c r="G822" s="93"/>
      <c r="H822" s="204"/>
      <c r="I822" s="205"/>
      <c r="J822" s="204"/>
      <c r="K822" s="204"/>
      <c r="L822" s="203"/>
      <c r="M822" s="204"/>
      <c r="N822" s="205"/>
      <c r="O822" s="205"/>
      <c r="P822" s="204"/>
      <c r="Q822" s="205"/>
      <c r="R822" s="204"/>
      <c r="S822" s="204"/>
      <c r="T822" s="204"/>
      <c r="U822" s="205"/>
      <c r="V822" s="204"/>
      <c r="W822" s="204"/>
      <c r="X822" s="204"/>
      <c r="Y822" s="204"/>
      <c r="Z822" s="204"/>
      <c r="AA822" s="204"/>
      <c r="AB822" s="204"/>
      <c r="AC822" s="204"/>
      <c r="AD822" s="204"/>
    </row>
    <row r="823">
      <c r="A823" s="202"/>
      <c r="B823" s="203"/>
      <c r="C823" s="204"/>
      <c r="D823" s="203"/>
      <c r="E823" s="204"/>
      <c r="F823" s="204"/>
      <c r="G823" s="93"/>
      <c r="H823" s="204"/>
      <c r="I823" s="205"/>
      <c r="J823" s="204"/>
      <c r="K823" s="204"/>
      <c r="L823" s="203"/>
      <c r="M823" s="204"/>
      <c r="N823" s="205"/>
      <c r="O823" s="205"/>
      <c r="P823" s="204"/>
      <c r="Q823" s="205"/>
      <c r="R823" s="204"/>
      <c r="S823" s="204"/>
      <c r="T823" s="204"/>
      <c r="U823" s="205"/>
      <c r="V823" s="204"/>
      <c r="W823" s="204"/>
      <c r="X823" s="204"/>
      <c r="Y823" s="204"/>
      <c r="Z823" s="204"/>
      <c r="AA823" s="204"/>
      <c r="AB823" s="204"/>
      <c r="AC823" s="204"/>
      <c r="AD823" s="204"/>
    </row>
    <row r="824">
      <c r="A824" s="202"/>
      <c r="B824" s="203"/>
      <c r="C824" s="204"/>
      <c r="D824" s="203"/>
      <c r="E824" s="204"/>
      <c r="F824" s="204"/>
      <c r="G824" s="93"/>
      <c r="H824" s="204"/>
      <c r="I824" s="205"/>
      <c r="J824" s="204"/>
      <c r="K824" s="204"/>
      <c r="L824" s="203"/>
      <c r="M824" s="204"/>
      <c r="N824" s="205"/>
      <c r="O824" s="205"/>
      <c r="P824" s="204"/>
      <c r="Q824" s="205"/>
      <c r="R824" s="204"/>
      <c r="S824" s="204"/>
      <c r="T824" s="204"/>
      <c r="U824" s="205"/>
      <c r="V824" s="204"/>
      <c r="W824" s="204"/>
      <c r="X824" s="204"/>
      <c r="Y824" s="204"/>
      <c r="Z824" s="204"/>
      <c r="AA824" s="204"/>
      <c r="AB824" s="204"/>
      <c r="AC824" s="204"/>
      <c r="AD824" s="204"/>
    </row>
    <row r="825">
      <c r="A825" s="202"/>
      <c r="B825" s="203"/>
      <c r="C825" s="204"/>
      <c r="D825" s="203"/>
      <c r="E825" s="204"/>
      <c r="F825" s="204"/>
      <c r="G825" s="93"/>
      <c r="H825" s="204"/>
      <c r="I825" s="205"/>
      <c r="J825" s="204"/>
      <c r="K825" s="204"/>
      <c r="L825" s="203"/>
      <c r="M825" s="204"/>
      <c r="N825" s="205"/>
      <c r="O825" s="205"/>
      <c r="P825" s="204"/>
      <c r="Q825" s="205"/>
      <c r="R825" s="204"/>
      <c r="S825" s="204"/>
      <c r="T825" s="204"/>
      <c r="U825" s="205"/>
      <c r="V825" s="204"/>
      <c r="W825" s="204"/>
      <c r="X825" s="204"/>
      <c r="Y825" s="204"/>
      <c r="Z825" s="204"/>
      <c r="AA825" s="204"/>
      <c r="AB825" s="204"/>
      <c r="AC825" s="204"/>
      <c r="AD825" s="204"/>
    </row>
    <row r="826">
      <c r="A826" s="202"/>
      <c r="B826" s="203"/>
      <c r="C826" s="204"/>
      <c r="D826" s="203"/>
      <c r="E826" s="204"/>
      <c r="F826" s="204"/>
      <c r="G826" s="93"/>
      <c r="H826" s="204"/>
      <c r="I826" s="205"/>
      <c r="J826" s="204"/>
      <c r="K826" s="204"/>
      <c r="L826" s="203"/>
      <c r="M826" s="204"/>
      <c r="N826" s="205"/>
      <c r="O826" s="205"/>
      <c r="P826" s="204"/>
      <c r="Q826" s="205"/>
      <c r="R826" s="204"/>
      <c r="S826" s="204"/>
      <c r="T826" s="204"/>
      <c r="U826" s="205"/>
      <c r="V826" s="204"/>
      <c r="W826" s="204"/>
      <c r="X826" s="204"/>
      <c r="Y826" s="204"/>
      <c r="Z826" s="204"/>
      <c r="AA826" s="204"/>
      <c r="AB826" s="204"/>
      <c r="AC826" s="204"/>
      <c r="AD826" s="204"/>
    </row>
    <row r="827">
      <c r="A827" s="202"/>
      <c r="B827" s="203"/>
      <c r="C827" s="204"/>
      <c r="D827" s="203"/>
      <c r="E827" s="204"/>
      <c r="F827" s="204"/>
      <c r="G827" s="93"/>
      <c r="H827" s="204"/>
      <c r="I827" s="205"/>
      <c r="J827" s="204"/>
      <c r="K827" s="204"/>
      <c r="L827" s="203"/>
      <c r="M827" s="204"/>
      <c r="N827" s="205"/>
      <c r="O827" s="205"/>
      <c r="P827" s="204"/>
      <c r="Q827" s="205"/>
      <c r="R827" s="204"/>
      <c r="S827" s="204"/>
      <c r="T827" s="204"/>
      <c r="U827" s="205"/>
      <c r="V827" s="204"/>
      <c r="W827" s="204"/>
      <c r="X827" s="204"/>
      <c r="Y827" s="204"/>
      <c r="Z827" s="204"/>
      <c r="AA827" s="204"/>
      <c r="AB827" s="204"/>
      <c r="AC827" s="204"/>
      <c r="AD827" s="204"/>
    </row>
    <row r="828">
      <c r="A828" s="202"/>
      <c r="B828" s="203"/>
      <c r="C828" s="204"/>
      <c r="D828" s="203"/>
      <c r="E828" s="204"/>
      <c r="F828" s="204"/>
      <c r="G828" s="93"/>
      <c r="H828" s="204"/>
      <c r="I828" s="205"/>
      <c r="J828" s="204"/>
      <c r="K828" s="204"/>
      <c r="L828" s="203"/>
      <c r="M828" s="204"/>
      <c r="N828" s="205"/>
      <c r="O828" s="205"/>
      <c r="P828" s="204"/>
      <c r="Q828" s="205"/>
      <c r="R828" s="204"/>
      <c r="S828" s="204"/>
      <c r="T828" s="204"/>
      <c r="U828" s="205"/>
      <c r="V828" s="204"/>
      <c r="W828" s="204"/>
      <c r="X828" s="204"/>
      <c r="Y828" s="204"/>
      <c r="Z828" s="204"/>
      <c r="AA828" s="204"/>
      <c r="AB828" s="204"/>
      <c r="AC828" s="204"/>
      <c r="AD828" s="204"/>
    </row>
    <row r="829">
      <c r="A829" s="202"/>
      <c r="B829" s="203"/>
      <c r="C829" s="204"/>
      <c r="D829" s="203"/>
      <c r="E829" s="204"/>
      <c r="F829" s="204"/>
      <c r="G829" s="93"/>
      <c r="H829" s="204"/>
      <c r="I829" s="205"/>
      <c r="J829" s="204"/>
      <c r="K829" s="204"/>
      <c r="L829" s="203"/>
      <c r="M829" s="204"/>
      <c r="N829" s="205"/>
      <c r="O829" s="205"/>
      <c r="P829" s="204"/>
      <c r="Q829" s="205"/>
      <c r="R829" s="204"/>
      <c r="S829" s="204"/>
      <c r="T829" s="204"/>
      <c r="U829" s="205"/>
      <c r="V829" s="204"/>
      <c r="W829" s="204"/>
      <c r="X829" s="204"/>
      <c r="Y829" s="204"/>
      <c r="Z829" s="204"/>
      <c r="AA829" s="204"/>
      <c r="AB829" s="204"/>
      <c r="AC829" s="204"/>
      <c r="AD829" s="204"/>
    </row>
    <row r="830">
      <c r="A830" s="202"/>
      <c r="B830" s="203"/>
      <c r="C830" s="204"/>
      <c r="D830" s="203"/>
      <c r="E830" s="204"/>
      <c r="F830" s="204"/>
      <c r="G830" s="93"/>
      <c r="H830" s="204"/>
      <c r="I830" s="205"/>
      <c r="J830" s="204"/>
      <c r="K830" s="204"/>
      <c r="L830" s="203"/>
      <c r="M830" s="204"/>
      <c r="N830" s="205"/>
      <c r="O830" s="205"/>
      <c r="P830" s="204"/>
      <c r="Q830" s="205"/>
      <c r="R830" s="204"/>
      <c r="S830" s="204"/>
      <c r="T830" s="204"/>
      <c r="U830" s="205"/>
      <c r="V830" s="204"/>
      <c r="W830" s="204"/>
      <c r="X830" s="204"/>
      <c r="Y830" s="204"/>
      <c r="Z830" s="204"/>
      <c r="AA830" s="204"/>
      <c r="AB830" s="204"/>
      <c r="AC830" s="204"/>
      <c r="AD830" s="204"/>
    </row>
    <row r="831">
      <c r="A831" s="202"/>
      <c r="B831" s="203"/>
      <c r="C831" s="204"/>
      <c r="D831" s="203"/>
      <c r="E831" s="204"/>
      <c r="F831" s="204"/>
      <c r="G831" s="93"/>
      <c r="H831" s="204"/>
      <c r="I831" s="205"/>
      <c r="J831" s="204"/>
      <c r="K831" s="204"/>
      <c r="L831" s="203"/>
      <c r="M831" s="204"/>
      <c r="N831" s="205"/>
      <c r="O831" s="205"/>
      <c r="P831" s="204"/>
      <c r="Q831" s="205"/>
      <c r="R831" s="204"/>
      <c r="S831" s="204"/>
      <c r="T831" s="204"/>
      <c r="U831" s="205"/>
      <c r="V831" s="204"/>
      <c r="W831" s="204"/>
      <c r="X831" s="204"/>
      <c r="Y831" s="204"/>
      <c r="Z831" s="204"/>
      <c r="AA831" s="204"/>
      <c r="AB831" s="204"/>
      <c r="AC831" s="204"/>
      <c r="AD831" s="204"/>
    </row>
    <row r="832">
      <c r="A832" s="202"/>
      <c r="B832" s="203"/>
      <c r="C832" s="204"/>
      <c r="D832" s="203"/>
      <c r="E832" s="204"/>
      <c r="F832" s="204"/>
      <c r="G832" s="93"/>
      <c r="H832" s="204"/>
      <c r="I832" s="205"/>
      <c r="J832" s="204"/>
      <c r="K832" s="204"/>
      <c r="L832" s="203"/>
      <c r="M832" s="204"/>
      <c r="N832" s="205"/>
      <c r="O832" s="205"/>
      <c r="P832" s="204"/>
      <c r="Q832" s="205"/>
      <c r="R832" s="204"/>
      <c r="S832" s="204"/>
      <c r="T832" s="204"/>
      <c r="U832" s="205"/>
      <c r="V832" s="204"/>
      <c r="W832" s="204"/>
      <c r="X832" s="204"/>
      <c r="Y832" s="204"/>
      <c r="Z832" s="204"/>
      <c r="AA832" s="204"/>
      <c r="AB832" s="204"/>
      <c r="AC832" s="204"/>
      <c r="AD832" s="204"/>
    </row>
    <row r="833">
      <c r="A833" s="202"/>
      <c r="B833" s="203"/>
      <c r="C833" s="204"/>
      <c r="D833" s="203"/>
      <c r="E833" s="204"/>
      <c r="F833" s="204"/>
      <c r="G833" s="93"/>
      <c r="H833" s="204"/>
      <c r="I833" s="205"/>
      <c r="J833" s="204"/>
      <c r="K833" s="204"/>
      <c r="L833" s="203"/>
      <c r="M833" s="204"/>
      <c r="N833" s="205"/>
      <c r="O833" s="205"/>
      <c r="P833" s="204"/>
      <c r="Q833" s="205"/>
      <c r="R833" s="204"/>
      <c r="S833" s="204"/>
      <c r="T833" s="204"/>
      <c r="U833" s="205"/>
      <c r="V833" s="204"/>
      <c r="W833" s="204"/>
      <c r="X833" s="204"/>
      <c r="Y833" s="204"/>
      <c r="Z833" s="204"/>
      <c r="AA833" s="204"/>
      <c r="AB833" s="204"/>
      <c r="AC833" s="204"/>
      <c r="AD833" s="204"/>
    </row>
    <row r="834">
      <c r="A834" s="202"/>
      <c r="B834" s="203"/>
      <c r="C834" s="204"/>
      <c r="D834" s="203"/>
      <c r="E834" s="204"/>
      <c r="F834" s="204"/>
      <c r="G834" s="93"/>
      <c r="H834" s="204"/>
      <c r="I834" s="205"/>
      <c r="J834" s="204"/>
      <c r="K834" s="204"/>
      <c r="L834" s="203"/>
      <c r="M834" s="204"/>
      <c r="N834" s="205"/>
      <c r="O834" s="205"/>
      <c r="P834" s="204"/>
      <c r="Q834" s="205"/>
      <c r="R834" s="204"/>
      <c r="S834" s="204"/>
      <c r="T834" s="204"/>
      <c r="U834" s="205"/>
      <c r="V834" s="204"/>
      <c r="W834" s="204"/>
      <c r="X834" s="204"/>
      <c r="Y834" s="204"/>
      <c r="Z834" s="204"/>
      <c r="AA834" s="204"/>
      <c r="AB834" s="204"/>
      <c r="AC834" s="204"/>
      <c r="AD834" s="204"/>
    </row>
    <row r="835">
      <c r="A835" s="202"/>
      <c r="B835" s="203"/>
      <c r="C835" s="204"/>
      <c r="D835" s="203"/>
      <c r="E835" s="204"/>
      <c r="F835" s="204"/>
      <c r="G835" s="93"/>
      <c r="H835" s="204"/>
      <c r="I835" s="205"/>
      <c r="J835" s="204"/>
      <c r="K835" s="204"/>
      <c r="L835" s="203"/>
      <c r="M835" s="204"/>
      <c r="N835" s="205"/>
      <c r="O835" s="205"/>
      <c r="P835" s="204"/>
      <c r="Q835" s="205"/>
      <c r="R835" s="204"/>
      <c r="S835" s="204"/>
      <c r="T835" s="204"/>
      <c r="U835" s="205"/>
      <c r="V835" s="204"/>
      <c r="W835" s="204"/>
      <c r="X835" s="204"/>
      <c r="Y835" s="204"/>
      <c r="Z835" s="204"/>
      <c r="AA835" s="204"/>
      <c r="AB835" s="204"/>
      <c r="AC835" s="204"/>
      <c r="AD835" s="204"/>
    </row>
    <row r="836">
      <c r="A836" s="202"/>
      <c r="B836" s="203"/>
      <c r="C836" s="204"/>
      <c r="D836" s="203"/>
      <c r="E836" s="204"/>
      <c r="F836" s="204"/>
      <c r="G836" s="93"/>
      <c r="H836" s="204"/>
      <c r="I836" s="205"/>
      <c r="J836" s="204"/>
      <c r="K836" s="204"/>
      <c r="L836" s="203"/>
      <c r="M836" s="204"/>
      <c r="N836" s="205"/>
      <c r="O836" s="205"/>
      <c r="P836" s="204"/>
      <c r="Q836" s="205"/>
      <c r="R836" s="204"/>
      <c r="S836" s="204"/>
      <c r="T836" s="204"/>
      <c r="U836" s="205"/>
      <c r="V836" s="204"/>
      <c r="W836" s="204"/>
      <c r="X836" s="204"/>
      <c r="Y836" s="204"/>
      <c r="Z836" s="204"/>
      <c r="AA836" s="204"/>
      <c r="AB836" s="204"/>
      <c r="AC836" s="204"/>
      <c r="AD836" s="204"/>
    </row>
    <row r="837">
      <c r="A837" s="202"/>
      <c r="B837" s="203"/>
      <c r="C837" s="204"/>
      <c r="D837" s="203"/>
      <c r="E837" s="204"/>
      <c r="F837" s="204"/>
      <c r="G837" s="93"/>
      <c r="H837" s="204"/>
      <c r="I837" s="205"/>
      <c r="J837" s="204"/>
      <c r="K837" s="204"/>
      <c r="L837" s="203"/>
      <c r="M837" s="204"/>
      <c r="N837" s="205"/>
      <c r="O837" s="205"/>
      <c r="P837" s="204"/>
      <c r="Q837" s="205"/>
      <c r="R837" s="204"/>
      <c r="S837" s="204"/>
      <c r="T837" s="204"/>
      <c r="U837" s="205"/>
      <c r="V837" s="204"/>
      <c r="W837" s="204"/>
      <c r="X837" s="204"/>
      <c r="Y837" s="204"/>
      <c r="Z837" s="204"/>
      <c r="AA837" s="204"/>
      <c r="AB837" s="204"/>
      <c r="AC837" s="204"/>
      <c r="AD837" s="204"/>
    </row>
    <row r="838">
      <c r="A838" s="202"/>
      <c r="B838" s="203"/>
      <c r="C838" s="204"/>
      <c r="D838" s="203"/>
      <c r="E838" s="204"/>
      <c r="F838" s="204"/>
      <c r="G838" s="93"/>
      <c r="H838" s="204"/>
      <c r="I838" s="205"/>
      <c r="J838" s="204"/>
      <c r="K838" s="204"/>
      <c r="L838" s="203"/>
      <c r="M838" s="204"/>
      <c r="N838" s="205"/>
      <c r="O838" s="205"/>
      <c r="P838" s="204"/>
      <c r="Q838" s="205"/>
      <c r="R838" s="204"/>
      <c r="S838" s="204"/>
      <c r="T838" s="204"/>
      <c r="U838" s="205"/>
      <c r="V838" s="204"/>
      <c r="W838" s="204"/>
      <c r="X838" s="204"/>
      <c r="Y838" s="204"/>
      <c r="Z838" s="204"/>
      <c r="AA838" s="204"/>
      <c r="AB838" s="204"/>
      <c r="AC838" s="204"/>
      <c r="AD838" s="204"/>
    </row>
    <row r="839">
      <c r="A839" s="202"/>
      <c r="B839" s="203"/>
      <c r="C839" s="204"/>
      <c r="D839" s="203"/>
      <c r="E839" s="204"/>
      <c r="F839" s="204"/>
      <c r="G839" s="93"/>
      <c r="H839" s="204"/>
      <c r="I839" s="205"/>
      <c r="J839" s="204"/>
      <c r="K839" s="204"/>
      <c r="L839" s="203"/>
      <c r="M839" s="204"/>
      <c r="N839" s="205"/>
      <c r="O839" s="205"/>
      <c r="P839" s="204"/>
      <c r="Q839" s="205"/>
      <c r="R839" s="204"/>
      <c r="S839" s="204"/>
      <c r="T839" s="204"/>
      <c r="U839" s="205"/>
      <c r="V839" s="204"/>
      <c r="W839" s="204"/>
      <c r="X839" s="204"/>
      <c r="Y839" s="204"/>
      <c r="Z839" s="204"/>
      <c r="AA839" s="204"/>
      <c r="AB839" s="204"/>
      <c r="AC839" s="204"/>
      <c r="AD839" s="204"/>
    </row>
    <row r="840">
      <c r="A840" s="202"/>
      <c r="B840" s="203"/>
      <c r="C840" s="204"/>
      <c r="D840" s="203"/>
      <c r="E840" s="204"/>
      <c r="F840" s="204"/>
      <c r="G840" s="93"/>
      <c r="H840" s="204"/>
      <c r="I840" s="205"/>
      <c r="J840" s="204"/>
      <c r="K840" s="204"/>
      <c r="L840" s="203"/>
      <c r="M840" s="204"/>
      <c r="N840" s="205"/>
      <c r="O840" s="205"/>
      <c r="P840" s="204"/>
      <c r="Q840" s="205"/>
      <c r="R840" s="204"/>
      <c r="S840" s="204"/>
      <c r="T840" s="204"/>
      <c r="U840" s="205"/>
      <c r="V840" s="204"/>
      <c r="W840" s="204"/>
      <c r="X840" s="204"/>
      <c r="Y840" s="204"/>
      <c r="Z840" s="204"/>
      <c r="AA840" s="204"/>
      <c r="AB840" s="204"/>
      <c r="AC840" s="204"/>
      <c r="AD840" s="204"/>
    </row>
    <row r="841">
      <c r="A841" s="202"/>
      <c r="B841" s="203"/>
      <c r="C841" s="204"/>
      <c r="D841" s="203"/>
      <c r="E841" s="204"/>
      <c r="F841" s="204"/>
      <c r="G841" s="93"/>
      <c r="H841" s="204"/>
      <c r="I841" s="205"/>
      <c r="J841" s="204"/>
      <c r="K841" s="204"/>
      <c r="L841" s="203"/>
      <c r="M841" s="204"/>
      <c r="N841" s="205"/>
      <c r="O841" s="205"/>
      <c r="P841" s="204"/>
      <c r="Q841" s="205"/>
      <c r="R841" s="204"/>
      <c r="S841" s="204"/>
      <c r="T841" s="204"/>
      <c r="U841" s="205"/>
      <c r="V841" s="204"/>
      <c r="W841" s="204"/>
      <c r="X841" s="204"/>
      <c r="Y841" s="204"/>
      <c r="Z841" s="204"/>
      <c r="AA841" s="204"/>
      <c r="AB841" s="204"/>
      <c r="AC841" s="204"/>
      <c r="AD841" s="204"/>
    </row>
    <row r="842">
      <c r="A842" s="202"/>
      <c r="B842" s="203"/>
      <c r="C842" s="204"/>
      <c r="D842" s="203"/>
      <c r="E842" s="204"/>
      <c r="F842" s="204"/>
      <c r="G842" s="93"/>
      <c r="H842" s="204"/>
      <c r="I842" s="205"/>
      <c r="J842" s="204"/>
      <c r="K842" s="204"/>
      <c r="L842" s="203"/>
      <c r="M842" s="204"/>
      <c r="N842" s="205"/>
      <c r="O842" s="205"/>
      <c r="P842" s="204"/>
      <c r="Q842" s="205"/>
      <c r="R842" s="204"/>
      <c r="S842" s="204"/>
      <c r="T842" s="204"/>
      <c r="U842" s="205"/>
      <c r="V842" s="204"/>
      <c r="W842" s="204"/>
      <c r="X842" s="204"/>
      <c r="Y842" s="204"/>
      <c r="Z842" s="204"/>
      <c r="AA842" s="204"/>
      <c r="AB842" s="204"/>
      <c r="AC842" s="204"/>
      <c r="AD842" s="204"/>
    </row>
    <row r="843">
      <c r="A843" s="202"/>
      <c r="B843" s="203"/>
      <c r="C843" s="204"/>
      <c r="D843" s="203"/>
      <c r="E843" s="204"/>
      <c r="F843" s="204"/>
      <c r="G843" s="93"/>
      <c r="H843" s="204"/>
      <c r="I843" s="205"/>
      <c r="J843" s="204"/>
      <c r="K843" s="204"/>
      <c r="L843" s="203"/>
      <c r="M843" s="204"/>
      <c r="N843" s="205"/>
      <c r="O843" s="205"/>
      <c r="P843" s="204"/>
      <c r="Q843" s="205"/>
      <c r="R843" s="204"/>
      <c r="S843" s="204"/>
      <c r="T843" s="204"/>
      <c r="U843" s="205"/>
      <c r="V843" s="204"/>
      <c r="W843" s="204"/>
      <c r="X843" s="204"/>
      <c r="Y843" s="204"/>
      <c r="Z843" s="204"/>
      <c r="AA843" s="204"/>
      <c r="AB843" s="204"/>
      <c r="AC843" s="204"/>
      <c r="AD843" s="204"/>
    </row>
    <row r="844">
      <c r="A844" s="202"/>
      <c r="B844" s="203"/>
      <c r="C844" s="204"/>
      <c r="D844" s="203"/>
      <c r="E844" s="204"/>
      <c r="F844" s="204"/>
      <c r="G844" s="93"/>
      <c r="H844" s="204"/>
      <c r="I844" s="205"/>
      <c r="J844" s="204"/>
      <c r="K844" s="204"/>
      <c r="L844" s="203"/>
      <c r="M844" s="204"/>
      <c r="N844" s="205"/>
      <c r="O844" s="205"/>
      <c r="P844" s="204"/>
      <c r="Q844" s="205"/>
      <c r="R844" s="204"/>
      <c r="S844" s="204"/>
      <c r="T844" s="204"/>
      <c r="U844" s="205"/>
      <c r="V844" s="204"/>
      <c r="W844" s="204"/>
      <c r="X844" s="204"/>
      <c r="Y844" s="204"/>
      <c r="Z844" s="204"/>
      <c r="AA844" s="204"/>
      <c r="AB844" s="204"/>
      <c r="AC844" s="204"/>
      <c r="AD844" s="204"/>
    </row>
    <row r="845">
      <c r="A845" s="202"/>
      <c r="B845" s="203"/>
      <c r="C845" s="204"/>
      <c r="D845" s="203"/>
      <c r="E845" s="204"/>
      <c r="F845" s="204"/>
      <c r="G845" s="93"/>
      <c r="H845" s="204"/>
      <c r="I845" s="205"/>
      <c r="J845" s="204"/>
      <c r="K845" s="204"/>
      <c r="L845" s="203"/>
      <c r="M845" s="204"/>
      <c r="N845" s="205"/>
      <c r="O845" s="205"/>
      <c r="P845" s="204"/>
      <c r="Q845" s="205"/>
      <c r="R845" s="204"/>
      <c r="S845" s="204"/>
      <c r="T845" s="204"/>
      <c r="U845" s="205"/>
      <c r="V845" s="204"/>
      <c r="W845" s="204"/>
      <c r="X845" s="204"/>
      <c r="Y845" s="204"/>
      <c r="Z845" s="204"/>
      <c r="AA845" s="204"/>
      <c r="AB845" s="204"/>
      <c r="AC845" s="204"/>
      <c r="AD845" s="204"/>
    </row>
    <row r="846">
      <c r="A846" s="202"/>
      <c r="B846" s="203"/>
      <c r="C846" s="204"/>
      <c r="D846" s="203"/>
      <c r="E846" s="204"/>
      <c r="F846" s="204"/>
      <c r="G846" s="93"/>
      <c r="H846" s="204"/>
      <c r="I846" s="205"/>
      <c r="J846" s="204"/>
      <c r="K846" s="204"/>
      <c r="L846" s="203"/>
      <c r="M846" s="204"/>
      <c r="N846" s="205"/>
      <c r="O846" s="205"/>
      <c r="P846" s="204"/>
      <c r="Q846" s="205"/>
      <c r="R846" s="204"/>
      <c r="S846" s="204"/>
      <c r="T846" s="204"/>
      <c r="U846" s="205"/>
      <c r="V846" s="204"/>
      <c r="W846" s="204"/>
      <c r="X846" s="204"/>
      <c r="Y846" s="204"/>
      <c r="Z846" s="204"/>
      <c r="AA846" s="204"/>
      <c r="AB846" s="204"/>
      <c r="AC846" s="204"/>
      <c r="AD846" s="204"/>
    </row>
    <row r="847">
      <c r="A847" s="202"/>
      <c r="B847" s="203"/>
      <c r="C847" s="204"/>
      <c r="D847" s="203"/>
      <c r="E847" s="204"/>
      <c r="F847" s="204"/>
      <c r="G847" s="93"/>
      <c r="H847" s="204"/>
      <c r="I847" s="205"/>
      <c r="J847" s="204"/>
      <c r="K847" s="204"/>
      <c r="L847" s="203"/>
      <c r="M847" s="204"/>
      <c r="N847" s="205"/>
      <c r="O847" s="205"/>
      <c r="P847" s="204"/>
      <c r="Q847" s="205"/>
      <c r="R847" s="204"/>
      <c r="S847" s="204"/>
      <c r="T847" s="204"/>
      <c r="U847" s="205"/>
      <c r="V847" s="204"/>
      <c r="W847" s="204"/>
      <c r="X847" s="204"/>
      <c r="Y847" s="204"/>
      <c r="Z847" s="204"/>
      <c r="AA847" s="204"/>
      <c r="AB847" s="204"/>
      <c r="AC847" s="204"/>
      <c r="AD847" s="204"/>
    </row>
    <row r="848">
      <c r="A848" s="202"/>
      <c r="B848" s="203"/>
      <c r="C848" s="204"/>
      <c r="D848" s="203"/>
      <c r="E848" s="204"/>
      <c r="F848" s="204"/>
      <c r="G848" s="93"/>
      <c r="H848" s="204"/>
      <c r="I848" s="205"/>
      <c r="J848" s="204"/>
      <c r="K848" s="204"/>
      <c r="L848" s="203"/>
      <c r="M848" s="204"/>
      <c r="N848" s="205"/>
      <c r="O848" s="205"/>
      <c r="P848" s="204"/>
      <c r="Q848" s="205"/>
      <c r="R848" s="204"/>
      <c r="S848" s="204"/>
      <c r="T848" s="204"/>
      <c r="U848" s="205"/>
      <c r="V848" s="204"/>
      <c r="W848" s="204"/>
      <c r="X848" s="204"/>
      <c r="Y848" s="204"/>
      <c r="Z848" s="204"/>
      <c r="AA848" s="204"/>
      <c r="AB848" s="204"/>
      <c r="AC848" s="204"/>
      <c r="AD848" s="204"/>
    </row>
    <row r="849">
      <c r="A849" s="202"/>
      <c r="B849" s="203"/>
      <c r="C849" s="204"/>
      <c r="D849" s="203"/>
      <c r="E849" s="204"/>
      <c r="F849" s="204"/>
      <c r="G849" s="93"/>
      <c r="H849" s="204"/>
      <c r="I849" s="205"/>
      <c r="J849" s="204"/>
      <c r="K849" s="204"/>
      <c r="L849" s="203"/>
      <c r="M849" s="204"/>
      <c r="N849" s="205"/>
      <c r="O849" s="205"/>
      <c r="P849" s="204"/>
      <c r="Q849" s="205"/>
      <c r="R849" s="204"/>
      <c r="S849" s="204"/>
      <c r="T849" s="204"/>
      <c r="U849" s="205"/>
      <c r="V849" s="204"/>
      <c r="W849" s="204"/>
      <c r="X849" s="204"/>
      <c r="Y849" s="204"/>
      <c r="Z849" s="204"/>
      <c r="AA849" s="204"/>
      <c r="AB849" s="204"/>
      <c r="AC849" s="204"/>
      <c r="AD849" s="204"/>
    </row>
    <row r="850">
      <c r="A850" s="202"/>
      <c r="B850" s="203"/>
      <c r="C850" s="204"/>
      <c r="D850" s="203"/>
      <c r="E850" s="204"/>
      <c r="F850" s="204"/>
      <c r="G850" s="93"/>
      <c r="H850" s="204"/>
      <c r="I850" s="205"/>
      <c r="J850" s="204"/>
      <c r="K850" s="204"/>
      <c r="L850" s="203"/>
      <c r="M850" s="204"/>
      <c r="N850" s="205"/>
      <c r="O850" s="205"/>
      <c r="P850" s="204"/>
      <c r="Q850" s="205"/>
      <c r="R850" s="204"/>
      <c r="S850" s="204"/>
      <c r="T850" s="204"/>
      <c r="U850" s="205"/>
      <c r="V850" s="204"/>
      <c r="W850" s="204"/>
      <c r="X850" s="204"/>
      <c r="Y850" s="204"/>
      <c r="Z850" s="204"/>
      <c r="AA850" s="204"/>
      <c r="AB850" s="204"/>
      <c r="AC850" s="204"/>
      <c r="AD850" s="204"/>
    </row>
    <row r="851">
      <c r="A851" s="202"/>
      <c r="B851" s="203"/>
      <c r="C851" s="204"/>
      <c r="D851" s="203"/>
      <c r="E851" s="204"/>
      <c r="F851" s="204"/>
      <c r="G851" s="93"/>
      <c r="H851" s="204"/>
      <c r="I851" s="205"/>
      <c r="J851" s="204"/>
      <c r="K851" s="204"/>
      <c r="L851" s="203"/>
      <c r="M851" s="204"/>
      <c r="N851" s="205"/>
      <c r="O851" s="205"/>
      <c r="P851" s="204"/>
      <c r="Q851" s="205"/>
      <c r="R851" s="204"/>
      <c r="S851" s="204"/>
      <c r="T851" s="204"/>
      <c r="U851" s="205"/>
      <c r="V851" s="204"/>
      <c r="W851" s="204"/>
      <c r="X851" s="204"/>
      <c r="Y851" s="204"/>
      <c r="Z851" s="204"/>
      <c r="AA851" s="204"/>
      <c r="AB851" s="204"/>
      <c r="AC851" s="204"/>
      <c r="AD851" s="204"/>
    </row>
    <row r="852">
      <c r="A852" s="202"/>
      <c r="B852" s="203"/>
      <c r="C852" s="204"/>
      <c r="D852" s="203"/>
      <c r="E852" s="204"/>
      <c r="F852" s="204"/>
      <c r="G852" s="93"/>
      <c r="H852" s="204"/>
      <c r="I852" s="205"/>
      <c r="J852" s="204"/>
      <c r="K852" s="204"/>
      <c r="L852" s="203"/>
      <c r="M852" s="204"/>
      <c r="N852" s="205"/>
      <c r="O852" s="205"/>
      <c r="P852" s="204"/>
      <c r="Q852" s="205"/>
      <c r="R852" s="204"/>
      <c r="S852" s="204"/>
      <c r="T852" s="204"/>
      <c r="U852" s="205"/>
      <c r="V852" s="204"/>
      <c r="W852" s="204"/>
      <c r="X852" s="204"/>
      <c r="Y852" s="204"/>
      <c r="Z852" s="204"/>
      <c r="AA852" s="204"/>
      <c r="AB852" s="204"/>
      <c r="AC852" s="204"/>
      <c r="AD852" s="204"/>
    </row>
    <row r="853">
      <c r="A853" s="202"/>
      <c r="B853" s="203"/>
      <c r="C853" s="204"/>
      <c r="D853" s="203"/>
      <c r="E853" s="204"/>
      <c r="F853" s="204"/>
      <c r="G853" s="93"/>
      <c r="H853" s="204"/>
      <c r="I853" s="205"/>
      <c r="J853" s="204"/>
      <c r="K853" s="204"/>
      <c r="L853" s="203"/>
      <c r="M853" s="204"/>
      <c r="N853" s="205"/>
      <c r="O853" s="205"/>
      <c r="P853" s="204"/>
      <c r="Q853" s="205"/>
      <c r="R853" s="204"/>
      <c r="S853" s="204"/>
      <c r="T853" s="204"/>
      <c r="U853" s="205"/>
      <c r="V853" s="204"/>
      <c r="W853" s="204"/>
      <c r="X853" s="204"/>
      <c r="Y853" s="204"/>
      <c r="Z853" s="204"/>
      <c r="AA853" s="204"/>
      <c r="AB853" s="204"/>
      <c r="AC853" s="204"/>
      <c r="AD853" s="204"/>
    </row>
    <row r="854">
      <c r="A854" s="202"/>
      <c r="B854" s="203"/>
      <c r="C854" s="204"/>
      <c r="D854" s="203"/>
      <c r="E854" s="204"/>
      <c r="F854" s="204"/>
      <c r="G854" s="93"/>
      <c r="H854" s="204"/>
      <c r="I854" s="205"/>
      <c r="J854" s="204"/>
      <c r="K854" s="204"/>
      <c r="L854" s="203"/>
      <c r="M854" s="204"/>
      <c r="N854" s="205"/>
      <c r="O854" s="205"/>
      <c r="P854" s="204"/>
      <c r="Q854" s="205"/>
      <c r="R854" s="204"/>
      <c r="S854" s="204"/>
      <c r="T854" s="204"/>
      <c r="U854" s="205"/>
      <c r="V854" s="204"/>
      <c r="W854" s="204"/>
      <c r="X854" s="204"/>
      <c r="Y854" s="204"/>
      <c r="Z854" s="204"/>
      <c r="AA854" s="204"/>
      <c r="AB854" s="204"/>
      <c r="AC854" s="204"/>
      <c r="AD854" s="204"/>
    </row>
    <row r="855">
      <c r="A855" s="202"/>
      <c r="B855" s="203"/>
      <c r="C855" s="204"/>
      <c r="D855" s="203"/>
      <c r="E855" s="204"/>
      <c r="F855" s="204"/>
      <c r="G855" s="93"/>
      <c r="H855" s="204"/>
      <c r="I855" s="205"/>
      <c r="J855" s="204"/>
      <c r="K855" s="204"/>
      <c r="L855" s="203"/>
      <c r="M855" s="204"/>
      <c r="N855" s="205"/>
      <c r="O855" s="205"/>
      <c r="P855" s="204"/>
      <c r="Q855" s="205"/>
      <c r="R855" s="204"/>
      <c r="S855" s="204"/>
      <c r="T855" s="204"/>
      <c r="U855" s="205"/>
      <c r="V855" s="204"/>
      <c r="W855" s="204"/>
      <c r="X855" s="204"/>
      <c r="Y855" s="204"/>
      <c r="Z855" s="204"/>
      <c r="AA855" s="204"/>
      <c r="AB855" s="204"/>
      <c r="AC855" s="204"/>
      <c r="AD855" s="204"/>
    </row>
    <row r="856">
      <c r="A856" s="202"/>
      <c r="B856" s="203"/>
      <c r="C856" s="204"/>
      <c r="D856" s="203"/>
      <c r="E856" s="204"/>
      <c r="F856" s="204"/>
      <c r="G856" s="93"/>
      <c r="H856" s="204"/>
      <c r="I856" s="205"/>
      <c r="J856" s="204"/>
      <c r="K856" s="204"/>
      <c r="L856" s="203"/>
      <c r="M856" s="204"/>
      <c r="N856" s="205"/>
      <c r="O856" s="205"/>
      <c r="P856" s="204"/>
      <c r="Q856" s="205"/>
      <c r="R856" s="204"/>
      <c r="S856" s="204"/>
      <c r="T856" s="204"/>
      <c r="U856" s="205"/>
      <c r="V856" s="204"/>
      <c r="W856" s="204"/>
      <c r="X856" s="204"/>
      <c r="Y856" s="204"/>
      <c r="Z856" s="204"/>
      <c r="AA856" s="204"/>
      <c r="AB856" s="204"/>
      <c r="AC856" s="204"/>
      <c r="AD856" s="204"/>
    </row>
    <row r="857">
      <c r="A857" s="202"/>
      <c r="B857" s="203"/>
      <c r="C857" s="204"/>
      <c r="D857" s="203"/>
      <c r="E857" s="204"/>
      <c r="F857" s="204"/>
      <c r="G857" s="93"/>
      <c r="H857" s="204"/>
      <c r="I857" s="205"/>
      <c r="J857" s="204"/>
      <c r="K857" s="204"/>
      <c r="L857" s="203"/>
      <c r="M857" s="204"/>
      <c r="N857" s="205"/>
      <c r="O857" s="205"/>
      <c r="P857" s="204"/>
      <c r="Q857" s="205"/>
      <c r="R857" s="204"/>
      <c r="S857" s="204"/>
      <c r="T857" s="204"/>
      <c r="U857" s="205"/>
      <c r="V857" s="204"/>
      <c r="W857" s="204"/>
      <c r="X857" s="204"/>
      <c r="Y857" s="204"/>
      <c r="Z857" s="204"/>
      <c r="AA857" s="204"/>
      <c r="AB857" s="204"/>
      <c r="AC857" s="204"/>
      <c r="AD857" s="204"/>
    </row>
    <row r="858">
      <c r="A858" s="202"/>
      <c r="B858" s="203"/>
      <c r="C858" s="204"/>
      <c r="D858" s="203"/>
      <c r="E858" s="204"/>
      <c r="F858" s="204"/>
      <c r="G858" s="93"/>
      <c r="H858" s="204"/>
      <c r="I858" s="205"/>
      <c r="J858" s="204"/>
      <c r="K858" s="204"/>
      <c r="L858" s="203"/>
      <c r="M858" s="204"/>
      <c r="N858" s="205"/>
      <c r="O858" s="205"/>
      <c r="P858" s="204"/>
      <c r="Q858" s="205"/>
      <c r="R858" s="204"/>
      <c r="S858" s="204"/>
      <c r="T858" s="204"/>
      <c r="U858" s="205"/>
      <c r="V858" s="204"/>
      <c r="W858" s="204"/>
      <c r="X858" s="204"/>
      <c r="Y858" s="204"/>
      <c r="Z858" s="204"/>
      <c r="AA858" s="204"/>
      <c r="AB858" s="204"/>
      <c r="AC858" s="204"/>
      <c r="AD858" s="204"/>
    </row>
    <row r="859">
      <c r="A859" s="202"/>
      <c r="B859" s="203"/>
      <c r="C859" s="204"/>
      <c r="D859" s="203"/>
      <c r="E859" s="204"/>
      <c r="F859" s="204"/>
      <c r="G859" s="93"/>
      <c r="H859" s="204"/>
      <c r="I859" s="205"/>
      <c r="J859" s="204"/>
      <c r="K859" s="204"/>
      <c r="L859" s="203"/>
      <c r="M859" s="204"/>
      <c r="N859" s="205"/>
      <c r="O859" s="205"/>
      <c r="P859" s="204"/>
      <c r="Q859" s="205"/>
      <c r="R859" s="204"/>
      <c r="S859" s="204"/>
      <c r="T859" s="204"/>
      <c r="U859" s="205"/>
      <c r="V859" s="204"/>
      <c r="W859" s="204"/>
      <c r="X859" s="204"/>
      <c r="Y859" s="204"/>
      <c r="Z859" s="204"/>
      <c r="AA859" s="204"/>
      <c r="AB859" s="204"/>
      <c r="AC859" s="204"/>
      <c r="AD859" s="204"/>
    </row>
    <row r="860">
      <c r="A860" s="202"/>
      <c r="B860" s="203"/>
      <c r="C860" s="204"/>
      <c r="D860" s="203"/>
      <c r="E860" s="204"/>
      <c r="F860" s="204"/>
      <c r="G860" s="93"/>
      <c r="H860" s="204"/>
      <c r="I860" s="205"/>
      <c r="J860" s="204"/>
      <c r="K860" s="204"/>
      <c r="L860" s="203"/>
      <c r="M860" s="204"/>
      <c r="N860" s="205"/>
      <c r="O860" s="205"/>
      <c r="P860" s="204"/>
      <c r="Q860" s="205"/>
      <c r="R860" s="204"/>
      <c r="S860" s="204"/>
      <c r="T860" s="204"/>
      <c r="U860" s="205"/>
      <c r="V860" s="204"/>
      <c r="W860" s="204"/>
      <c r="X860" s="204"/>
      <c r="Y860" s="204"/>
      <c r="Z860" s="204"/>
      <c r="AA860" s="204"/>
      <c r="AB860" s="204"/>
      <c r="AC860" s="204"/>
      <c r="AD860" s="204"/>
    </row>
    <row r="861">
      <c r="A861" s="202"/>
      <c r="B861" s="203"/>
      <c r="C861" s="204"/>
      <c r="D861" s="203"/>
      <c r="E861" s="204"/>
      <c r="F861" s="204"/>
      <c r="G861" s="93"/>
      <c r="H861" s="204"/>
      <c r="I861" s="205"/>
      <c r="J861" s="204"/>
      <c r="K861" s="204"/>
      <c r="L861" s="203"/>
      <c r="M861" s="204"/>
      <c r="N861" s="205"/>
      <c r="O861" s="205"/>
      <c r="P861" s="204"/>
      <c r="Q861" s="205"/>
      <c r="R861" s="204"/>
      <c r="S861" s="204"/>
      <c r="T861" s="204"/>
      <c r="U861" s="205"/>
      <c r="V861" s="204"/>
      <c r="W861" s="204"/>
      <c r="X861" s="204"/>
      <c r="Y861" s="204"/>
      <c r="Z861" s="204"/>
      <c r="AA861" s="204"/>
      <c r="AB861" s="204"/>
      <c r="AC861" s="204"/>
      <c r="AD861" s="204"/>
    </row>
    <row r="862">
      <c r="A862" s="202"/>
      <c r="B862" s="203"/>
      <c r="C862" s="204"/>
      <c r="D862" s="203"/>
      <c r="E862" s="204"/>
      <c r="F862" s="204"/>
      <c r="G862" s="93"/>
      <c r="H862" s="204"/>
      <c r="I862" s="205"/>
      <c r="J862" s="204"/>
      <c r="K862" s="204"/>
      <c r="L862" s="203"/>
      <c r="M862" s="204"/>
      <c r="N862" s="205"/>
      <c r="O862" s="205"/>
      <c r="P862" s="204"/>
      <c r="Q862" s="205"/>
      <c r="R862" s="204"/>
      <c r="S862" s="204"/>
      <c r="T862" s="204"/>
      <c r="U862" s="205"/>
      <c r="V862" s="204"/>
      <c r="W862" s="204"/>
      <c r="X862" s="204"/>
      <c r="Y862" s="204"/>
      <c r="Z862" s="204"/>
      <c r="AA862" s="204"/>
      <c r="AB862" s="204"/>
      <c r="AC862" s="204"/>
      <c r="AD862" s="204"/>
    </row>
    <row r="863">
      <c r="A863" s="202"/>
      <c r="B863" s="203"/>
      <c r="C863" s="204"/>
      <c r="D863" s="203"/>
      <c r="E863" s="204"/>
      <c r="F863" s="204"/>
      <c r="G863" s="93"/>
      <c r="H863" s="204"/>
      <c r="I863" s="205"/>
      <c r="J863" s="204"/>
      <c r="K863" s="204"/>
      <c r="L863" s="203"/>
      <c r="M863" s="204"/>
      <c r="N863" s="205"/>
      <c r="O863" s="205"/>
      <c r="P863" s="204"/>
      <c r="Q863" s="205"/>
      <c r="R863" s="204"/>
      <c r="S863" s="204"/>
      <c r="T863" s="204"/>
      <c r="U863" s="205"/>
      <c r="V863" s="204"/>
      <c r="W863" s="204"/>
      <c r="X863" s="204"/>
      <c r="Y863" s="204"/>
      <c r="Z863" s="204"/>
      <c r="AA863" s="204"/>
      <c r="AB863" s="204"/>
      <c r="AC863" s="204"/>
      <c r="AD863" s="204"/>
    </row>
    <row r="864">
      <c r="A864" s="202"/>
      <c r="B864" s="203"/>
      <c r="C864" s="204"/>
      <c r="D864" s="203"/>
      <c r="E864" s="204"/>
      <c r="F864" s="204"/>
      <c r="G864" s="93"/>
      <c r="H864" s="204"/>
      <c r="I864" s="205"/>
      <c r="J864" s="204"/>
      <c r="K864" s="204"/>
      <c r="L864" s="203"/>
      <c r="M864" s="204"/>
      <c r="N864" s="205"/>
      <c r="O864" s="205"/>
      <c r="P864" s="204"/>
      <c r="Q864" s="205"/>
      <c r="R864" s="204"/>
      <c r="S864" s="204"/>
      <c r="T864" s="204"/>
      <c r="U864" s="205"/>
      <c r="V864" s="204"/>
      <c r="W864" s="204"/>
      <c r="X864" s="204"/>
      <c r="Y864" s="204"/>
      <c r="Z864" s="204"/>
      <c r="AA864" s="204"/>
      <c r="AB864" s="204"/>
      <c r="AC864" s="204"/>
      <c r="AD864" s="204"/>
    </row>
    <row r="865">
      <c r="A865" s="202"/>
      <c r="B865" s="203"/>
      <c r="C865" s="204"/>
      <c r="D865" s="203"/>
      <c r="E865" s="204"/>
      <c r="F865" s="204"/>
      <c r="G865" s="93"/>
      <c r="H865" s="204"/>
      <c r="I865" s="205"/>
      <c r="J865" s="204"/>
      <c r="K865" s="204"/>
      <c r="L865" s="203"/>
      <c r="M865" s="204"/>
      <c r="N865" s="205"/>
      <c r="O865" s="205"/>
      <c r="P865" s="204"/>
      <c r="Q865" s="205"/>
      <c r="R865" s="204"/>
      <c r="S865" s="204"/>
      <c r="T865" s="204"/>
      <c r="U865" s="205"/>
      <c r="V865" s="204"/>
      <c r="W865" s="204"/>
      <c r="X865" s="204"/>
      <c r="Y865" s="204"/>
      <c r="Z865" s="204"/>
      <c r="AA865" s="204"/>
      <c r="AB865" s="204"/>
      <c r="AC865" s="204"/>
      <c r="AD865" s="204"/>
    </row>
    <row r="866">
      <c r="A866" s="202"/>
      <c r="B866" s="203"/>
      <c r="C866" s="204"/>
      <c r="D866" s="203"/>
      <c r="E866" s="204"/>
      <c r="F866" s="204"/>
      <c r="G866" s="93"/>
      <c r="H866" s="204"/>
      <c r="I866" s="205"/>
      <c r="J866" s="204"/>
      <c r="K866" s="204"/>
      <c r="L866" s="203"/>
      <c r="M866" s="204"/>
      <c r="N866" s="205"/>
      <c r="O866" s="205"/>
      <c r="P866" s="204"/>
      <c r="Q866" s="205"/>
      <c r="R866" s="204"/>
      <c r="S866" s="204"/>
      <c r="T866" s="204"/>
      <c r="U866" s="205"/>
      <c r="V866" s="204"/>
      <c r="W866" s="204"/>
      <c r="X866" s="204"/>
      <c r="Y866" s="204"/>
      <c r="Z866" s="204"/>
      <c r="AA866" s="204"/>
      <c r="AB866" s="204"/>
      <c r="AC866" s="204"/>
      <c r="AD866" s="204"/>
    </row>
    <row r="867">
      <c r="A867" s="202"/>
      <c r="B867" s="203"/>
      <c r="C867" s="204"/>
      <c r="D867" s="203"/>
      <c r="E867" s="204"/>
      <c r="F867" s="204"/>
      <c r="G867" s="93"/>
      <c r="H867" s="204"/>
      <c r="I867" s="205"/>
      <c r="J867" s="204"/>
      <c r="K867" s="204"/>
      <c r="L867" s="203"/>
      <c r="M867" s="204"/>
      <c r="N867" s="205"/>
      <c r="O867" s="205"/>
      <c r="P867" s="204"/>
      <c r="Q867" s="205"/>
      <c r="R867" s="204"/>
      <c r="S867" s="204"/>
      <c r="T867" s="204"/>
      <c r="U867" s="205"/>
      <c r="V867" s="204"/>
      <c r="W867" s="204"/>
      <c r="X867" s="204"/>
      <c r="Y867" s="204"/>
      <c r="Z867" s="204"/>
      <c r="AA867" s="204"/>
      <c r="AB867" s="204"/>
      <c r="AC867" s="204"/>
      <c r="AD867" s="204"/>
    </row>
    <row r="868">
      <c r="A868" s="202"/>
      <c r="B868" s="203"/>
      <c r="C868" s="204"/>
      <c r="D868" s="203"/>
      <c r="E868" s="204"/>
      <c r="F868" s="204"/>
      <c r="G868" s="93"/>
      <c r="H868" s="204"/>
      <c r="I868" s="205"/>
      <c r="J868" s="204"/>
      <c r="K868" s="204"/>
      <c r="L868" s="203"/>
      <c r="M868" s="204"/>
      <c r="N868" s="205"/>
      <c r="O868" s="205"/>
      <c r="P868" s="204"/>
      <c r="Q868" s="205"/>
      <c r="R868" s="204"/>
      <c r="S868" s="204"/>
      <c r="T868" s="204"/>
      <c r="U868" s="205"/>
      <c r="V868" s="204"/>
      <c r="W868" s="204"/>
      <c r="X868" s="204"/>
      <c r="Y868" s="204"/>
      <c r="Z868" s="204"/>
      <c r="AA868" s="204"/>
      <c r="AB868" s="204"/>
      <c r="AC868" s="204"/>
      <c r="AD868" s="204"/>
    </row>
    <row r="869">
      <c r="A869" s="202"/>
      <c r="B869" s="203"/>
      <c r="C869" s="204"/>
      <c r="D869" s="203"/>
      <c r="E869" s="204"/>
      <c r="F869" s="204"/>
      <c r="G869" s="93"/>
      <c r="H869" s="204"/>
      <c r="I869" s="205"/>
      <c r="J869" s="204"/>
      <c r="K869" s="204"/>
      <c r="L869" s="203"/>
      <c r="M869" s="204"/>
      <c r="N869" s="205"/>
      <c r="O869" s="205"/>
      <c r="P869" s="204"/>
      <c r="Q869" s="205"/>
      <c r="R869" s="204"/>
      <c r="S869" s="204"/>
      <c r="T869" s="204"/>
      <c r="U869" s="205"/>
      <c r="V869" s="204"/>
      <c r="W869" s="204"/>
      <c r="X869" s="204"/>
      <c r="Y869" s="204"/>
      <c r="Z869" s="204"/>
      <c r="AA869" s="204"/>
      <c r="AB869" s="204"/>
      <c r="AC869" s="204"/>
      <c r="AD869" s="204"/>
    </row>
    <row r="870">
      <c r="A870" s="202"/>
      <c r="B870" s="203"/>
      <c r="C870" s="204"/>
      <c r="D870" s="203"/>
      <c r="E870" s="204"/>
      <c r="F870" s="204"/>
      <c r="G870" s="93"/>
      <c r="H870" s="204"/>
      <c r="I870" s="205"/>
      <c r="J870" s="204"/>
      <c r="K870" s="204"/>
      <c r="L870" s="203"/>
      <c r="M870" s="204"/>
      <c r="N870" s="205"/>
      <c r="O870" s="205"/>
      <c r="P870" s="204"/>
      <c r="Q870" s="205"/>
      <c r="R870" s="204"/>
      <c r="S870" s="204"/>
      <c r="T870" s="204"/>
      <c r="U870" s="205"/>
      <c r="V870" s="204"/>
      <c r="W870" s="204"/>
      <c r="X870" s="204"/>
      <c r="Y870" s="204"/>
      <c r="Z870" s="204"/>
      <c r="AA870" s="204"/>
      <c r="AB870" s="204"/>
      <c r="AC870" s="204"/>
      <c r="AD870" s="204"/>
    </row>
    <row r="871">
      <c r="A871" s="202"/>
      <c r="B871" s="203"/>
      <c r="C871" s="204"/>
      <c r="D871" s="203"/>
      <c r="E871" s="204"/>
      <c r="F871" s="204"/>
      <c r="G871" s="93"/>
      <c r="H871" s="204"/>
      <c r="I871" s="205"/>
      <c r="J871" s="204"/>
      <c r="K871" s="204"/>
      <c r="L871" s="203"/>
      <c r="M871" s="204"/>
      <c r="N871" s="205"/>
      <c r="O871" s="205"/>
      <c r="P871" s="204"/>
      <c r="Q871" s="205"/>
      <c r="R871" s="204"/>
      <c r="S871" s="204"/>
      <c r="T871" s="204"/>
      <c r="U871" s="205"/>
      <c r="V871" s="204"/>
      <c r="W871" s="204"/>
      <c r="X871" s="204"/>
      <c r="Y871" s="204"/>
      <c r="Z871" s="204"/>
      <c r="AA871" s="204"/>
      <c r="AB871" s="204"/>
      <c r="AC871" s="204"/>
      <c r="AD871" s="204"/>
    </row>
    <row r="872">
      <c r="A872" s="202"/>
      <c r="B872" s="203"/>
      <c r="C872" s="204"/>
      <c r="D872" s="203"/>
      <c r="E872" s="204"/>
      <c r="F872" s="204"/>
      <c r="G872" s="93"/>
      <c r="H872" s="204"/>
      <c r="I872" s="205"/>
      <c r="J872" s="204"/>
      <c r="K872" s="204"/>
      <c r="L872" s="203"/>
      <c r="M872" s="204"/>
      <c r="N872" s="205"/>
      <c r="O872" s="205"/>
      <c r="P872" s="204"/>
      <c r="Q872" s="205"/>
      <c r="R872" s="204"/>
      <c r="S872" s="204"/>
      <c r="T872" s="204"/>
      <c r="U872" s="205"/>
      <c r="V872" s="204"/>
      <c r="W872" s="204"/>
      <c r="X872" s="204"/>
      <c r="Y872" s="204"/>
      <c r="Z872" s="204"/>
      <c r="AA872" s="204"/>
      <c r="AB872" s="204"/>
      <c r="AC872" s="204"/>
      <c r="AD872" s="204"/>
    </row>
    <row r="873">
      <c r="A873" s="202"/>
      <c r="B873" s="203"/>
      <c r="C873" s="204"/>
      <c r="D873" s="203"/>
      <c r="E873" s="204"/>
      <c r="F873" s="204"/>
      <c r="G873" s="93"/>
      <c r="H873" s="204"/>
      <c r="I873" s="205"/>
      <c r="J873" s="204"/>
      <c r="K873" s="204"/>
      <c r="L873" s="203"/>
      <c r="M873" s="204"/>
      <c r="N873" s="205"/>
      <c r="O873" s="205"/>
      <c r="P873" s="204"/>
      <c r="Q873" s="205"/>
      <c r="R873" s="204"/>
      <c r="S873" s="204"/>
      <c r="T873" s="204"/>
      <c r="U873" s="205"/>
      <c r="V873" s="204"/>
      <c r="W873" s="204"/>
      <c r="X873" s="204"/>
      <c r="Y873" s="204"/>
      <c r="Z873" s="204"/>
      <c r="AA873" s="204"/>
      <c r="AB873" s="204"/>
      <c r="AC873" s="204"/>
      <c r="AD873" s="204"/>
    </row>
    <row r="874">
      <c r="A874" s="202"/>
      <c r="B874" s="203"/>
      <c r="C874" s="204"/>
      <c r="D874" s="203"/>
      <c r="E874" s="204"/>
      <c r="F874" s="204"/>
      <c r="G874" s="93"/>
      <c r="H874" s="204"/>
      <c r="I874" s="205"/>
      <c r="J874" s="204"/>
      <c r="K874" s="204"/>
      <c r="L874" s="203"/>
      <c r="M874" s="204"/>
      <c r="N874" s="205"/>
      <c r="O874" s="205"/>
      <c r="P874" s="204"/>
      <c r="Q874" s="205"/>
      <c r="R874" s="204"/>
      <c r="S874" s="204"/>
      <c r="T874" s="204"/>
      <c r="U874" s="205"/>
      <c r="V874" s="204"/>
      <c r="W874" s="204"/>
      <c r="X874" s="204"/>
      <c r="Y874" s="204"/>
      <c r="Z874" s="204"/>
      <c r="AA874" s="204"/>
      <c r="AB874" s="204"/>
      <c r="AC874" s="204"/>
      <c r="AD874" s="204"/>
    </row>
    <row r="875">
      <c r="A875" s="202"/>
      <c r="B875" s="203"/>
      <c r="C875" s="204"/>
      <c r="D875" s="203"/>
      <c r="E875" s="204"/>
      <c r="F875" s="204"/>
      <c r="G875" s="93"/>
      <c r="H875" s="204"/>
      <c r="I875" s="205"/>
      <c r="J875" s="204"/>
      <c r="K875" s="204"/>
      <c r="L875" s="203"/>
      <c r="M875" s="204"/>
      <c r="N875" s="205"/>
      <c r="O875" s="205"/>
      <c r="P875" s="204"/>
      <c r="Q875" s="205"/>
      <c r="R875" s="204"/>
      <c r="S875" s="204"/>
      <c r="T875" s="204"/>
      <c r="U875" s="205"/>
      <c r="V875" s="204"/>
      <c r="W875" s="204"/>
      <c r="X875" s="204"/>
      <c r="Y875" s="204"/>
      <c r="Z875" s="204"/>
      <c r="AA875" s="204"/>
      <c r="AB875" s="204"/>
      <c r="AC875" s="204"/>
      <c r="AD875" s="204"/>
    </row>
    <row r="876">
      <c r="A876" s="202"/>
      <c r="B876" s="203"/>
      <c r="C876" s="204"/>
      <c r="D876" s="203"/>
      <c r="E876" s="204"/>
      <c r="F876" s="204"/>
      <c r="G876" s="93"/>
      <c r="H876" s="204"/>
      <c r="I876" s="205"/>
      <c r="J876" s="204"/>
      <c r="K876" s="204"/>
      <c r="L876" s="203"/>
      <c r="M876" s="204"/>
      <c r="N876" s="205"/>
      <c r="O876" s="205"/>
      <c r="P876" s="204"/>
      <c r="Q876" s="205"/>
      <c r="R876" s="204"/>
      <c r="S876" s="204"/>
      <c r="T876" s="204"/>
      <c r="U876" s="205"/>
      <c r="V876" s="204"/>
      <c r="W876" s="204"/>
      <c r="X876" s="204"/>
      <c r="Y876" s="204"/>
      <c r="Z876" s="204"/>
      <c r="AA876" s="204"/>
      <c r="AB876" s="204"/>
      <c r="AC876" s="204"/>
      <c r="AD876" s="204"/>
    </row>
    <row r="877">
      <c r="A877" s="202"/>
      <c r="B877" s="203"/>
      <c r="C877" s="204"/>
      <c r="D877" s="203"/>
      <c r="E877" s="204"/>
      <c r="F877" s="204"/>
      <c r="G877" s="93"/>
      <c r="H877" s="204"/>
      <c r="I877" s="205"/>
      <c r="J877" s="204"/>
      <c r="K877" s="204"/>
      <c r="L877" s="203"/>
      <c r="M877" s="204"/>
      <c r="N877" s="205"/>
      <c r="O877" s="205"/>
      <c r="P877" s="204"/>
      <c r="Q877" s="205"/>
      <c r="R877" s="204"/>
      <c r="S877" s="204"/>
      <c r="T877" s="204"/>
      <c r="U877" s="205"/>
      <c r="V877" s="204"/>
      <c r="W877" s="204"/>
      <c r="X877" s="204"/>
      <c r="Y877" s="204"/>
      <c r="Z877" s="204"/>
      <c r="AA877" s="204"/>
      <c r="AB877" s="204"/>
      <c r="AC877" s="204"/>
      <c r="AD877" s="204"/>
    </row>
    <row r="878">
      <c r="A878" s="202"/>
      <c r="B878" s="203"/>
      <c r="C878" s="204"/>
      <c r="D878" s="203"/>
      <c r="E878" s="204"/>
      <c r="F878" s="204"/>
      <c r="G878" s="93"/>
      <c r="H878" s="204"/>
      <c r="I878" s="205"/>
      <c r="J878" s="204"/>
      <c r="K878" s="204"/>
      <c r="L878" s="203"/>
      <c r="M878" s="204"/>
      <c r="N878" s="205"/>
      <c r="O878" s="205"/>
      <c r="P878" s="204"/>
      <c r="Q878" s="205"/>
      <c r="R878" s="204"/>
      <c r="S878" s="204"/>
      <c r="T878" s="204"/>
      <c r="U878" s="205"/>
      <c r="V878" s="204"/>
      <c r="W878" s="204"/>
      <c r="X878" s="204"/>
      <c r="Y878" s="204"/>
      <c r="Z878" s="204"/>
      <c r="AA878" s="204"/>
      <c r="AB878" s="204"/>
      <c r="AC878" s="204"/>
      <c r="AD878" s="204"/>
    </row>
    <row r="879">
      <c r="A879" s="202"/>
      <c r="B879" s="203"/>
      <c r="C879" s="204"/>
      <c r="D879" s="203"/>
      <c r="E879" s="204"/>
      <c r="F879" s="204"/>
      <c r="G879" s="93"/>
      <c r="H879" s="204"/>
      <c r="I879" s="205"/>
      <c r="J879" s="204"/>
      <c r="K879" s="204"/>
      <c r="L879" s="203"/>
      <c r="M879" s="204"/>
      <c r="N879" s="205"/>
      <c r="O879" s="205"/>
      <c r="P879" s="204"/>
      <c r="Q879" s="205"/>
      <c r="R879" s="204"/>
      <c r="S879" s="204"/>
      <c r="T879" s="204"/>
      <c r="U879" s="205"/>
      <c r="V879" s="204"/>
      <c r="W879" s="204"/>
      <c r="X879" s="204"/>
      <c r="Y879" s="204"/>
      <c r="Z879" s="204"/>
      <c r="AA879" s="204"/>
      <c r="AB879" s="204"/>
      <c r="AC879" s="204"/>
      <c r="AD879" s="204"/>
    </row>
    <row r="880">
      <c r="A880" s="202"/>
      <c r="B880" s="203"/>
      <c r="C880" s="204"/>
      <c r="D880" s="203"/>
      <c r="E880" s="204"/>
      <c r="F880" s="204"/>
      <c r="G880" s="93"/>
      <c r="H880" s="204"/>
      <c r="I880" s="205"/>
      <c r="J880" s="204"/>
      <c r="K880" s="204"/>
      <c r="L880" s="203"/>
      <c r="M880" s="204"/>
      <c r="N880" s="205"/>
      <c r="O880" s="205"/>
      <c r="P880" s="204"/>
      <c r="Q880" s="205"/>
      <c r="R880" s="204"/>
      <c r="S880" s="204"/>
      <c r="T880" s="204"/>
      <c r="U880" s="205"/>
      <c r="V880" s="204"/>
      <c r="W880" s="204"/>
      <c r="X880" s="204"/>
      <c r="Y880" s="204"/>
      <c r="Z880" s="204"/>
      <c r="AA880" s="204"/>
      <c r="AB880" s="204"/>
      <c r="AC880" s="204"/>
      <c r="AD880" s="204"/>
    </row>
    <row r="881">
      <c r="A881" s="202"/>
      <c r="B881" s="203"/>
      <c r="C881" s="204"/>
      <c r="D881" s="203"/>
      <c r="E881" s="204"/>
      <c r="F881" s="204"/>
      <c r="G881" s="93"/>
      <c r="H881" s="204"/>
      <c r="I881" s="205"/>
      <c r="J881" s="204"/>
      <c r="K881" s="204"/>
      <c r="L881" s="203"/>
      <c r="M881" s="204"/>
      <c r="N881" s="205"/>
      <c r="O881" s="205"/>
      <c r="P881" s="204"/>
      <c r="Q881" s="205"/>
      <c r="R881" s="204"/>
      <c r="S881" s="204"/>
      <c r="T881" s="204"/>
      <c r="U881" s="205"/>
      <c r="V881" s="204"/>
      <c r="W881" s="204"/>
      <c r="X881" s="204"/>
      <c r="Y881" s="204"/>
      <c r="Z881" s="204"/>
      <c r="AA881" s="204"/>
      <c r="AB881" s="204"/>
      <c r="AC881" s="204"/>
      <c r="AD881" s="204"/>
    </row>
    <row r="882">
      <c r="A882" s="202"/>
      <c r="B882" s="203"/>
      <c r="C882" s="204"/>
      <c r="D882" s="203"/>
      <c r="E882" s="204"/>
      <c r="F882" s="204"/>
      <c r="G882" s="93"/>
      <c r="H882" s="204"/>
      <c r="I882" s="205"/>
      <c r="J882" s="204"/>
      <c r="K882" s="204"/>
      <c r="L882" s="203"/>
      <c r="M882" s="204"/>
      <c r="N882" s="205"/>
      <c r="O882" s="205"/>
      <c r="P882" s="204"/>
      <c r="Q882" s="205"/>
      <c r="R882" s="204"/>
      <c r="S882" s="204"/>
      <c r="T882" s="204"/>
      <c r="U882" s="205"/>
      <c r="V882" s="204"/>
      <c r="W882" s="204"/>
      <c r="X882" s="204"/>
      <c r="Y882" s="204"/>
      <c r="Z882" s="204"/>
      <c r="AA882" s="204"/>
      <c r="AB882" s="204"/>
      <c r="AC882" s="204"/>
      <c r="AD882" s="204"/>
    </row>
    <row r="883">
      <c r="A883" s="202"/>
      <c r="B883" s="203"/>
      <c r="C883" s="204"/>
      <c r="D883" s="203"/>
      <c r="E883" s="204"/>
      <c r="F883" s="204"/>
      <c r="G883" s="93"/>
      <c r="H883" s="204"/>
      <c r="I883" s="205"/>
      <c r="J883" s="204"/>
      <c r="K883" s="204"/>
      <c r="L883" s="203"/>
      <c r="M883" s="204"/>
      <c r="N883" s="205"/>
      <c r="O883" s="205"/>
      <c r="P883" s="204"/>
      <c r="Q883" s="205"/>
      <c r="R883" s="204"/>
      <c r="S883" s="204"/>
      <c r="T883" s="204"/>
      <c r="U883" s="205"/>
      <c r="V883" s="204"/>
      <c r="W883" s="204"/>
      <c r="X883" s="204"/>
      <c r="Y883" s="204"/>
      <c r="Z883" s="204"/>
      <c r="AA883" s="204"/>
      <c r="AB883" s="204"/>
      <c r="AC883" s="204"/>
      <c r="AD883" s="204"/>
    </row>
    <row r="884">
      <c r="A884" s="202"/>
      <c r="B884" s="203"/>
      <c r="C884" s="204"/>
      <c r="D884" s="203"/>
      <c r="E884" s="204"/>
      <c r="F884" s="204"/>
      <c r="G884" s="93"/>
      <c r="H884" s="204"/>
      <c r="I884" s="205"/>
      <c r="J884" s="204"/>
      <c r="K884" s="204"/>
      <c r="L884" s="203"/>
      <c r="M884" s="204"/>
      <c r="N884" s="205"/>
      <c r="O884" s="205"/>
      <c r="P884" s="204"/>
      <c r="Q884" s="205"/>
      <c r="R884" s="204"/>
      <c r="S884" s="204"/>
      <c r="T884" s="204"/>
      <c r="U884" s="205"/>
      <c r="V884" s="204"/>
      <c r="W884" s="204"/>
      <c r="X884" s="204"/>
      <c r="Y884" s="204"/>
      <c r="Z884" s="204"/>
      <c r="AA884" s="204"/>
      <c r="AB884" s="204"/>
      <c r="AC884" s="204"/>
      <c r="AD884" s="204"/>
    </row>
    <row r="885">
      <c r="A885" s="202"/>
      <c r="B885" s="203"/>
      <c r="C885" s="204"/>
      <c r="D885" s="203"/>
      <c r="E885" s="204"/>
      <c r="F885" s="204"/>
      <c r="G885" s="93"/>
      <c r="H885" s="204"/>
      <c r="I885" s="205"/>
      <c r="J885" s="204"/>
      <c r="K885" s="204"/>
      <c r="L885" s="203"/>
      <c r="M885" s="204"/>
      <c r="N885" s="205"/>
      <c r="O885" s="205"/>
      <c r="P885" s="204"/>
      <c r="Q885" s="205"/>
      <c r="R885" s="204"/>
      <c r="S885" s="204"/>
      <c r="T885" s="204"/>
      <c r="U885" s="205"/>
      <c r="V885" s="204"/>
      <c r="W885" s="204"/>
      <c r="X885" s="204"/>
      <c r="Y885" s="204"/>
      <c r="Z885" s="204"/>
      <c r="AA885" s="204"/>
      <c r="AB885" s="204"/>
      <c r="AC885" s="204"/>
      <c r="AD885" s="204"/>
    </row>
    <row r="886">
      <c r="A886" s="202"/>
      <c r="B886" s="203"/>
      <c r="C886" s="204"/>
      <c r="D886" s="203"/>
      <c r="E886" s="204"/>
      <c r="F886" s="204"/>
      <c r="G886" s="93"/>
      <c r="H886" s="204"/>
      <c r="I886" s="205"/>
      <c r="J886" s="204"/>
      <c r="K886" s="204"/>
      <c r="L886" s="203"/>
      <c r="M886" s="204"/>
      <c r="N886" s="205"/>
      <c r="O886" s="205"/>
      <c r="P886" s="204"/>
      <c r="Q886" s="205"/>
      <c r="R886" s="204"/>
      <c r="S886" s="204"/>
      <c r="T886" s="204"/>
      <c r="U886" s="205"/>
      <c r="V886" s="204"/>
      <c r="W886" s="204"/>
      <c r="X886" s="204"/>
      <c r="Y886" s="204"/>
      <c r="Z886" s="204"/>
      <c r="AA886" s="204"/>
      <c r="AB886" s="204"/>
      <c r="AC886" s="204"/>
      <c r="AD886" s="204"/>
    </row>
    <row r="887">
      <c r="A887" s="202"/>
      <c r="B887" s="203"/>
      <c r="C887" s="204"/>
      <c r="D887" s="203"/>
      <c r="E887" s="204"/>
      <c r="F887" s="204"/>
      <c r="G887" s="93"/>
      <c r="H887" s="204"/>
      <c r="I887" s="205"/>
      <c r="J887" s="204"/>
      <c r="K887" s="204"/>
      <c r="L887" s="203"/>
      <c r="M887" s="204"/>
      <c r="N887" s="205"/>
      <c r="O887" s="205"/>
      <c r="P887" s="204"/>
      <c r="Q887" s="205"/>
      <c r="R887" s="204"/>
      <c r="S887" s="204"/>
      <c r="T887" s="204"/>
      <c r="U887" s="205"/>
      <c r="V887" s="204"/>
      <c r="W887" s="204"/>
      <c r="X887" s="204"/>
      <c r="Y887" s="204"/>
      <c r="Z887" s="204"/>
      <c r="AA887" s="204"/>
      <c r="AB887" s="204"/>
      <c r="AC887" s="204"/>
      <c r="AD887" s="204"/>
    </row>
    <row r="888">
      <c r="A888" s="202"/>
      <c r="B888" s="203"/>
      <c r="C888" s="204"/>
      <c r="D888" s="203"/>
      <c r="E888" s="204"/>
      <c r="F888" s="204"/>
      <c r="G888" s="93"/>
      <c r="H888" s="204"/>
      <c r="I888" s="205"/>
      <c r="J888" s="204"/>
      <c r="K888" s="204"/>
      <c r="L888" s="203"/>
      <c r="M888" s="204"/>
      <c r="N888" s="205"/>
      <c r="O888" s="205"/>
      <c r="P888" s="204"/>
      <c r="Q888" s="205"/>
      <c r="R888" s="204"/>
      <c r="S888" s="204"/>
      <c r="T888" s="204"/>
      <c r="U888" s="205"/>
      <c r="V888" s="204"/>
      <c r="W888" s="204"/>
      <c r="X888" s="204"/>
      <c r="Y888" s="204"/>
      <c r="Z888" s="204"/>
      <c r="AA888" s="204"/>
      <c r="AB888" s="204"/>
      <c r="AC888" s="204"/>
      <c r="AD888" s="204"/>
    </row>
    <row r="889">
      <c r="A889" s="202"/>
      <c r="B889" s="203"/>
      <c r="C889" s="204"/>
      <c r="D889" s="203"/>
      <c r="E889" s="204"/>
      <c r="F889" s="204"/>
      <c r="G889" s="93"/>
      <c r="H889" s="204"/>
      <c r="I889" s="205"/>
      <c r="J889" s="204"/>
      <c r="K889" s="204"/>
      <c r="L889" s="203"/>
      <c r="M889" s="204"/>
      <c r="N889" s="205"/>
      <c r="O889" s="205"/>
      <c r="P889" s="204"/>
      <c r="Q889" s="205"/>
      <c r="R889" s="204"/>
      <c r="S889" s="204"/>
      <c r="T889" s="204"/>
      <c r="U889" s="205"/>
      <c r="V889" s="204"/>
      <c r="W889" s="204"/>
      <c r="X889" s="204"/>
      <c r="Y889" s="204"/>
      <c r="Z889" s="204"/>
      <c r="AA889" s="204"/>
      <c r="AB889" s="204"/>
      <c r="AC889" s="204"/>
      <c r="AD889" s="204"/>
    </row>
    <row r="890">
      <c r="A890" s="202"/>
      <c r="B890" s="203"/>
      <c r="C890" s="204"/>
      <c r="D890" s="203"/>
      <c r="E890" s="204"/>
      <c r="F890" s="204"/>
      <c r="G890" s="93"/>
      <c r="H890" s="204"/>
      <c r="I890" s="205"/>
      <c r="J890" s="204"/>
      <c r="K890" s="204"/>
      <c r="L890" s="203"/>
      <c r="M890" s="204"/>
      <c r="N890" s="205"/>
      <c r="O890" s="205"/>
      <c r="P890" s="204"/>
      <c r="Q890" s="205"/>
      <c r="R890" s="204"/>
      <c r="S890" s="204"/>
      <c r="T890" s="204"/>
      <c r="U890" s="205"/>
      <c r="V890" s="204"/>
      <c r="W890" s="204"/>
      <c r="X890" s="204"/>
      <c r="Y890" s="204"/>
      <c r="Z890" s="204"/>
      <c r="AA890" s="204"/>
      <c r="AB890" s="204"/>
      <c r="AC890" s="204"/>
      <c r="AD890" s="204"/>
    </row>
    <row r="891">
      <c r="A891" s="202"/>
      <c r="B891" s="203"/>
      <c r="C891" s="204"/>
      <c r="D891" s="203"/>
      <c r="E891" s="204"/>
      <c r="F891" s="204"/>
      <c r="G891" s="93"/>
      <c r="H891" s="204"/>
      <c r="I891" s="205"/>
      <c r="J891" s="204"/>
      <c r="K891" s="204"/>
      <c r="L891" s="203"/>
      <c r="M891" s="204"/>
      <c r="N891" s="205"/>
      <c r="O891" s="205"/>
      <c r="P891" s="204"/>
      <c r="Q891" s="205"/>
      <c r="R891" s="204"/>
      <c r="S891" s="204"/>
      <c r="T891" s="204"/>
      <c r="U891" s="205"/>
      <c r="V891" s="204"/>
      <c r="W891" s="204"/>
      <c r="X891" s="204"/>
      <c r="Y891" s="204"/>
      <c r="Z891" s="204"/>
      <c r="AA891" s="204"/>
      <c r="AB891" s="204"/>
      <c r="AC891" s="204"/>
      <c r="AD891" s="204"/>
    </row>
    <row r="892">
      <c r="A892" s="202"/>
      <c r="B892" s="203"/>
      <c r="C892" s="204"/>
      <c r="D892" s="203"/>
      <c r="E892" s="204"/>
      <c r="F892" s="204"/>
      <c r="G892" s="93"/>
      <c r="H892" s="204"/>
      <c r="I892" s="205"/>
      <c r="J892" s="204"/>
      <c r="K892" s="204"/>
      <c r="L892" s="203"/>
      <c r="M892" s="204"/>
      <c r="N892" s="205"/>
      <c r="O892" s="205"/>
      <c r="P892" s="204"/>
      <c r="Q892" s="205"/>
      <c r="R892" s="204"/>
      <c r="S892" s="204"/>
      <c r="T892" s="204"/>
      <c r="U892" s="205"/>
      <c r="V892" s="204"/>
      <c r="W892" s="204"/>
      <c r="X892" s="204"/>
      <c r="Y892" s="204"/>
      <c r="Z892" s="204"/>
      <c r="AA892" s="204"/>
      <c r="AB892" s="204"/>
      <c r="AC892" s="204"/>
      <c r="AD892" s="204"/>
    </row>
    <row r="893">
      <c r="A893" s="202"/>
      <c r="B893" s="203"/>
      <c r="C893" s="204"/>
      <c r="D893" s="203"/>
      <c r="E893" s="204"/>
      <c r="F893" s="204"/>
      <c r="G893" s="93"/>
      <c r="H893" s="204"/>
      <c r="I893" s="205"/>
      <c r="J893" s="204"/>
      <c r="K893" s="204"/>
      <c r="L893" s="203"/>
      <c r="M893" s="204"/>
      <c r="N893" s="205"/>
      <c r="O893" s="205"/>
      <c r="P893" s="204"/>
      <c r="Q893" s="205"/>
      <c r="R893" s="204"/>
      <c r="S893" s="204"/>
      <c r="T893" s="204"/>
      <c r="U893" s="205"/>
      <c r="V893" s="204"/>
      <c r="W893" s="204"/>
      <c r="X893" s="204"/>
      <c r="Y893" s="204"/>
      <c r="Z893" s="204"/>
      <c r="AA893" s="204"/>
      <c r="AB893" s="204"/>
      <c r="AC893" s="204"/>
      <c r="AD893" s="204"/>
    </row>
    <row r="894">
      <c r="A894" s="202"/>
      <c r="B894" s="203"/>
      <c r="C894" s="204"/>
      <c r="D894" s="203"/>
      <c r="E894" s="204"/>
      <c r="F894" s="204"/>
      <c r="G894" s="93"/>
      <c r="H894" s="204"/>
      <c r="I894" s="205"/>
      <c r="J894" s="204"/>
      <c r="K894" s="204"/>
      <c r="L894" s="203"/>
      <c r="M894" s="204"/>
      <c r="N894" s="205"/>
      <c r="O894" s="205"/>
      <c r="P894" s="204"/>
      <c r="Q894" s="205"/>
      <c r="R894" s="204"/>
      <c r="S894" s="204"/>
      <c r="T894" s="204"/>
      <c r="U894" s="205"/>
      <c r="V894" s="204"/>
      <c r="W894" s="204"/>
      <c r="X894" s="204"/>
      <c r="Y894" s="204"/>
      <c r="Z894" s="204"/>
      <c r="AA894" s="204"/>
      <c r="AB894" s="204"/>
      <c r="AC894" s="204"/>
      <c r="AD894" s="204"/>
    </row>
    <row r="895">
      <c r="A895" s="202"/>
      <c r="B895" s="203"/>
      <c r="C895" s="204"/>
      <c r="D895" s="203"/>
      <c r="E895" s="204"/>
      <c r="F895" s="204"/>
      <c r="G895" s="93"/>
      <c r="H895" s="204"/>
      <c r="I895" s="205"/>
      <c r="J895" s="204"/>
      <c r="K895" s="204"/>
      <c r="L895" s="203"/>
      <c r="M895" s="204"/>
      <c r="N895" s="205"/>
      <c r="O895" s="205"/>
      <c r="P895" s="204"/>
      <c r="Q895" s="205"/>
      <c r="R895" s="204"/>
      <c r="S895" s="204"/>
      <c r="T895" s="204"/>
      <c r="U895" s="205"/>
      <c r="V895" s="204"/>
      <c r="W895" s="204"/>
      <c r="X895" s="204"/>
      <c r="Y895" s="204"/>
      <c r="Z895" s="204"/>
      <c r="AA895" s="204"/>
      <c r="AB895" s="204"/>
      <c r="AC895" s="204"/>
      <c r="AD895" s="204"/>
    </row>
    <row r="896">
      <c r="A896" s="202"/>
      <c r="B896" s="203"/>
      <c r="C896" s="204"/>
      <c r="D896" s="203"/>
      <c r="E896" s="204"/>
      <c r="F896" s="204"/>
      <c r="G896" s="93"/>
      <c r="H896" s="204"/>
      <c r="I896" s="205"/>
      <c r="J896" s="204"/>
      <c r="K896" s="204"/>
      <c r="L896" s="203"/>
      <c r="M896" s="204"/>
      <c r="N896" s="205"/>
      <c r="O896" s="205"/>
      <c r="P896" s="204"/>
      <c r="Q896" s="205"/>
      <c r="R896" s="204"/>
      <c r="S896" s="204"/>
      <c r="T896" s="204"/>
      <c r="U896" s="205"/>
      <c r="V896" s="204"/>
      <c r="W896" s="204"/>
      <c r="X896" s="204"/>
      <c r="Y896" s="204"/>
      <c r="Z896" s="204"/>
      <c r="AA896" s="204"/>
      <c r="AB896" s="204"/>
      <c r="AC896" s="204"/>
      <c r="AD896" s="204"/>
    </row>
    <row r="897">
      <c r="A897" s="202"/>
      <c r="B897" s="203"/>
      <c r="C897" s="204"/>
      <c r="D897" s="203"/>
      <c r="E897" s="204"/>
      <c r="F897" s="204"/>
      <c r="G897" s="93"/>
      <c r="H897" s="204"/>
      <c r="I897" s="205"/>
      <c r="J897" s="204"/>
      <c r="K897" s="204"/>
      <c r="L897" s="203"/>
      <c r="M897" s="204"/>
      <c r="N897" s="205"/>
      <c r="O897" s="205"/>
      <c r="P897" s="204"/>
      <c r="Q897" s="205"/>
      <c r="R897" s="204"/>
      <c r="S897" s="204"/>
      <c r="T897" s="204"/>
      <c r="U897" s="205"/>
      <c r="V897" s="204"/>
      <c r="W897" s="204"/>
      <c r="X897" s="204"/>
      <c r="Y897" s="204"/>
      <c r="Z897" s="204"/>
      <c r="AA897" s="204"/>
      <c r="AB897" s="204"/>
      <c r="AC897" s="204"/>
      <c r="AD897" s="204"/>
    </row>
    <row r="898">
      <c r="A898" s="202"/>
      <c r="B898" s="203"/>
      <c r="C898" s="204"/>
      <c r="D898" s="203"/>
      <c r="E898" s="204"/>
      <c r="F898" s="204"/>
      <c r="G898" s="93"/>
      <c r="H898" s="204"/>
      <c r="I898" s="205"/>
      <c r="J898" s="204"/>
      <c r="K898" s="204"/>
      <c r="L898" s="203"/>
      <c r="M898" s="204"/>
      <c r="N898" s="205"/>
      <c r="O898" s="205"/>
      <c r="P898" s="204"/>
      <c r="Q898" s="205"/>
      <c r="R898" s="204"/>
      <c r="S898" s="204"/>
      <c r="T898" s="204"/>
      <c r="U898" s="205"/>
      <c r="V898" s="204"/>
      <c r="W898" s="204"/>
      <c r="X898" s="204"/>
      <c r="Y898" s="204"/>
      <c r="Z898" s="204"/>
      <c r="AA898" s="204"/>
      <c r="AB898" s="204"/>
      <c r="AC898" s="204"/>
      <c r="AD898" s="204"/>
    </row>
    <row r="899">
      <c r="A899" s="202"/>
      <c r="B899" s="203"/>
      <c r="C899" s="204"/>
      <c r="D899" s="203"/>
      <c r="E899" s="204"/>
      <c r="F899" s="204"/>
      <c r="G899" s="93"/>
      <c r="H899" s="204"/>
      <c r="I899" s="205"/>
      <c r="J899" s="204"/>
      <c r="K899" s="204"/>
      <c r="L899" s="203"/>
      <c r="M899" s="204"/>
      <c r="N899" s="205"/>
      <c r="O899" s="205"/>
      <c r="P899" s="204"/>
      <c r="Q899" s="205"/>
      <c r="R899" s="204"/>
      <c r="S899" s="204"/>
      <c r="T899" s="204"/>
      <c r="U899" s="205"/>
      <c r="V899" s="204"/>
      <c r="W899" s="204"/>
      <c r="X899" s="204"/>
      <c r="Y899" s="204"/>
      <c r="Z899" s="204"/>
      <c r="AA899" s="204"/>
      <c r="AB899" s="204"/>
      <c r="AC899" s="204"/>
      <c r="AD899" s="204"/>
    </row>
    <row r="900">
      <c r="A900" s="202"/>
      <c r="B900" s="203"/>
      <c r="C900" s="204"/>
      <c r="D900" s="203"/>
      <c r="E900" s="204"/>
      <c r="F900" s="204"/>
      <c r="G900" s="93"/>
      <c r="H900" s="204"/>
      <c r="I900" s="205"/>
      <c r="J900" s="204"/>
      <c r="K900" s="204"/>
      <c r="L900" s="203"/>
      <c r="M900" s="204"/>
      <c r="N900" s="205"/>
      <c r="O900" s="205"/>
      <c r="P900" s="204"/>
      <c r="Q900" s="205"/>
      <c r="R900" s="204"/>
      <c r="S900" s="204"/>
      <c r="T900" s="204"/>
      <c r="U900" s="205"/>
      <c r="V900" s="204"/>
      <c r="W900" s="204"/>
      <c r="X900" s="204"/>
      <c r="Y900" s="204"/>
      <c r="Z900" s="204"/>
      <c r="AA900" s="204"/>
      <c r="AB900" s="204"/>
      <c r="AC900" s="204"/>
      <c r="AD900" s="204"/>
    </row>
    <row r="901">
      <c r="A901" s="202"/>
      <c r="B901" s="203"/>
      <c r="C901" s="204"/>
      <c r="D901" s="203"/>
      <c r="E901" s="204"/>
      <c r="F901" s="204"/>
      <c r="G901" s="93"/>
      <c r="H901" s="204"/>
      <c r="I901" s="205"/>
      <c r="J901" s="204"/>
      <c r="K901" s="204"/>
      <c r="L901" s="203"/>
      <c r="M901" s="204"/>
      <c r="N901" s="205"/>
      <c r="O901" s="205"/>
      <c r="P901" s="204"/>
      <c r="Q901" s="205"/>
      <c r="R901" s="204"/>
      <c r="S901" s="204"/>
      <c r="T901" s="204"/>
      <c r="U901" s="205"/>
      <c r="V901" s="204"/>
      <c r="W901" s="204"/>
      <c r="X901" s="204"/>
      <c r="Y901" s="204"/>
      <c r="Z901" s="204"/>
      <c r="AA901" s="204"/>
      <c r="AB901" s="204"/>
      <c r="AC901" s="204"/>
      <c r="AD901" s="204"/>
    </row>
    <row r="902">
      <c r="A902" s="202"/>
      <c r="B902" s="203"/>
      <c r="C902" s="204"/>
      <c r="D902" s="203"/>
      <c r="E902" s="204"/>
      <c r="F902" s="204"/>
      <c r="G902" s="93"/>
      <c r="H902" s="204"/>
      <c r="I902" s="205"/>
      <c r="J902" s="204"/>
      <c r="K902" s="204"/>
      <c r="L902" s="203"/>
      <c r="M902" s="204"/>
      <c r="N902" s="205"/>
      <c r="O902" s="205"/>
      <c r="P902" s="204"/>
      <c r="Q902" s="205"/>
      <c r="R902" s="204"/>
      <c r="S902" s="204"/>
      <c r="T902" s="204"/>
      <c r="U902" s="205"/>
      <c r="V902" s="204"/>
      <c r="W902" s="204"/>
      <c r="X902" s="204"/>
      <c r="Y902" s="204"/>
      <c r="Z902" s="204"/>
      <c r="AA902" s="204"/>
      <c r="AB902" s="204"/>
      <c r="AC902" s="204"/>
      <c r="AD902" s="204"/>
    </row>
    <row r="903">
      <c r="A903" s="202"/>
      <c r="B903" s="203"/>
      <c r="C903" s="204"/>
      <c r="D903" s="203"/>
      <c r="E903" s="204"/>
      <c r="F903" s="204"/>
      <c r="G903" s="93"/>
      <c r="H903" s="204"/>
      <c r="I903" s="205"/>
      <c r="J903" s="204"/>
      <c r="K903" s="204"/>
      <c r="L903" s="203"/>
      <c r="M903" s="204"/>
      <c r="N903" s="205"/>
      <c r="O903" s="205"/>
      <c r="P903" s="204"/>
      <c r="Q903" s="205"/>
      <c r="R903" s="204"/>
      <c r="S903" s="204"/>
      <c r="T903" s="204"/>
      <c r="U903" s="205"/>
      <c r="V903" s="204"/>
      <c r="W903" s="204"/>
      <c r="X903" s="204"/>
      <c r="Y903" s="204"/>
      <c r="Z903" s="204"/>
      <c r="AA903" s="204"/>
      <c r="AB903" s="204"/>
      <c r="AC903" s="204"/>
      <c r="AD903" s="204"/>
    </row>
    <row r="904">
      <c r="A904" s="202"/>
      <c r="B904" s="203"/>
      <c r="C904" s="204"/>
      <c r="D904" s="203"/>
      <c r="E904" s="204"/>
      <c r="F904" s="204"/>
      <c r="G904" s="93"/>
      <c r="H904" s="204"/>
      <c r="I904" s="205"/>
      <c r="J904" s="204"/>
      <c r="K904" s="204"/>
      <c r="L904" s="203"/>
      <c r="M904" s="204"/>
      <c r="N904" s="205"/>
      <c r="O904" s="205"/>
      <c r="P904" s="204"/>
      <c r="Q904" s="205"/>
      <c r="R904" s="204"/>
      <c r="S904" s="204"/>
      <c r="T904" s="204"/>
      <c r="U904" s="205"/>
      <c r="V904" s="204"/>
      <c r="W904" s="204"/>
      <c r="X904" s="204"/>
      <c r="Y904" s="204"/>
      <c r="Z904" s="204"/>
      <c r="AA904" s="204"/>
      <c r="AB904" s="204"/>
      <c r="AC904" s="204"/>
      <c r="AD904" s="204"/>
    </row>
    <row r="905">
      <c r="A905" s="202"/>
      <c r="B905" s="203"/>
      <c r="C905" s="204"/>
      <c r="D905" s="203"/>
      <c r="E905" s="204"/>
      <c r="F905" s="204"/>
      <c r="G905" s="93"/>
      <c r="H905" s="204"/>
      <c r="I905" s="205"/>
      <c r="J905" s="204"/>
      <c r="K905" s="204"/>
      <c r="L905" s="203"/>
      <c r="M905" s="204"/>
      <c r="N905" s="205"/>
      <c r="O905" s="205"/>
      <c r="P905" s="204"/>
      <c r="Q905" s="205"/>
      <c r="R905" s="204"/>
      <c r="S905" s="204"/>
      <c r="T905" s="204"/>
      <c r="U905" s="205"/>
      <c r="V905" s="204"/>
      <c r="W905" s="204"/>
      <c r="X905" s="204"/>
      <c r="Y905" s="204"/>
      <c r="Z905" s="204"/>
      <c r="AA905" s="204"/>
      <c r="AB905" s="204"/>
      <c r="AC905" s="204"/>
      <c r="AD905" s="204"/>
    </row>
    <row r="906">
      <c r="A906" s="202"/>
      <c r="B906" s="203"/>
      <c r="C906" s="204"/>
      <c r="D906" s="203"/>
      <c r="E906" s="204"/>
      <c r="F906" s="204"/>
      <c r="G906" s="93"/>
      <c r="H906" s="204"/>
      <c r="I906" s="205"/>
      <c r="J906" s="204"/>
      <c r="K906" s="204"/>
      <c r="L906" s="203"/>
      <c r="M906" s="204"/>
      <c r="N906" s="205"/>
      <c r="O906" s="205"/>
      <c r="P906" s="204"/>
      <c r="Q906" s="205"/>
      <c r="R906" s="204"/>
      <c r="S906" s="204"/>
      <c r="T906" s="204"/>
      <c r="U906" s="205"/>
      <c r="V906" s="204"/>
      <c r="W906" s="204"/>
      <c r="X906" s="204"/>
      <c r="Y906" s="204"/>
      <c r="Z906" s="204"/>
      <c r="AA906" s="204"/>
      <c r="AB906" s="204"/>
      <c r="AC906" s="204"/>
      <c r="AD906" s="204"/>
    </row>
    <row r="907">
      <c r="A907" s="202"/>
      <c r="B907" s="203"/>
      <c r="C907" s="204"/>
      <c r="D907" s="203"/>
      <c r="E907" s="204"/>
      <c r="F907" s="204"/>
      <c r="G907" s="93"/>
      <c r="H907" s="204"/>
      <c r="I907" s="205"/>
      <c r="J907" s="204"/>
      <c r="K907" s="204"/>
      <c r="L907" s="203"/>
      <c r="M907" s="204"/>
      <c r="N907" s="205"/>
      <c r="O907" s="205"/>
      <c r="P907" s="204"/>
      <c r="Q907" s="205"/>
      <c r="R907" s="204"/>
      <c r="S907" s="204"/>
      <c r="T907" s="204"/>
      <c r="U907" s="205"/>
      <c r="V907" s="204"/>
      <c r="W907" s="204"/>
      <c r="X907" s="204"/>
      <c r="Y907" s="204"/>
      <c r="Z907" s="204"/>
      <c r="AA907" s="204"/>
      <c r="AB907" s="204"/>
      <c r="AC907" s="204"/>
      <c r="AD907" s="204"/>
    </row>
    <row r="908">
      <c r="A908" s="202"/>
      <c r="B908" s="203"/>
      <c r="C908" s="204"/>
      <c r="D908" s="203"/>
      <c r="E908" s="204"/>
      <c r="F908" s="204"/>
      <c r="G908" s="93"/>
      <c r="H908" s="204"/>
      <c r="I908" s="205"/>
      <c r="J908" s="204"/>
      <c r="K908" s="204"/>
      <c r="L908" s="203"/>
      <c r="M908" s="204"/>
      <c r="N908" s="205"/>
      <c r="O908" s="205"/>
      <c r="P908" s="204"/>
      <c r="Q908" s="205"/>
      <c r="R908" s="204"/>
      <c r="S908" s="204"/>
      <c r="T908" s="204"/>
      <c r="U908" s="205"/>
      <c r="V908" s="204"/>
      <c r="W908" s="204"/>
      <c r="X908" s="204"/>
      <c r="Y908" s="204"/>
      <c r="Z908" s="204"/>
      <c r="AA908" s="204"/>
      <c r="AB908" s="204"/>
      <c r="AC908" s="204"/>
      <c r="AD908" s="204"/>
    </row>
    <row r="909">
      <c r="A909" s="202"/>
      <c r="B909" s="203"/>
      <c r="C909" s="204"/>
      <c r="D909" s="203"/>
      <c r="E909" s="204"/>
      <c r="F909" s="204"/>
      <c r="G909" s="93"/>
      <c r="H909" s="204"/>
      <c r="I909" s="205"/>
      <c r="J909" s="204"/>
      <c r="K909" s="204"/>
      <c r="L909" s="203"/>
      <c r="M909" s="204"/>
      <c r="N909" s="205"/>
      <c r="O909" s="205"/>
      <c r="P909" s="204"/>
      <c r="Q909" s="205"/>
      <c r="R909" s="204"/>
      <c r="S909" s="204"/>
      <c r="T909" s="204"/>
      <c r="U909" s="205"/>
      <c r="V909" s="204"/>
      <c r="W909" s="204"/>
      <c r="X909" s="204"/>
      <c r="Y909" s="204"/>
      <c r="Z909" s="204"/>
      <c r="AA909" s="204"/>
      <c r="AB909" s="204"/>
      <c r="AC909" s="204"/>
      <c r="AD909" s="204"/>
    </row>
    <row r="910">
      <c r="A910" s="202"/>
      <c r="B910" s="203"/>
      <c r="C910" s="204"/>
      <c r="D910" s="203"/>
      <c r="E910" s="204"/>
      <c r="F910" s="204"/>
      <c r="G910" s="93"/>
      <c r="H910" s="204"/>
      <c r="I910" s="205"/>
      <c r="J910" s="204"/>
      <c r="K910" s="204"/>
      <c r="L910" s="203"/>
      <c r="M910" s="204"/>
      <c r="N910" s="205"/>
      <c r="O910" s="205"/>
      <c r="P910" s="204"/>
      <c r="Q910" s="205"/>
      <c r="R910" s="204"/>
      <c r="S910" s="204"/>
      <c r="T910" s="204"/>
      <c r="U910" s="205"/>
      <c r="V910" s="204"/>
      <c r="W910" s="204"/>
      <c r="X910" s="204"/>
      <c r="Y910" s="204"/>
      <c r="Z910" s="204"/>
      <c r="AA910" s="204"/>
      <c r="AB910" s="204"/>
      <c r="AC910" s="204"/>
      <c r="AD910" s="204"/>
    </row>
    <row r="911">
      <c r="A911" s="202"/>
      <c r="B911" s="203"/>
      <c r="C911" s="204"/>
      <c r="D911" s="203"/>
      <c r="E911" s="204"/>
      <c r="F911" s="204"/>
      <c r="G911" s="93"/>
      <c r="H911" s="204"/>
      <c r="I911" s="205"/>
      <c r="J911" s="204"/>
      <c r="K911" s="204"/>
      <c r="L911" s="203"/>
      <c r="M911" s="204"/>
      <c r="N911" s="205"/>
      <c r="O911" s="205"/>
      <c r="P911" s="204"/>
      <c r="Q911" s="205"/>
      <c r="R911" s="204"/>
      <c r="S911" s="204"/>
      <c r="T911" s="204"/>
      <c r="U911" s="205"/>
      <c r="V911" s="204"/>
      <c r="W911" s="204"/>
      <c r="X911" s="204"/>
      <c r="Y911" s="204"/>
      <c r="Z911" s="204"/>
      <c r="AA911" s="204"/>
      <c r="AB911" s="204"/>
      <c r="AC911" s="204"/>
      <c r="AD911" s="204"/>
    </row>
    <row r="912">
      <c r="A912" s="202"/>
      <c r="B912" s="203"/>
      <c r="C912" s="204"/>
      <c r="D912" s="203"/>
      <c r="E912" s="204"/>
      <c r="F912" s="204"/>
      <c r="G912" s="93"/>
      <c r="H912" s="204"/>
      <c r="I912" s="205"/>
      <c r="J912" s="204"/>
      <c r="K912" s="204"/>
      <c r="L912" s="203"/>
      <c r="M912" s="204"/>
      <c r="N912" s="205"/>
      <c r="O912" s="205"/>
      <c r="P912" s="204"/>
      <c r="Q912" s="205"/>
      <c r="R912" s="204"/>
      <c r="S912" s="204"/>
      <c r="T912" s="204"/>
      <c r="U912" s="205"/>
      <c r="V912" s="204"/>
      <c r="W912" s="204"/>
      <c r="X912" s="204"/>
      <c r="Y912" s="204"/>
      <c r="Z912" s="204"/>
      <c r="AA912" s="204"/>
      <c r="AB912" s="204"/>
      <c r="AC912" s="204"/>
      <c r="AD912" s="204"/>
    </row>
    <row r="913">
      <c r="A913" s="202"/>
      <c r="B913" s="203"/>
      <c r="C913" s="204"/>
      <c r="D913" s="203"/>
      <c r="E913" s="204"/>
      <c r="F913" s="204"/>
      <c r="G913" s="93"/>
      <c r="H913" s="204"/>
      <c r="I913" s="205"/>
      <c r="J913" s="204"/>
      <c r="K913" s="204"/>
      <c r="L913" s="203"/>
      <c r="M913" s="204"/>
      <c r="N913" s="205"/>
      <c r="O913" s="205"/>
      <c r="P913" s="204"/>
      <c r="Q913" s="205"/>
      <c r="R913" s="204"/>
      <c r="S913" s="204"/>
      <c r="T913" s="204"/>
      <c r="U913" s="205"/>
      <c r="V913" s="204"/>
      <c r="W913" s="204"/>
      <c r="X913" s="204"/>
      <c r="Y913" s="204"/>
      <c r="Z913" s="204"/>
      <c r="AA913" s="204"/>
      <c r="AB913" s="204"/>
      <c r="AC913" s="204"/>
      <c r="AD913" s="204"/>
    </row>
    <row r="914">
      <c r="A914" s="202"/>
      <c r="B914" s="203"/>
      <c r="C914" s="204"/>
      <c r="D914" s="203"/>
      <c r="E914" s="204"/>
      <c r="F914" s="204"/>
      <c r="G914" s="93"/>
      <c r="H914" s="204"/>
      <c r="I914" s="205"/>
      <c r="J914" s="204"/>
      <c r="K914" s="204"/>
      <c r="L914" s="203"/>
      <c r="M914" s="204"/>
      <c r="N914" s="205"/>
      <c r="O914" s="205"/>
      <c r="P914" s="204"/>
      <c r="Q914" s="205"/>
      <c r="R914" s="204"/>
      <c r="S914" s="204"/>
      <c r="T914" s="204"/>
      <c r="U914" s="205"/>
      <c r="V914" s="204"/>
      <c r="W914" s="204"/>
      <c r="X914" s="204"/>
      <c r="Y914" s="204"/>
      <c r="Z914" s="204"/>
      <c r="AA914" s="204"/>
      <c r="AB914" s="204"/>
      <c r="AC914" s="204"/>
      <c r="AD914" s="204"/>
    </row>
    <row r="915">
      <c r="A915" s="202"/>
      <c r="B915" s="203"/>
      <c r="C915" s="204"/>
      <c r="D915" s="203"/>
      <c r="E915" s="204"/>
      <c r="F915" s="204"/>
      <c r="G915" s="93"/>
      <c r="H915" s="204"/>
      <c r="I915" s="205"/>
      <c r="J915" s="204"/>
      <c r="K915" s="204"/>
      <c r="L915" s="203"/>
      <c r="M915" s="204"/>
      <c r="N915" s="205"/>
      <c r="O915" s="205"/>
      <c r="P915" s="204"/>
      <c r="Q915" s="205"/>
      <c r="R915" s="204"/>
      <c r="S915" s="204"/>
      <c r="T915" s="204"/>
      <c r="U915" s="205"/>
      <c r="V915" s="204"/>
      <c r="W915" s="204"/>
      <c r="X915" s="204"/>
      <c r="Y915" s="204"/>
      <c r="Z915" s="204"/>
      <c r="AA915" s="204"/>
      <c r="AB915" s="204"/>
      <c r="AC915" s="204"/>
      <c r="AD915" s="204"/>
    </row>
    <row r="916">
      <c r="A916" s="202"/>
      <c r="B916" s="203"/>
      <c r="C916" s="204"/>
      <c r="D916" s="203"/>
      <c r="E916" s="204"/>
      <c r="F916" s="204"/>
      <c r="G916" s="93"/>
      <c r="H916" s="204"/>
      <c r="I916" s="205"/>
      <c r="J916" s="204"/>
      <c r="K916" s="204"/>
      <c r="L916" s="203"/>
      <c r="M916" s="204"/>
      <c r="N916" s="205"/>
      <c r="O916" s="205"/>
      <c r="P916" s="204"/>
      <c r="Q916" s="205"/>
      <c r="R916" s="204"/>
      <c r="S916" s="204"/>
      <c r="T916" s="204"/>
      <c r="U916" s="205"/>
      <c r="V916" s="204"/>
      <c r="W916" s="204"/>
      <c r="X916" s="204"/>
      <c r="Y916" s="204"/>
      <c r="Z916" s="204"/>
      <c r="AA916" s="204"/>
      <c r="AB916" s="204"/>
      <c r="AC916" s="204"/>
      <c r="AD916" s="204"/>
    </row>
    <row r="917">
      <c r="A917" s="202"/>
      <c r="B917" s="203"/>
      <c r="C917" s="204"/>
      <c r="D917" s="203"/>
      <c r="E917" s="204"/>
      <c r="F917" s="204"/>
      <c r="G917" s="93"/>
      <c r="H917" s="204"/>
      <c r="I917" s="205"/>
      <c r="J917" s="204"/>
      <c r="K917" s="204"/>
      <c r="L917" s="203"/>
      <c r="M917" s="204"/>
      <c r="N917" s="205"/>
      <c r="O917" s="205"/>
      <c r="P917" s="204"/>
      <c r="Q917" s="205"/>
      <c r="R917" s="204"/>
      <c r="S917" s="204"/>
      <c r="T917" s="204"/>
      <c r="U917" s="205"/>
      <c r="V917" s="204"/>
      <c r="W917" s="204"/>
      <c r="X917" s="204"/>
      <c r="Y917" s="204"/>
      <c r="Z917" s="204"/>
      <c r="AA917" s="204"/>
      <c r="AB917" s="204"/>
      <c r="AC917" s="204"/>
      <c r="AD917" s="204"/>
    </row>
    <row r="918">
      <c r="A918" s="202"/>
      <c r="B918" s="203"/>
      <c r="C918" s="204"/>
      <c r="D918" s="203"/>
      <c r="E918" s="204"/>
      <c r="F918" s="204"/>
      <c r="G918" s="93"/>
      <c r="H918" s="204"/>
      <c r="I918" s="205"/>
      <c r="J918" s="204"/>
      <c r="K918" s="204"/>
      <c r="L918" s="203"/>
      <c r="M918" s="204"/>
      <c r="N918" s="205"/>
      <c r="O918" s="205"/>
      <c r="P918" s="204"/>
      <c r="Q918" s="205"/>
      <c r="R918" s="204"/>
      <c r="S918" s="204"/>
      <c r="T918" s="204"/>
      <c r="U918" s="205"/>
      <c r="V918" s="204"/>
      <c r="W918" s="204"/>
      <c r="X918" s="204"/>
      <c r="Y918" s="204"/>
      <c r="Z918" s="204"/>
      <c r="AA918" s="204"/>
      <c r="AB918" s="204"/>
      <c r="AC918" s="204"/>
      <c r="AD918" s="204"/>
    </row>
    <row r="919">
      <c r="A919" s="202"/>
      <c r="B919" s="203"/>
      <c r="C919" s="204"/>
      <c r="D919" s="203"/>
      <c r="E919" s="204"/>
      <c r="F919" s="204"/>
      <c r="G919" s="93"/>
      <c r="H919" s="204"/>
      <c r="I919" s="205"/>
      <c r="J919" s="204"/>
      <c r="K919" s="204"/>
      <c r="L919" s="203"/>
      <c r="M919" s="204"/>
      <c r="N919" s="205"/>
      <c r="O919" s="205"/>
      <c r="P919" s="204"/>
      <c r="Q919" s="205"/>
      <c r="R919" s="204"/>
      <c r="S919" s="204"/>
      <c r="T919" s="204"/>
      <c r="U919" s="205"/>
      <c r="V919" s="204"/>
      <c r="W919" s="204"/>
      <c r="X919" s="204"/>
      <c r="Y919" s="204"/>
      <c r="Z919" s="204"/>
      <c r="AA919" s="204"/>
      <c r="AB919" s="204"/>
      <c r="AC919" s="204"/>
      <c r="AD919" s="204"/>
    </row>
    <row r="920">
      <c r="A920" s="202"/>
      <c r="B920" s="203"/>
      <c r="C920" s="204"/>
      <c r="D920" s="203"/>
      <c r="E920" s="204"/>
      <c r="F920" s="204"/>
      <c r="G920" s="93"/>
      <c r="H920" s="204"/>
      <c r="I920" s="205"/>
      <c r="J920" s="204"/>
      <c r="K920" s="204"/>
      <c r="L920" s="203"/>
      <c r="M920" s="204"/>
      <c r="N920" s="205"/>
      <c r="O920" s="205"/>
      <c r="P920" s="204"/>
      <c r="Q920" s="205"/>
      <c r="R920" s="204"/>
      <c r="S920" s="204"/>
      <c r="T920" s="204"/>
      <c r="U920" s="205"/>
      <c r="V920" s="204"/>
      <c r="W920" s="204"/>
      <c r="X920" s="204"/>
      <c r="Y920" s="204"/>
      <c r="Z920" s="204"/>
      <c r="AA920" s="204"/>
      <c r="AB920" s="204"/>
      <c r="AC920" s="204"/>
      <c r="AD920" s="204"/>
    </row>
    <row r="921">
      <c r="A921" s="202"/>
      <c r="B921" s="203"/>
      <c r="C921" s="204"/>
      <c r="D921" s="203"/>
      <c r="E921" s="204"/>
      <c r="F921" s="204"/>
      <c r="G921" s="93"/>
      <c r="H921" s="204"/>
      <c r="I921" s="205"/>
      <c r="J921" s="204"/>
      <c r="K921" s="204"/>
      <c r="L921" s="203"/>
      <c r="M921" s="204"/>
      <c r="N921" s="205"/>
      <c r="O921" s="205"/>
      <c r="P921" s="204"/>
      <c r="Q921" s="205"/>
      <c r="R921" s="204"/>
      <c r="S921" s="204"/>
      <c r="T921" s="204"/>
      <c r="U921" s="205"/>
      <c r="V921" s="204"/>
      <c r="W921" s="204"/>
      <c r="X921" s="204"/>
      <c r="Y921" s="204"/>
      <c r="Z921" s="204"/>
      <c r="AA921" s="204"/>
      <c r="AB921" s="204"/>
      <c r="AC921" s="204"/>
      <c r="AD921" s="204"/>
    </row>
    <row r="922">
      <c r="A922" s="202"/>
      <c r="B922" s="203"/>
      <c r="C922" s="204"/>
      <c r="D922" s="203"/>
      <c r="E922" s="204"/>
      <c r="F922" s="204"/>
      <c r="G922" s="93"/>
      <c r="H922" s="204"/>
      <c r="I922" s="205"/>
      <c r="J922" s="204"/>
      <c r="K922" s="204"/>
      <c r="L922" s="203"/>
      <c r="M922" s="204"/>
      <c r="N922" s="205"/>
      <c r="O922" s="205"/>
      <c r="P922" s="204"/>
      <c r="Q922" s="205"/>
      <c r="R922" s="204"/>
      <c r="S922" s="204"/>
      <c r="T922" s="204"/>
      <c r="U922" s="205"/>
      <c r="V922" s="204"/>
      <c r="W922" s="204"/>
      <c r="X922" s="204"/>
      <c r="Y922" s="204"/>
      <c r="Z922" s="204"/>
      <c r="AA922" s="204"/>
      <c r="AB922" s="204"/>
      <c r="AC922" s="204"/>
      <c r="AD922" s="204"/>
    </row>
    <row r="923">
      <c r="A923" s="202"/>
      <c r="B923" s="203"/>
      <c r="C923" s="204"/>
      <c r="D923" s="203"/>
      <c r="E923" s="204"/>
      <c r="F923" s="204"/>
      <c r="G923" s="93"/>
      <c r="H923" s="204"/>
      <c r="I923" s="205"/>
      <c r="J923" s="204"/>
      <c r="K923" s="204"/>
      <c r="L923" s="203"/>
      <c r="M923" s="204"/>
      <c r="N923" s="205"/>
      <c r="O923" s="205"/>
      <c r="P923" s="204"/>
      <c r="Q923" s="205"/>
      <c r="R923" s="204"/>
      <c r="S923" s="204"/>
      <c r="T923" s="204"/>
      <c r="U923" s="205"/>
      <c r="V923" s="204"/>
      <c r="W923" s="204"/>
      <c r="X923" s="204"/>
      <c r="Y923" s="204"/>
      <c r="Z923" s="204"/>
      <c r="AA923" s="204"/>
      <c r="AB923" s="204"/>
      <c r="AC923" s="204"/>
      <c r="AD923" s="204"/>
    </row>
    <row r="924">
      <c r="A924" s="202"/>
      <c r="B924" s="203"/>
      <c r="C924" s="204"/>
      <c r="D924" s="203"/>
      <c r="E924" s="204"/>
      <c r="F924" s="204"/>
      <c r="G924" s="93"/>
      <c r="H924" s="204"/>
      <c r="I924" s="205"/>
      <c r="J924" s="204"/>
      <c r="K924" s="204"/>
      <c r="L924" s="203"/>
      <c r="M924" s="204"/>
      <c r="N924" s="205"/>
      <c r="O924" s="205"/>
      <c r="P924" s="204"/>
      <c r="Q924" s="205"/>
      <c r="R924" s="204"/>
      <c r="S924" s="204"/>
      <c r="T924" s="204"/>
      <c r="U924" s="205"/>
      <c r="V924" s="204"/>
      <c r="W924" s="204"/>
      <c r="X924" s="204"/>
      <c r="Y924" s="204"/>
      <c r="Z924" s="204"/>
      <c r="AA924" s="204"/>
      <c r="AB924" s="204"/>
      <c r="AC924" s="204"/>
      <c r="AD924" s="204"/>
    </row>
    <row r="925">
      <c r="A925" s="202"/>
      <c r="B925" s="203"/>
      <c r="C925" s="204"/>
      <c r="D925" s="203"/>
      <c r="E925" s="204"/>
      <c r="F925" s="204"/>
      <c r="G925" s="93"/>
      <c r="H925" s="204"/>
      <c r="I925" s="205"/>
      <c r="J925" s="204"/>
      <c r="K925" s="204"/>
      <c r="L925" s="203"/>
      <c r="M925" s="204"/>
      <c r="N925" s="205"/>
      <c r="O925" s="205"/>
      <c r="P925" s="204"/>
      <c r="Q925" s="205"/>
      <c r="R925" s="204"/>
      <c r="S925" s="204"/>
      <c r="T925" s="204"/>
      <c r="U925" s="205"/>
      <c r="V925" s="204"/>
      <c r="W925" s="204"/>
      <c r="X925" s="204"/>
      <c r="Y925" s="204"/>
      <c r="Z925" s="204"/>
      <c r="AA925" s="204"/>
      <c r="AB925" s="204"/>
      <c r="AC925" s="204"/>
      <c r="AD925" s="204"/>
    </row>
    <row r="926">
      <c r="A926" s="202"/>
      <c r="B926" s="203"/>
      <c r="C926" s="204"/>
      <c r="D926" s="203"/>
      <c r="E926" s="204"/>
      <c r="F926" s="204"/>
      <c r="G926" s="93"/>
      <c r="H926" s="204"/>
      <c r="I926" s="205"/>
      <c r="J926" s="204"/>
      <c r="K926" s="204"/>
      <c r="L926" s="203"/>
      <c r="M926" s="204"/>
      <c r="N926" s="205"/>
      <c r="O926" s="205"/>
      <c r="P926" s="204"/>
      <c r="Q926" s="205"/>
      <c r="R926" s="204"/>
      <c r="S926" s="204"/>
      <c r="T926" s="204"/>
      <c r="U926" s="205"/>
      <c r="V926" s="204"/>
      <c r="W926" s="204"/>
      <c r="X926" s="204"/>
      <c r="Y926" s="204"/>
      <c r="Z926" s="204"/>
      <c r="AA926" s="204"/>
      <c r="AB926" s="204"/>
      <c r="AC926" s="204"/>
      <c r="AD926" s="204"/>
    </row>
    <row r="927">
      <c r="A927" s="202"/>
      <c r="B927" s="203"/>
      <c r="C927" s="204"/>
      <c r="D927" s="203"/>
      <c r="E927" s="204"/>
      <c r="F927" s="204"/>
      <c r="G927" s="93"/>
      <c r="H927" s="204"/>
      <c r="I927" s="205"/>
      <c r="J927" s="204"/>
      <c r="K927" s="204"/>
      <c r="L927" s="203"/>
      <c r="M927" s="204"/>
      <c r="N927" s="205"/>
      <c r="O927" s="205"/>
      <c r="P927" s="204"/>
      <c r="Q927" s="205"/>
      <c r="R927" s="204"/>
      <c r="S927" s="204"/>
      <c r="T927" s="204"/>
      <c r="U927" s="205"/>
      <c r="V927" s="204"/>
      <c r="W927" s="204"/>
      <c r="X927" s="204"/>
      <c r="Y927" s="204"/>
      <c r="Z927" s="204"/>
      <c r="AA927" s="204"/>
      <c r="AB927" s="204"/>
      <c r="AC927" s="204"/>
      <c r="AD927" s="204"/>
    </row>
    <row r="928">
      <c r="A928" s="202"/>
      <c r="B928" s="203"/>
      <c r="C928" s="204"/>
      <c r="D928" s="203"/>
      <c r="E928" s="204"/>
      <c r="F928" s="204"/>
      <c r="G928" s="93"/>
      <c r="H928" s="204"/>
      <c r="I928" s="205"/>
      <c r="J928" s="204"/>
      <c r="K928" s="204"/>
      <c r="L928" s="203"/>
      <c r="M928" s="204"/>
      <c r="N928" s="205"/>
      <c r="O928" s="205"/>
      <c r="P928" s="204"/>
      <c r="Q928" s="205"/>
      <c r="R928" s="204"/>
      <c r="S928" s="204"/>
      <c r="T928" s="204"/>
      <c r="U928" s="205"/>
      <c r="V928" s="204"/>
      <c r="W928" s="204"/>
      <c r="X928" s="204"/>
      <c r="Y928" s="204"/>
      <c r="Z928" s="204"/>
      <c r="AA928" s="204"/>
      <c r="AB928" s="204"/>
      <c r="AC928" s="204"/>
      <c r="AD928" s="204"/>
    </row>
    <row r="929">
      <c r="A929" s="202"/>
      <c r="B929" s="203"/>
      <c r="C929" s="204"/>
      <c r="D929" s="203"/>
      <c r="E929" s="204"/>
      <c r="F929" s="204"/>
      <c r="G929" s="93"/>
      <c r="H929" s="204"/>
      <c r="I929" s="205"/>
      <c r="J929" s="204"/>
      <c r="K929" s="204"/>
      <c r="L929" s="203"/>
      <c r="M929" s="204"/>
      <c r="N929" s="205"/>
      <c r="O929" s="205"/>
      <c r="P929" s="204"/>
      <c r="Q929" s="205"/>
      <c r="R929" s="204"/>
      <c r="S929" s="204"/>
      <c r="T929" s="204"/>
      <c r="U929" s="205"/>
      <c r="V929" s="204"/>
      <c r="W929" s="204"/>
      <c r="X929" s="204"/>
      <c r="Y929" s="204"/>
      <c r="Z929" s="204"/>
      <c r="AA929" s="204"/>
      <c r="AB929" s="204"/>
      <c r="AC929" s="204"/>
      <c r="AD929" s="204"/>
    </row>
    <row r="930">
      <c r="A930" s="202"/>
      <c r="B930" s="203"/>
      <c r="C930" s="204"/>
      <c r="D930" s="203"/>
      <c r="E930" s="204"/>
      <c r="F930" s="204"/>
      <c r="G930" s="93"/>
      <c r="H930" s="204"/>
      <c r="I930" s="205"/>
      <c r="J930" s="204"/>
      <c r="K930" s="204"/>
      <c r="L930" s="203"/>
      <c r="M930" s="204"/>
      <c r="N930" s="205"/>
      <c r="O930" s="205"/>
      <c r="P930" s="204"/>
      <c r="Q930" s="205"/>
      <c r="R930" s="204"/>
      <c r="S930" s="204"/>
      <c r="T930" s="204"/>
      <c r="U930" s="205"/>
      <c r="V930" s="204"/>
      <c r="W930" s="204"/>
      <c r="X930" s="204"/>
      <c r="Y930" s="204"/>
      <c r="Z930" s="204"/>
      <c r="AA930" s="204"/>
      <c r="AB930" s="204"/>
      <c r="AC930" s="204"/>
      <c r="AD930" s="204"/>
    </row>
    <row r="931">
      <c r="A931" s="202"/>
      <c r="B931" s="203"/>
      <c r="C931" s="204"/>
      <c r="D931" s="203"/>
      <c r="E931" s="204"/>
      <c r="F931" s="204"/>
      <c r="G931" s="93"/>
      <c r="H931" s="204"/>
      <c r="I931" s="205"/>
      <c r="J931" s="204"/>
      <c r="K931" s="204"/>
      <c r="L931" s="203"/>
      <c r="M931" s="204"/>
      <c r="N931" s="205"/>
      <c r="O931" s="205"/>
      <c r="P931" s="204"/>
      <c r="Q931" s="205"/>
      <c r="R931" s="204"/>
      <c r="S931" s="204"/>
      <c r="T931" s="204"/>
      <c r="U931" s="205"/>
      <c r="V931" s="204"/>
      <c r="W931" s="204"/>
      <c r="X931" s="204"/>
      <c r="Y931" s="204"/>
      <c r="Z931" s="204"/>
      <c r="AA931" s="204"/>
      <c r="AB931" s="204"/>
      <c r="AC931" s="204"/>
      <c r="AD931" s="204"/>
    </row>
    <row r="932">
      <c r="A932" s="202"/>
      <c r="B932" s="203"/>
      <c r="C932" s="204"/>
      <c r="D932" s="203"/>
      <c r="E932" s="204"/>
      <c r="F932" s="204"/>
      <c r="G932" s="93"/>
      <c r="H932" s="204"/>
      <c r="I932" s="205"/>
      <c r="J932" s="204"/>
      <c r="K932" s="204"/>
      <c r="L932" s="203"/>
      <c r="M932" s="204"/>
      <c r="N932" s="205"/>
      <c r="O932" s="205"/>
      <c r="P932" s="204"/>
      <c r="Q932" s="205"/>
      <c r="R932" s="204"/>
      <c r="S932" s="204"/>
      <c r="T932" s="204"/>
      <c r="U932" s="205"/>
      <c r="V932" s="204"/>
      <c r="W932" s="204"/>
      <c r="X932" s="204"/>
      <c r="Y932" s="204"/>
      <c r="Z932" s="204"/>
      <c r="AA932" s="204"/>
      <c r="AB932" s="204"/>
      <c r="AC932" s="204"/>
      <c r="AD932" s="204"/>
    </row>
    <row r="933">
      <c r="A933" s="202"/>
      <c r="B933" s="203"/>
      <c r="C933" s="204"/>
      <c r="D933" s="203"/>
      <c r="E933" s="204"/>
      <c r="F933" s="204"/>
      <c r="G933" s="93"/>
      <c r="H933" s="204"/>
      <c r="I933" s="205"/>
      <c r="J933" s="204"/>
      <c r="K933" s="204"/>
      <c r="L933" s="203"/>
      <c r="M933" s="204"/>
      <c r="N933" s="205"/>
      <c r="O933" s="205"/>
      <c r="P933" s="204"/>
      <c r="Q933" s="205"/>
      <c r="R933" s="204"/>
      <c r="S933" s="204"/>
      <c r="T933" s="204"/>
      <c r="U933" s="205"/>
      <c r="V933" s="204"/>
      <c r="W933" s="204"/>
      <c r="X933" s="204"/>
      <c r="Y933" s="204"/>
      <c r="Z933" s="204"/>
      <c r="AA933" s="204"/>
      <c r="AB933" s="204"/>
      <c r="AC933" s="204"/>
      <c r="AD933" s="204"/>
    </row>
    <row r="934">
      <c r="A934" s="202"/>
      <c r="B934" s="203"/>
      <c r="C934" s="204"/>
      <c r="D934" s="203"/>
      <c r="E934" s="204"/>
      <c r="F934" s="204"/>
      <c r="G934" s="93"/>
      <c r="H934" s="204"/>
      <c r="I934" s="205"/>
      <c r="J934" s="204"/>
      <c r="K934" s="204"/>
      <c r="L934" s="203"/>
      <c r="M934" s="204"/>
      <c r="N934" s="205"/>
      <c r="O934" s="205"/>
      <c r="P934" s="204"/>
      <c r="Q934" s="205"/>
      <c r="R934" s="204"/>
      <c r="S934" s="204"/>
      <c r="T934" s="204"/>
      <c r="U934" s="205"/>
      <c r="V934" s="204"/>
      <c r="W934" s="204"/>
      <c r="X934" s="204"/>
      <c r="Y934" s="204"/>
      <c r="Z934" s="204"/>
      <c r="AA934" s="204"/>
      <c r="AB934" s="204"/>
      <c r="AC934" s="204"/>
      <c r="AD934" s="204"/>
    </row>
    <row r="935">
      <c r="A935" s="202"/>
      <c r="B935" s="203"/>
      <c r="C935" s="204"/>
      <c r="D935" s="203"/>
      <c r="E935" s="204"/>
      <c r="F935" s="204"/>
      <c r="G935" s="93"/>
      <c r="H935" s="204"/>
      <c r="I935" s="205"/>
      <c r="J935" s="204"/>
      <c r="K935" s="204"/>
      <c r="L935" s="203"/>
      <c r="M935" s="204"/>
      <c r="N935" s="205"/>
      <c r="O935" s="205"/>
      <c r="P935" s="204"/>
      <c r="Q935" s="205"/>
      <c r="R935" s="204"/>
      <c r="S935" s="204"/>
      <c r="T935" s="204"/>
      <c r="U935" s="205"/>
      <c r="V935" s="204"/>
      <c r="W935" s="204"/>
      <c r="X935" s="204"/>
      <c r="Y935" s="204"/>
      <c r="Z935" s="204"/>
      <c r="AA935" s="204"/>
      <c r="AB935" s="204"/>
      <c r="AC935" s="204"/>
      <c r="AD935" s="204"/>
    </row>
    <row r="936">
      <c r="A936" s="202"/>
      <c r="B936" s="203"/>
      <c r="C936" s="204"/>
      <c r="D936" s="203"/>
      <c r="E936" s="204"/>
      <c r="F936" s="204"/>
      <c r="G936" s="93"/>
      <c r="H936" s="204"/>
      <c r="I936" s="205"/>
      <c r="J936" s="204"/>
      <c r="K936" s="204"/>
      <c r="L936" s="203"/>
      <c r="M936" s="204"/>
      <c r="N936" s="205"/>
      <c r="O936" s="205"/>
      <c r="P936" s="204"/>
      <c r="Q936" s="205"/>
      <c r="R936" s="204"/>
      <c r="S936" s="204"/>
      <c r="T936" s="204"/>
      <c r="U936" s="205"/>
      <c r="V936" s="204"/>
      <c r="W936" s="204"/>
      <c r="X936" s="204"/>
      <c r="Y936" s="204"/>
      <c r="Z936" s="204"/>
      <c r="AA936" s="204"/>
      <c r="AB936" s="204"/>
      <c r="AC936" s="204"/>
      <c r="AD936" s="204"/>
    </row>
    <row r="937">
      <c r="A937" s="202"/>
      <c r="B937" s="203"/>
      <c r="C937" s="204"/>
      <c r="D937" s="203"/>
      <c r="E937" s="204"/>
      <c r="F937" s="204"/>
      <c r="G937" s="93"/>
      <c r="H937" s="204"/>
      <c r="I937" s="205"/>
      <c r="J937" s="204"/>
      <c r="K937" s="204"/>
      <c r="L937" s="203"/>
      <c r="M937" s="204"/>
      <c r="N937" s="205"/>
      <c r="O937" s="205"/>
      <c r="P937" s="204"/>
      <c r="Q937" s="205"/>
      <c r="R937" s="204"/>
      <c r="S937" s="204"/>
      <c r="T937" s="204"/>
      <c r="U937" s="205"/>
      <c r="V937" s="204"/>
      <c r="W937" s="204"/>
      <c r="X937" s="204"/>
      <c r="Y937" s="204"/>
      <c r="Z937" s="204"/>
      <c r="AA937" s="204"/>
      <c r="AB937" s="204"/>
      <c r="AC937" s="204"/>
      <c r="AD937" s="204"/>
    </row>
    <row r="938">
      <c r="A938" s="202"/>
      <c r="B938" s="203"/>
      <c r="C938" s="204"/>
      <c r="D938" s="203"/>
      <c r="E938" s="204"/>
      <c r="F938" s="204"/>
      <c r="G938" s="93"/>
      <c r="H938" s="204"/>
      <c r="I938" s="205"/>
      <c r="J938" s="204"/>
      <c r="K938" s="204"/>
      <c r="L938" s="203"/>
      <c r="M938" s="204"/>
      <c r="N938" s="205"/>
      <c r="O938" s="205"/>
      <c r="P938" s="204"/>
      <c r="Q938" s="205"/>
      <c r="R938" s="204"/>
      <c r="S938" s="204"/>
      <c r="T938" s="204"/>
      <c r="U938" s="205"/>
      <c r="V938" s="204"/>
      <c r="W938" s="204"/>
      <c r="X938" s="204"/>
      <c r="Y938" s="204"/>
      <c r="Z938" s="204"/>
      <c r="AA938" s="204"/>
      <c r="AB938" s="204"/>
      <c r="AC938" s="204"/>
      <c r="AD938" s="204"/>
    </row>
    <row r="939">
      <c r="A939" s="202"/>
      <c r="B939" s="203"/>
      <c r="C939" s="204"/>
      <c r="D939" s="203"/>
      <c r="E939" s="204"/>
      <c r="F939" s="204"/>
      <c r="G939" s="93"/>
      <c r="H939" s="204"/>
      <c r="I939" s="205"/>
      <c r="J939" s="204"/>
      <c r="K939" s="204"/>
      <c r="L939" s="203"/>
      <c r="M939" s="204"/>
      <c r="N939" s="205"/>
      <c r="O939" s="205"/>
      <c r="P939" s="204"/>
      <c r="Q939" s="205"/>
      <c r="R939" s="204"/>
      <c r="S939" s="204"/>
      <c r="T939" s="204"/>
      <c r="U939" s="205"/>
      <c r="V939" s="204"/>
      <c r="W939" s="204"/>
      <c r="X939" s="204"/>
      <c r="Y939" s="204"/>
      <c r="Z939" s="204"/>
      <c r="AA939" s="204"/>
      <c r="AB939" s="204"/>
      <c r="AC939" s="204"/>
      <c r="AD939" s="204"/>
    </row>
    <row r="940">
      <c r="A940" s="202"/>
      <c r="B940" s="203"/>
      <c r="C940" s="204"/>
      <c r="D940" s="203"/>
      <c r="E940" s="204"/>
      <c r="F940" s="204"/>
      <c r="G940" s="93"/>
      <c r="H940" s="204"/>
      <c r="I940" s="205"/>
      <c r="J940" s="204"/>
      <c r="K940" s="204"/>
      <c r="L940" s="203"/>
      <c r="M940" s="204"/>
      <c r="N940" s="205"/>
      <c r="O940" s="205"/>
      <c r="P940" s="204"/>
      <c r="Q940" s="205"/>
      <c r="R940" s="204"/>
      <c r="S940" s="204"/>
      <c r="T940" s="204"/>
      <c r="U940" s="205"/>
      <c r="V940" s="204"/>
      <c r="W940" s="204"/>
      <c r="X940" s="204"/>
      <c r="Y940" s="204"/>
      <c r="Z940" s="204"/>
      <c r="AA940" s="204"/>
      <c r="AB940" s="204"/>
      <c r="AC940" s="204"/>
      <c r="AD940" s="204"/>
    </row>
    <row r="941">
      <c r="A941" s="202"/>
      <c r="B941" s="203"/>
      <c r="C941" s="204"/>
      <c r="D941" s="203"/>
      <c r="E941" s="204"/>
      <c r="F941" s="204"/>
      <c r="G941" s="93"/>
      <c r="H941" s="204"/>
      <c r="I941" s="205"/>
      <c r="J941" s="204"/>
      <c r="K941" s="204"/>
      <c r="L941" s="203"/>
      <c r="M941" s="204"/>
      <c r="N941" s="205"/>
      <c r="O941" s="205"/>
      <c r="P941" s="204"/>
      <c r="Q941" s="205"/>
      <c r="R941" s="204"/>
      <c r="S941" s="204"/>
      <c r="T941" s="204"/>
      <c r="U941" s="205"/>
      <c r="V941" s="204"/>
      <c r="W941" s="204"/>
      <c r="X941" s="204"/>
      <c r="Y941" s="204"/>
      <c r="Z941" s="204"/>
      <c r="AA941" s="204"/>
      <c r="AB941" s="204"/>
      <c r="AC941" s="204"/>
      <c r="AD941" s="204"/>
    </row>
    <row r="942">
      <c r="A942" s="202"/>
      <c r="B942" s="203"/>
      <c r="C942" s="204"/>
      <c r="D942" s="203"/>
      <c r="E942" s="204"/>
      <c r="F942" s="204"/>
      <c r="G942" s="93"/>
      <c r="H942" s="204"/>
      <c r="I942" s="205"/>
      <c r="J942" s="204"/>
      <c r="K942" s="204"/>
      <c r="L942" s="203"/>
      <c r="M942" s="204"/>
      <c r="N942" s="205"/>
      <c r="O942" s="205"/>
      <c r="P942" s="204"/>
      <c r="Q942" s="205"/>
      <c r="R942" s="204"/>
      <c r="S942" s="204"/>
      <c r="T942" s="204"/>
      <c r="U942" s="205"/>
      <c r="V942" s="204"/>
      <c r="W942" s="204"/>
      <c r="X942" s="204"/>
      <c r="Y942" s="204"/>
      <c r="Z942" s="204"/>
      <c r="AA942" s="204"/>
      <c r="AB942" s="204"/>
      <c r="AC942" s="204"/>
      <c r="AD942" s="204"/>
    </row>
    <row r="943">
      <c r="A943" s="202"/>
      <c r="B943" s="203"/>
      <c r="C943" s="204"/>
      <c r="D943" s="203"/>
      <c r="E943" s="204"/>
      <c r="F943" s="204"/>
      <c r="G943" s="93"/>
      <c r="H943" s="204"/>
      <c r="I943" s="205"/>
      <c r="J943" s="204"/>
      <c r="K943" s="204"/>
      <c r="L943" s="203"/>
      <c r="M943" s="204"/>
      <c r="N943" s="205"/>
      <c r="O943" s="205"/>
      <c r="P943" s="204"/>
      <c r="Q943" s="205"/>
      <c r="R943" s="204"/>
      <c r="S943" s="204"/>
      <c r="T943" s="204"/>
      <c r="U943" s="205"/>
      <c r="V943" s="204"/>
      <c r="W943" s="204"/>
      <c r="X943" s="204"/>
      <c r="Y943" s="204"/>
      <c r="Z943" s="204"/>
      <c r="AA943" s="204"/>
      <c r="AB943" s="204"/>
      <c r="AC943" s="204"/>
      <c r="AD943" s="204"/>
    </row>
    <row r="944">
      <c r="A944" s="202"/>
      <c r="B944" s="203"/>
      <c r="C944" s="204"/>
      <c r="D944" s="203"/>
      <c r="E944" s="204"/>
      <c r="F944" s="204"/>
      <c r="G944" s="93"/>
      <c r="H944" s="204"/>
      <c r="I944" s="205"/>
      <c r="J944" s="204"/>
      <c r="K944" s="204"/>
      <c r="L944" s="203"/>
      <c r="M944" s="204"/>
      <c r="N944" s="205"/>
      <c r="O944" s="205"/>
      <c r="P944" s="204"/>
      <c r="Q944" s="205"/>
      <c r="R944" s="204"/>
      <c r="S944" s="204"/>
      <c r="T944" s="204"/>
      <c r="U944" s="205"/>
      <c r="V944" s="204"/>
      <c r="W944" s="204"/>
      <c r="X944" s="204"/>
      <c r="Y944" s="204"/>
      <c r="Z944" s="204"/>
      <c r="AA944" s="204"/>
      <c r="AB944" s="204"/>
      <c r="AC944" s="204"/>
      <c r="AD944" s="204"/>
    </row>
    <row r="945">
      <c r="A945" s="202"/>
      <c r="B945" s="203"/>
      <c r="C945" s="204"/>
      <c r="D945" s="203"/>
      <c r="E945" s="204"/>
      <c r="F945" s="204"/>
      <c r="G945" s="93"/>
      <c r="H945" s="204"/>
      <c r="I945" s="205"/>
      <c r="J945" s="204"/>
      <c r="K945" s="204"/>
      <c r="L945" s="203"/>
      <c r="M945" s="204"/>
      <c r="N945" s="205"/>
      <c r="O945" s="205"/>
      <c r="P945" s="204"/>
      <c r="Q945" s="205"/>
      <c r="R945" s="204"/>
      <c r="S945" s="204"/>
      <c r="T945" s="204"/>
      <c r="U945" s="205"/>
      <c r="V945" s="204"/>
      <c r="W945" s="204"/>
      <c r="X945" s="204"/>
      <c r="Y945" s="204"/>
      <c r="Z945" s="204"/>
      <c r="AA945" s="204"/>
      <c r="AB945" s="204"/>
      <c r="AC945" s="204"/>
      <c r="AD945" s="204"/>
    </row>
    <row r="946">
      <c r="A946" s="202"/>
      <c r="B946" s="203"/>
      <c r="C946" s="204"/>
      <c r="D946" s="203"/>
      <c r="E946" s="204"/>
      <c r="F946" s="204"/>
      <c r="G946" s="93"/>
      <c r="H946" s="204"/>
      <c r="I946" s="205"/>
      <c r="J946" s="204"/>
      <c r="K946" s="204"/>
      <c r="L946" s="203"/>
      <c r="M946" s="204"/>
      <c r="N946" s="205"/>
      <c r="O946" s="205"/>
      <c r="P946" s="204"/>
      <c r="Q946" s="205"/>
      <c r="R946" s="204"/>
      <c r="S946" s="204"/>
      <c r="T946" s="204"/>
      <c r="U946" s="205"/>
      <c r="V946" s="204"/>
      <c r="W946" s="204"/>
      <c r="X946" s="204"/>
      <c r="Y946" s="204"/>
      <c r="Z946" s="204"/>
      <c r="AA946" s="204"/>
      <c r="AB946" s="204"/>
      <c r="AC946" s="204"/>
      <c r="AD946" s="204"/>
    </row>
    <row r="947">
      <c r="A947" s="202"/>
      <c r="B947" s="203"/>
      <c r="C947" s="204"/>
      <c r="D947" s="203"/>
      <c r="E947" s="204"/>
      <c r="F947" s="204"/>
      <c r="G947" s="93"/>
      <c r="H947" s="204"/>
      <c r="I947" s="205"/>
      <c r="J947" s="204"/>
      <c r="K947" s="204"/>
      <c r="L947" s="203"/>
      <c r="M947" s="204"/>
      <c r="N947" s="205"/>
      <c r="O947" s="205"/>
      <c r="P947" s="204"/>
      <c r="Q947" s="205"/>
      <c r="R947" s="204"/>
      <c r="S947" s="204"/>
      <c r="T947" s="204"/>
      <c r="U947" s="205"/>
      <c r="V947" s="204"/>
      <c r="W947" s="204"/>
      <c r="X947" s="204"/>
      <c r="Y947" s="204"/>
      <c r="Z947" s="204"/>
      <c r="AA947" s="204"/>
      <c r="AB947" s="204"/>
      <c r="AC947" s="204"/>
      <c r="AD947" s="204"/>
    </row>
    <row r="948">
      <c r="A948" s="202"/>
      <c r="B948" s="203"/>
      <c r="C948" s="204"/>
      <c r="D948" s="203"/>
      <c r="E948" s="204"/>
      <c r="F948" s="204"/>
      <c r="G948" s="93"/>
      <c r="H948" s="204"/>
      <c r="I948" s="205"/>
      <c r="J948" s="204"/>
      <c r="K948" s="204"/>
      <c r="L948" s="203"/>
      <c r="M948" s="204"/>
      <c r="N948" s="205"/>
      <c r="O948" s="205"/>
      <c r="P948" s="204"/>
      <c r="Q948" s="205"/>
      <c r="R948" s="204"/>
      <c r="S948" s="204"/>
      <c r="T948" s="204"/>
      <c r="U948" s="205"/>
      <c r="V948" s="204"/>
      <c r="W948" s="204"/>
      <c r="X948" s="204"/>
      <c r="Y948" s="204"/>
      <c r="Z948" s="204"/>
      <c r="AA948" s="204"/>
      <c r="AB948" s="204"/>
      <c r="AC948" s="204"/>
      <c r="AD948" s="204"/>
    </row>
    <row r="949">
      <c r="A949" s="202"/>
      <c r="B949" s="203"/>
      <c r="C949" s="204"/>
      <c r="D949" s="203"/>
      <c r="E949" s="204"/>
      <c r="F949" s="204"/>
      <c r="G949" s="93"/>
      <c r="H949" s="204"/>
      <c r="I949" s="205"/>
      <c r="J949" s="204"/>
      <c r="K949" s="204"/>
      <c r="L949" s="203"/>
      <c r="M949" s="204"/>
      <c r="N949" s="205"/>
      <c r="O949" s="205"/>
      <c r="P949" s="204"/>
      <c r="Q949" s="205"/>
      <c r="R949" s="204"/>
      <c r="S949" s="204"/>
      <c r="T949" s="204"/>
      <c r="U949" s="205"/>
      <c r="V949" s="204"/>
      <c r="W949" s="204"/>
      <c r="X949" s="204"/>
      <c r="Y949" s="204"/>
      <c r="Z949" s="204"/>
      <c r="AA949" s="204"/>
      <c r="AB949" s="204"/>
      <c r="AC949" s="204"/>
      <c r="AD949" s="204"/>
    </row>
    <row r="950">
      <c r="A950" s="202"/>
      <c r="B950" s="203"/>
      <c r="C950" s="204"/>
      <c r="D950" s="203"/>
      <c r="E950" s="204"/>
      <c r="F950" s="204"/>
      <c r="G950" s="93"/>
      <c r="H950" s="204"/>
      <c r="I950" s="205"/>
      <c r="J950" s="204"/>
      <c r="K950" s="204"/>
      <c r="L950" s="203"/>
      <c r="M950" s="204"/>
      <c r="N950" s="205"/>
      <c r="O950" s="205"/>
      <c r="P950" s="204"/>
      <c r="Q950" s="205"/>
      <c r="R950" s="204"/>
      <c r="S950" s="204"/>
      <c r="T950" s="204"/>
      <c r="U950" s="205"/>
      <c r="V950" s="204"/>
      <c r="W950" s="204"/>
      <c r="X950" s="204"/>
      <c r="Y950" s="204"/>
      <c r="Z950" s="204"/>
      <c r="AA950" s="204"/>
      <c r="AB950" s="204"/>
      <c r="AC950" s="204"/>
      <c r="AD950" s="204"/>
    </row>
    <row r="951">
      <c r="A951" s="202"/>
      <c r="B951" s="203"/>
      <c r="C951" s="204"/>
      <c r="D951" s="203"/>
      <c r="E951" s="204"/>
      <c r="F951" s="204"/>
      <c r="G951" s="93"/>
      <c r="H951" s="204"/>
      <c r="I951" s="205"/>
      <c r="J951" s="204"/>
      <c r="K951" s="204"/>
      <c r="L951" s="203"/>
      <c r="M951" s="204"/>
      <c r="N951" s="205"/>
      <c r="O951" s="205"/>
      <c r="P951" s="204"/>
      <c r="Q951" s="205"/>
      <c r="R951" s="204"/>
      <c r="S951" s="204"/>
      <c r="T951" s="204"/>
      <c r="U951" s="205"/>
      <c r="V951" s="204"/>
      <c r="W951" s="204"/>
      <c r="X951" s="204"/>
      <c r="Y951" s="204"/>
      <c r="Z951" s="204"/>
      <c r="AA951" s="204"/>
      <c r="AB951" s="204"/>
      <c r="AC951" s="204"/>
      <c r="AD951" s="204"/>
    </row>
    <row r="952">
      <c r="A952" s="202"/>
      <c r="B952" s="203"/>
      <c r="C952" s="204"/>
      <c r="D952" s="203"/>
      <c r="E952" s="204"/>
      <c r="F952" s="204"/>
      <c r="G952" s="93"/>
      <c r="H952" s="204"/>
      <c r="I952" s="205"/>
      <c r="J952" s="204"/>
      <c r="K952" s="204"/>
      <c r="L952" s="203"/>
      <c r="M952" s="204"/>
      <c r="N952" s="205"/>
      <c r="O952" s="205"/>
      <c r="P952" s="204"/>
      <c r="Q952" s="205"/>
      <c r="R952" s="204"/>
      <c r="S952" s="204"/>
      <c r="T952" s="204"/>
      <c r="U952" s="205"/>
      <c r="V952" s="204"/>
      <c r="W952" s="204"/>
      <c r="X952" s="204"/>
      <c r="Y952" s="204"/>
      <c r="Z952" s="204"/>
      <c r="AA952" s="204"/>
      <c r="AB952" s="204"/>
      <c r="AC952" s="204"/>
      <c r="AD952" s="204"/>
    </row>
    <row r="953">
      <c r="A953" s="202"/>
      <c r="B953" s="203"/>
      <c r="C953" s="204"/>
      <c r="D953" s="203"/>
      <c r="E953" s="204"/>
      <c r="F953" s="204"/>
      <c r="G953" s="93"/>
      <c r="H953" s="204"/>
      <c r="I953" s="205"/>
      <c r="J953" s="204"/>
      <c r="K953" s="204"/>
      <c r="L953" s="203"/>
      <c r="M953" s="204"/>
      <c r="N953" s="205"/>
      <c r="O953" s="205"/>
      <c r="P953" s="204"/>
      <c r="Q953" s="205"/>
      <c r="R953" s="204"/>
      <c r="S953" s="204"/>
      <c r="T953" s="204"/>
      <c r="U953" s="205"/>
      <c r="V953" s="204"/>
      <c r="W953" s="204"/>
      <c r="X953" s="204"/>
      <c r="Y953" s="204"/>
      <c r="Z953" s="204"/>
      <c r="AA953" s="204"/>
      <c r="AB953" s="204"/>
      <c r="AC953" s="204"/>
      <c r="AD953" s="204"/>
    </row>
    <row r="954">
      <c r="A954" s="202"/>
      <c r="B954" s="203"/>
      <c r="C954" s="204"/>
      <c r="D954" s="203"/>
      <c r="E954" s="204"/>
      <c r="F954" s="204"/>
      <c r="G954" s="93"/>
      <c r="H954" s="204"/>
      <c r="I954" s="205"/>
      <c r="J954" s="204"/>
      <c r="K954" s="204"/>
      <c r="L954" s="203"/>
      <c r="M954" s="204"/>
      <c r="N954" s="205"/>
      <c r="O954" s="205"/>
      <c r="P954" s="204"/>
      <c r="Q954" s="205"/>
      <c r="R954" s="204"/>
      <c r="S954" s="204"/>
      <c r="T954" s="204"/>
      <c r="U954" s="205"/>
      <c r="V954" s="204"/>
      <c r="W954" s="204"/>
      <c r="X954" s="204"/>
      <c r="Y954" s="204"/>
      <c r="Z954" s="204"/>
      <c r="AA954" s="204"/>
      <c r="AB954" s="204"/>
      <c r="AC954" s="204"/>
      <c r="AD954" s="204"/>
    </row>
    <row r="955">
      <c r="A955" s="202"/>
      <c r="B955" s="203"/>
      <c r="C955" s="204"/>
      <c r="D955" s="203"/>
      <c r="E955" s="204"/>
      <c r="F955" s="204"/>
      <c r="G955" s="93"/>
      <c r="H955" s="204"/>
      <c r="I955" s="205"/>
      <c r="J955" s="204"/>
      <c r="K955" s="204"/>
      <c r="L955" s="203"/>
      <c r="M955" s="204"/>
      <c r="N955" s="205"/>
      <c r="O955" s="205"/>
      <c r="P955" s="204"/>
      <c r="Q955" s="205"/>
      <c r="R955" s="204"/>
      <c r="S955" s="204"/>
      <c r="T955" s="204"/>
      <c r="U955" s="205"/>
      <c r="V955" s="204"/>
      <c r="W955" s="204"/>
      <c r="X955" s="204"/>
      <c r="Y955" s="204"/>
      <c r="Z955" s="204"/>
      <c r="AA955" s="204"/>
      <c r="AB955" s="204"/>
      <c r="AC955" s="204"/>
      <c r="AD955" s="204"/>
    </row>
    <row r="956">
      <c r="A956" s="202"/>
      <c r="B956" s="203"/>
      <c r="C956" s="204"/>
      <c r="D956" s="203"/>
      <c r="E956" s="204"/>
      <c r="F956" s="204"/>
      <c r="G956" s="93"/>
      <c r="H956" s="204"/>
      <c r="I956" s="205"/>
      <c r="J956" s="204"/>
      <c r="K956" s="204"/>
      <c r="L956" s="203"/>
      <c r="M956" s="204"/>
      <c r="N956" s="205"/>
      <c r="O956" s="205"/>
      <c r="P956" s="204"/>
      <c r="Q956" s="205"/>
      <c r="R956" s="204"/>
      <c r="S956" s="204"/>
      <c r="T956" s="204"/>
      <c r="U956" s="205"/>
      <c r="V956" s="204"/>
      <c r="W956" s="204"/>
      <c r="X956" s="204"/>
      <c r="Y956" s="204"/>
      <c r="Z956" s="204"/>
      <c r="AA956" s="204"/>
      <c r="AB956" s="204"/>
      <c r="AC956" s="204"/>
      <c r="AD956" s="204"/>
    </row>
    <row r="957">
      <c r="A957" s="202"/>
      <c r="B957" s="203"/>
      <c r="C957" s="204"/>
      <c r="D957" s="203"/>
      <c r="E957" s="204"/>
      <c r="F957" s="204"/>
      <c r="G957" s="93"/>
      <c r="H957" s="204"/>
      <c r="I957" s="205"/>
      <c r="J957" s="204"/>
      <c r="K957" s="204"/>
      <c r="L957" s="203"/>
      <c r="M957" s="204"/>
      <c r="N957" s="205"/>
      <c r="O957" s="205"/>
      <c r="P957" s="204"/>
      <c r="Q957" s="205"/>
      <c r="R957" s="204"/>
      <c r="S957" s="204"/>
      <c r="T957" s="204"/>
      <c r="U957" s="205"/>
      <c r="V957" s="204"/>
      <c r="W957" s="204"/>
      <c r="X957" s="204"/>
      <c r="Y957" s="204"/>
      <c r="Z957" s="204"/>
      <c r="AA957" s="204"/>
      <c r="AB957" s="204"/>
      <c r="AC957" s="204"/>
      <c r="AD957" s="204"/>
    </row>
    <row r="958">
      <c r="A958" s="202"/>
      <c r="B958" s="203"/>
      <c r="C958" s="204"/>
      <c r="D958" s="203"/>
      <c r="E958" s="204"/>
      <c r="F958" s="204"/>
      <c r="G958" s="93"/>
      <c r="H958" s="204"/>
      <c r="I958" s="205"/>
      <c r="J958" s="204"/>
      <c r="K958" s="204"/>
      <c r="L958" s="203"/>
      <c r="M958" s="204"/>
      <c r="N958" s="205"/>
      <c r="O958" s="205"/>
      <c r="P958" s="204"/>
      <c r="Q958" s="205"/>
      <c r="R958" s="204"/>
      <c r="S958" s="204"/>
      <c r="T958" s="204"/>
      <c r="U958" s="205"/>
      <c r="V958" s="204"/>
      <c r="W958" s="204"/>
      <c r="X958" s="204"/>
      <c r="Y958" s="204"/>
      <c r="Z958" s="204"/>
      <c r="AA958" s="204"/>
      <c r="AB958" s="204"/>
      <c r="AC958" s="204"/>
      <c r="AD958" s="204"/>
    </row>
    <row r="959">
      <c r="A959" s="202"/>
      <c r="B959" s="203"/>
      <c r="C959" s="204"/>
      <c r="D959" s="203"/>
      <c r="E959" s="204"/>
      <c r="F959" s="204"/>
      <c r="G959" s="93"/>
      <c r="H959" s="204"/>
      <c r="I959" s="205"/>
      <c r="J959" s="204"/>
      <c r="K959" s="204"/>
      <c r="L959" s="203"/>
      <c r="M959" s="204"/>
      <c r="N959" s="205"/>
      <c r="O959" s="205"/>
      <c r="P959" s="204"/>
      <c r="Q959" s="205"/>
      <c r="R959" s="204"/>
      <c r="S959" s="204"/>
      <c r="T959" s="204"/>
      <c r="U959" s="205"/>
      <c r="V959" s="204"/>
      <c r="W959" s="204"/>
      <c r="X959" s="204"/>
      <c r="Y959" s="204"/>
      <c r="Z959" s="204"/>
      <c r="AA959" s="204"/>
      <c r="AB959" s="204"/>
      <c r="AC959" s="204"/>
      <c r="AD959" s="204"/>
    </row>
    <row r="960">
      <c r="A960" s="202"/>
      <c r="B960" s="203"/>
      <c r="C960" s="204"/>
      <c r="D960" s="203"/>
      <c r="E960" s="204"/>
      <c r="F960" s="204"/>
      <c r="G960" s="93"/>
      <c r="H960" s="204"/>
      <c r="I960" s="205"/>
      <c r="J960" s="204"/>
      <c r="K960" s="204"/>
      <c r="L960" s="203"/>
      <c r="M960" s="204"/>
      <c r="N960" s="205"/>
      <c r="O960" s="205"/>
      <c r="P960" s="204"/>
      <c r="Q960" s="205"/>
      <c r="R960" s="204"/>
      <c r="S960" s="204"/>
      <c r="T960" s="204"/>
      <c r="U960" s="205"/>
      <c r="V960" s="204"/>
      <c r="W960" s="204"/>
      <c r="X960" s="204"/>
      <c r="Y960" s="204"/>
      <c r="Z960" s="204"/>
      <c r="AA960" s="204"/>
      <c r="AB960" s="204"/>
      <c r="AC960" s="204"/>
      <c r="AD960" s="204"/>
    </row>
    <row r="961">
      <c r="A961" s="202"/>
      <c r="B961" s="203"/>
      <c r="C961" s="204"/>
      <c r="D961" s="203"/>
      <c r="E961" s="204"/>
      <c r="F961" s="204"/>
      <c r="G961" s="93"/>
      <c r="H961" s="204"/>
      <c r="I961" s="205"/>
      <c r="J961" s="204"/>
      <c r="K961" s="204"/>
      <c r="L961" s="203"/>
      <c r="M961" s="204"/>
      <c r="N961" s="205"/>
      <c r="O961" s="205"/>
      <c r="P961" s="204"/>
      <c r="Q961" s="205"/>
      <c r="R961" s="204"/>
      <c r="S961" s="204"/>
      <c r="T961" s="204"/>
      <c r="U961" s="205"/>
      <c r="V961" s="204"/>
      <c r="W961" s="204"/>
      <c r="X961" s="204"/>
      <c r="Y961" s="204"/>
      <c r="Z961" s="204"/>
      <c r="AA961" s="204"/>
      <c r="AB961" s="204"/>
      <c r="AC961" s="204"/>
      <c r="AD961" s="204"/>
    </row>
    <row r="962">
      <c r="A962" s="202"/>
      <c r="B962" s="203"/>
      <c r="C962" s="204"/>
      <c r="D962" s="203"/>
      <c r="E962" s="204"/>
      <c r="F962" s="204"/>
      <c r="G962" s="93"/>
      <c r="H962" s="204"/>
      <c r="I962" s="205"/>
      <c r="J962" s="204"/>
      <c r="K962" s="204"/>
      <c r="L962" s="203"/>
      <c r="M962" s="204"/>
      <c r="N962" s="205"/>
      <c r="O962" s="205"/>
      <c r="P962" s="204"/>
      <c r="Q962" s="205"/>
      <c r="R962" s="204"/>
      <c r="S962" s="204"/>
      <c r="T962" s="204"/>
      <c r="U962" s="205"/>
      <c r="V962" s="204"/>
      <c r="W962" s="204"/>
      <c r="X962" s="204"/>
      <c r="Y962" s="204"/>
      <c r="Z962" s="204"/>
      <c r="AA962" s="204"/>
      <c r="AB962" s="204"/>
      <c r="AC962" s="204"/>
      <c r="AD962" s="204"/>
    </row>
    <row r="963">
      <c r="A963" s="202"/>
      <c r="B963" s="203"/>
      <c r="C963" s="204"/>
      <c r="D963" s="203"/>
      <c r="E963" s="204"/>
      <c r="F963" s="204"/>
      <c r="G963" s="93"/>
      <c r="H963" s="204"/>
      <c r="I963" s="205"/>
      <c r="J963" s="204"/>
      <c r="K963" s="204"/>
      <c r="L963" s="203"/>
      <c r="M963" s="204"/>
      <c r="N963" s="205"/>
      <c r="O963" s="205"/>
      <c r="P963" s="204"/>
      <c r="Q963" s="205"/>
      <c r="R963" s="204"/>
      <c r="S963" s="204"/>
      <c r="T963" s="204"/>
      <c r="U963" s="205"/>
      <c r="V963" s="204"/>
      <c r="W963" s="204"/>
      <c r="X963" s="204"/>
      <c r="Y963" s="204"/>
      <c r="Z963" s="204"/>
      <c r="AA963" s="204"/>
      <c r="AB963" s="204"/>
      <c r="AC963" s="204"/>
      <c r="AD963" s="204"/>
    </row>
    <row r="964">
      <c r="A964" s="202"/>
      <c r="B964" s="203"/>
      <c r="C964" s="204"/>
      <c r="D964" s="203"/>
      <c r="E964" s="204"/>
      <c r="F964" s="204"/>
      <c r="G964" s="93"/>
      <c r="H964" s="204"/>
      <c r="I964" s="205"/>
      <c r="J964" s="204"/>
      <c r="K964" s="204"/>
      <c r="L964" s="203"/>
      <c r="M964" s="204"/>
      <c r="N964" s="205"/>
      <c r="O964" s="205"/>
      <c r="P964" s="204"/>
      <c r="Q964" s="205"/>
      <c r="R964" s="204"/>
      <c r="S964" s="204"/>
      <c r="T964" s="204"/>
      <c r="U964" s="205"/>
      <c r="V964" s="204"/>
      <c r="W964" s="204"/>
      <c r="X964" s="204"/>
      <c r="Y964" s="204"/>
      <c r="Z964" s="204"/>
      <c r="AA964" s="204"/>
      <c r="AB964" s="204"/>
      <c r="AC964" s="204"/>
      <c r="AD964" s="204"/>
    </row>
    <row r="965">
      <c r="A965" s="202"/>
      <c r="B965" s="203"/>
      <c r="C965" s="204"/>
      <c r="D965" s="203"/>
      <c r="E965" s="204"/>
      <c r="F965" s="204"/>
      <c r="G965" s="93"/>
      <c r="H965" s="204"/>
      <c r="I965" s="205"/>
      <c r="J965" s="204"/>
      <c r="K965" s="204"/>
      <c r="L965" s="203"/>
      <c r="M965" s="204"/>
      <c r="N965" s="205"/>
      <c r="O965" s="205"/>
      <c r="P965" s="204"/>
      <c r="Q965" s="205"/>
      <c r="R965" s="204"/>
      <c r="S965" s="204"/>
      <c r="T965" s="204"/>
      <c r="U965" s="205"/>
      <c r="V965" s="204"/>
      <c r="W965" s="204"/>
      <c r="X965" s="204"/>
      <c r="Y965" s="204"/>
      <c r="Z965" s="204"/>
      <c r="AA965" s="204"/>
      <c r="AB965" s="204"/>
      <c r="AC965" s="204"/>
      <c r="AD965" s="204"/>
    </row>
    <row r="966">
      <c r="A966" s="202"/>
      <c r="B966" s="203"/>
      <c r="C966" s="204"/>
      <c r="D966" s="203"/>
      <c r="E966" s="204"/>
      <c r="F966" s="204"/>
      <c r="G966" s="93"/>
      <c r="H966" s="204"/>
      <c r="I966" s="205"/>
      <c r="J966" s="204"/>
      <c r="K966" s="204"/>
      <c r="L966" s="203"/>
      <c r="M966" s="204"/>
      <c r="N966" s="205"/>
      <c r="O966" s="205"/>
      <c r="P966" s="204"/>
      <c r="Q966" s="205"/>
      <c r="R966" s="204"/>
      <c r="S966" s="204"/>
      <c r="T966" s="204"/>
      <c r="U966" s="205"/>
      <c r="V966" s="204"/>
      <c r="W966" s="204"/>
      <c r="X966" s="204"/>
      <c r="Y966" s="204"/>
      <c r="Z966" s="204"/>
      <c r="AA966" s="204"/>
      <c r="AB966" s="204"/>
      <c r="AC966" s="204"/>
      <c r="AD966" s="204"/>
    </row>
    <row r="967">
      <c r="A967" s="202"/>
      <c r="B967" s="203"/>
      <c r="C967" s="204"/>
      <c r="D967" s="203"/>
      <c r="E967" s="204"/>
      <c r="F967" s="204"/>
      <c r="G967" s="93"/>
      <c r="H967" s="204"/>
      <c r="I967" s="205"/>
      <c r="J967" s="204"/>
      <c r="K967" s="204"/>
      <c r="L967" s="203"/>
      <c r="M967" s="204"/>
      <c r="N967" s="205"/>
      <c r="O967" s="205"/>
      <c r="P967" s="204"/>
      <c r="Q967" s="205"/>
      <c r="R967" s="204"/>
      <c r="S967" s="204"/>
      <c r="T967" s="204"/>
      <c r="U967" s="205"/>
      <c r="V967" s="204"/>
      <c r="W967" s="204"/>
      <c r="X967" s="204"/>
      <c r="Y967" s="204"/>
      <c r="Z967" s="204"/>
      <c r="AA967" s="204"/>
      <c r="AB967" s="204"/>
      <c r="AC967" s="204"/>
      <c r="AD967" s="204"/>
    </row>
    <row r="968">
      <c r="A968" s="202"/>
      <c r="B968" s="203"/>
      <c r="C968" s="204"/>
      <c r="D968" s="203"/>
      <c r="E968" s="204"/>
      <c r="F968" s="204"/>
      <c r="G968" s="93"/>
      <c r="H968" s="204"/>
      <c r="I968" s="205"/>
      <c r="J968" s="204"/>
      <c r="K968" s="204"/>
      <c r="L968" s="203"/>
      <c r="M968" s="204"/>
      <c r="N968" s="205"/>
      <c r="O968" s="205"/>
      <c r="P968" s="204"/>
      <c r="Q968" s="205"/>
      <c r="R968" s="204"/>
      <c r="S968" s="204"/>
      <c r="T968" s="204"/>
      <c r="U968" s="205"/>
      <c r="V968" s="204"/>
      <c r="W968" s="204"/>
      <c r="X968" s="204"/>
      <c r="Y968" s="204"/>
      <c r="Z968" s="204"/>
      <c r="AA968" s="204"/>
      <c r="AB968" s="204"/>
      <c r="AC968" s="204"/>
      <c r="AD968" s="204"/>
    </row>
    <row r="969">
      <c r="A969" s="202"/>
      <c r="B969" s="203"/>
      <c r="C969" s="204"/>
      <c r="D969" s="203"/>
      <c r="E969" s="204"/>
      <c r="F969" s="204"/>
      <c r="G969" s="93"/>
      <c r="H969" s="204"/>
      <c r="I969" s="205"/>
      <c r="J969" s="204"/>
      <c r="K969" s="204"/>
      <c r="L969" s="203"/>
      <c r="M969" s="204"/>
      <c r="N969" s="205"/>
      <c r="O969" s="205"/>
      <c r="P969" s="204"/>
      <c r="Q969" s="205"/>
      <c r="R969" s="204"/>
      <c r="S969" s="204"/>
      <c r="T969" s="204"/>
      <c r="U969" s="205"/>
      <c r="V969" s="204"/>
      <c r="W969" s="204"/>
      <c r="X969" s="204"/>
      <c r="Y969" s="204"/>
      <c r="Z969" s="204"/>
      <c r="AA969" s="204"/>
      <c r="AB969" s="204"/>
      <c r="AC969" s="204"/>
      <c r="AD969" s="204"/>
    </row>
    <row r="970">
      <c r="A970" s="202"/>
      <c r="B970" s="203"/>
      <c r="C970" s="204"/>
      <c r="D970" s="203"/>
      <c r="E970" s="204"/>
      <c r="F970" s="204"/>
      <c r="G970" s="93"/>
      <c r="H970" s="204"/>
      <c r="I970" s="205"/>
      <c r="J970" s="204"/>
      <c r="K970" s="204"/>
      <c r="L970" s="203"/>
      <c r="M970" s="204"/>
      <c r="N970" s="205"/>
      <c r="O970" s="205"/>
      <c r="P970" s="204"/>
      <c r="Q970" s="205"/>
      <c r="R970" s="204"/>
      <c r="S970" s="204"/>
      <c r="T970" s="204"/>
      <c r="U970" s="205"/>
      <c r="V970" s="204"/>
      <c r="W970" s="204"/>
      <c r="X970" s="204"/>
      <c r="Y970" s="204"/>
      <c r="Z970" s="204"/>
      <c r="AA970" s="204"/>
      <c r="AB970" s="204"/>
      <c r="AC970" s="204"/>
      <c r="AD970" s="204"/>
    </row>
    <row r="971">
      <c r="A971" s="202"/>
      <c r="B971" s="203"/>
      <c r="C971" s="204"/>
      <c r="D971" s="203"/>
      <c r="E971" s="204"/>
      <c r="F971" s="204"/>
      <c r="G971" s="93"/>
      <c r="H971" s="204"/>
      <c r="I971" s="205"/>
      <c r="J971" s="204"/>
      <c r="K971" s="204"/>
      <c r="L971" s="203"/>
      <c r="M971" s="204"/>
      <c r="N971" s="205"/>
      <c r="O971" s="205"/>
      <c r="P971" s="204"/>
      <c r="Q971" s="205"/>
      <c r="R971" s="204"/>
      <c r="S971" s="204"/>
      <c r="T971" s="204"/>
      <c r="U971" s="205"/>
      <c r="V971" s="204"/>
      <c r="W971" s="204"/>
      <c r="X971" s="204"/>
      <c r="Y971" s="204"/>
      <c r="Z971" s="204"/>
      <c r="AA971" s="204"/>
      <c r="AB971" s="204"/>
      <c r="AC971" s="204"/>
      <c r="AD971" s="204"/>
    </row>
    <row r="972">
      <c r="A972" s="202"/>
      <c r="B972" s="203"/>
      <c r="C972" s="204"/>
      <c r="D972" s="203"/>
      <c r="E972" s="204"/>
      <c r="F972" s="204"/>
      <c r="G972" s="93"/>
      <c r="H972" s="204"/>
      <c r="I972" s="205"/>
      <c r="J972" s="204"/>
      <c r="K972" s="204"/>
      <c r="L972" s="203"/>
      <c r="M972" s="204"/>
      <c r="N972" s="205"/>
      <c r="O972" s="205"/>
      <c r="P972" s="204"/>
      <c r="Q972" s="205"/>
      <c r="R972" s="204"/>
      <c r="S972" s="204"/>
      <c r="T972" s="204"/>
      <c r="U972" s="205"/>
      <c r="V972" s="204"/>
      <c r="W972" s="204"/>
      <c r="X972" s="204"/>
      <c r="Y972" s="204"/>
      <c r="Z972" s="204"/>
      <c r="AA972" s="204"/>
      <c r="AB972" s="204"/>
      <c r="AC972" s="204"/>
      <c r="AD972" s="204"/>
    </row>
    <row r="973">
      <c r="A973" s="202"/>
      <c r="B973" s="203"/>
      <c r="C973" s="204"/>
      <c r="D973" s="203"/>
      <c r="E973" s="204"/>
      <c r="F973" s="204"/>
      <c r="G973" s="93"/>
      <c r="H973" s="204"/>
      <c r="I973" s="205"/>
      <c r="J973" s="204"/>
      <c r="K973" s="204"/>
      <c r="L973" s="203"/>
      <c r="M973" s="204"/>
      <c r="N973" s="205"/>
      <c r="O973" s="205"/>
      <c r="P973" s="204"/>
      <c r="Q973" s="205"/>
      <c r="R973" s="204"/>
      <c r="S973" s="204"/>
      <c r="T973" s="204"/>
      <c r="U973" s="205"/>
      <c r="V973" s="204"/>
      <c r="W973" s="204"/>
      <c r="X973" s="204"/>
      <c r="Y973" s="204"/>
      <c r="Z973" s="204"/>
      <c r="AA973" s="204"/>
      <c r="AB973" s="204"/>
      <c r="AC973" s="204"/>
      <c r="AD973" s="204"/>
    </row>
    <row r="974">
      <c r="A974" s="202"/>
      <c r="B974" s="203"/>
      <c r="C974" s="204"/>
      <c r="D974" s="203"/>
      <c r="E974" s="204"/>
      <c r="F974" s="204"/>
      <c r="G974" s="93"/>
      <c r="H974" s="204"/>
      <c r="I974" s="205"/>
      <c r="J974" s="204"/>
      <c r="K974" s="204"/>
      <c r="L974" s="203"/>
      <c r="M974" s="204"/>
      <c r="N974" s="205"/>
      <c r="O974" s="205"/>
      <c r="P974" s="204"/>
      <c r="Q974" s="205"/>
      <c r="R974" s="204"/>
      <c r="S974" s="204"/>
      <c r="T974" s="204"/>
      <c r="U974" s="205"/>
      <c r="V974" s="204"/>
      <c r="W974" s="204"/>
      <c r="X974" s="204"/>
      <c r="Y974" s="204"/>
      <c r="Z974" s="204"/>
      <c r="AA974" s="204"/>
      <c r="AB974" s="204"/>
      <c r="AC974" s="204"/>
      <c r="AD974" s="204"/>
    </row>
    <row r="975">
      <c r="A975" s="202"/>
      <c r="B975" s="203"/>
      <c r="C975" s="204"/>
      <c r="D975" s="203"/>
      <c r="E975" s="204"/>
      <c r="F975" s="204"/>
      <c r="G975" s="93"/>
      <c r="H975" s="204"/>
      <c r="I975" s="205"/>
      <c r="J975" s="204"/>
      <c r="K975" s="204"/>
      <c r="L975" s="203"/>
      <c r="M975" s="204"/>
      <c r="N975" s="205"/>
      <c r="O975" s="205"/>
      <c r="P975" s="204"/>
      <c r="Q975" s="205"/>
      <c r="R975" s="204"/>
      <c r="S975" s="204"/>
      <c r="T975" s="204"/>
      <c r="U975" s="205"/>
      <c r="V975" s="204"/>
      <c r="W975" s="204"/>
      <c r="X975" s="204"/>
      <c r="Y975" s="204"/>
      <c r="Z975" s="204"/>
      <c r="AA975" s="204"/>
      <c r="AB975" s="204"/>
      <c r="AC975" s="204"/>
      <c r="AD975" s="204"/>
    </row>
    <row r="976">
      <c r="A976" s="202"/>
      <c r="B976" s="203"/>
      <c r="C976" s="204"/>
      <c r="D976" s="203"/>
      <c r="E976" s="204"/>
      <c r="F976" s="204"/>
      <c r="G976" s="93"/>
      <c r="H976" s="204"/>
      <c r="I976" s="205"/>
      <c r="J976" s="204"/>
      <c r="K976" s="204"/>
      <c r="L976" s="203"/>
      <c r="M976" s="204"/>
      <c r="N976" s="205"/>
      <c r="O976" s="205"/>
      <c r="P976" s="204"/>
      <c r="Q976" s="205"/>
      <c r="R976" s="204"/>
      <c r="S976" s="204"/>
      <c r="T976" s="204"/>
      <c r="U976" s="205"/>
      <c r="V976" s="204"/>
      <c r="W976" s="204"/>
      <c r="X976" s="204"/>
      <c r="Y976" s="204"/>
      <c r="Z976" s="204"/>
      <c r="AA976" s="204"/>
      <c r="AB976" s="204"/>
      <c r="AC976" s="204"/>
      <c r="AD976" s="204"/>
    </row>
    <row r="977">
      <c r="A977" s="202"/>
      <c r="B977" s="203"/>
      <c r="C977" s="204"/>
      <c r="D977" s="203"/>
      <c r="E977" s="204"/>
      <c r="F977" s="204"/>
      <c r="G977" s="93"/>
      <c r="H977" s="204"/>
      <c r="I977" s="205"/>
      <c r="J977" s="204"/>
      <c r="K977" s="204"/>
      <c r="L977" s="203"/>
      <c r="M977" s="204"/>
      <c r="N977" s="205"/>
      <c r="O977" s="205"/>
      <c r="P977" s="204"/>
      <c r="Q977" s="205"/>
      <c r="R977" s="204"/>
      <c r="S977" s="204"/>
      <c r="T977" s="204"/>
      <c r="U977" s="205"/>
      <c r="V977" s="204"/>
      <c r="W977" s="204"/>
      <c r="X977" s="204"/>
      <c r="Y977" s="204"/>
      <c r="Z977" s="204"/>
      <c r="AA977" s="204"/>
      <c r="AB977" s="204"/>
      <c r="AC977" s="204"/>
      <c r="AD977" s="204"/>
    </row>
    <row r="978">
      <c r="A978" s="202"/>
      <c r="B978" s="203"/>
      <c r="C978" s="204"/>
      <c r="D978" s="203"/>
      <c r="E978" s="204"/>
      <c r="F978" s="204"/>
      <c r="G978" s="93"/>
      <c r="H978" s="204"/>
      <c r="I978" s="205"/>
      <c r="J978" s="204"/>
      <c r="K978" s="204"/>
      <c r="L978" s="203"/>
      <c r="M978" s="204"/>
      <c r="N978" s="205"/>
      <c r="O978" s="205"/>
      <c r="P978" s="204"/>
      <c r="Q978" s="205"/>
      <c r="R978" s="204"/>
      <c r="S978" s="204"/>
      <c r="T978" s="204"/>
      <c r="U978" s="205"/>
      <c r="V978" s="204"/>
      <c r="W978" s="204"/>
      <c r="X978" s="204"/>
      <c r="Y978" s="204"/>
      <c r="Z978" s="204"/>
      <c r="AA978" s="204"/>
      <c r="AB978" s="204"/>
      <c r="AC978" s="204"/>
      <c r="AD978" s="204"/>
    </row>
    <row r="979">
      <c r="A979" s="202"/>
      <c r="B979" s="203"/>
      <c r="C979" s="204"/>
      <c r="D979" s="203"/>
      <c r="E979" s="204"/>
      <c r="F979" s="204"/>
      <c r="G979" s="93"/>
      <c r="H979" s="204"/>
      <c r="I979" s="205"/>
      <c r="J979" s="204"/>
      <c r="K979" s="204"/>
      <c r="L979" s="203"/>
      <c r="M979" s="204"/>
      <c r="N979" s="205"/>
      <c r="O979" s="205"/>
      <c r="P979" s="204"/>
      <c r="Q979" s="205"/>
      <c r="R979" s="204"/>
      <c r="S979" s="204"/>
      <c r="T979" s="204"/>
      <c r="U979" s="205"/>
      <c r="V979" s="204"/>
      <c r="W979" s="204"/>
      <c r="X979" s="204"/>
      <c r="Y979" s="204"/>
      <c r="Z979" s="204"/>
      <c r="AA979" s="204"/>
      <c r="AB979" s="204"/>
      <c r="AC979" s="204"/>
      <c r="AD979" s="204"/>
    </row>
    <row r="980">
      <c r="A980" s="202"/>
      <c r="B980" s="203"/>
      <c r="C980" s="204"/>
      <c r="D980" s="203"/>
      <c r="E980" s="204"/>
      <c r="F980" s="204"/>
      <c r="G980" s="93"/>
      <c r="H980" s="204"/>
      <c r="I980" s="205"/>
      <c r="J980" s="204"/>
      <c r="K980" s="204"/>
      <c r="L980" s="203"/>
      <c r="M980" s="204"/>
      <c r="N980" s="205"/>
      <c r="O980" s="205"/>
      <c r="P980" s="204"/>
      <c r="Q980" s="205"/>
      <c r="R980" s="204"/>
      <c r="S980" s="204"/>
      <c r="T980" s="204"/>
      <c r="U980" s="205"/>
      <c r="V980" s="204"/>
      <c r="W980" s="204"/>
      <c r="X980" s="204"/>
      <c r="Y980" s="204"/>
      <c r="Z980" s="204"/>
      <c r="AA980" s="204"/>
      <c r="AB980" s="204"/>
      <c r="AC980" s="204"/>
      <c r="AD980" s="204"/>
    </row>
    <row r="981">
      <c r="A981" s="202"/>
      <c r="B981" s="203"/>
      <c r="C981" s="204"/>
      <c r="D981" s="203"/>
      <c r="E981" s="204"/>
      <c r="F981" s="204"/>
      <c r="G981" s="93"/>
      <c r="H981" s="204"/>
      <c r="I981" s="205"/>
      <c r="J981" s="204"/>
      <c r="K981" s="204"/>
      <c r="L981" s="203"/>
      <c r="M981" s="204"/>
      <c r="N981" s="205"/>
      <c r="O981" s="205"/>
      <c r="P981" s="204"/>
      <c r="Q981" s="205"/>
      <c r="R981" s="204"/>
      <c r="S981" s="204"/>
      <c r="T981" s="204"/>
      <c r="U981" s="205"/>
      <c r="V981" s="204"/>
      <c r="W981" s="204"/>
      <c r="X981" s="204"/>
      <c r="Y981" s="204"/>
      <c r="Z981" s="204"/>
      <c r="AA981" s="204"/>
      <c r="AB981" s="204"/>
      <c r="AC981" s="204"/>
      <c r="AD981" s="204"/>
    </row>
    <row r="982">
      <c r="A982" s="202"/>
      <c r="B982" s="203"/>
      <c r="C982" s="204"/>
      <c r="D982" s="203"/>
      <c r="E982" s="204"/>
      <c r="F982" s="204"/>
      <c r="G982" s="93"/>
      <c r="H982" s="204"/>
      <c r="I982" s="205"/>
      <c r="J982" s="204"/>
      <c r="K982" s="204"/>
      <c r="L982" s="203"/>
      <c r="M982" s="204"/>
      <c r="N982" s="205"/>
      <c r="O982" s="205"/>
      <c r="P982" s="204"/>
      <c r="Q982" s="205"/>
      <c r="R982" s="204"/>
      <c r="S982" s="204"/>
      <c r="T982" s="204"/>
      <c r="U982" s="205"/>
      <c r="V982" s="204"/>
      <c r="W982" s="204"/>
      <c r="X982" s="204"/>
      <c r="Y982" s="204"/>
      <c r="Z982" s="204"/>
      <c r="AA982" s="204"/>
      <c r="AB982" s="204"/>
      <c r="AC982" s="204"/>
      <c r="AD982" s="204"/>
    </row>
    <row r="983">
      <c r="A983" s="202"/>
      <c r="B983" s="203"/>
      <c r="C983" s="204"/>
      <c r="D983" s="203"/>
      <c r="E983" s="204"/>
      <c r="F983" s="204"/>
      <c r="G983" s="93"/>
      <c r="H983" s="204"/>
      <c r="I983" s="205"/>
      <c r="J983" s="204"/>
      <c r="K983" s="204"/>
      <c r="L983" s="203"/>
      <c r="M983" s="204"/>
      <c r="N983" s="205"/>
      <c r="O983" s="205"/>
      <c r="P983" s="204"/>
      <c r="Q983" s="205"/>
      <c r="R983" s="204"/>
      <c r="S983" s="204"/>
      <c r="T983" s="204"/>
      <c r="U983" s="205"/>
      <c r="V983" s="204"/>
      <c r="W983" s="204"/>
      <c r="X983" s="204"/>
      <c r="Y983" s="204"/>
      <c r="Z983" s="204"/>
      <c r="AA983" s="204"/>
      <c r="AB983" s="204"/>
      <c r="AC983" s="204"/>
      <c r="AD983" s="204"/>
    </row>
    <row r="984">
      <c r="A984" s="202"/>
      <c r="B984" s="203"/>
      <c r="C984" s="204"/>
      <c r="D984" s="203"/>
      <c r="E984" s="204"/>
      <c r="F984" s="204"/>
      <c r="G984" s="93"/>
      <c r="H984" s="204"/>
      <c r="I984" s="205"/>
      <c r="J984" s="204"/>
      <c r="K984" s="204"/>
      <c r="L984" s="203"/>
      <c r="M984" s="204"/>
      <c r="N984" s="205"/>
      <c r="O984" s="205"/>
      <c r="P984" s="204"/>
      <c r="Q984" s="205"/>
      <c r="R984" s="204"/>
      <c r="S984" s="204"/>
      <c r="T984" s="204"/>
      <c r="U984" s="205"/>
      <c r="V984" s="204"/>
      <c r="W984" s="204"/>
      <c r="X984" s="204"/>
      <c r="Y984" s="204"/>
      <c r="Z984" s="204"/>
      <c r="AA984" s="204"/>
      <c r="AB984" s="204"/>
      <c r="AC984" s="204"/>
      <c r="AD984" s="204"/>
    </row>
    <row r="985">
      <c r="A985" s="202"/>
      <c r="B985" s="203"/>
      <c r="C985" s="204"/>
      <c r="D985" s="203"/>
      <c r="E985" s="204"/>
      <c r="F985" s="204"/>
      <c r="G985" s="93"/>
      <c r="H985" s="204"/>
      <c r="I985" s="205"/>
      <c r="J985" s="204"/>
      <c r="K985" s="204"/>
      <c r="L985" s="203"/>
      <c r="M985" s="204"/>
      <c r="N985" s="205"/>
      <c r="O985" s="205"/>
      <c r="P985" s="204"/>
      <c r="Q985" s="205"/>
      <c r="R985" s="204"/>
      <c r="S985" s="204"/>
      <c r="T985" s="204"/>
      <c r="U985" s="205"/>
      <c r="V985" s="204"/>
      <c r="W985" s="204"/>
      <c r="X985" s="204"/>
      <c r="Y985" s="204"/>
      <c r="Z985" s="204"/>
      <c r="AA985" s="204"/>
      <c r="AB985" s="204"/>
      <c r="AC985" s="204"/>
      <c r="AD985" s="204"/>
    </row>
    <row r="986">
      <c r="A986" s="202"/>
      <c r="B986" s="203"/>
      <c r="C986" s="204"/>
      <c r="D986" s="203"/>
      <c r="E986" s="204"/>
      <c r="F986" s="204"/>
      <c r="G986" s="93"/>
      <c r="H986" s="204"/>
      <c r="I986" s="205"/>
      <c r="J986" s="204"/>
      <c r="K986" s="204"/>
      <c r="L986" s="203"/>
      <c r="M986" s="204"/>
      <c r="N986" s="205"/>
      <c r="O986" s="205"/>
      <c r="P986" s="204"/>
      <c r="Q986" s="205"/>
      <c r="R986" s="204"/>
      <c r="S986" s="204"/>
      <c r="T986" s="204"/>
      <c r="U986" s="205"/>
      <c r="V986" s="204"/>
      <c r="W986" s="204"/>
      <c r="X986" s="204"/>
      <c r="Y986" s="204"/>
      <c r="Z986" s="204"/>
      <c r="AA986" s="204"/>
      <c r="AB986" s="204"/>
      <c r="AC986" s="204"/>
      <c r="AD986" s="204"/>
    </row>
    <row r="987">
      <c r="A987" s="202"/>
      <c r="B987" s="203"/>
      <c r="C987" s="204"/>
      <c r="D987" s="203"/>
      <c r="E987" s="204"/>
      <c r="F987" s="204"/>
      <c r="G987" s="93"/>
      <c r="H987" s="204"/>
      <c r="I987" s="205"/>
      <c r="J987" s="204"/>
      <c r="K987" s="204"/>
      <c r="L987" s="203"/>
      <c r="M987" s="204"/>
      <c r="N987" s="205"/>
      <c r="O987" s="205"/>
      <c r="P987" s="204"/>
      <c r="Q987" s="205"/>
      <c r="R987" s="204"/>
      <c r="S987" s="204"/>
      <c r="T987" s="204"/>
      <c r="U987" s="205"/>
      <c r="V987" s="204"/>
      <c r="W987" s="204"/>
      <c r="X987" s="204"/>
      <c r="Y987" s="204"/>
      <c r="Z987" s="204"/>
      <c r="AA987" s="204"/>
      <c r="AB987" s="204"/>
      <c r="AC987" s="204"/>
      <c r="AD987" s="204"/>
    </row>
    <row r="988">
      <c r="A988" s="202"/>
      <c r="B988" s="203"/>
      <c r="C988" s="204"/>
      <c r="D988" s="203"/>
      <c r="E988" s="204"/>
      <c r="F988" s="204"/>
      <c r="G988" s="93"/>
      <c r="H988" s="204"/>
      <c r="I988" s="205"/>
      <c r="J988" s="204"/>
      <c r="K988" s="204"/>
      <c r="L988" s="203"/>
      <c r="M988" s="204"/>
      <c r="N988" s="205"/>
      <c r="O988" s="205"/>
      <c r="P988" s="204"/>
      <c r="Q988" s="205"/>
      <c r="R988" s="204"/>
      <c r="S988" s="204"/>
      <c r="T988" s="204"/>
      <c r="U988" s="205"/>
      <c r="V988" s="204"/>
      <c r="W988" s="204"/>
      <c r="X988" s="204"/>
      <c r="Y988" s="204"/>
      <c r="Z988" s="204"/>
      <c r="AA988" s="204"/>
      <c r="AB988" s="204"/>
      <c r="AC988" s="204"/>
      <c r="AD988" s="204"/>
    </row>
    <row r="989">
      <c r="A989" s="202"/>
      <c r="B989" s="203"/>
      <c r="C989" s="204"/>
      <c r="D989" s="203"/>
      <c r="E989" s="204"/>
      <c r="F989" s="204"/>
      <c r="G989" s="93"/>
      <c r="H989" s="204"/>
      <c r="I989" s="205"/>
      <c r="J989" s="204"/>
      <c r="K989" s="204"/>
      <c r="L989" s="203"/>
      <c r="M989" s="204"/>
      <c r="N989" s="205"/>
      <c r="O989" s="205"/>
      <c r="P989" s="204"/>
      <c r="Q989" s="205"/>
      <c r="R989" s="204"/>
      <c r="S989" s="204"/>
      <c r="T989" s="204"/>
      <c r="U989" s="205"/>
      <c r="V989" s="204"/>
      <c r="W989" s="204"/>
      <c r="X989" s="204"/>
      <c r="Y989" s="204"/>
      <c r="Z989" s="204"/>
      <c r="AA989" s="204"/>
      <c r="AB989" s="204"/>
      <c r="AC989" s="204"/>
      <c r="AD989" s="204"/>
    </row>
    <row r="990">
      <c r="A990" s="202"/>
      <c r="B990" s="203"/>
      <c r="C990" s="204"/>
      <c r="D990" s="203"/>
      <c r="E990" s="204"/>
      <c r="F990" s="204"/>
      <c r="G990" s="93"/>
      <c r="H990" s="204"/>
      <c r="I990" s="205"/>
      <c r="J990" s="204"/>
      <c r="K990" s="204"/>
      <c r="L990" s="203"/>
      <c r="M990" s="204"/>
      <c r="N990" s="205"/>
      <c r="O990" s="205"/>
      <c r="P990" s="204"/>
      <c r="Q990" s="205"/>
      <c r="R990" s="204"/>
      <c r="S990" s="204"/>
      <c r="T990" s="204"/>
      <c r="U990" s="205"/>
      <c r="V990" s="204"/>
      <c r="W990" s="204"/>
      <c r="X990" s="204"/>
      <c r="Y990" s="204"/>
      <c r="Z990" s="204"/>
      <c r="AA990" s="204"/>
      <c r="AB990" s="204"/>
      <c r="AC990" s="204"/>
      <c r="AD990" s="204"/>
    </row>
    <row r="991">
      <c r="A991" s="202"/>
      <c r="B991" s="203"/>
      <c r="C991" s="204"/>
      <c r="D991" s="203"/>
      <c r="E991" s="204"/>
      <c r="F991" s="204"/>
      <c r="G991" s="93"/>
      <c r="H991" s="204"/>
      <c r="I991" s="205"/>
      <c r="J991" s="204"/>
      <c r="K991" s="204"/>
      <c r="L991" s="203"/>
      <c r="M991" s="204"/>
      <c r="N991" s="205"/>
      <c r="O991" s="205"/>
      <c r="P991" s="204"/>
      <c r="Q991" s="205"/>
      <c r="R991" s="204"/>
      <c r="S991" s="204"/>
      <c r="T991" s="204"/>
      <c r="U991" s="205"/>
      <c r="V991" s="204"/>
      <c r="W991" s="204"/>
      <c r="X991" s="204"/>
      <c r="Y991" s="204"/>
      <c r="Z991" s="204"/>
      <c r="AA991" s="204"/>
      <c r="AB991" s="204"/>
      <c r="AC991" s="204"/>
      <c r="AD991" s="204"/>
    </row>
    <row r="992">
      <c r="A992" s="202"/>
      <c r="B992" s="203"/>
      <c r="C992" s="204"/>
      <c r="D992" s="203"/>
      <c r="E992" s="204"/>
      <c r="F992" s="204"/>
      <c r="G992" s="93"/>
      <c r="H992" s="204"/>
      <c r="I992" s="205"/>
      <c r="J992" s="204"/>
      <c r="K992" s="204"/>
      <c r="L992" s="203"/>
      <c r="M992" s="204"/>
      <c r="N992" s="205"/>
      <c r="O992" s="205"/>
      <c r="P992" s="204"/>
      <c r="Q992" s="205"/>
      <c r="R992" s="204"/>
      <c r="S992" s="204"/>
      <c r="T992" s="204"/>
      <c r="U992" s="205"/>
      <c r="V992" s="204"/>
      <c r="W992" s="204"/>
      <c r="X992" s="204"/>
      <c r="Y992" s="204"/>
      <c r="Z992" s="204"/>
      <c r="AA992" s="204"/>
      <c r="AB992" s="204"/>
      <c r="AC992" s="204"/>
      <c r="AD992" s="204"/>
    </row>
    <row r="993">
      <c r="A993" s="202"/>
      <c r="B993" s="203"/>
      <c r="C993" s="204"/>
      <c r="D993" s="203"/>
      <c r="E993" s="204"/>
      <c r="F993" s="204"/>
      <c r="G993" s="93"/>
      <c r="H993" s="204"/>
      <c r="I993" s="205"/>
      <c r="J993" s="204"/>
      <c r="K993" s="204"/>
      <c r="L993" s="203"/>
      <c r="M993" s="204"/>
      <c r="N993" s="205"/>
      <c r="O993" s="205"/>
      <c r="P993" s="204"/>
      <c r="Q993" s="205"/>
      <c r="R993" s="204"/>
      <c r="S993" s="204"/>
      <c r="T993" s="204"/>
      <c r="U993" s="205"/>
      <c r="V993" s="204"/>
      <c r="W993" s="204"/>
      <c r="X993" s="204"/>
      <c r="Y993" s="204"/>
      <c r="Z993" s="204"/>
      <c r="AA993" s="204"/>
      <c r="AB993" s="204"/>
      <c r="AC993" s="204"/>
      <c r="AD993" s="204"/>
    </row>
    <row r="994">
      <c r="A994" s="202"/>
      <c r="B994" s="203"/>
      <c r="C994" s="204"/>
      <c r="D994" s="203"/>
      <c r="E994" s="204"/>
      <c r="F994" s="204"/>
      <c r="G994" s="93"/>
      <c r="H994" s="204"/>
      <c r="I994" s="205"/>
      <c r="J994" s="204"/>
      <c r="K994" s="204"/>
      <c r="L994" s="203"/>
      <c r="M994" s="204"/>
      <c r="N994" s="205"/>
      <c r="O994" s="205"/>
      <c r="P994" s="204"/>
      <c r="Q994" s="205"/>
      <c r="R994" s="204"/>
      <c r="S994" s="204"/>
      <c r="T994" s="204"/>
      <c r="U994" s="205"/>
      <c r="V994" s="204"/>
      <c r="W994" s="204"/>
      <c r="X994" s="204"/>
      <c r="Y994" s="204"/>
      <c r="Z994" s="204"/>
      <c r="AA994" s="204"/>
      <c r="AB994" s="204"/>
      <c r="AC994" s="204"/>
      <c r="AD994" s="204"/>
    </row>
    <row r="995">
      <c r="A995" s="202"/>
      <c r="B995" s="203"/>
      <c r="C995" s="204"/>
      <c r="D995" s="203"/>
      <c r="E995" s="204"/>
      <c r="F995" s="204"/>
      <c r="G995" s="93"/>
      <c r="H995" s="204"/>
      <c r="I995" s="205"/>
      <c r="J995" s="204"/>
      <c r="K995" s="204"/>
      <c r="L995" s="203"/>
      <c r="M995" s="204"/>
      <c r="N995" s="205"/>
      <c r="O995" s="205"/>
      <c r="P995" s="204"/>
      <c r="Q995" s="205"/>
      <c r="R995" s="204"/>
      <c r="S995" s="204"/>
      <c r="T995" s="204"/>
      <c r="U995" s="205"/>
      <c r="V995" s="204"/>
      <c r="W995" s="204"/>
      <c r="X995" s="204"/>
      <c r="Y995" s="204"/>
      <c r="Z995" s="204"/>
      <c r="AA995" s="204"/>
      <c r="AB995" s="204"/>
      <c r="AC995" s="204"/>
      <c r="AD995" s="204"/>
    </row>
    <row r="996">
      <c r="A996" s="202"/>
      <c r="B996" s="203"/>
      <c r="C996" s="204"/>
      <c r="D996" s="203"/>
      <c r="E996" s="204"/>
      <c r="F996" s="204"/>
      <c r="G996" s="93"/>
      <c r="H996" s="204"/>
      <c r="I996" s="205"/>
      <c r="J996" s="204"/>
      <c r="K996" s="204"/>
      <c r="L996" s="203"/>
      <c r="M996" s="204"/>
      <c r="N996" s="205"/>
      <c r="O996" s="205"/>
      <c r="P996" s="204"/>
      <c r="Q996" s="205"/>
      <c r="R996" s="204"/>
      <c r="S996" s="204"/>
      <c r="T996" s="204"/>
      <c r="U996" s="205"/>
      <c r="V996" s="204"/>
      <c r="W996" s="204"/>
      <c r="X996" s="204"/>
      <c r="Y996" s="204"/>
      <c r="Z996" s="204"/>
      <c r="AA996" s="204"/>
      <c r="AB996" s="204"/>
      <c r="AC996" s="204"/>
      <c r="AD996" s="204"/>
    </row>
    <row r="997">
      <c r="A997" s="202"/>
      <c r="B997" s="203"/>
      <c r="C997" s="204"/>
      <c r="D997" s="203"/>
      <c r="E997" s="204"/>
      <c r="F997" s="204"/>
      <c r="G997" s="93"/>
      <c r="H997" s="204"/>
      <c r="I997" s="205"/>
      <c r="J997" s="204"/>
      <c r="K997" s="204"/>
      <c r="L997" s="203"/>
      <c r="M997" s="204"/>
      <c r="N997" s="205"/>
      <c r="O997" s="205"/>
      <c r="P997" s="204"/>
      <c r="Q997" s="205"/>
      <c r="R997" s="204"/>
      <c r="S997" s="204"/>
      <c r="T997" s="204"/>
      <c r="U997" s="205"/>
      <c r="V997" s="204"/>
      <c r="W997" s="204"/>
      <c r="X997" s="204"/>
      <c r="Y997" s="204"/>
      <c r="Z997" s="204"/>
      <c r="AA997" s="204"/>
      <c r="AB997" s="204"/>
      <c r="AC997" s="204"/>
      <c r="AD997" s="204"/>
    </row>
    <row r="998">
      <c r="A998" s="202"/>
      <c r="B998" s="203"/>
      <c r="C998" s="204"/>
      <c r="D998" s="203"/>
      <c r="E998" s="204"/>
      <c r="F998" s="204"/>
      <c r="G998" s="93"/>
      <c r="H998" s="204"/>
      <c r="I998" s="205"/>
      <c r="J998" s="204"/>
      <c r="K998" s="204"/>
      <c r="L998" s="203"/>
      <c r="M998" s="204"/>
      <c r="N998" s="205"/>
      <c r="O998" s="205"/>
      <c r="P998" s="204"/>
      <c r="Q998" s="205"/>
      <c r="R998" s="204"/>
      <c r="S998" s="204"/>
      <c r="T998" s="204"/>
      <c r="U998" s="205"/>
      <c r="V998" s="204"/>
      <c r="W998" s="204"/>
      <c r="X998" s="204"/>
      <c r="Y998" s="204"/>
      <c r="Z998" s="204"/>
      <c r="AA998" s="204"/>
      <c r="AB998" s="204"/>
      <c r="AC998" s="204"/>
      <c r="AD998" s="204"/>
    </row>
    <row r="999">
      <c r="A999" s="202"/>
      <c r="B999" s="203"/>
      <c r="C999" s="204"/>
      <c r="D999" s="203"/>
      <c r="E999" s="204"/>
      <c r="F999" s="204"/>
      <c r="G999" s="93"/>
      <c r="H999" s="204"/>
      <c r="I999" s="205"/>
      <c r="J999" s="204"/>
      <c r="K999" s="204"/>
      <c r="L999" s="203"/>
      <c r="M999" s="204"/>
      <c r="N999" s="205"/>
      <c r="O999" s="205"/>
      <c r="P999" s="204"/>
      <c r="Q999" s="205"/>
      <c r="R999" s="204"/>
      <c r="S999" s="204"/>
      <c r="T999" s="204"/>
      <c r="U999" s="205"/>
      <c r="V999" s="204"/>
      <c r="W999" s="204"/>
      <c r="X999" s="204"/>
      <c r="Y999" s="204"/>
      <c r="Z999" s="204"/>
      <c r="AA999" s="204"/>
      <c r="AB999" s="204"/>
      <c r="AC999" s="204"/>
      <c r="AD999" s="204"/>
    </row>
    <row r="1000">
      <c r="A1000" s="202"/>
      <c r="B1000" s="203"/>
      <c r="C1000" s="204"/>
      <c r="D1000" s="203"/>
      <c r="E1000" s="204"/>
      <c r="F1000" s="204"/>
      <c r="G1000" s="93"/>
      <c r="H1000" s="204"/>
      <c r="I1000" s="205"/>
      <c r="J1000" s="204"/>
      <c r="K1000" s="204"/>
      <c r="L1000" s="203"/>
      <c r="M1000" s="204"/>
      <c r="N1000" s="205"/>
      <c r="O1000" s="205"/>
      <c r="P1000" s="204"/>
      <c r="Q1000" s="205"/>
      <c r="R1000" s="204"/>
      <c r="S1000" s="204"/>
      <c r="T1000" s="204"/>
      <c r="U1000" s="205"/>
      <c r="V1000" s="204"/>
      <c r="W1000" s="204"/>
      <c r="X1000" s="204"/>
      <c r="Y1000" s="204"/>
      <c r="Z1000" s="204"/>
      <c r="AA1000" s="204"/>
      <c r="AB1000" s="204"/>
      <c r="AC1000" s="204"/>
      <c r="AD1000" s="204"/>
    </row>
    <row r="1001">
      <c r="A1001" s="202"/>
      <c r="B1001" s="203"/>
      <c r="C1001" s="204"/>
      <c r="D1001" s="203"/>
      <c r="E1001" s="204"/>
      <c r="F1001" s="204"/>
      <c r="G1001" s="93"/>
      <c r="H1001" s="204"/>
      <c r="I1001" s="205"/>
      <c r="J1001" s="204"/>
      <c r="K1001" s="204"/>
      <c r="L1001" s="203"/>
      <c r="M1001" s="204"/>
      <c r="N1001" s="205"/>
      <c r="O1001" s="205"/>
      <c r="P1001" s="204"/>
      <c r="Q1001" s="205"/>
      <c r="R1001" s="204"/>
      <c r="S1001" s="204"/>
      <c r="T1001" s="204"/>
      <c r="U1001" s="205"/>
      <c r="V1001" s="204"/>
      <c r="W1001" s="204"/>
      <c r="X1001" s="204"/>
      <c r="Y1001" s="204"/>
      <c r="Z1001" s="204"/>
      <c r="AA1001" s="204"/>
      <c r="AB1001" s="204"/>
      <c r="AC1001" s="204"/>
      <c r="AD1001" s="204"/>
    </row>
    <row r="1002">
      <c r="A1002" s="202"/>
      <c r="B1002" s="203"/>
      <c r="C1002" s="204"/>
      <c r="D1002" s="203"/>
      <c r="E1002" s="204"/>
      <c r="F1002" s="204"/>
      <c r="G1002" s="93"/>
      <c r="H1002" s="204"/>
      <c r="I1002" s="205"/>
      <c r="J1002" s="204"/>
      <c r="K1002" s="204"/>
      <c r="L1002" s="203"/>
      <c r="M1002" s="204"/>
      <c r="N1002" s="205"/>
      <c r="O1002" s="205"/>
      <c r="P1002" s="204"/>
      <c r="Q1002" s="205"/>
      <c r="R1002" s="204"/>
      <c r="S1002" s="204"/>
      <c r="T1002" s="204"/>
      <c r="U1002" s="205"/>
      <c r="V1002" s="204"/>
      <c r="W1002" s="204"/>
      <c r="X1002" s="204"/>
      <c r="Y1002" s="204"/>
      <c r="Z1002" s="204"/>
      <c r="AA1002" s="204"/>
      <c r="AB1002" s="204"/>
      <c r="AC1002" s="204"/>
      <c r="AD1002" s="204"/>
    </row>
    <row r="1003">
      <c r="A1003" s="202"/>
      <c r="B1003" s="203"/>
      <c r="C1003" s="204"/>
      <c r="D1003" s="203"/>
      <c r="E1003" s="204"/>
      <c r="F1003" s="204"/>
      <c r="G1003" s="93"/>
      <c r="H1003" s="204"/>
      <c r="I1003" s="205"/>
      <c r="J1003" s="204"/>
      <c r="K1003" s="204"/>
      <c r="L1003" s="203"/>
      <c r="M1003" s="204"/>
      <c r="N1003" s="205"/>
      <c r="O1003" s="205"/>
      <c r="P1003" s="204"/>
      <c r="Q1003" s="205"/>
      <c r="R1003" s="204"/>
      <c r="S1003" s="204"/>
      <c r="T1003" s="204"/>
      <c r="U1003" s="205"/>
      <c r="V1003" s="204"/>
      <c r="W1003" s="204"/>
      <c r="X1003" s="204"/>
      <c r="Y1003" s="204"/>
      <c r="Z1003" s="204"/>
      <c r="AA1003" s="204"/>
      <c r="AB1003" s="204"/>
      <c r="AC1003" s="204"/>
      <c r="AD1003" s="204"/>
    </row>
    <row r="1004">
      <c r="A1004" s="202"/>
      <c r="B1004" s="203"/>
      <c r="C1004" s="204"/>
      <c r="D1004" s="203"/>
      <c r="E1004" s="204"/>
      <c r="F1004" s="204"/>
      <c r="G1004" s="93"/>
      <c r="H1004" s="204"/>
      <c r="I1004" s="205"/>
      <c r="J1004" s="204"/>
      <c r="K1004" s="204"/>
      <c r="L1004" s="203"/>
      <c r="M1004" s="204"/>
      <c r="N1004" s="205"/>
      <c r="O1004" s="205"/>
      <c r="P1004" s="204"/>
      <c r="Q1004" s="205"/>
      <c r="R1004" s="204"/>
      <c r="S1004" s="204"/>
      <c r="T1004" s="204"/>
      <c r="U1004" s="205"/>
      <c r="V1004" s="204"/>
      <c r="W1004" s="204"/>
      <c r="X1004" s="204"/>
      <c r="Y1004" s="204"/>
      <c r="Z1004" s="204"/>
      <c r="AA1004" s="204"/>
      <c r="AB1004" s="204"/>
      <c r="AC1004" s="204"/>
      <c r="AD1004" s="204"/>
    </row>
    <row r="1005">
      <c r="A1005" s="202"/>
      <c r="B1005" s="203"/>
      <c r="C1005" s="204"/>
      <c r="D1005" s="203"/>
      <c r="E1005" s="204"/>
      <c r="F1005" s="204"/>
      <c r="G1005" s="93"/>
      <c r="H1005" s="204"/>
      <c r="I1005" s="205"/>
      <c r="J1005" s="204"/>
      <c r="K1005" s="204"/>
      <c r="L1005" s="203"/>
      <c r="M1005" s="204"/>
      <c r="N1005" s="205"/>
      <c r="O1005" s="205"/>
      <c r="P1005" s="204"/>
      <c r="Q1005" s="205"/>
      <c r="R1005" s="204"/>
      <c r="S1005" s="204"/>
      <c r="T1005" s="204"/>
      <c r="U1005" s="205"/>
      <c r="V1005" s="204"/>
      <c r="W1005" s="204"/>
      <c r="X1005" s="204"/>
      <c r="Y1005" s="204"/>
      <c r="Z1005" s="204"/>
      <c r="AA1005" s="204"/>
      <c r="AB1005" s="204"/>
      <c r="AC1005" s="204"/>
      <c r="AD1005" s="204"/>
    </row>
    <row r="1006">
      <c r="A1006" s="202"/>
      <c r="B1006" s="203"/>
      <c r="C1006" s="204"/>
      <c r="D1006" s="203"/>
      <c r="E1006" s="204"/>
      <c r="F1006" s="204"/>
      <c r="G1006" s="93"/>
      <c r="H1006" s="204"/>
      <c r="I1006" s="205"/>
      <c r="J1006" s="204"/>
      <c r="K1006" s="204"/>
      <c r="L1006" s="203"/>
      <c r="M1006" s="204"/>
      <c r="N1006" s="205"/>
      <c r="O1006" s="205"/>
      <c r="P1006" s="204"/>
      <c r="Q1006" s="205"/>
      <c r="R1006" s="204"/>
      <c r="S1006" s="204"/>
      <c r="T1006" s="204"/>
      <c r="U1006" s="205"/>
      <c r="V1006" s="204"/>
      <c r="W1006" s="204"/>
      <c r="X1006" s="204"/>
      <c r="Y1006" s="204"/>
      <c r="Z1006" s="204"/>
      <c r="AA1006" s="204"/>
      <c r="AB1006" s="204"/>
      <c r="AC1006" s="204"/>
      <c r="AD1006" s="204"/>
    </row>
    <row r="1007">
      <c r="A1007" s="202"/>
      <c r="B1007" s="203"/>
      <c r="C1007" s="204"/>
      <c r="D1007" s="203"/>
      <c r="E1007" s="204"/>
      <c r="F1007" s="204"/>
      <c r="G1007" s="93"/>
      <c r="H1007" s="204"/>
      <c r="I1007" s="205"/>
      <c r="J1007" s="204"/>
      <c r="K1007" s="204"/>
      <c r="L1007" s="203"/>
      <c r="M1007" s="204"/>
      <c r="N1007" s="205"/>
      <c r="O1007" s="205"/>
      <c r="P1007" s="204"/>
      <c r="Q1007" s="205"/>
      <c r="R1007" s="204"/>
      <c r="S1007" s="204"/>
      <c r="T1007" s="204"/>
      <c r="U1007" s="205"/>
      <c r="V1007" s="204"/>
      <c r="W1007" s="204"/>
      <c r="X1007" s="204"/>
      <c r="Y1007" s="204"/>
      <c r="Z1007" s="204"/>
      <c r="AA1007" s="204"/>
      <c r="AB1007" s="204"/>
      <c r="AC1007" s="204"/>
      <c r="AD1007" s="204"/>
    </row>
    <row r="1008">
      <c r="A1008" s="202"/>
      <c r="B1008" s="203"/>
      <c r="C1008" s="204"/>
      <c r="D1008" s="203"/>
      <c r="E1008" s="204"/>
      <c r="F1008" s="204"/>
      <c r="G1008" s="93"/>
      <c r="H1008" s="204"/>
      <c r="I1008" s="205"/>
      <c r="J1008" s="204"/>
      <c r="K1008" s="204"/>
      <c r="L1008" s="203"/>
      <c r="M1008" s="204"/>
      <c r="N1008" s="205"/>
      <c r="O1008" s="205"/>
      <c r="P1008" s="204"/>
      <c r="Q1008" s="205"/>
      <c r="R1008" s="204"/>
      <c r="S1008" s="204"/>
      <c r="T1008" s="204"/>
      <c r="U1008" s="205"/>
      <c r="V1008" s="204"/>
      <c r="W1008" s="204"/>
      <c r="X1008" s="204"/>
      <c r="Y1008" s="204"/>
      <c r="Z1008" s="204"/>
      <c r="AA1008" s="204"/>
      <c r="AB1008" s="204"/>
      <c r="AC1008" s="204"/>
      <c r="AD1008" s="204"/>
    </row>
    <row r="1009">
      <c r="A1009" s="202"/>
      <c r="B1009" s="203"/>
      <c r="C1009" s="204"/>
      <c r="D1009" s="203"/>
      <c r="E1009" s="204"/>
      <c r="F1009" s="204"/>
      <c r="G1009" s="93"/>
      <c r="H1009" s="204"/>
      <c r="I1009" s="205"/>
      <c r="J1009" s="204"/>
      <c r="K1009" s="204"/>
      <c r="L1009" s="203"/>
      <c r="M1009" s="204"/>
      <c r="N1009" s="205"/>
      <c r="O1009" s="205"/>
      <c r="P1009" s="204"/>
      <c r="Q1009" s="205"/>
      <c r="R1009" s="204"/>
      <c r="S1009" s="204"/>
      <c r="T1009" s="204"/>
      <c r="U1009" s="205"/>
      <c r="V1009" s="204"/>
      <c r="W1009" s="204"/>
      <c r="X1009" s="204"/>
      <c r="Y1009" s="204"/>
      <c r="Z1009" s="204"/>
      <c r="AA1009" s="204"/>
      <c r="AB1009" s="204"/>
      <c r="AC1009" s="204"/>
      <c r="AD1009" s="204"/>
    </row>
    <row r="1010">
      <c r="A1010" s="202"/>
      <c r="B1010" s="203"/>
      <c r="C1010" s="204"/>
      <c r="D1010" s="203"/>
      <c r="E1010" s="204"/>
      <c r="F1010" s="204"/>
      <c r="G1010" s="93"/>
      <c r="H1010" s="204"/>
      <c r="I1010" s="205"/>
      <c r="J1010" s="204"/>
      <c r="K1010" s="204"/>
      <c r="L1010" s="203"/>
      <c r="M1010" s="204"/>
      <c r="N1010" s="205"/>
      <c r="O1010" s="205"/>
      <c r="P1010" s="204"/>
      <c r="Q1010" s="205"/>
      <c r="R1010" s="204"/>
      <c r="S1010" s="204"/>
      <c r="T1010" s="204"/>
      <c r="U1010" s="205"/>
      <c r="V1010" s="204"/>
      <c r="W1010" s="204"/>
      <c r="X1010" s="204"/>
      <c r="Y1010" s="204"/>
      <c r="Z1010" s="204"/>
      <c r="AA1010" s="204"/>
      <c r="AB1010" s="204"/>
      <c r="AC1010" s="204"/>
      <c r="AD1010" s="204"/>
    </row>
    <row r="1011">
      <c r="A1011" s="202"/>
      <c r="B1011" s="203"/>
      <c r="C1011" s="204"/>
      <c r="D1011" s="203"/>
      <c r="E1011" s="204"/>
      <c r="F1011" s="204"/>
      <c r="G1011" s="93"/>
      <c r="H1011" s="204"/>
      <c r="I1011" s="205"/>
      <c r="J1011" s="204"/>
      <c r="K1011" s="204"/>
      <c r="L1011" s="203"/>
      <c r="M1011" s="204"/>
      <c r="N1011" s="205"/>
      <c r="O1011" s="205"/>
      <c r="P1011" s="204"/>
      <c r="Q1011" s="205"/>
      <c r="R1011" s="204"/>
      <c r="S1011" s="204"/>
      <c r="T1011" s="204"/>
      <c r="U1011" s="205"/>
      <c r="V1011" s="204"/>
      <c r="W1011" s="204"/>
      <c r="X1011" s="204"/>
      <c r="Y1011" s="204"/>
      <c r="Z1011" s="204"/>
      <c r="AA1011" s="204"/>
      <c r="AB1011" s="204"/>
      <c r="AC1011" s="204"/>
      <c r="AD1011" s="204"/>
    </row>
    <row r="1012">
      <c r="A1012" s="202"/>
      <c r="B1012" s="203"/>
      <c r="C1012" s="204"/>
      <c r="D1012" s="203"/>
      <c r="E1012" s="204"/>
      <c r="F1012" s="204"/>
      <c r="G1012" s="93"/>
      <c r="H1012" s="204"/>
      <c r="I1012" s="205"/>
      <c r="J1012" s="204"/>
      <c r="K1012" s="204"/>
      <c r="L1012" s="203"/>
      <c r="M1012" s="204"/>
      <c r="N1012" s="205"/>
      <c r="O1012" s="205"/>
      <c r="P1012" s="204"/>
      <c r="Q1012" s="205"/>
      <c r="R1012" s="204"/>
      <c r="S1012" s="204"/>
      <c r="T1012" s="204"/>
      <c r="U1012" s="205"/>
      <c r="V1012" s="204"/>
      <c r="W1012" s="204"/>
      <c r="X1012" s="204"/>
      <c r="Y1012" s="204"/>
      <c r="Z1012" s="204"/>
      <c r="AA1012" s="204"/>
      <c r="AB1012" s="204"/>
      <c r="AC1012" s="204"/>
      <c r="AD1012" s="204"/>
    </row>
    <row r="1013">
      <c r="A1013" s="202"/>
      <c r="B1013" s="203"/>
      <c r="C1013" s="204"/>
      <c r="D1013" s="203"/>
      <c r="E1013" s="204"/>
      <c r="F1013" s="204"/>
      <c r="G1013" s="93"/>
      <c r="H1013" s="204"/>
      <c r="I1013" s="205"/>
      <c r="J1013" s="204"/>
      <c r="K1013" s="204"/>
      <c r="L1013" s="203"/>
      <c r="M1013" s="204"/>
      <c r="N1013" s="205"/>
      <c r="O1013" s="205"/>
      <c r="P1013" s="204"/>
      <c r="Q1013" s="205"/>
      <c r="R1013" s="204"/>
      <c r="S1013" s="204"/>
      <c r="T1013" s="204"/>
      <c r="U1013" s="205"/>
      <c r="V1013" s="204"/>
      <c r="W1013" s="204"/>
      <c r="X1013" s="204"/>
      <c r="Y1013" s="204"/>
      <c r="Z1013" s="204"/>
      <c r="AA1013" s="204"/>
      <c r="AB1013" s="204"/>
      <c r="AC1013" s="204"/>
      <c r="AD1013" s="204"/>
    </row>
    <row r="1014">
      <c r="A1014" s="202"/>
      <c r="B1014" s="203"/>
      <c r="C1014" s="204"/>
      <c r="D1014" s="203"/>
      <c r="E1014" s="204"/>
      <c r="F1014" s="204"/>
      <c r="G1014" s="93"/>
      <c r="H1014" s="204"/>
      <c r="I1014" s="205"/>
      <c r="J1014" s="204"/>
      <c r="K1014" s="204"/>
      <c r="L1014" s="203"/>
      <c r="M1014" s="204"/>
      <c r="N1014" s="205"/>
      <c r="O1014" s="205"/>
      <c r="P1014" s="204"/>
      <c r="Q1014" s="205"/>
      <c r="R1014" s="204"/>
      <c r="S1014" s="204"/>
      <c r="T1014" s="204"/>
      <c r="U1014" s="205"/>
      <c r="V1014" s="204"/>
      <c r="W1014" s="204"/>
      <c r="X1014" s="204"/>
      <c r="Y1014" s="204"/>
      <c r="Z1014" s="204"/>
      <c r="AA1014" s="204"/>
      <c r="AB1014" s="204"/>
      <c r="AC1014" s="204"/>
      <c r="AD1014" s="204"/>
    </row>
    <row r="1015">
      <c r="A1015" s="202"/>
      <c r="B1015" s="203"/>
      <c r="C1015" s="204"/>
      <c r="D1015" s="203"/>
      <c r="E1015" s="204"/>
      <c r="F1015" s="204"/>
      <c r="G1015" s="93"/>
      <c r="H1015" s="204"/>
      <c r="I1015" s="205"/>
      <c r="J1015" s="204"/>
      <c r="K1015" s="204"/>
      <c r="L1015" s="203"/>
      <c r="M1015" s="204"/>
      <c r="N1015" s="205"/>
      <c r="O1015" s="205"/>
      <c r="P1015" s="204"/>
      <c r="Q1015" s="205"/>
      <c r="R1015" s="204"/>
      <c r="S1015" s="204"/>
      <c r="T1015" s="204"/>
      <c r="U1015" s="205"/>
      <c r="V1015" s="204"/>
      <c r="W1015" s="204"/>
      <c r="X1015" s="204"/>
      <c r="Y1015" s="204"/>
      <c r="Z1015" s="204"/>
      <c r="AA1015" s="204"/>
      <c r="AB1015" s="204"/>
      <c r="AC1015" s="204"/>
      <c r="AD1015" s="204"/>
    </row>
    <row r="1016">
      <c r="A1016" s="202"/>
      <c r="B1016" s="203"/>
      <c r="C1016" s="204"/>
      <c r="D1016" s="203"/>
      <c r="E1016" s="204"/>
      <c r="F1016" s="204"/>
      <c r="G1016" s="93"/>
      <c r="H1016" s="204"/>
      <c r="I1016" s="205"/>
      <c r="J1016" s="204"/>
      <c r="K1016" s="204"/>
      <c r="L1016" s="203"/>
      <c r="M1016" s="204"/>
      <c r="N1016" s="205"/>
      <c r="O1016" s="205"/>
      <c r="P1016" s="204"/>
      <c r="Q1016" s="205"/>
      <c r="R1016" s="204"/>
      <c r="S1016" s="204"/>
      <c r="T1016" s="204"/>
      <c r="U1016" s="205"/>
      <c r="V1016" s="204"/>
      <c r="W1016" s="204"/>
      <c r="X1016" s="204"/>
      <c r="Y1016" s="204"/>
      <c r="Z1016" s="204"/>
      <c r="AA1016" s="204"/>
      <c r="AB1016" s="204"/>
      <c r="AC1016" s="204"/>
      <c r="AD1016" s="204"/>
    </row>
    <row r="1017">
      <c r="A1017" s="202"/>
      <c r="B1017" s="203"/>
      <c r="C1017" s="204"/>
      <c r="D1017" s="203"/>
      <c r="E1017" s="204"/>
      <c r="F1017" s="204"/>
      <c r="G1017" s="93"/>
      <c r="H1017" s="204"/>
      <c r="I1017" s="205"/>
      <c r="J1017" s="204"/>
      <c r="K1017" s="204"/>
      <c r="L1017" s="203"/>
      <c r="M1017" s="204"/>
      <c r="N1017" s="205"/>
      <c r="O1017" s="205"/>
      <c r="P1017" s="204"/>
      <c r="Q1017" s="205"/>
      <c r="R1017" s="204"/>
      <c r="S1017" s="204"/>
      <c r="T1017" s="204"/>
      <c r="U1017" s="205"/>
      <c r="V1017" s="204"/>
      <c r="W1017" s="204"/>
      <c r="X1017" s="204"/>
      <c r="Y1017" s="204"/>
      <c r="Z1017" s="204"/>
      <c r="AA1017" s="204"/>
      <c r="AB1017" s="204"/>
      <c r="AC1017" s="204"/>
      <c r="AD1017" s="204"/>
    </row>
    <row r="1018">
      <c r="A1018" s="202"/>
      <c r="B1018" s="203"/>
      <c r="C1018" s="204"/>
      <c r="D1018" s="203"/>
      <c r="E1018" s="204"/>
      <c r="F1018" s="204"/>
      <c r="G1018" s="93"/>
      <c r="H1018" s="204"/>
      <c r="I1018" s="205"/>
      <c r="J1018" s="204"/>
      <c r="K1018" s="204"/>
      <c r="L1018" s="203"/>
      <c r="M1018" s="204"/>
      <c r="N1018" s="205"/>
      <c r="O1018" s="205"/>
      <c r="P1018" s="204"/>
      <c r="Q1018" s="205"/>
      <c r="R1018" s="204"/>
      <c r="S1018" s="204"/>
      <c r="T1018" s="204"/>
      <c r="U1018" s="205"/>
      <c r="V1018" s="204"/>
      <c r="W1018" s="204"/>
      <c r="X1018" s="204"/>
      <c r="Y1018" s="204"/>
      <c r="Z1018" s="204"/>
      <c r="AA1018" s="204"/>
      <c r="AB1018" s="204"/>
      <c r="AC1018" s="204"/>
      <c r="AD1018" s="204"/>
    </row>
    <row r="1019">
      <c r="A1019" s="202"/>
      <c r="B1019" s="203"/>
      <c r="C1019" s="204"/>
      <c r="D1019" s="203"/>
      <c r="E1019" s="204"/>
      <c r="F1019" s="204"/>
      <c r="G1019" s="93"/>
      <c r="H1019" s="204"/>
      <c r="I1019" s="205"/>
      <c r="J1019" s="204"/>
      <c r="K1019" s="204"/>
      <c r="L1019" s="203"/>
      <c r="M1019" s="204"/>
      <c r="N1019" s="205"/>
      <c r="O1019" s="205"/>
      <c r="P1019" s="204"/>
      <c r="Q1019" s="205"/>
      <c r="R1019" s="204"/>
      <c r="S1019" s="204"/>
      <c r="T1019" s="204"/>
      <c r="U1019" s="205"/>
      <c r="V1019" s="204"/>
      <c r="W1019" s="204"/>
      <c r="X1019" s="204"/>
      <c r="Y1019" s="204"/>
      <c r="Z1019" s="204"/>
      <c r="AA1019" s="204"/>
      <c r="AB1019" s="204"/>
      <c r="AC1019" s="204"/>
      <c r="AD1019" s="204"/>
    </row>
    <row r="1020">
      <c r="A1020" s="202"/>
      <c r="B1020" s="203"/>
      <c r="C1020" s="204"/>
      <c r="D1020" s="203"/>
      <c r="E1020" s="204"/>
      <c r="F1020" s="204"/>
      <c r="G1020" s="93"/>
      <c r="H1020" s="204"/>
      <c r="I1020" s="205"/>
      <c r="J1020" s="204"/>
      <c r="K1020" s="204"/>
      <c r="L1020" s="203"/>
      <c r="M1020" s="204"/>
      <c r="N1020" s="205"/>
      <c r="O1020" s="205"/>
      <c r="P1020" s="204"/>
      <c r="Q1020" s="205"/>
      <c r="R1020" s="204"/>
      <c r="S1020" s="204"/>
      <c r="T1020" s="204"/>
      <c r="U1020" s="205"/>
      <c r="V1020" s="204"/>
      <c r="W1020" s="204"/>
      <c r="X1020" s="204"/>
      <c r="Y1020" s="204"/>
      <c r="Z1020" s="204"/>
      <c r="AA1020" s="204"/>
      <c r="AB1020" s="204"/>
      <c r="AC1020" s="204"/>
      <c r="AD1020" s="204"/>
    </row>
    <row r="1021">
      <c r="A1021" s="202"/>
      <c r="B1021" s="203"/>
      <c r="C1021" s="204"/>
      <c r="D1021" s="203"/>
      <c r="E1021" s="204"/>
      <c r="F1021" s="204"/>
      <c r="G1021" s="93"/>
      <c r="H1021" s="204"/>
      <c r="I1021" s="205"/>
      <c r="J1021" s="204"/>
      <c r="K1021" s="204"/>
      <c r="L1021" s="203"/>
      <c r="M1021" s="204"/>
      <c r="N1021" s="205"/>
      <c r="O1021" s="205"/>
      <c r="P1021" s="204"/>
      <c r="Q1021" s="205"/>
      <c r="R1021" s="204"/>
      <c r="S1021" s="204"/>
      <c r="T1021" s="204"/>
      <c r="U1021" s="205"/>
      <c r="V1021" s="204"/>
      <c r="W1021" s="204"/>
      <c r="X1021" s="204"/>
      <c r="Y1021" s="204"/>
      <c r="Z1021" s="204"/>
      <c r="AA1021" s="204"/>
      <c r="AB1021" s="204"/>
      <c r="AC1021" s="204"/>
      <c r="AD1021" s="204"/>
    </row>
    <row r="1022">
      <c r="A1022" s="202"/>
      <c r="B1022" s="203"/>
      <c r="C1022" s="204"/>
      <c r="D1022" s="203"/>
      <c r="E1022" s="204"/>
      <c r="F1022" s="204"/>
      <c r="G1022" s="93"/>
      <c r="H1022" s="204"/>
      <c r="I1022" s="205"/>
      <c r="J1022" s="204"/>
      <c r="K1022" s="204"/>
      <c r="L1022" s="203"/>
      <c r="M1022" s="204"/>
      <c r="N1022" s="205"/>
      <c r="O1022" s="205"/>
      <c r="P1022" s="204"/>
      <c r="Q1022" s="205"/>
      <c r="R1022" s="204"/>
      <c r="S1022" s="204"/>
      <c r="T1022" s="204"/>
      <c r="U1022" s="205"/>
      <c r="V1022" s="204"/>
      <c r="W1022" s="204"/>
      <c r="X1022" s="204"/>
      <c r="Y1022" s="204"/>
      <c r="Z1022" s="204"/>
      <c r="AA1022" s="204"/>
      <c r="AB1022" s="204"/>
      <c r="AC1022" s="204"/>
      <c r="AD1022" s="204"/>
    </row>
    <row r="1023">
      <c r="A1023" s="202"/>
      <c r="B1023" s="203"/>
      <c r="C1023" s="204"/>
      <c r="D1023" s="203"/>
      <c r="E1023" s="204"/>
      <c r="F1023" s="204"/>
      <c r="G1023" s="93"/>
      <c r="H1023" s="204"/>
      <c r="I1023" s="205"/>
      <c r="J1023" s="204"/>
      <c r="K1023" s="204"/>
      <c r="L1023" s="203"/>
      <c r="M1023" s="204"/>
      <c r="N1023" s="205"/>
      <c r="O1023" s="205"/>
      <c r="P1023" s="204"/>
      <c r="Q1023" s="205"/>
      <c r="R1023" s="204"/>
      <c r="S1023" s="204"/>
      <c r="T1023" s="204"/>
      <c r="U1023" s="205"/>
      <c r="V1023" s="204"/>
      <c r="W1023" s="204"/>
      <c r="X1023" s="204"/>
      <c r="Y1023" s="204"/>
      <c r="Z1023" s="204"/>
      <c r="AA1023" s="204"/>
      <c r="AB1023" s="204"/>
      <c r="AC1023" s="204"/>
      <c r="AD1023" s="204"/>
    </row>
    <row r="1024">
      <c r="A1024" s="202"/>
      <c r="B1024" s="203"/>
      <c r="C1024" s="204"/>
      <c r="D1024" s="203"/>
      <c r="E1024" s="204"/>
      <c r="F1024" s="204"/>
      <c r="G1024" s="93"/>
      <c r="H1024" s="204"/>
      <c r="I1024" s="205"/>
      <c r="J1024" s="204"/>
      <c r="K1024" s="204"/>
      <c r="L1024" s="203"/>
      <c r="M1024" s="204"/>
      <c r="N1024" s="205"/>
      <c r="O1024" s="205"/>
      <c r="P1024" s="204"/>
      <c r="Q1024" s="205"/>
      <c r="R1024" s="204"/>
      <c r="S1024" s="204"/>
      <c r="T1024" s="204"/>
      <c r="U1024" s="205"/>
      <c r="V1024" s="204"/>
      <c r="W1024" s="204"/>
      <c r="X1024" s="204"/>
      <c r="Y1024" s="204"/>
      <c r="Z1024" s="204"/>
      <c r="AA1024" s="204"/>
      <c r="AB1024" s="204"/>
      <c r="AC1024" s="204"/>
      <c r="AD1024" s="204"/>
    </row>
    <row r="1025">
      <c r="A1025" s="202"/>
      <c r="B1025" s="203"/>
      <c r="C1025" s="204"/>
      <c r="D1025" s="203"/>
      <c r="E1025" s="204"/>
      <c r="F1025" s="204"/>
      <c r="G1025" s="93"/>
      <c r="H1025" s="204"/>
      <c r="I1025" s="205"/>
      <c r="J1025" s="204"/>
      <c r="K1025" s="204"/>
      <c r="L1025" s="203"/>
      <c r="M1025" s="204"/>
      <c r="N1025" s="205"/>
      <c r="O1025" s="205"/>
      <c r="P1025" s="204"/>
      <c r="Q1025" s="205"/>
      <c r="R1025" s="204"/>
      <c r="S1025" s="204"/>
      <c r="T1025" s="204"/>
      <c r="U1025" s="205"/>
      <c r="V1025" s="204"/>
      <c r="W1025" s="204"/>
      <c r="X1025" s="204"/>
      <c r="Y1025" s="204"/>
      <c r="Z1025" s="204"/>
      <c r="AA1025" s="204"/>
      <c r="AB1025" s="204"/>
      <c r="AC1025" s="204"/>
      <c r="AD1025" s="204"/>
    </row>
    <row r="1026">
      <c r="A1026" s="202"/>
      <c r="B1026" s="203"/>
      <c r="C1026" s="204"/>
      <c r="D1026" s="203"/>
      <c r="E1026" s="204"/>
      <c r="F1026" s="204"/>
      <c r="G1026" s="93"/>
      <c r="H1026" s="204"/>
      <c r="I1026" s="205"/>
      <c r="J1026" s="204"/>
      <c r="K1026" s="204"/>
      <c r="L1026" s="203"/>
      <c r="M1026" s="204"/>
      <c r="N1026" s="205"/>
      <c r="O1026" s="205"/>
      <c r="P1026" s="204"/>
      <c r="Q1026" s="205"/>
      <c r="R1026" s="204"/>
      <c r="S1026" s="204"/>
      <c r="T1026" s="204"/>
      <c r="U1026" s="205"/>
      <c r="V1026" s="204"/>
      <c r="W1026" s="204"/>
      <c r="X1026" s="204"/>
      <c r="Y1026" s="204"/>
      <c r="Z1026" s="204"/>
      <c r="AA1026" s="204"/>
      <c r="AB1026" s="204"/>
      <c r="AC1026" s="204"/>
      <c r="AD1026" s="204"/>
    </row>
    <row r="1027">
      <c r="A1027" s="202"/>
      <c r="B1027" s="203"/>
      <c r="C1027" s="204"/>
      <c r="D1027" s="203"/>
      <c r="E1027" s="204"/>
      <c r="F1027" s="204"/>
      <c r="G1027" s="93"/>
      <c r="H1027" s="204"/>
      <c r="I1027" s="205"/>
      <c r="J1027" s="204"/>
      <c r="K1027" s="204"/>
      <c r="L1027" s="203"/>
      <c r="M1027" s="204"/>
      <c r="N1027" s="205"/>
      <c r="O1027" s="205"/>
      <c r="P1027" s="204"/>
      <c r="Q1027" s="205"/>
      <c r="R1027" s="204"/>
      <c r="S1027" s="204"/>
      <c r="T1027" s="204"/>
      <c r="U1027" s="205"/>
      <c r="V1027" s="204"/>
      <c r="W1027" s="204"/>
      <c r="X1027" s="204"/>
      <c r="Y1027" s="204"/>
      <c r="Z1027" s="204"/>
      <c r="AA1027" s="204"/>
      <c r="AB1027" s="204"/>
      <c r="AC1027" s="204"/>
      <c r="AD1027" s="204"/>
    </row>
    <row r="1028">
      <c r="A1028" s="202"/>
      <c r="B1028" s="203"/>
      <c r="C1028" s="204"/>
      <c r="D1028" s="203"/>
      <c r="E1028" s="204"/>
      <c r="F1028" s="204"/>
      <c r="G1028" s="93"/>
      <c r="H1028" s="204"/>
      <c r="I1028" s="205"/>
      <c r="J1028" s="204"/>
      <c r="K1028" s="204"/>
      <c r="L1028" s="203"/>
      <c r="M1028" s="204"/>
      <c r="N1028" s="205"/>
      <c r="O1028" s="205"/>
      <c r="P1028" s="204"/>
      <c r="Q1028" s="205"/>
      <c r="R1028" s="204"/>
      <c r="S1028" s="204"/>
      <c r="T1028" s="204"/>
      <c r="U1028" s="205"/>
      <c r="V1028" s="204"/>
      <c r="W1028" s="204"/>
      <c r="X1028" s="204"/>
      <c r="Y1028" s="204"/>
      <c r="Z1028" s="204"/>
      <c r="AA1028" s="204"/>
      <c r="AB1028" s="204"/>
      <c r="AC1028" s="204"/>
      <c r="AD1028" s="204"/>
    </row>
    <row r="1029">
      <c r="A1029" s="202"/>
      <c r="B1029" s="203"/>
      <c r="C1029" s="204"/>
      <c r="D1029" s="203"/>
      <c r="E1029" s="204"/>
      <c r="F1029" s="204"/>
      <c r="G1029" s="93"/>
      <c r="H1029" s="204"/>
      <c r="I1029" s="205"/>
      <c r="J1029" s="204"/>
      <c r="K1029" s="204"/>
      <c r="L1029" s="203"/>
      <c r="M1029" s="204"/>
      <c r="N1029" s="205"/>
      <c r="O1029" s="205"/>
      <c r="P1029" s="204"/>
      <c r="Q1029" s="205"/>
      <c r="R1029" s="204"/>
      <c r="S1029" s="204"/>
      <c r="T1029" s="204"/>
      <c r="U1029" s="205"/>
      <c r="V1029" s="204"/>
      <c r="W1029" s="204"/>
      <c r="X1029" s="204"/>
      <c r="Y1029" s="204"/>
      <c r="Z1029" s="204"/>
      <c r="AA1029" s="204"/>
      <c r="AB1029" s="204"/>
      <c r="AC1029" s="204"/>
      <c r="AD1029" s="204"/>
    </row>
    <row r="1030">
      <c r="A1030" s="202"/>
      <c r="B1030" s="203"/>
      <c r="C1030" s="204"/>
      <c r="D1030" s="203"/>
      <c r="E1030" s="204"/>
      <c r="F1030" s="204"/>
      <c r="G1030" s="93"/>
      <c r="H1030" s="204"/>
      <c r="I1030" s="205"/>
      <c r="J1030" s="204"/>
      <c r="K1030" s="204"/>
      <c r="L1030" s="203"/>
      <c r="M1030" s="204"/>
      <c r="N1030" s="205"/>
      <c r="O1030" s="205"/>
      <c r="P1030" s="204"/>
      <c r="Q1030" s="205"/>
      <c r="R1030" s="204"/>
      <c r="S1030" s="204"/>
      <c r="T1030" s="204"/>
      <c r="U1030" s="205"/>
      <c r="V1030" s="204"/>
      <c r="W1030" s="204"/>
      <c r="X1030" s="204"/>
      <c r="Y1030" s="204"/>
      <c r="Z1030" s="204"/>
      <c r="AA1030" s="204"/>
      <c r="AB1030" s="204"/>
      <c r="AC1030" s="204"/>
      <c r="AD1030" s="204"/>
    </row>
    <row r="1031">
      <c r="A1031" s="202"/>
      <c r="B1031" s="203"/>
      <c r="C1031" s="204"/>
      <c r="D1031" s="203"/>
      <c r="E1031" s="204"/>
      <c r="F1031" s="204"/>
      <c r="G1031" s="93"/>
      <c r="H1031" s="204"/>
      <c r="I1031" s="205"/>
      <c r="J1031" s="204"/>
      <c r="K1031" s="204"/>
      <c r="L1031" s="203"/>
      <c r="M1031" s="204"/>
      <c r="N1031" s="205"/>
      <c r="O1031" s="205"/>
      <c r="P1031" s="204"/>
      <c r="Q1031" s="205"/>
      <c r="R1031" s="204"/>
      <c r="S1031" s="204"/>
      <c r="T1031" s="204"/>
      <c r="U1031" s="205"/>
      <c r="V1031" s="204"/>
      <c r="W1031" s="204"/>
      <c r="X1031" s="204"/>
      <c r="Y1031" s="204"/>
      <c r="Z1031" s="204"/>
      <c r="AA1031" s="204"/>
      <c r="AB1031" s="204"/>
      <c r="AC1031" s="204"/>
      <c r="AD1031" s="204"/>
    </row>
    <row r="1032">
      <c r="A1032" s="202"/>
      <c r="B1032" s="203"/>
      <c r="C1032" s="204"/>
      <c r="D1032" s="203"/>
      <c r="E1032" s="204"/>
      <c r="F1032" s="204"/>
      <c r="G1032" s="93"/>
      <c r="H1032" s="204"/>
      <c r="I1032" s="205"/>
      <c r="J1032" s="204"/>
      <c r="K1032" s="204"/>
      <c r="L1032" s="203"/>
      <c r="M1032" s="204"/>
      <c r="N1032" s="205"/>
      <c r="O1032" s="205"/>
      <c r="P1032" s="204"/>
      <c r="Q1032" s="205"/>
      <c r="R1032" s="204"/>
      <c r="S1032" s="204"/>
      <c r="T1032" s="204"/>
      <c r="U1032" s="205"/>
      <c r="V1032" s="204"/>
      <c r="W1032" s="204"/>
      <c r="X1032" s="204"/>
      <c r="Y1032" s="204"/>
      <c r="Z1032" s="204"/>
      <c r="AA1032" s="204"/>
      <c r="AB1032" s="204"/>
      <c r="AC1032" s="204"/>
      <c r="AD1032" s="204"/>
    </row>
    <row r="1033">
      <c r="A1033" s="202"/>
      <c r="B1033" s="203"/>
      <c r="C1033" s="204"/>
      <c r="D1033" s="203"/>
      <c r="E1033" s="204"/>
      <c r="F1033" s="204"/>
      <c r="G1033" s="93"/>
      <c r="H1033" s="204"/>
      <c r="I1033" s="205"/>
      <c r="J1033" s="204"/>
      <c r="K1033" s="204"/>
      <c r="L1033" s="203"/>
      <c r="M1033" s="204"/>
      <c r="N1033" s="205"/>
      <c r="O1033" s="205"/>
      <c r="P1033" s="204"/>
      <c r="Q1033" s="205"/>
      <c r="R1033" s="204"/>
      <c r="S1033" s="204"/>
      <c r="T1033" s="204"/>
      <c r="U1033" s="205"/>
      <c r="V1033" s="204"/>
      <c r="W1033" s="204"/>
      <c r="X1033" s="204"/>
      <c r="Y1033" s="204"/>
      <c r="Z1033" s="204"/>
      <c r="AA1033" s="204"/>
      <c r="AB1033" s="204"/>
      <c r="AC1033" s="204"/>
      <c r="AD1033" s="204"/>
    </row>
    <row r="1034">
      <c r="A1034" s="202"/>
      <c r="B1034" s="203"/>
      <c r="C1034" s="204"/>
      <c r="D1034" s="203"/>
      <c r="E1034" s="204"/>
      <c r="F1034" s="204"/>
      <c r="G1034" s="93"/>
      <c r="H1034" s="204"/>
      <c r="I1034" s="205"/>
      <c r="J1034" s="204"/>
      <c r="K1034" s="204"/>
      <c r="L1034" s="203"/>
      <c r="M1034" s="204"/>
      <c r="N1034" s="205"/>
      <c r="O1034" s="205"/>
      <c r="P1034" s="204"/>
      <c r="Q1034" s="205"/>
      <c r="R1034" s="204"/>
      <c r="S1034" s="204"/>
      <c r="T1034" s="204"/>
      <c r="U1034" s="205"/>
      <c r="V1034" s="204"/>
      <c r="W1034" s="204"/>
      <c r="X1034" s="204"/>
      <c r="Y1034" s="204"/>
      <c r="Z1034" s="204"/>
      <c r="AA1034" s="204"/>
      <c r="AB1034" s="204"/>
      <c r="AC1034" s="204"/>
      <c r="AD1034" s="204"/>
    </row>
    <row r="1035">
      <c r="A1035" s="202"/>
      <c r="B1035" s="203"/>
      <c r="C1035" s="204"/>
      <c r="D1035" s="203"/>
      <c r="E1035" s="204"/>
      <c r="F1035" s="204"/>
      <c r="G1035" s="93"/>
      <c r="H1035" s="204"/>
      <c r="I1035" s="205"/>
      <c r="J1035" s="204"/>
      <c r="K1035" s="204"/>
      <c r="L1035" s="203"/>
      <c r="M1035" s="204"/>
      <c r="N1035" s="205"/>
      <c r="O1035" s="205"/>
      <c r="P1035" s="204"/>
      <c r="Q1035" s="205"/>
      <c r="R1035" s="204"/>
      <c r="S1035" s="204"/>
      <c r="T1035" s="204"/>
      <c r="U1035" s="205"/>
      <c r="V1035" s="204"/>
      <c r="W1035" s="204"/>
      <c r="X1035" s="204"/>
      <c r="Y1035" s="204"/>
      <c r="Z1035" s="204"/>
      <c r="AA1035" s="204"/>
      <c r="AB1035" s="204"/>
      <c r="AC1035" s="204"/>
      <c r="AD1035" s="204"/>
    </row>
    <row r="1036">
      <c r="A1036" s="202"/>
      <c r="B1036" s="203"/>
      <c r="C1036" s="204"/>
      <c r="D1036" s="203"/>
      <c r="E1036" s="204"/>
      <c r="F1036" s="204"/>
      <c r="G1036" s="93"/>
      <c r="H1036" s="204"/>
      <c r="I1036" s="205"/>
      <c r="J1036" s="204"/>
      <c r="K1036" s="204"/>
      <c r="L1036" s="203"/>
      <c r="M1036" s="204"/>
      <c r="N1036" s="205"/>
      <c r="O1036" s="205"/>
      <c r="P1036" s="204"/>
      <c r="Q1036" s="205"/>
      <c r="R1036" s="204"/>
      <c r="S1036" s="204"/>
      <c r="T1036" s="204"/>
      <c r="U1036" s="205"/>
      <c r="V1036" s="204"/>
      <c r="W1036" s="204"/>
      <c r="X1036" s="204"/>
      <c r="Y1036" s="204"/>
      <c r="Z1036" s="204"/>
      <c r="AA1036" s="204"/>
      <c r="AB1036" s="204"/>
      <c r="AC1036" s="204"/>
      <c r="AD1036" s="204"/>
    </row>
    <row r="1037">
      <c r="A1037" s="202"/>
      <c r="B1037" s="203"/>
      <c r="C1037" s="204"/>
      <c r="D1037" s="203"/>
      <c r="E1037" s="204"/>
      <c r="F1037" s="204"/>
      <c r="G1037" s="93"/>
      <c r="H1037" s="204"/>
      <c r="I1037" s="205"/>
      <c r="J1037" s="204"/>
      <c r="K1037" s="204"/>
      <c r="L1037" s="203"/>
      <c r="M1037" s="204"/>
      <c r="N1037" s="205"/>
      <c r="O1037" s="205"/>
      <c r="P1037" s="204"/>
      <c r="Q1037" s="205"/>
      <c r="R1037" s="204"/>
      <c r="S1037" s="204"/>
      <c r="T1037" s="204"/>
      <c r="U1037" s="205"/>
      <c r="V1037" s="204"/>
      <c r="W1037" s="204"/>
      <c r="X1037" s="204"/>
      <c r="Y1037" s="204"/>
      <c r="Z1037" s="204"/>
      <c r="AA1037" s="204"/>
      <c r="AB1037" s="204"/>
      <c r="AC1037" s="204"/>
      <c r="AD1037" s="204"/>
    </row>
    <row r="1038">
      <c r="A1038" s="202"/>
      <c r="B1038" s="203"/>
      <c r="C1038" s="204"/>
      <c r="D1038" s="203"/>
      <c r="E1038" s="204"/>
      <c r="F1038" s="204"/>
      <c r="G1038" s="93"/>
      <c r="H1038" s="204"/>
      <c r="I1038" s="205"/>
      <c r="J1038" s="204"/>
      <c r="K1038" s="204"/>
      <c r="L1038" s="203"/>
      <c r="M1038" s="204"/>
      <c r="N1038" s="205"/>
      <c r="O1038" s="205"/>
      <c r="P1038" s="204"/>
      <c r="Q1038" s="205"/>
      <c r="R1038" s="204"/>
      <c r="S1038" s="204"/>
      <c r="T1038" s="204"/>
      <c r="U1038" s="205"/>
      <c r="V1038" s="204"/>
      <c r="W1038" s="204"/>
      <c r="X1038" s="204"/>
      <c r="Y1038" s="204"/>
      <c r="Z1038" s="204"/>
      <c r="AA1038" s="204"/>
      <c r="AB1038" s="204"/>
      <c r="AC1038" s="204"/>
      <c r="AD1038" s="204"/>
    </row>
    <row r="1039">
      <c r="A1039" s="202"/>
      <c r="B1039" s="203"/>
      <c r="C1039" s="204"/>
      <c r="D1039" s="203"/>
      <c r="E1039" s="204"/>
      <c r="F1039" s="204"/>
      <c r="G1039" s="93"/>
      <c r="H1039" s="204"/>
      <c r="I1039" s="205"/>
      <c r="J1039" s="204"/>
      <c r="K1039" s="204"/>
      <c r="L1039" s="203"/>
      <c r="M1039" s="204"/>
      <c r="N1039" s="205"/>
      <c r="O1039" s="205"/>
      <c r="P1039" s="204"/>
      <c r="Q1039" s="205"/>
      <c r="R1039" s="204"/>
      <c r="S1039" s="204"/>
      <c r="T1039" s="204"/>
      <c r="U1039" s="205"/>
      <c r="V1039" s="204"/>
      <c r="W1039" s="204"/>
      <c r="X1039" s="204"/>
      <c r="Y1039" s="204"/>
      <c r="Z1039" s="204"/>
      <c r="AA1039" s="204"/>
      <c r="AB1039" s="204"/>
      <c r="AC1039" s="204"/>
      <c r="AD1039" s="204"/>
    </row>
    <row r="1040">
      <c r="A1040" s="202"/>
      <c r="B1040" s="203"/>
      <c r="C1040" s="204"/>
      <c r="D1040" s="203"/>
      <c r="E1040" s="204"/>
      <c r="F1040" s="204"/>
      <c r="G1040" s="93"/>
      <c r="H1040" s="204"/>
      <c r="I1040" s="205"/>
      <c r="J1040" s="204"/>
      <c r="K1040" s="204"/>
      <c r="L1040" s="203"/>
      <c r="M1040" s="204"/>
      <c r="N1040" s="205"/>
      <c r="O1040" s="205"/>
      <c r="P1040" s="204"/>
      <c r="Q1040" s="205"/>
      <c r="R1040" s="204"/>
      <c r="S1040" s="204"/>
      <c r="T1040" s="204"/>
      <c r="U1040" s="205"/>
      <c r="V1040" s="204"/>
      <c r="W1040" s="204"/>
      <c r="X1040" s="204"/>
      <c r="Y1040" s="204"/>
      <c r="Z1040" s="204"/>
      <c r="AA1040" s="204"/>
      <c r="AB1040" s="204"/>
      <c r="AC1040" s="204"/>
      <c r="AD1040" s="204"/>
    </row>
    <row r="1041">
      <c r="A1041" s="202"/>
      <c r="B1041" s="203"/>
      <c r="C1041" s="204"/>
      <c r="D1041" s="203"/>
      <c r="E1041" s="204"/>
      <c r="F1041" s="204"/>
      <c r="G1041" s="93"/>
      <c r="H1041" s="204"/>
      <c r="I1041" s="205"/>
      <c r="J1041" s="204"/>
      <c r="K1041" s="204"/>
      <c r="L1041" s="203"/>
      <c r="M1041" s="204"/>
      <c r="N1041" s="205"/>
      <c r="O1041" s="205"/>
      <c r="P1041" s="204"/>
      <c r="Q1041" s="205"/>
      <c r="R1041" s="204"/>
      <c r="S1041" s="204"/>
      <c r="T1041" s="204"/>
      <c r="U1041" s="205"/>
      <c r="V1041" s="204"/>
      <c r="W1041" s="204"/>
      <c r="X1041" s="204"/>
      <c r="Y1041" s="204"/>
      <c r="Z1041" s="204"/>
      <c r="AA1041" s="204"/>
      <c r="AB1041" s="204"/>
      <c r="AC1041" s="204"/>
      <c r="AD1041" s="204"/>
    </row>
    <row r="1042">
      <c r="A1042" s="202"/>
      <c r="B1042" s="203"/>
      <c r="C1042" s="204"/>
      <c r="D1042" s="203"/>
      <c r="E1042" s="204"/>
      <c r="F1042" s="204"/>
      <c r="G1042" s="93"/>
      <c r="H1042" s="204"/>
      <c r="I1042" s="205"/>
      <c r="J1042" s="204"/>
      <c r="K1042" s="204"/>
      <c r="L1042" s="203"/>
      <c r="M1042" s="204"/>
      <c r="N1042" s="205"/>
      <c r="O1042" s="205"/>
      <c r="P1042" s="204"/>
      <c r="Q1042" s="205"/>
      <c r="R1042" s="204"/>
      <c r="S1042" s="204"/>
      <c r="T1042" s="204"/>
      <c r="U1042" s="205"/>
      <c r="V1042" s="204"/>
      <c r="W1042" s="204"/>
      <c r="X1042" s="204"/>
      <c r="Y1042" s="204"/>
      <c r="Z1042" s="204"/>
      <c r="AA1042" s="204"/>
      <c r="AB1042" s="204"/>
      <c r="AC1042" s="204"/>
      <c r="AD1042" s="204"/>
    </row>
    <row r="1043">
      <c r="A1043" s="202"/>
      <c r="B1043" s="203"/>
      <c r="C1043" s="204"/>
      <c r="D1043" s="203"/>
      <c r="E1043" s="204"/>
      <c r="F1043" s="204"/>
      <c r="G1043" s="93"/>
      <c r="H1043" s="204"/>
      <c r="I1043" s="205"/>
      <c r="J1043" s="204"/>
      <c r="K1043" s="204"/>
      <c r="L1043" s="203"/>
      <c r="M1043" s="204"/>
      <c r="N1043" s="205"/>
      <c r="O1043" s="205"/>
      <c r="P1043" s="204"/>
      <c r="Q1043" s="205"/>
      <c r="R1043" s="204"/>
      <c r="S1043" s="204"/>
      <c r="T1043" s="204"/>
      <c r="U1043" s="205"/>
      <c r="V1043" s="204"/>
      <c r="W1043" s="204"/>
      <c r="X1043" s="204"/>
      <c r="Y1043" s="204"/>
      <c r="Z1043" s="204"/>
      <c r="AA1043" s="204"/>
      <c r="AB1043" s="204"/>
      <c r="AC1043" s="204"/>
      <c r="AD1043" s="204"/>
    </row>
    <row r="1044">
      <c r="A1044" s="202"/>
      <c r="B1044" s="203"/>
      <c r="C1044" s="204"/>
      <c r="D1044" s="203"/>
      <c r="E1044" s="204"/>
      <c r="F1044" s="204"/>
      <c r="G1044" s="93"/>
      <c r="H1044" s="204"/>
      <c r="I1044" s="205"/>
      <c r="J1044" s="204"/>
      <c r="K1044" s="204"/>
      <c r="L1044" s="203"/>
      <c r="M1044" s="204"/>
      <c r="N1044" s="205"/>
      <c r="O1044" s="205"/>
      <c r="P1044" s="204"/>
      <c r="Q1044" s="205"/>
      <c r="R1044" s="204"/>
      <c r="S1044" s="204"/>
      <c r="T1044" s="204"/>
      <c r="U1044" s="205"/>
      <c r="V1044" s="204"/>
      <c r="W1044" s="204"/>
      <c r="X1044" s="204"/>
      <c r="Y1044" s="204"/>
      <c r="Z1044" s="204"/>
      <c r="AA1044" s="204"/>
      <c r="AB1044" s="204"/>
      <c r="AC1044" s="204"/>
      <c r="AD1044" s="204"/>
    </row>
    <row r="1045">
      <c r="A1045" s="202"/>
      <c r="B1045" s="203"/>
      <c r="C1045" s="204"/>
      <c r="D1045" s="203"/>
      <c r="E1045" s="204"/>
      <c r="F1045" s="204"/>
      <c r="G1045" s="93"/>
      <c r="H1045" s="204"/>
      <c r="I1045" s="205"/>
      <c r="J1045" s="204"/>
      <c r="K1045" s="204"/>
      <c r="L1045" s="203"/>
      <c r="M1045" s="204"/>
      <c r="N1045" s="205"/>
      <c r="O1045" s="205"/>
      <c r="P1045" s="204"/>
      <c r="Q1045" s="205"/>
      <c r="R1045" s="204"/>
      <c r="S1045" s="204"/>
      <c r="T1045" s="204"/>
      <c r="U1045" s="205"/>
      <c r="V1045" s="204"/>
      <c r="W1045" s="204"/>
      <c r="X1045" s="204"/>
      <c r="Y1045" s="204"/>
      <c r="Z1045" s="204"/>
      <c r="AA1045" s="204"/>
      <c r="AB1045" s="204"/>
      <c r="AC1045" s="204"/>
      <c r="AD1045" s="204"/>
    </row>
    <row r="1046">
      <c r="A1046" s="202"/>
      <c r="B1046" s="203"/>
      <c r="C1046" s="204"/>
      <c r="D1046" s="203"/>
      <c r="E1046" s="204"/>
      <c r="F1046" s="204"/>
      <c r="G1046" s="93"/>
      <c r="H1046" s="204"/>
      <c r="I1046" s="205"/>
      <c r="J1046" s="204"/>
      <c r="K1046" s="204"/>
      <c r="L1046" s="203"/>
      <c r="M1046" s="204"/>
      <c r="N1046" s="205"/>
      <c r="O1046" s="205"/>
      <c r="P1046" s="204"/>
      <c r="Q1046" s="205"/>
      <c r="R1046" s="204"/>
      <c r="S1046" s="204"/>
      <c r="T1046" s="204"/>
      <c r="U1046" s="205"/>
      <c r="V1046" s="204"/>
      <c r="W1046" s="204"/>
      <c r="X1046" s="204"/>
      <c r="Y1046" s="204"/>
      <c r="Z1046" s="204"/>
      <c r="AA1046" s="204"/>
      <c r="AB1046" s="204"/>
      <c r="AC1046" s="204"/>
      <c r="AD1046" s="204"/>
    </row>
    <row r="1047">
      <c r="A1047" s="202"/>
      <c r="B1047" s="203"/>
      <c r="C1047" s="204"/>
      <c r="D1047" s="203"/>
      <c r="E1047" s="204"/>
      <c r="F1047" s="204"/>
      <c r="G1047" s="93"/>
      <c r="H1047" s="204"/>
      <c r="I1047" s="205"/>
      <c r="J1047" s="204"/>
      <c r="K1047" s="204"/>
      <c r="L1047" s="203"/>
      <c r="M1047" s="204"/>
      <c r="N1047" s="205"/>
      <c r="O1047" s="205"/>
      <c r="P1047" s="204"/>
      <c r="Q1047" s="205"/>
      <c r="R1047" s="204"/>
      <c r="S1047" s="204"/>
      <c r="T1047" s="204"/>
      <c r="U1047" s="205"/>
      <c r="V1047" s="204"/>
      <c r="W1047" s="204"/>
      <c r="X1047" s="204"/>
      <c r="Y1047" s="204"/>
      <c r="Z1047" s="204"/>
      <c r="AA1047" s="204"/>
      <c r="AB1047" s="204"/>
      <c r="AC1047" s="204"/>
      <c r="AD1047" s="204"/>
    </row>
    <row r="1048">
      <c r="A1048" s="202"/>
      <c r="B1048" s="203"/>
      <c r="C1048" s="204"/>
      <c r="D1048" s="203"/>
      <c r="E1048" s="204"/>
      <c r="F1048" s="204"/>
      <c r="G1048" s="93"/>
      <c r="H1048" s="204"/>
      <c r="I1048" s="205"/>
      <c r="J1048" s="204"/>
      <c r="K1048" s="204"/>
      <c r="L1048" s="203"/>
      <c r="M1048" s="204"/>
      <c r="N1048" s="205"/>
      <c r="O1048" s="205"/>
      <c r="P1048" s="204"/>
      <c r="Q1048" s="205"/>
      <c r="R1048" s="204"/>
      <c r="S1048" s="204"/>
      <c r="T1048" s="204"/>
      <c r="U1048" s="205"/>
      <c r="V1048" s="204"/>
      <c r="W1048" s="204"/>
      <c r="X1048" s="204"/>
      <c r="Y1048" s="204"/>
      <c r="Z1048" s="204"/>
      <c r="AA1048" s="204"/>
      <c r="AB1048" s="204"/>
      <c r="AC1048" s="204"/>
      <c r="AD1048" s="204"/>
    </row>
    <row r="1049">
      <c r="A1049" s="202"/>
      <c r="B1049" s="203"/>
      <c r="C1049" s="204"/>
      <c r="D1049" s="203"/>
      <c r="E1049" s="204"/>
      <c r="F1049" s="204"/>
      <c r="G1049" s="93"/>
      <c r="H1049" s="204"/>
      <c r="I1049" s="205"/>
      <c r="J1049" s="204"/>
      <c r="K1049" s="204"/>
      <c r="L1049" s="203"/>
      <c r="M1049" s="204"/>
      <c r="N1049" s="205"/>
      <c r="O1049" s="205"/>
      <c r="P1049" s="204"/>
      <c r="Q1049" s="205"/>
      <c r="R1049" s="204"/>
      <c r="S1049" s="204"/>
      <c r="T1049" s="204"/>
      <c r="U1049" s="205"/>
      <c r="V1049" s="204"/>
      <c r="W1049" s="204"/>
      <c r="X1049" s="204"/>
      <c r="Y1049" s="204"/>
      <c r="Z1049" s="204"/>
      <c r="AA1049" s="204"/>
      <c r="AB1049" s="204"/>
      <c r="AC1049" s="204"/>
      <c r="AD1049" s="204"/>
    </row>
    <row r="1050">
      <c r="A1050" s="202"/>
      <c r="B1050" s="203"/>
      <c r="C1050" s="204"/>
      <c r="D1050" s="203"/>
      <c r="E1050" s="204"/>
      <c r="F1050" s="204"/>
      <c r="G1050" s="93"/>
      <c r="H1050" s="204"/>
      <c r="I1050" s="205"/>
      <c r="J1050" s="204"/>
      <c r="K1050" s="204"/>
      <c r="L1050" s="203"/>
      <c r="M1050" s="204"/>
      <c r="N1050" s="205"/>
      <c r="O1050" s="205"/>
      <c r="P1050" s="204"/>
      <c r="Q1050" s="205"/>
      <c r="R1050" s="204"/>
      <c r="S1050" s="204"/>
      <c r="T1050" s="204"/>
      <c r="U1050" s="205"/>
      <c r="V1050" s="204"/>
      <c r="W1050" s="204"/>
      <c r="X1050" s="204"/>
      <c r="Y1050" s="204"/>
      <c r="Z1050" s="204"/>
      <c r="AA1050" s="204"/>
      <c r="AB1050" s="204"/>
      <c r="AC1050" s="204"/>
      <c r="AD1050" s="204"/>
    </row>
    <row r="1051">
      <c r="A1051" s="202"/>
      <c r="B1051" s="203"/>
      <c r="C1051" s="204"/>
      <c r="D1051" s="203"/>
      <c r="E1051" s="204"/>
      <c r="F1051" s="204"/>
      <c r="G1051" s="93"/>
      <c r="H1051" s="204"/>
      <c r="I1051" s="205"/>
      <c r="J1051" s="204"/>
      <c r="K1051" s="204"/>
      <c r="L1051" s="203"/>
      <c r="M1051" s="204"/>
      <c r="N1051" s="205"/>
      <c r="O1051" s="205"/>
      <c r="P1051" s="204"/>
      <c r="Q1051" s="205"/>
      <c r="R1051" s="204"/>
      <c r="S1051" s="204"/>
      <c r="T1051" s="204"/>
      <c r="U1051" s="205"/>
      <c r="V1051" s="204"/>
      <c r="W1051" s="204"/>
      <c r="X1051" s="204"/>
      <c r="Y1051" s="204"/>
      <c r="Z1051" s="204"/>
      <c r="AA1051" s="204"/>
      <c r="AB1051" s="204"/>
      <c r="AC1051" s="204"/>
      <c r="AD1051" s="204"/>
    </row>
    <row r="1052">
      <c r="A1052" s="202"/>
      <c r="B1052" s="203"/>
      <c r="C1052" s="204"/>
      <c r="D1052" s="203"/>
      <c r="E1052" s="204"/>
      <c r="F1052" s="204"/>
      <c r="G1052" s="93"/>
      <c r="H1052" s="204"/>
      <c r="I1052" s="205"/>
      <c r="J1052" s="204"/>
      <c r="K1052" s="204"/>
      <c r="L1052" s="203"/>
      <c r="M1052" s="204"/>
      <c r="N1052" s="205"/>
      <c r="O1052" s="205"/>
      <c r="P1052" s="204"/>
      <c r="Q1052" s="205"/>
      <c r="R1052" s="204"/>
      <c r="S1052" s="204"/>
      <c r="T1052" s="204"/>
      <c r="U1052" s="205"/>
      <c r="V1052" s="204"/>
      <c r="W1052" s="204"/>
      <c r="X1052" s="204"/>
      <c r="Y1052" s="204"/>
      <c r="Z1052" s="204"/>
      <c r="AA1052" s="204"/>
      <c r="AB1052" s="204"/>
      <c r="AC1052" s="204"/>
      <c r="AD1052" s="204"/>
    </row>
    <row r="1053">
      <c r="A1053" s="202"/>
      <c r="B1053" s="203"/>
      <c r="C1053" s="204"/>
      <c r="D1053" s="203"/>
      <c r="E1053" s="204"/>
      <c r="F1053" s="204"/>
      <c r="G1053" s="93"/>
      <c r="H1053" s="204"/>
      <c r="I1053" s="205"/>
      <c r="J1053" s="204"/>
      <c r="K1053" s="204"/>
      <c r="L1053" s="203"/>
      <c r="M1053" s="204"/>
      <c r="N1053" s="205"/>
      <c r="O1053" s="205"/>
      <c r="P1053" s="204"/>
      <c r="Q1053" s="205"/>
      <c r="R1053" s="204"/>
      <c r="S1053" s="204"/>
      <c r="T1053" s="204"/>
      <c r="U1053" s="205"/>
      <c r="V1053" s="204"/>
      <c r="W1053" s="204"/>
      <c r="X1053" s="204"/>
      <c r="Y1053" s="204"/>
      <c r="Z1053" s="204"/>
      <c r="AA1053" s="204"/>
      <c r="AB1053" s="204"/>
      <c r="AC1053" s="204"/>
      <c r="AD1053" s="204"/>
    </row>
    <row r="1054">
      <c r="A1054" s="202"/>
      <c r="B1054" s="203"/>
      <c r="C1054" s="204"/>
      <c r="D1054" s="203"/>
      <c r="E1054" s="204"/>
      <c r="F1054" s="204"/>
      <c r="G1054" s="93"/>
      <c r="H1054" s="204"/>
      <c r="I1054" s="205"/>
      <c r="J1054" s="204"/>
      <c r="K1054" s="204"/>
      <c r="L1054" s="203"/>
      <c r="M1054" s="204"/>
      <c r="N1054" s="205"/>
      <c r="O1054" s="205"/>
      <c r="P1054" s="204"/>
      <c r="Q1054" s="205"/>
      <c r="R1054" s="204"/>
      <c r="S1054" s="204"/>
      <c r="T1054" s="204"/>
      <c r="U1054" s="205"/>
      <c r="V1054" s="204"/>
      <c r="W1054" s="204"/>
      <c r="X1054" s="204"/>
      <c r="Y1054" s="204"/>
      <c r="Z1054" s="204"/>
      <c r="AA1054" s="204"/>
      <c r="AB1054" s="204"/>
      <c r="AC1054" s="204"/>
      <c r="AD1054" s="204"/>
    </row>
    <row r="1055">
      <c r="A1055" s="202"/>
      <c r="B1055" s="203"/>
      <c r="C1055" s="204"/>
      <c r="D1055" s="203"/>
      <c r="E1055" s="204"/>
      <c r="F1055" s="204"/>
      <c r="G1055" s="93"/>
      <c r="H1055" s="204"/>
      <c r="I1055" s="205"/>
      <c r="J1055" s="204"/>
      <c r="K1055" s="204"/>
      <c r="L1055" s="203"/>
      <c r="M1055" s="204"/>
      <c r="N1055" s="205"/>
      <c r="O1055" s="205"/>
      <c r="P1055" s="204"/>
      <c r="Q1055" s="205"/>
      <c r="R1055" s="204"/>
      <c r="S1055" s="204"/>
      <c r="T1055" s="204"/>
      <c r="U1055" s="205"/>
      <c r="V1055" s="204"/>
      <c r="W1055" s="204"/>
      <c r="X1055" s="204"/>
      <c r="Y1055" s="204"/>
      <c r="Z1055" s="204"/>
      <c r="AA1055" s="204"/>
      <c r="AB1055" s="204"/>
      <c r="AC1055" s="204"/>
      <c r="AD1055" s="204"/>
    </row>
    <row r="1056">
      <c r="A1056" s="202"/>
      <c r="B1056" s="203"/>
      <c r="C1056" s="204"/>
      <c r="D1056" s="203"/>
      <c r="E1056" s="204"/>
      <c r="F1056" s="204"/>
      <c r="G1056" s="93"/>
      <c r="H1056" s="204"/>
      <c r="I1056" s="205"/>
      <c r="J1056" s="204"/>
      <c r="K1056" s="204"/>
      <c r="L1056" s="203"/>
      <c r="M1056" s="204"/>
      <c r="N1056" s="205"/>
      <c r="O1056" s="205"/>
      <c r="P1056" s="204"/>
      <c r="Q1056" s="205"/>
      <c r="R1056" s="204"/>
      <c r="S1056" s="204"/>
      <c r="T1056" s="204"/>
      <c r="U1056" s="205"/>
      <c r="V1056" s="204"/>
      <c r="W1056" s="204"/>
      <c r="X1056" s="204"/>
      <c r="Y1056" s="204"/>
      <c r="Z1056" s="204"/>
      <c r="AA1056" s="204"/>
      <c r="AB1056" s="204"/>
      <c r="AC1056" s="204"/>
      <c r="AD1056" s="204"/>
    </row>
    <row r="1057">
      <c r="A1057" s="202"/>
      <c r="B1057" s="203"/>
      <c r="C1057" s="204"/>
      <c r="D1057" s="203"/>
      <c r="E1057" s="204"/>
      <c r="F1057" s="204"/>
      <c r="G1057" s="93"/>
      <c r="H1057" s="204"/>
      <c r="I1057" s="205"/>
      <c r="J1057" s="204"/>
      <c r="K1057" s="204"/>
      <c r="L1057" s="203"/>
      <c r="M1057" s="204"/>
      <c r="N1057" s="205"/>
      <c r="O1057" s="205"/>
      <c r="P1057" s="204"/>
      <c r="Q1057" s="205"/>
      <c r="R1057" s="204"/>
      <c r="S1057" s="204"/>
      <c r="T1057" s="204"/>
      <c r="U1057" s="205"/>
      <c r="V1057" s="204"/>
      <c r="W1057" s="204"/>
      <c r="X1057" s="204"/>
      <c r="Y1057" s="204"/>
      <c r="Z1057" s="204"/>
      <c r="AA1057" s="204"/>
      <c r="AB1057" s="204"/>
      <c r="AC1057" s="204"/>
      <c r="AD1057" s="204"/>
    </row>
    <row r="1058">
      <c r="A1058" s="202"/>
      <c r="B1058" s="203"/>
      <c r="C1058" s="204"/>
      <c r="D1058" s="203"/>
      <c r="E1058" s="204"/>
      <c r="F1058" s="204"/>
      <c r="G1058" s="93"/>
      <c r="H1058" s="204"/>
      <c r="I1058" s="205"/>
      <c r="J1058" s="204"/>
      <c r="K1058" s="204"/>
      <c r="L1058" s="203"/>
      <c r="M1058" s="204"/>
      <c r="N1058" s="205"/>
      <c r="O1058" s="205"/>
      <c r="P1058" s="204"/>
      <c r="Q1058" s="205"/>
      <c r="R1058" s="204"/>
      <c r="S1058" s="204"/>
      <c r="T1058" s="204"/>
      <c r="U1058" s="205"/>
      <c r="V1058" s="204"/>
      <c r="W1058" s="204"/>
      <c r="X1058" s="204"/>
      <c r="Y1058" s="204"/>
      <c r="Z1058" s="204"/>
      <c r="AA1058" s="204"/>
      <c r="AB1058" s="204"/>
      <c r="AC1058" s="204"/>
      <c r="AD1058" s="204"/>
    </row>
    <row r="1059">
      <c r="A1059" s="202"/>
      <c r="B1059" s="203"/>
      <c r="C1059" s="204"/>
      <c r="D1059" s="203"/>
      <c r="E1059" s="204"/>
      <c r="F1059" s="204"/>
      <c r="G1059" s="93"/>
      <c r="H1059" s="204"/>
      <c r="I1059" s="205"/>
      <c r="J1059" s="204"/>
      <c r="K1059" s="204"/>
      <c r="L1059" s="203"/>
      <c r="M1059" s="204"/>
      <c r="N1059" s="205"/>
      <c r="O1059" s="205"/>
      <c r="P1059" s="204"/>
      <c r="Q1059" s="205"/>
      <c r="R1059" s="204"/>
      <c r="S1059" s="204"/>
      <c r="T1059" s="204"/>
      <c r="U1059" s="205"/>
      <c r="V1059" s="204"/>
      <c r="W1059" s="204"/>
      <c r="X1059" s="204"/>
      <c r="Y1059" s="204"/>
      <c r="Z1059" s="204"/>
      <c r="AA1059" s="204"/>
      <c r="AB1059" s="204"/>
      <c r="AC1059" s="204"/>
      <c r="AD1059" s="204"/>
    </row>
    <row r="1060">
      <c r="A1060" s="202"/>
      <c r="B1060" s="203"/>
      <c r="C1060" s="204"/>
      <c r="D1060" s="203"/>
      <c r="E1060" s="204"/>
      <c r="F1060" s="204"/>
      <c r="G1060" s="93"/>
      <c r="H1060" s="204"/>
      <c r="I1060" s="205"/>
      <c r="J1060" s="204"/>
      <c r="K1060" s="204"/>
      <c r="L1060" s="203"/>
      <c r="M1060" s="204"/>
      <c r="N1060" s="205"/>
      <c r="O1060" s="205"/>
      <c r="P1060" s="204"/>
      <c r="Q1060" s="205"/>
      <c r="R1060" s="204"/>
      <c r="S1060" s="204"/>
      <c r="T1060" s="204"/>
      <c r="U1060" s="205"/>
      <c r="V1060" s="204"/>
      <c r="W1060" s="204"/>
      <c r="X1060" s="204"/>
      <c r="Y1060" s="204"/>
      <c r="Z1060" s="204"/>
      <c r="AA1060" s="204"/>
      <c r="AB1060" s="204"/>
      <c r="AC1060" s="204"/>
      <c r="AD1060" s="204"/>
    </row>
    <row r="1061">
      <c r="A1061" s="202"/>
      <c r="B1061" s="203"/>
      <c r="C1061" s="204"/>
      <c r="D1061" s="203"/>
      <c r="E1061" s="204"/>
      <c r="F1061" s="204"/>
      <c r="G1061" s="93"/>
      <c r="H1061" s="204"/>
      <c r="I1061" s="205"/>
      <c r="J1061" s="204"/>
      <c r="K1061" s="204"/>
      <c r="L1061" s="203"/>
      <c r="M1061" s="204"/>
      <c r="N1061" s="205"/>
      <c r="O1061" s="205"/>
      <c r="P1061" s="204"/>
      <c r="Q1061" s="205"/>
      <c r="R1061" s="204"/>
      <c r="S1061" s="204"/>
      <c r="T1061" s="204"/>
      <c r="U1061" s="205"/>
      <c r="V1061" s="204"/>
      <c r="W1061" s="204"/>
      <c r="X1061" s="204"/>
      <c r="Y1061" s="204"/>
      <c r="Z1061" s="204"/>
      <c r="AA1061" s="204"/>
      <c r="AB1061" s="204"/>
      <c r="AC1061" s="204"/>
      <c r="AD1061" s="204"/>
    </row>
    <row r="1062">
      <c r="A1062" s="202"/>
      <c r="B1062" s="203"/>
      <c r="C1062" s="204"/>
      <c r="D1062" s="203"/>
      <c r="E1062" s="204"/>
      <c r="F1062" s="204"/>
      <c r="G1062" s="93"/>
      <c r="H1062" s="204"/>
      <c r="I1062" s="205"/>
      <c r="J1062" s="204"/>
      <c r="K1062" s="204"/>
      <c r="L1062" s="203"/>
      <c r="M1062" s="204"/>
      <c r="N1062" s="205"/>
      <c r="O1062" s="205"/>
      <c r="P1062" s="204"/>
      <c r="Q1062" s="205"/>
      <c r="R1062" s="204"/>
      <c r="S1062" s="204"/>
      <c r="T1062" s="204"/>
      <c r="U1062" s="205"/>
      <c r="V1062" s="204"/>
      <c r="W1062" s="204"/>
      <c r="X1062" s="204"/>
      <c r="Y1062" s="204"/>
      <c r="Z1062" s="204"/>
      <c r="AA1062" s="204"/>
      <c r="AB1062" s="204"/>
      <c r="AC1062" s="204"/>
      <c r="AD1062" s="204"/>
    </row>
    <row r="1063">
      <c r="A1063" s="202"/>
      <c r="B1063" s="203"/>
      <c r="C1063" s="204"/>
      <c r="D1063" s="203"/>
      <c r="E1063" s="204"/>
      <c r="F1063" s="204"/>
      <c r="G1063" s="93"/>
      <c r="H1063" s="204"/>
      <c r="I1063" s="205"/>
      <c r="J1063" s="204"/>
      <c r="K1063" s="204"/>
      <c r="L1063" s="203"/>
      <c r="M1063" s="204"/>
      <c r="N1063" s="205"/>
      <c r="O1063" s="205"/>
      <c r="P1063" s="204"/>
      <c r="Q1063" s="205"/>
      <c r="R1063" s="204"/>
      <c r="S1063" s="204"/>
      <c r="T1063" s="204"/>
      <c r="U1063" s="205"/>
      <c r="V1063" s="204"/>
      <c r="W1063" s="204"/>
      <c r="X1063" s="204"/>
      <c r="Y1063" s="204"/>
      <c r="Z1063" s="204"/>
      <c r="AA1063" s="204"/>
      <c r="AB1063" s="204"/>
      <c r="AC1063" s="204"/>
      <c r="AD1063" s="204"/>
    </row>
    <row r="1064">
      <c r="A1064" s="202"/>
      <c r="B1064" s="203"/>
      <c r="C1064" s="204"/>
      <c r="D1064" s="203"/>
      <c r="E1064" s="204"/>
      <c r="F1064" s="204"/>
      <c r="G1064" s="93"/>
      <c r="H1064" s="204"/>
      <c r="I1064" s="205"/>
      <c r="J1064" s="204"/>
      <c r="K1064" s="204"/>
      <c r="L1064" s="203"/>
      <c r="M1064" s="204"/>
      <c r="N1064" s="205"/>
      <c r="O1064" s="205"/>
      <c r="P1064" s="204"/>
      <c r="Q1064" s="205"/>
      <c r="R1064" s="204"/>
      <c r="S1064" s="204"/>
      <c r="T1064" s="204"/>
      <c r="U1064" s="205"/>
      <c r="V1064" s="204"/>
      <c r="W1064" s="204"/>
      <c r="X1064" s="204"/>
      <c r="Y1064" s="204"/>
      <c r="Z1064" s="204"/>
      <c r="AA1064" s="204"/>
      <c r="AB1064" s="204"/>
      <c r="AC1064" s="204"/>
      <c r="AD1064" s="204"/>
    </row>
    <row r="1065">
      <c r="A1065" s="202"/>
      <c r="B1065" s="203"/>
      <c r="C1065" s="204"/>
      <c r="D1065" s="203"/>
      <c r="E1065" s="204"/>
      <c r="F1065" s="204"/>
      <c r="G1065" s="93"/>
      <c r="H1065" s="204"/>
      <c r="I1065" s="205"/>
      <c r="J1065" s="204"/>
      <c r="K1065" s="204"/>
      <c r="L1065" s="203"/>
      <c r="M1065" s="204"/>
      <c r="N1065" s="205"/>
      <c r="O1065" s="205"/>
      <c r="P1065" s="204"/>
      <c r="Q1065" s="205"/>
      <c r="R1065" s="204"/>
      <c r="S1065" s="204"/>
      <c r="T1065" s="204"/>
      <c r="U1065" s="205"/>
      <c r="V1065" s="204"/>
      <c r="W1065" s="204"/>
      <c r="X1065" s="204"/>
      <c r="Y1065" s="204"/>
      <c r="Z1065" s="204"/>
      <c r="AA1065" s="204"/>
      <c r="AB1065" s="204"/>
      <c r="AC1065" s="204"/>
      <c r="AD1065" s="204"/>
    </row>
    <row r="1066">
      <c r="A1066" s="202"/>
      <c r="B1066" s="203"/>
      <c r="C1066" s="204"/>
      <c r="D1066" s="203"/>
      <c r="E1066" s="204"/>
      <c r="F1066" s="204"/>
      <c r="G1066" s="93"/>
      <c r="H1066" s="204"/>
      <c r="I1066" s="205"/>
      <c r="J1066" s="204"/>
      <c r="K1066" s="204"/>
      <c r="L1066" s="203"/>
      <c r="M1066" s="204"/>
      <c r="N1066" s="205"/>
      <c r="O1066" s="205"/>
      <c r="P1066" s="204"/>
      <c r="Q1066" s="205"/>
      <c r="R1066" s="204"/>
      <c r="S1066" s="204"/>
      <c r="T1066" s="204"/>
      <c r="U1066" s="205"/>
      <c r="V1066" s="204"/>
      <c r="W1066" s="204"/>
      <c r="X1066" s="204"/>
      <c r="Y1066" s="204"/>
      <c r="Z1066" s="204"/>
      <c r="AA1066" s="204"/>
      <c r="AB1066" s="204"/>
      <c r="AC1066" s="204"/>
      <c r="AD1066" s="204"/>
    </row>
    <row r="1067">
      <c r="A1067" s="202"/>
      <c r="B1067" s="203"/>
      <c r="C1067" s="204"/>
      <c r="D1067" s="203"/>
      <c r="E1067" s="204"/>
      <c r="F1067" s="204"/>
      <c r="G1067" s="93"/>
      <c r="H1067" s="204"/>
      <c r="I1067" s="205"/>
      <c r="J1067" s="204"/>
      <c r="K1067" s="204"/>
      <c r="L1067" s="203"/>
      <c r="M1067" s="204"/>
      <c r="N1067" s="205"/>
      <c r="O1067" s="205"/>
      <c r="P1067" s="204"/>
      <c r="Q1067" s="205"/>
      <c r="R1067" s="204"/>
      <c r="S1067" s="204"/>
      <c r="T1067" s="204"/>
      <c r="U1067" s="205"/>
      <c r="V1067" s="204"/>
      <c r="W1067" s="204"/>
      <c r="X1067" s="204"/>
      <c r="Y1067" s="204"/>
      <c r="Z1067" s="204"/>
      <c r="AA1067" s="204"/>
      <c r="AB1067" s="204"/>
      <c r="AC1067" s="204"/>
      <c r="AD1067" s="204"/>
    </row>
    <row r="1068">
      <c r="A1068" s="202"/>
      <c r="B1068" s="203"/>
      <c r="C1068" s="204"/>
      <c r="D1068" s="203"/>
      <c r="E1068" s="204"/>
      <c r="F1068" s="204"/>
      <c r="G1068" s="93"/>
      <c r="H1068" s="204"/>
      <c r="I1068" s="205"/>
      <c r="J1068" s="204"/>
      <c r="K1068" s="204"/>
      <c r="L1068" s="203"/>
      <c r="M1068" s="204"/>
      <c r="N1068" s="205"/>
      <c r="O1068" s="205"/>
      <c r="P1068" s="204"/>
      <c r="Q1068" s="205"/>
      <c r="R1068" s="204"/>
      <c r="S1068" s="204"/>
      <c r="T1068" s="204"/>
      <c r="U1068" s="205"/>
      <c r="V1068" s="204"/>
      <c r="W1068" s="204"/>
      <c r="X1068" s="204"/>
      <c r="Y1068" s="204"/>
      <c r="Z1068" s="204"/>
      <c r="AA1068" s="204"/>
      <c r="AB1068" s="204"/>
      <c r="AC1068" s="204"/>
      <c r="AD1068" s="204"/>
    </row>
    <row r="1069">
      <c r="A1069" s="202"/>
      <c r="B1069" s="203"/>
      <c r="C1069" s="204"/>
      <c r="D1069" s="203"/>
      <c r="E1069" s="204"/>
      <c r="F1069" s="204"/>
      <c r="G1069" s="93"/>
      <c r="H1069" s="204"/>
      <c r="I1069" s="205"/>
      <c r="J1069" s="204"/>
      <c r="K1069" s="204"/>
      <c r="L1069" s="203"/>
      <c r="M1069" s="204"/>
      <c r="N1069" s="205"/>
      <c r="O1069" s="205"/>
      <c r="P1069" s="204"/>
      <c r="Q1069" s="205"/>
      <c r="R1069" s="204"/>
      <c r="S1069" s="204"/>
      <c r="T1069" s="204"/>
      <c r="U1069" s="205"/>
      <c r="V1069" s="204"/>
      <c r="W1069" s="204"/>
      <c r="X1069" s="204"/>
      <c r="Y1069" s="204"/>
      <c r="Z1069" s="204"/>
      <c r="AA1069" s="204"/>
      <c r="AB1069" s="204"/>
      <c r="AC1069" s="204"/>
      <c r="AD1069" s="204"/>
    </row>
    <row r="1070">
      <c r="A1070" s="202"/>
      <c r="B1070" s="203"/>
      <c r="C1070" s="204"/>
      <c r="D1070" s="203"/>
      <c r="E1070" s="204"/>
      <c r="F1070" s="204"/>
      <c r="G1070" s="93"/>
      <c r="H1070" s="204"/>
      <c r="I1070" s="205"/>
      <c r="J1070" s="204"/>
      <c r="K1070" s="204"/>
      <c r="L1070" s="203"/>
      <c r="M1070" s="204"/>
      <c r="N1070" s="205"/>
      <c r="O1070" s="205"/>
      <c r="P1070" s="204"/>
      <c r="Q1070" s="205"/>
      <c r="R1070" s="204"/>
      <c r="S1070" s="204"/>
      <c r="T1070" s="204"/>
      <c r="U1070" s="205"/>
      <c r="V1070" s="204"/>
      <c r="W1070" s="204"/>
      <c r="X1070" s="204"/>
      <c r="Y1070" s="204"/>
      <c r="Z1070" s="204"/>
      <c r="AA1070" s="204"/>
      <c r="AB1070" s="204"/>
      <c r="AC1070" s="204"/>
      <c r="AD1070" s="204"/>
    </row>
    <row r="1071">
      <c r="A1071" s="202"/>
      <c r="B1071" s="203"/>
      <c r="C1071" s="204"/>
      <c r="D1071" s="203"/>
      <c r="E1071" s="204"/>
      <c r="F1071" s="204"/>
      <c r="G1071" s="93"/>
      <c r="H1071" s="204"/>
      <c r="I1071" s="205"/>
      <c r="J1071" s="204"/>
      <c r="K1071" s="204"/>
      <c r="L1071" s="203"/>
      <c r="M1071" s="204"/>
      <c r="N1071" s="205"/>
      <c r="O1071" s="205"/>
      <c r="P1071" s="204"/>
      <c r="Q1071" s="205"/>
      <c r="R1071" s="204"/>
      <c r="S1071" s="204"/>
      <c r="T1071" s="204"/>
      <c r="U1071" s="205"/>
      <c r="V1071" s="204"/>
      <c r="W1071" s="204"/>
      <c r="X1071" s="204"/>
      <c r="Y1071" s="204"/>
      <c r="Z1071" s="204"/>
      <c r="AA1071" s="204"/>
      <c r="AB1071" s="204"/>
      <c r="AC1071" s="204"/>
      <c r="AD1071" s="204"/>
    </row>
    <row r="1072">
      <c r="A1072" s="202"/>
      <c r="B1072" s="203"/>
      <c r="C1072" s="204"/>
      <c r="D1072" s="203"/>
      <c r="E1072" s="204"/>
      <c r="F1072" s="204"/>
      <c r="G1072" s="93"/>
      <c r="H1072" s="204"/>
      <c r="I1072" s="205"/>
      <c r="J1072" s="204"/>
      <c r="K1072" s="204"/>
      <c r="L1072" s="203"/>
      <c r="M1072" s="204"/>
      <c r="N1072" s="205"/>
      <c r="O1072" s="205"/>
      <c r="P1072" s="204"/>
      <c r="Q1072" s="205"/>
      <c r="R1072" s="204"/>
      <c r="S1072" s="204"/>
      <c r="T1072" s="204"/>
      <c r="U1072" s="205"/>
      <c r="V1072" s="204"/>
      <c r="W1072" s="204"/>
      <c r="X1072" s="204"/>
      <c r="Y1072" s="204"/>
      <c r="Z1072" s="204"/>
      <c r="AA1072" s="204"/>
      <c r="AB1072" s="204"/>
      <c r="AC1072" s="204"/>
      <c r="AD1072" s="204"/>
    </row>
    <row r="1073">
      <c r="A1073" s="202"/>
      <c r="B1073" s="203"/>
      <c r="C1073" s="204"/>
      <c r="D1073" s="203"/>
      <c r="E1073" s="204"/>
      <c r="F1073" s="204"/>
      <c r="G1073" s="93"/>
      <c r="H1073" s="204"/>
      <c r="I1073" s="205"/>
      <c r="J1073" s="204"/>
      <c r="K1073" s="204"/>
      <c r="L1073" s="203"/>
      <c r="M1073" s="204"/>
      <c r="N1073" s="205"/>
      <c r="O1073" s="205"/>
      <c r="P1073" s="204"/>
      <c r="Q1073" s="205"/>
      <c r="R1073" s="204"/>
      <c r="S1073" s="204"/>
      <c r="T1073" s="204"/>
      <c r="U1073" s="205"/>
      <c r="V1073" s="204"/>
      <c r="W1073" s="204"/>
      <c r="X1073" s="204"/>
      <c r="Y1073" s="204"/>
      <c r="Z1073" s="204"/>
      <c r="AA1073" s="204"/>
      <c r="AB1073" s="204"/>
      <c r="AC1073" s="204"/>
      <c r="AD1073" s="204"/>
    </row>
    <row r="1074">
      <c r="A1074" s="202"/>
      <c r="B1074" s="203"/>
      <c r="C1074" s="204"/>
      <c r="D1074" s="203"/>
      <c r="E1074" s="204"/>
      <c r="F1074" s="204"/>
      <c r="G1074" s="93"/>
      <c r="H1074" s="204"/>
      <c r="I1074" s="205"/>
      <c r="J1074" s="204"/>
      <c r="K1074" s="204"/>
      <c r="L1074" s="203"/>
      <c r="M1074" s="204"/>
      <c r="N1074" s="205"/>
      <c r="O1074" s="205"/>
      <c r="P1074" s="204"/>
      <c r="Q1074" s="205"/>
      <c r="R1074" s="204"/>
      <c r="S1074" s="204"/>
      <c r="T1074" s="204"/>
      <c r="U1074" s="205"/>
      <c r="V1074" s="204"/>
      <c r="W1074" s="204"/>
      <c r="X1074" s="204"/>
      <c r="Y1074" s="204"/>
      <c r="Z1074" s="204"/>
      <c r="AA1074" s="204"/>
      <c r="AB1074" s="204"/>
      <c r="AC1074" s="204"/>
      <c r="AD1074" s="204"/>
    </row>
    <row r="1075">
      <c r="A1075" s="202"/>
      <c r="B1075" s="203"/>
      <c r="C1075" s="204"/>
      <c r="D1075" s="203"/>
      <c r="E1075" s="204"/>
      <c r="F1075" s="204"/>
      <c r="G1075" s="93"/>
      <c r="H1075" s="204"/>
      <c r="I1075" s="205"/>
      <c r="J1075" s="204"/>
      <c r="K1075" s="204"/>
      <c r="L1075" s="203"/>
      <c r="M1075" s="204"/>
      <c r="N1075" s="205"/>
      <c r="O1075" s="205"/>
      <c r="P1075" s="204"/>
      <c r="Q1075" s="205"/>
      <c r="R1075" s="204"/>
      <c r="S1075" s="204"/>
      <c r="T1075" s="204"/>
      <c r="U1075" s="205"/>
      <c r="V1075" s="204"/>
      <c r="W1075" s="204"/>
      <c r="X1075" s="204"/>
      <c r="Y1075" s="204"/>
      <c r="Z1075" s="204"/>
      <c r="AA1075" s="204"/>
      <c r="AB1075" s="204"/>
      <c r="AC1075" s="204"/>
      <c r="AD1075" s="204"/>
    </row>
    <row r="1076">
      <c r="A1076" s="202"/>
      <c r="B1076" s="203"/>
      <c r="C1076" s="204"/>
      <c r="D1076" s="203"/>
      <c r="E1076" s="204"/>
      <c r="F1076" s="204"/>
      <c r="G1076" s="93"/>
      <c r="H1076" s="204"/>
      <c r="I1076" s="205"/>
      <c r="J1076" s="204"/>
      <c r="K1076" s="204"/>
      <c r="L1076" s="203"/>
      <c r="M1076" s="204"/>
      <c r="N1076" s="205"/>
      <c r="O1076" s="205"/>
      <c r="P1076" s="204"/>
      <c r="Q1076" s="205"/>
      <c r="R1076" s="204"/>
      <c r="S1076" s="204"/>
      <c r="T1076" s="204"/>
      <c r="U1076" s="205"/>
      <c r="V1076" s="204"/>
      <c r="W1076" s="204"/>
      <c r="X1076" s="204"/>
      <c r="Y1076" s="204"/>
      <c r="Z1076" s="204"/>
      <c r="AA1076" s="204"/>
      <c r="AB1076" s="204"/>
      <c r="AC1076" s="204"/>
      <c r="AD1076" s="204"/>
    </row>
    <row r="1077">
      <c r="A1077" s="202"/>
      <c r="B1077" s="203"/>
      <c r="C1077" s="204"/>
      <c r="D1077" s="203"/>
      <c r="E1077" s="204"/>
      <c r="F1077" s="204"/>
      <c r="G1077" s="93"/>
      <c r="H1077" s="204"/>
      <c r="I1077" s="205"/>
      <c r="J1077" s="204"/>
      <c r="K1077" s="204"/>
      <c r="L1077" s="203"/>
      <c r="M1077" s="204"/>
      <c r="N1077" s="205"/>
      <c r="O1077" s="205"/>
      <c r="P1077" s="204"/>
      <c r="Q1077" s="205"/>
      <c r="R1077" s="204"/>
      <c r="S1077" s="204"/>
      <c r="T1077" s="204"/>
      <c r="U1077" s="205"/>
      <c r="V1077" s="204"/>
      <c r="W1077" s="204"/>
      <c r="X1077" s="204"/>
      <c r="Y1077" s="204"/>
      <c r="Z1077" s="204"/>
      <c r="AA1077" s="204"/>
      <c r="AB1077" s="204"/>
      <c r="AC1077" s="204"/>
      <c r="AD1077" s="204"/>
    </row>
    <row r="1078">
      <c r="A1078" s="202"/>
      <c r="B1078" s="203"/>
      <c r="C1078" s="204"/>
      <c r="D1078" s="203"/>
      <c r="E1078" s="204"/>
      <c r="F1078" s="204"/>
      <c r="G1078" s="93"/>
      <c r="H1078" s="204"/>
      <c r="I1078" s="205"/>
      <c r="J1078" s="204"/>
      <c r="K1078" s="204"/>
      <c r="L1078" s="203"/>
      <c r="M1078" s="204"/>
      <c r="N1078" s="205"/>
      <c r="O1078" s="205"/>
      <c r="P1078" s="204"/>
      <c r="Q1078" s="205"/>
      <c r="R1078" s="204"/>
      <c r="S1078" s="204"/>
      <c r="T1078" s="204"/>
      <c r="U1078" s="205"/>
      <c r="V1078" s="204"/>
      <c r="W1078" s="204"/>
      <c r="X1078" s="204"/>
      <c r="Y1078" s="204"/>
      <c r="Z1078" s="204"/>
      <c r="AA1078" s="204"/>
      <c r="AB1078" s="204"/>
      <c r="AC1078" s="204"/>
      <c r="AD1078" s="204"/>
    </row>
    <row r="1079">
      <c r="A1079" s="202"/>
      <c r="B1079" s="203"/>
      <c r="C1079" s="204"/>
      <c r="D1079" s="203"/>
      <c r="E1079" s="204"/>
      <c r="F1079" s="204"/>
      <c r="G1079" s="93"/>
      <c r="H1079" s="204"/>
      <c r="I1079" s="205"/>
      <c r="J1079" s="204"/>
      <c r="K1079" s="204"/>
      <c r="L1079" s="203"/>
      <c r="M1079" s="204"/>
      <c r="N1079" s="205"/>
      <c r="O1079" s="205"/>
      <c r="P1079" s="204"/>
      <c r="Q1079" s="205"/>
      <c r="R1079" s="204"/>
      <c r="S1079" s="204"/>
      <c r="T1079" s="204"/>
      <c r="U1079" s="205"/>
      <c r="V1079" s="204"/>
      <c r="W1079" s="204"/>
      <c r="X1079" s="204"/>
      <c r="Y1079" s="204"/>
      <c r="Z1079" s="204"/>
      <c r="AA1079" s="204"/>
      <c r="AB1079" s="204"/>
      <c r="AC1079" s="204"/>
      <c r="AD1079" s="204"/>
    </row>
    <row r="1080">
      <c r="A1080" s="202"/>
      <c r="B1080" s="203"/>
      <c r="C1080" s="204"/>
      <c r="D1080" s="203"/>
      <c r="E1080" s="204"/>
      <c r="F1080" s="204"/>
      <c r="G1080" s="93"/>
      <c r="H1080" s="204"/>
      <c r="I1080" s="205"/>
      <c r="J1080" s="204"/>
      <c r="K1080" s="204"/>
      <c r="L1080" s="203"/>
      <c r="M1080" s="204"/>
      <c r="N1080" s="205"/>
      <c r="O1080" s="205"/>
      <c r="P1080" s="204"/>
      <c r="Q1080" s="205"/>
      <c r="R1080" s="204"/>
      <c r="S1080" s="204"/>
      <c r="T1080" s="204"/>
      <c r="U1080" s="205"/>
      <c r="V1080" s="204"/>
      <c r="W1080" s="204"/>
      <c r="X1080" s="204"/>
      <c r="Y1080" s="204"/>
      <c r="Z1080" s="204"/>
      <c r="AA1080" s="204"/>
      <c r="AB1080" s="204"/>
      <c r="AC1080" s="204"/>
      <c r="AD1080" s="204"/>
    </row>
    <row r="1081">
      <c r="A1081" s="202"/>
      <c r="B1081" s="203"/>
      <c r="C1081" s="204"/>
      <c r="D1081" s="203"/>
      <c r="E1081" s="204"/>
      <c r="F1081" s="204"/>
      <c r="G1081" s="93"/>
      <c r="H1081" s="204"/>
      <c r="I1081" s="205"/>
      <c r="J1081" s="204"/>
      <c r="K1081" s="204"/>
      <c r="L1081" s="203"/>
      <c r="M1081" s="204"/>
      <c r="N1081" s="205"/>
      <c r="O1081" s="205"/>
      <c r="P1081" s="204"/>
      <c r="Q1081" s="205"/>
      <c r="R1081" s="204"/>
      <c r="S1081" s="204"/>
      <c r="T1081" s="204"/>
      <c r="U1081" s="205"/>
      <c r="V1081" s="204"/>
      <c r="W1081" s="204"/>
      <c r="X1081" s="204"/>
      <c r="Y1081" s="204"/>
      <c r="Z1081" s="204"/>
      <c r="AA1081" s="204"/>
      <c r="AB1081" s="204"/>
      <c r="AC1081" s="204"/>
      <c r="AD1081" s="204"/>
    </row>
    <row r="1082">
      <c r="A1082" s="202"/>
      <c r="B1082" s="203"/>
      <c r="C1082" s="204"/>
      <c r="D1082" s="203"/>
      <c r="E1082" s="204"/>
      <c r="F1082" s="204"/>
      <c r="G1082" s="93"/>
      <c r="H1082" s="204"/>
      <c r="I1082" s="205"/>
      <c r="J1082" s="204"/>
      <c r="K1082" s="204"/>
      <c r="L1082" s="203"/>
      <c r="M1082" s="204"/>
      <c r="N1082" s="205"/>
      <c r="O1082" s="205"/>
      <c r="P1082" s="204"/>
      <c r="Q1082" s="205"/>
      <c r="R1082" s="204"/>
      <c r="S1082" s="204"/>
      <c r="T1082" s="204"/>
      <c r="U1082" s="205"/>
      <c r="V1082" s="204"/>
      <c r="W1082" s="204"/>
      <c r="X1082" s="204"/>
      <c r="Y1082" s="204"/>
      <c r="Z1082" s="204"/>
      <c r="AA1082" s="204"/>
      <c r="AB1082" s="204"/>
      <c r="AC1082" s="204"/>
      <c r="AD1082" s="204"/>
    </row>
    <row r="1083">
      <c r="A1083" s="202"/>
      <c r="B1083" s="203"/>
      <c r="C1083" s="204"/>
      <c r="D1083" s="203"/>
      <c r="E1083" s="204"/>
      <c r="F1083" s="204"/>
      <c r="G1083" s="93"/>
      <c r="H1083" s="204"/>
      <c r="I1083" s="205"/>
      <c r="J1083" s="204"/>
      <c r="K1083" s="204"/>
      <c r="L1083" s="203"/>
      <c r="M1083" s="204"/>
      <c r="N1083" s="205"/>
      <c r="O1083" s="205"/>
      <c r="P1083" s="204"/>
      <c r="Q1083" s="205"/>
      <c r="R1083" s="204"/>
      <c r="S1083" s="204"/>
      <c r="T1083" s="204"/>
      <c r="U1083" s="205"/>
      <c r="V1083" s="204"/>
      <c r="W1083" s="204"/>
      <c r="X1083" s="204"/>
      <c r="Y1083" s="204"/>
      <c r="Z1083" s="204"/>
      <c r="AA1083" s="204"/>
      <c r="AB1083" s="204"/>
      <c r="AC1083" s="204"/>
      <c r="AD1083" s="204"/>
    </row>
    <row r="1084">
      <c r="A1084" s="202"/>
      <c r="B1084" s="203"/>
      <c r="C1084" s="204"/>
      <c r="D1084" s="203"/>
      <c r="E1084" s="204"/>
      <c r="F1084" s="204"/>
      <c r="G1084" s="93"/>
      <c r="H1084" s="204"/>
      <c r="I1084" s="205"/>
      <c r="J1084" s="204"/>
      <c r="K1084" s="204"/>
      <c r="L1084" s="203"/>
      <c r="M1084" s="204"/>
      <c r="N1084" s="205"/>
      <c r="O1084" s="205"/>
      <c r="P1084" s="204"/>
      <c r="Q1084" s="205"/>
      <c r="R1084" s="204"/>
      <c r="S1084" s="204"/>
      <c r="T1084" s="204"/>
      <c r="U1084" s="205"/>
      <c r="V1084" s="204"/>
      <c r="W1084" s="204"/>
      <c r="X1084" s="204"/>
      <c r="Y1084" s="204"/>
      <c r="Z1084" s="204"/>
      <c r="AA1084" s="204"/>
      <c r="AB1084" s="204"/>
      <c r="AC1084" s="204"/>
      <c r="AD1084" s="204"/>
    </row>
    <row r="1085">
      <c r="A1085" s="202"/>
      <c r="B1085" s="203"/>
      <c r="C1085" s="204"/>
      <c r="D1085" s="203"/>
      <c r="E1085" s="204"/>
      <c r="F1085" s="204"/>
      <c r="G1085" s="93"/>
      <c r="H1085" s="204"/>
      <c r="I1085" s="205"/>
      <c r="J1085" s="204"/>
      <c r="K1085" s="204"/>
      <c r="L1085" s="203"/>
      <c r="M1085" s="204"/>
      <c r="N1085" s="205"/>
      <c r="O1085" s="205"/>
      <c r="P1085" s="204"/>
      <c r="Q1085" s="205"/>
      <c r="R1085" s="204"/>
      <c r="S1085" s="204"/>
      <c r="T1085" s="204"/>
      <c r="U1085" s="205"/>
      <c r="V1085" s="204"/>
      <c r="W1085" s="204"/>
      <c r="X1085" s="204"/>
      <c r="Y1085" s="204"/>
      <c r="Z1085" s="204"/>
      <c r="AA1085" s="204"/>
      <c r="AB1085" s="204"/>
      <c r="AC1085" s="204"/>
      <c r="AD1085" s="204"/>
    </row>
    <row r="1086">
      <c r="A1086" s="202"/>
      <c r="B1086" s="203"/>
      <c r="C1086" s="204"/>
      <c r="D1086" s="203"/>
      <c r="E1086" s="204"/>
      <c r="F1086" s="204"/>
      <c r="G1086" s="93"/>
      <c r="H1086" s="204"/>
      <c r="I1086" s="205"/>
      <c r="J1086" s="204"/>
      <c r="K1086" s="204"/>
      <c r="L1086" s="203"/>
      <c r="M1086" s="204"/>
      <c r="N1086" s="205"/>
      <c r="O1086" s="205"/>
      <c r="P1086" s="204"/>
      <c r="Q1086" s="205"/>
      <c r="R1086" s="204"/>
      <c r="S1086" s="204"/>
      <c r="T1086" s="204"/>
      <c r="U1086" s="205"/>
      <c r="V1086" s="204"/>
      <c r="W1086" s="204"/>
      <c r="X1086" s="204"/>
      <c r="Y1086" s="204"/>
      <c r="Z1086" s="204"/>
      <c r="AA1086" s="204"/>
      <c r="AB1086" s="204"/>
      <c r="AC1086" s="204"/>
      <c r="AD1086" s="204"/>
    </row>
    <row r="1087">
      <c r="A1087" s="202"/>
      <c r="B1087" s="203"/>
      <c r="C1087" s="204"/>
      <c r="D1087" s="203"/>
      <c r="E1087" s="204"/>
      <c r="F1087" s="204"/>
      <c r="G1087" s="93"/>
      <c r="H1087" s="204"/>
      <c r="I1087" s="205"/>
      <c r="J1087" s="204"/>
      <c r="K1087" s="204"/>
      <c r="L1087" s="203"/>
      <c r="M1087" s="204"/>
      <c r="N1087" s="205"/>
      <c r="O1087" s="205"/>
      <c r="P1087" s="204"/>
      <c r="Q1087" s="205"/>
      <c r="R1087" s="204"/>
      <c r="S1087" s="204"/>
      <c r="T1087" s="204"/>
      <c r="U1087" s="205"/>
      <c r="V1087" s="204"/>
      <c r="W1087" s="204"/>
      <c r="X1087" s="204"/>
      <c r="Y1087" s="204"/>
      <c r="Z1087" s="204"/>
      <c r="AA1087" s="204"/>
      <c r="AB1087" s="204"/>
      <c r="AC1087" s="204"/>
      <c r="AD1087" s="204"/>
    </row>
    <row r="1088">
      <c r="A1088" s="202"/>
      <c r="B1088" s="203"/>
      <c r="C1088" s="204"/>
      <c r="D1088" s="203"/>
      <c r="E1088" s="204"/>
      <c r="F1088" s="204"/>
      <c r="G1088" s="93"/>
      <c r="H1088" s="204"/>
      <c r="I1088" s="205"/>
      <c r="J1088" s="204"/>
      <c r="K1088" s="204"/>
      <c r="L1088" s="203"/>
      <c r="M1088" s="204"/>
      <c r="N1088" s="205"/>
      <c r="O1088" s="205"/>
      <c r="P1088" s="204"/>
      <c r="Q1088" s="205"/>
      <c r="R1088" s="204"/>
      <c r="S1088" s="204"/>
      <c r="T1088" s="204"/>
      <c r="U1088" s="205"/>
      <c r="V1088" s="204"/>
      <c r="W1088" s="204"/>
      <c r="X1088" s="204"/>
      <c r="Y1088" s="204"/>
      <c r="Z1088" s="204"/>
      <c r="AA1088" s="204"/>
      <c r="AB1088" s="204"/>
      <c r="AC1088" s="204"/>
      <c r="AD1088" s="204"/>
    </row>
    <row r="1089">
      <c r="A1089" s="202"/>
      <c r="B1089" s="203"/>
      <c r="C1089" s="204"/>
      <c r="D1089" s="203"/>
      <c r="E1089" s="204"/>
      <c r="F1089" s="204"/>
      <c r="G1089" s="93"/>
      <c r="H1089" s="204"/>
      <c r="I1089" s="205"/>
      <c r="J1089" s="204"/>
      <c r="K1089" s="204"/>
      <c r="L1089" s="203"/>
      <c r="M1089" s="204"/>
      <c r="N1089" s="205"/>
      <c r="O1089" s="205"/>
      <c r="P1089" s="204"/>
      <c r="Q1089" s="205"/>
      <c r="R1089" s="204"/>
      <c r="S1089" s="204"/>
      <c r="T1089" s="204"/>
      <c r="U1089" s="205"/>
      <c r="V1089" s="204"/>
      <c r="W1089" s="204"/>
      <c r="X1089" s="204"/>
      <c r="Y1089" s="204"/>
      <c r="Z1089" s="204"/>
      <c r="AA1089" s="204"/>
      <c r="AB1089" s="204"/>
      <c r="AC1089" s="204"/>
      <c r="AD1089" s="204"/>
    </row>
    <row r="1090">
      <c r="A1090" s="202"/>
      <c r="B1090" s="203"/>
      <c r="C1090" s="204"/>
      <c r="D1090" s="203"/>
      <c r="E1090" s="204"/>
      <c r="F1090" s="204"/>
      <c r="G1090" s="93"/>
      <c r="H1090" s="204"/>
      <c r="I1090" s="205"/>
      <c r="J1090" s="204"/>
      <c r="K1090" s="204"/>
      <c r="L1090" s="203"/>
      <c r="M1090" s="204"/>
      <c r="N1090" s="205"/>
      <c r="O1090" s="205"/>
      <c r="P1090" s="204"/>
      <c r="Q1090" s="205"/>
      <c r="R1090" s="204"/>
      <c r="S1090" s="204"/>
      <c r="T1090" s="204"/>
      <c r="U1090" s="205"/>
      <c r="V1090" s="204"/>
      <c r="W1090" s="204"/>
      <c r="X1090" s="204"/>
      <c r="Y1090" s="204"/>
      <c r="Z1090" s="204"/>
      <c r="AA1090" s="204"/>
      <c r="AB1090" s="204"/>
      <c r="AC1090" s="204"/>
      <c r="AD1090" s="204"/>
    </row>
    <row r="1091">
      <c r="A1091" s="202"/>
      <c r="B1091" s="203"/>
      <c r="C1091" s="204"/>
      <c r="D1091" s="203"/>
      <c r="E1091" s="204"/>
      <c r="F1091" s="204"/>
      <c r="G1091" s="93"/>
      <c r="H1091" s="204"/>
      <c r="I1091" s="205"/>
      <c r="J1091" s="204"/>
      <c r="K1091" s="204"/>
      <c r="L1091" s="203"/>
      <c r="M1091" s="204"/>
      <c r="N1091" s="205"/>
      <c r="O1091" s="205"/>
      <c r="P1091" s="204"/>
      <c r="Q1091" s="205"/>
      <c r="R1091" s="204"/>
      <c r="S1091" s="204"/>
      <c r="T1091" s="204"/>
      <c r="U1091" s="205"/>
      <c r="V1091" s="204"/>
      <c r="W1091" s="204"/>
      <c r="X1091" s="204"/>
      <c r="Y1091" s="204"/>
      <c r="Z1091" s="204"/>
      <c r="AA1091" s="204"/>
      <c r="AB1091" s="204"/>
      <c r="AC1091" s="204"/>
      <c r="AD1091" s="204"/>
    </row>
    <row r="1092">
      <c r="A1092" s="202"/>
      <c r="B1092" s="203"/>
      <c r="C1092" s="204"/>
      <c r="D1092" s="203"/>
      <c r="E1092" s="204"/>
      <c r="F1092" s="204"/>
      <c r="G1092" s="93"/>
      <c r="H1092" s="204"/>
      <c r="I1092" s="205"/>
      <c r="J1092" s="204"/>
      <c r="K1092" s="204"/>
      <c r="L1092" s="203"/>
      <c r="M1092" s="204"/>
      <c r="N1092" s="205"/>
      <c r="O1092" s="205"/>
      <c r="P1092" s="204"/>
      <c r="Q1092" s="205"/>
      <c r="R1092" s="204"/>
      <c r="S1092" s="204"/>
      <c r="T1092" s="204"/>
      <c r="U1092" s="205"/>
      <c r="V1092" s="204"/>
      <c r="W1092" s="204"/>
      <c r="X1092" s="204"/>
      <c r="Y1092" s="204"/>
      <c r="Z1092" s="204"/>
      <c r="AA1092" s="204"/>
      <c r="AB1092" s="204"/>
      <c r="AC1092" s="204"/>
      <c r="AD1092" s="204"/>
    </row>
    <row r="1093">
      <c r="A1093" s="202"/>
      <c r="B1093" s="203"/>
      <c r="C1093" s="204"/>
      <c r="D1093" s="203"/>
      <c r="E1093" s="204"/>
      <c r="F1093" s="204"/>
      <c r="G1093" s="93"/>
      <c r="H1093" s="204"/>
      <c r="I1093" s="205"/>
      <c r="J1093" s="204"/>
      <c r="K1093" s="204"/>
      <c r="L1093" s="203"/>
      <c r="M1093" s="204"/>
      <c r="N1093" s="205"/>
      <c r="O1093" s="205"/>
      <c r="P1093" s="204"/>
      <c r="Q1093" s="205"/>
      <c r="R1093" s="204"/>
      <c r="S1093" s="204"/>
      <c r="T1093" s="204"/>
      <c r="U1093" s="205"/>
      <c r="V1093" s="204"/>
      <c r="W1093" s="204"/>
      <c r="X1093" s="204"/>
      <c r="Y1093" s="204"/>
      <c r="Z1093" s="204"/>
      <c r="AA1093" s="204"/>
      <c r="AB1093" s="204"/>
      <c r="AC1093" s="204"/>
      <c r="AD1093" s="204"/>
    </row>
    <row r="1094">
      <c r="A1094" s="202"/>
      <c r="B1094" s="203"/>
      <c r="C1094" s="204"/>
      <c r="D1094" s="203"/>
      <c r="E1094" s="204"/>
      <c r="F1094" s="204"/>
      <c r="G1094" s="93"/>
      <c r="H1094" s="204"/>
      <c r="I1094" s="205"/>
      <c r="J1094" s="204"/>
      <c r="K1094" s="204"/>
      <c r="L1094" s="203"/>
      <c r="M1094" s="204"/>
      <c r="N1094" s="205"/>
      <c r="O1094" s="205"/>
      <c r="P1094" s="204"/>
      <c r="Q1094" s="205"/>
      <c r="R1094" s="204"/>
      <c r="S1094" s="204"/>
      <c r="T1094" s="204"/>
      <c r="U1094" s="205"/>
      <c r="V1094" s="204"/>
      <c r="W1094" s="204"/>
      <c r="X1094" s="204"/>
      <c r="Y1094" s="204"/>
      <c r="Z1094" s="204"/>
      <c r="AA1094" s="204"/>
      <c r="AB1094" s="204"/>
      <c r="AC1094" s="204"/>
      <c r="AD1094" s="204"/>
    </row>
    <row r="1095">
      <c r="A1095" s="202"/>
      <c r="B1095" s="203"/>
      <c r="C1095" s="204"/>
      <c r="D1095" s="203"/>
      <c r="E1095" s="204"/>
      <c r="F1095" s="204"/>
      <c r="G1095" s="93"/>
      <c r="H1095" s="204"/>
      <c r="I1095" s="205"/>
      <c r="J1095" s="204"/>
      <c r="K1095" s="204"/>
      <c r="L1095" s="203"/>
      <c r="M1095" s="204"/>
      <c r="N1095" s="205"/>
      <c r="O1095" s="205"/>
      <c r="P1095" s="204"/>
      <c r="Q1095" s="205"/>
      <c r="R1095" s="204"/>
      <c r="S1095" s="204"/>
      <c r="T1095" s="204"/>
      <c r="U1095" s="205"/>
      <c r="V1095" s="204"/>
      <c r="W1095" s="204"/>
      <c r="X1095" s="204"/>
      <c r="Y1095" s="204"/>
      <c r="Z1095" s="204"/>
      <c r="AA1095" s="204"/>
      <c r="AB1095" s="204"/>
      <c r="AC1095" s="204"/>
      <c r="AD1095" s="204"/>
    </row>
    <row r="1096">
      <c r="A1096" s="202"/>
      <c r="B1096" s="203"/>
      <c r="C1096" s="204"/>
      <c r="D1096" s="203"/>
      <c r="E1096" s="204"/>
      <c r="F1096" s="204"/>
      <c r="G1096" s="93"/>
      <c r="H1096" s="204"/>
      <c r="I1096" s="205"/>
      <c r="J1096" s="204"/>
      <c r="K1096" s="204"/>
      <c r="L1096" s="203"/>
      <c r="M1096" s="204"/>
      <c r="N1096" s="205"/>
      <c r="O1096" s="205"/>
      <c r="P1096" s="204"/>
      <c r="Q1096" s="205"/>
      <c r="R1096" s="204"/>
      <c r="S1096" s="204"/>
      <c r="T1096" s="204"/>
      <c r="U1096" s="205"/>
      <c r="V1096" s="204"/>
      <c r="W1096" s="204"/>
      <c r="X1096" s="204"/>
      <c r="Y1096" s="204"/>
      <c r="Z1096" s="204"/>
      <c r="AA1096" s="204"/>
      <c r="AB1096" s="204"/>
      <c r="AC1096" s="204"/>
      <c r="AD1096" s="204"/>
    </row>
    <row r="1097">
      <c r="A1097" s="202"/>
      <c r="B1097" s="203"/>
      <c r="C1097" s="204"/>
      <c r="D1097" s="203"/>
      <c r="E1097" s="204"/>
      <c r="F1097" s="204"/>
      <c r="G1097" s="93"/>
      <c r="H1097" s="204"/>
      <c r="I1097" s="205"/>
      <c r="J1097" s="204"/>
      <c r="K1097" s="204"/>
      <c r="L1097" s="203"/>
      <c r="M1097" s="204"/>
      <c r="N1097" s="205"/>
      <c r="O1097" s="205"/>
      <c r="P1097" s="204"/>
      <c r="Q1097" s="205"/>
      <c r="R1097" s="204"/>
      <c r="S1097" s="204"/>
      <c r="T1097" s="204"/>
      <c r="U1097" s="205"/>
      <c r="V1097" s="204"/>
      <c r="W1097" s="204"/>
      <c r="X1097" s="204"/>
      <c r="Y1097" s="204"/>
      <c r="Z1097" s="204"/>
      <c r="AA1097" s="204"/>
      <c r="AB1097" s="204"/>
      <c r="AC1097" s="204"/>
      <c r="AD1097" s="204"/>
    </row>
    <row r="1098">
      <c r="A1098" s="202"/>
      <c r="B1098" s="203"/>
      <c r="C1098" s="204"/>
      <c r="D1098" s="203"/>
      <c r="E1098" s="204"/>
      <c r="F1098" s="204"/>
      <c r="G1098" s="93"/>
      <c r="H1098" s="204"/>
      <c r="I1098" s="205"/>
      <c r="J1098" s="204"/>
      <c r="K1098" s="204"/>
      <c r="L1098" s="203"/>
      <c r="M1098" s="204"/>
      <c r="N1098" s="205"/>
      <c r="O1098" s="205"/>
      <c r="P1098" s="204"/>
      <c r="Q1098" s="205"/>
      <c r="R1098" s="204"/>
      <c r="S1098" s="204"/>
      <c r="T1098" s="204"/>
      <c r="U1098" s="205"/>
      <c r="V1098" s="204"/>
      <c r="W1098" s="204"/>
      <c r="X1098" s="204"/>
      <c r="Y1098" s="204"/>
      <c r="Z1098" s="204"/>
      <c r="AA1098" s="204"/>
      <c r="AB1098" s="204"/>
      <c r="AC1098" s="204"/>
      <c r="AD1098" s="204"/>
    </row>
    <row r="1099">
      <c r="A1099" s="202"/>
      <c r="B1099" s="203"/>
      <c r="C1099" s="204"/>
      <c r="D1099" s="203"/>
      <c r="E1099" s="204"/>
      <c r="F1099" s="204"/>
      <c r="G1099" s="93"/>
      <c r="H1099" s="204"/>
      <c r="I1099" s="205"/>
      <c r="J1099" s="204"/>
      <c r="K1099" s="204"/>
      <c r="L1099" s="203"/>
      <c r="M1099" s="204"/>
      <c r="N1099" s="205"/>
      <c r="O1099" s="205"/>
      <c r="P1099" s="204"/>
      <c r="Q1099" s="205"/>
      <c r="R1099" s="204"/>
      <c r="S1099" s="204"/>
      <c r="T1099" s="204"/>
      <c r="U1099" s="205"/>
      <c r="V1099" s="204"/>
      <c r="W1099" s="204"/>
      <c r="X1099" s="204"/>
      <c r="Y1099" s="204"/>
      <c r="Z1099" s="204"/>
      <c r="AA1099" s="204"/>
      <c r="AB1099" s="204"/>
      <c r="AC1099" s="204"/>
      <c r="AD1099" s="204"/>
    </row>
    <row r="1100">
      <c r="A1100" s="202"/>
      <c r="B1100" s="203"/>
      <c r="C1100" s="204"/>
      <c r="D1100" s="203"/>
      <c r="E1100" s="204"/>
      <c r="F1100" s="204"/>
      <c r="G1100" s="93"/>
      <c r="H1100" s="204"/>
      <c r="I1100" s="205"/>
      <c r="J1100" s="204"/>
      <c r="K1100" s="204"/>
      <c r="L1100" s="203"/>
      <c r="M1100" s="204"/>
      <c r="N1100" s="205"/>
      <c r="O1100" s="205"/>
      <c r="P1100" s="204"/>
      <c r="Q1100" s="205"/>
      <c r="R1100" s="204"/>
      <c r="S1100" s="204"/>
      <c r="T1100" s="204"/>
      <c r="U1100" s="205"/>
      <c r="V1100" s="204"/>
      <c r="W1100" s="204"/>
      <c r="X1100" s="204"/>
      <c r="Y1100" s="204"/>
      <c r="Z1100" s="204"/>
      <c r="AA1100" s="204"/>
      <c r="AB1100" s="204"/>
      <c r="AC1100" s="204"/>
      <c r="AD1100" s="204"/>
    </row>
    <row r="1101">
      <c r="A1101" s="202"/>
      <c r="B1101" s="203"/>
      <c r="C1101" s="204"/>
      <c r="D1101" s="203"/>
      <c r="E1101" s="204"/>
      <c r="F1101" s="204"/>
      <c r="G1101" s="93"/>
      <c r="H1101" s="204"/>
      <c r="I1101" s="205"/>
      <c r="J1101" s="204"/>
      <c r="K1101" s="204"/>
      <c r="L1101" s="203"/>
      <c r="M1101" s="204"/>
      <c r="N1101" s="205"/>
      <c r="O1101" s="205"/>
      <c r="P1101" s="204"/>
      <c r="Q1101" s="205"/>
      <c r="R1101" s="204"/>
      <c r="S1101" s="204"/>
      <c r="T1101" s="204"/>
      <c r="U1101" s="205"/>
      <c r="V1101" s="204"/>
      <c r="W1101" s="204"/>
      <c r="X1101" s="204"/>
      <c r="Y1101" s="204"/>
      <c r="Z1101" s="204"/>
      <c r="AA1101" s="204"/>
      <c r="AB1101" s="204"/>
      <c r="AC1101" s="204"/>
      <c r="AD1101" s="204"/>
    </row>
    <row r="1102">
      <c r="A1102" s="202"/>
      <c r="B1102" s="203"/>
      <c r="C1102" s="204"/>
      <c r="D1102" s="203"/>
      <c r="E1102" s="204"/>
      <c r="F1102" s="204"/>
      <c r="G1102" s="93"/>
      <c r="H1102" s="204"/>
      <c r="I1102" s="205"/>
      <c r="J1102" s="204"/>
      <c r="K1102" s="204"/>
      <c r="L1102" s="203"/>
      <c r="M1102" s="204"/>
      <c r="N1102" s="205"/>
      <c r="O1102" s="205"/>
      <c r="P1102" s="204"/>
      <c r="Q1102" s="205"/>
      <c r="R1102" s="204"/>
      <c r="S1102" s="204"/>
      <c r="T1102" s="204"/>
      <c r="U1102" s="205"/>
      <c r="V1102" s="204"/>
      <c r="W1102" s="204"/>
      <c r="X1102" s="204"/>
      <c r="Y1102" s="204"/>
      <c r="Z1102" s="204"/>
      <c r="AA1102" s="204"/>
      <c r="AB1102" s="204"/>
      <c r="AC1102" s="204"/>
      <c r="AD1102" s="204"/>
    </row>
    <row r="1103">
      <c r="A1103" s="202"/>
      <c r="B1103" s="203"/>
      <c r="C1103" s="204"/>
      <c r="D1103" s="203"/>
      <c r="E1103" s="204"/>
      <c r="F1103" s="204"/>
      <c r="G1103" s="93"/>
      <c r="H1103" s="204"/>
      <c r="I1103" s="205"/>
      <c r="J1103" s="204"/>
      <c r="K1103" s="204"/>
      <c r="L1103" s="203"/>
      <c r="M1103" s="204"/>
      <c r="N1103" s="205"/>
      <c r="O1103" s="205"/>
      <c r="P1103" s="204"/>
      <c r="Q1103" s="205"/>
      <c r="R1103" s="204"/>
      <c r="S1103" s="204"/>
      <c r="T1103" s="204"/>
      <c r="U1103" s="205"/>
      <c r="V1103" s="204"/>
      <c r="W1103" s="204"/>
      <c r="X1103" s="204"/>
      <c r="Y1103" s="204"/>
      <c r="Z1103" s="204"/>
      <c r="AA1103" s="204"/>
      <c r="AB1103" s="204"/>
      <c r="AC1103" s="204"/>
      <c r="AD1103" s="204"/>
    </row>
    <row r="1104">
      <c r="A1104" s="202"/>
      <c r="B1104" s="203"/>
      <c r="C1104" s="204"/>
      <c r="D1104" s="203"/>
      <c r="E1104" s="204"/>
      <c r="F1104" s="204"/>
      <c r="G1104" s="93"/>
      <c r="H1104" s="204"/>
      <c r="I1104" s="205"/>
      <c r="J1104" s="204"/>
      <c r="K1104" s="204"/>
      <c r="L1104" s="203"/>
      <c r="M1104" s="204"/>
      <c r="N1104" s="205"/>
      <c r="O1104" s="205"/>
      <c r="P1104" s="204"/>
      <c r="Q1104" s="205"/>
      <c r="R1104" s="204"/>
      <c r="S1104" s="204"/>
      <c r="T1104" s="204"/>
      <c r="U1104" s="205"/>
      <c r="V1104" s="204"/>
      <c r="W1104" s="204"/>
      <c r="X1104" s="204"/>
      <c r="Y1104" s="204"/>
      <c r="Z1104" s="204"/>
      <c r="AA1104" s="204"/>
      <c r="AB1104" s="204"/>
      <c r="AC1104" s="204"/>
      <c r="AD1104" s="204"/>
    </row>
    <row r="1105">
      <c r="A1105" s="202"/>
      <c r="B1105" s="203"/>
      <c r="C1105" s="204"/>
      <c r="D1105" s="203"/>
      <c r="E1105" s="204"/>
      <c r="F1105" s="204"/>
      <c r="G1105" s="93"/>
      <c r="H1105" s="204"/>
      <c r="I1105" s="205"/>
      <c r="J1105" s="204"/>
      <c r="K1105" s="204"/>
      <c r="L1105" s="203"/>
      <c r="M1105" s="204"/>
      <c r="N1105" s="205"/>
      <c r="O1105" s="205"/>
      <c r="P1105" s="204"/>
      <c r="Q1105" s="205"/>
      <c r="R1105" s="204"/>
      <c r="S1105" s="204"/>
      <c r="T1105" s="204"/>
      <c r="U1105" s="205"/>
      <c r="V1105" s="204"/>
      <c r="W1105" s="204"/>
      <c r="X1105" s="204"/>
      <c r="Y1105" s="204"/>
      <c r="Z1105" s="204"/>
      <c r="AA1105" s="204"/>
      <c r="AB1105" s="204"/>
      <c r="AC1105" s="204"/>
      <c r="AD1105" s="204"/>
    </row>
    <row r="1106">
      <c r="A1106" s="202"/>
      <c r="B1106" s="203"/>
      <c r="C1106" s="204"/>
      <c r="D1106" s="203"/>
      <c r="E1106" s="204"/>
      <c r="F1106" s="204"/>
      <c r="G1106" s="93"/>
      <c r="H1106" s="204"/>
      <c r="I1106" s="205"/>
      <c r="J1106" s="204"/>
      <c r="K1106" s="204"/>
      <c r="L1106" s="203"/>
      <c r="M1106" s="204"/>
      <c r="N1106" s="205"/>
      <c r="O1106" s="205"/>
      <c r="P1106" s="204"/>
      <c r="Q1106" s="205"/>
      <c r="R1106" s="204"/>
      <c r="S1106" s="204"/>
      <c r="T1106" s="204"/>
      <c r="U1106" s="205"/>
      <c r="V1106" s="204"/>
      <c r="W1106" s="204"/>
      <c r="X1106" s="204"/>
      <c r="Y1106" s="204"/>
      <c r="Z1106" s="204"/>
      <c r="AA1106" s="204"/>
      <c r="AB1106" s="204"/>
      <c r="AC1106" s="204"/>
      <c r="AD1106" s="204"/>
    </row>
    <row r="1107">
      <c r="A1107" s="202"/>
      <c r="B1107" s="203"/>
      <c r="C1107" s="204"/>
      <c r="D1107" s="203"/>
      <c r="E1107" s="204"/>
      <c r="F1107" s="204"/>
      <c r="G1107" s="93"/>
      <c r="H1107" s="204"/>
      <c r="I1107" s="205"/>
      <c r="J1107" s="204"/>
      <c r="K1107" s="204"/>
      <c r="L1107" s="203"/>
      <c r="M1107" s="204"/>
      <c r="N1107" s="205"/>
      <c r="O1107" s="205"/>
      <c r="P1107" s="204"/>
      <c r="Q1107" s="205"/>
      <c r="R1107" s="204"/>
      <c r="S1107" s="204"/>
      <c r="T1107" s="204"/>
      <c r="U1107" s="205"/>
      <c r="V1107" s="204"/>
      <c r="W1107" s="204"/>
      <c r="X1107" s="204"/>
      <c r="Y1107" s="204"/>
      <c r="Z1107" s="204"/>
      <c r="AA1107" s="204"/>
      <c r="AB1107" s="204"/>
      <c r="AC1107" s="204"/>
      <c r="AD1107" s="204"/>
    </row>
    <row r="1108">
      <c r="A1108" s="202"/>
      <c r="B1108" s="203"/>
      <c r="C1108" s="204"/>
      <c r="D1108" s="203"/>
      <c r="E1108" s="204"/>
      <c r="F1108" s="204"/>
      <c r="G1108" s="93"/>
      <c r="H1108" s="204"/>
      <c r="I1108" s="205"/>
      <c r="J1108" s="204"/>
      <c r="K1108" s="204"/>
      <c r="L1108" s="203"/>
      <c r="M1108" s="204"/>
      <c r="N1108" s="205"/>
      <c r="O1108" s="205"/>
      <c r="P1108" s="204"/>
      <c r="Q1108" s="205"/>
      <c r="R1108" s="204"/>
      <c r="S1108" s="204"/>
      <c r="T1108" s="204"/>
      <c r="U1108" s="205"/>
      <c r="V1108" s="204"/>
      <c r="W1108" s="204"/>
      <c r="X1108" s="204"/>
      <c r="Y1108" s="204"/>
      <c r="Z1108" s="204"/>
      <c r="AA1108" s="204"/>
      <c r="AB1108" s="204"/>
      <c r="AC1108" s="204"/>
      <c r="AD1108" s="204"/>
    </row>
    <row r="1109">
      <c r="A1109" s="202"/>
      <c r="B1109" s="203"/>
      <c r="C1109" s="204"/>
      <c r="D1109" s="203"/>
      <c r="E1109" s="204"/>
      <c r="F1109" s="204"/>
      <c r="G1109" s="93"/>
      <c r="H1109" s="204"/>
      <c r="I1109" s="205"/>
      <c r="J1109" s="204"/>
      <c r="K1109" s="204"/>
      <c r="L1109" s="203"/>
      <c r="M1109" s="204"/>
      <c r="N1109" s="205"/>
      <c r="O1109" s="205"/>
      <c r="P1109" s="204"/>
      <c r="Q1109" s="205"/>
      <c r="R1109" s="204"/>
      <c r="S1109" s="204"/>
      <c r="T1109" s="204"/>
      <c r="U1109" s="205"/>
      <c r="V1109" s="204"/>
      <c r="W1109" s="204"/>
      <c r="X1109" s="204"/>
      <c r="Y1109" s="204"/>
      <c r="Z1109" s="204"/>
      <c r="AA1109" s="204"/>
      <c r="AB1109" s="204"/>
      <c r="AC1109" s="204"/>
      <c r="AD1109" s="204"/>
    </row>
    <row r="1110">
      <c r="A1110" s="202"/>
      <c r="B1110" s="203"/>
      <c r="C1110" s="204"/>
      <c r="D1110" s="203"/>
      <c r="E1110" s="204"/>
      <c r="F1110" s="204"/>
      <c r="G1110" s="93"/>
      <c r="H1110" s="204"/>
      <c r="I1110" s="205"/>
      <c r="J1110" s="204"/>
      <c r="K1110" s="204"/>
      <c r="L1110" s="203"/>
      <c r="M1110" s="204"/>
      <c r="N1110" s="205"/>
      <c r="O1110" s="205"/>
      <c r="P1110" s="204"/>
      <c r="Q1110" s="205"/>
      <c r="R1110" s="204"/>
      <c r="S1110" s="204"/>
      <c r="T1110" s="204"/>
      <c r="U1110" s="205"/>
      <c r="V1110" s="204"/>
      <c r="W1110" s="204"/>
      <c r="X1110" s="204"/>
      <c r="Y1110" s="204"/>
      <c r="Z1110" s="204"/>
      <c r="AA1110" s="204"/>
      <c r="AB1110" s="204"/>
      <c r="AC1110" s="204"/>
      <c r="AD1110" s="204"/>
    </row>
    <row r="1111">
      <c r="A1111" s="202"/>
      <c r="B1111" s="203"/>
      <c r="C1111" s="204"/>
      <c r="D1111" s="203"/>
      <c r="E1111" s="204"/>
      <c r="F1111" s="204"/>
      <c r="G1111" s="93"/>
      <c r="H1111" s="204"/>
      <c r="I1111" s="205"/>
      <c r="J1111" s="204"/>
      <c r="K1111" s="204"/>
      <c r="L1111" s="203"/>
      <c r="M1111" s="204"/>
      <c r="N1111" s="205"/>
      <c r="O1111" s="205"/>
      <c r="P1111" s="204"/>
      <c r="Q1111" s="205"/>
      <c r="R1111" s="204"/>
      <c r="S1111" s="204"/>
      <c r="T1111" s="204"/>
      <c r="U1111" s="205"/>
      <c r="V1111" s="204"/>
      <c r="W1111" s="204"/>
      <c r="X1111" s="204"/>
      <c r="Y1111" s="204"/>
      <c r="Z1111" s="204"/>
      <c r="AA1111" s="204"/>
      <c r="AB1111" s="204"/>
      <c r="AC1111" s="204"/>
      <c r="AD1111" s="204"/>
    </row>
    <row r="1112">
      <c r="A1112" s="202"/>
      <c r="B1112" s="203"/>
      <c r="C1112" s="204"/>
      <c r="D1112" s="203"/>
      <c r="E1112" s="204"/>
      <c r="F1112" s="204"/>
      <c r="G1112" s="93"/>
      <c r="H1112" s="204"/>
      <c r="I1112" s="205"/>
      <c r="J1112" s="204"/>
      <c r="K1112" s="204"/>
      <c r="L1112" s="203"/>
      <c r="M1112" s="204"/>
      <c r="N1112" s="205"/>
      <c r="O1112" s="205"/>
      <c r="P1112" s="204"/>
      <c r="Q1112" s="205"/>
      <c r="R1112" s="204"/>
      <c r="S1112" s="204"/>
      <c r="T1112" s="204"/>
      <c r="U1112" s="205"/>
      <c r="V1112" s="204"/>
      <c r="W1112" s="204"/>
      <c r="X1112" s="204"/>
      <c r="Y1112" s="204"/>
      <c r="Z1112" s="204"/>
      <c r="AA1112" s="204"/>
      <c r="AB1112" s="204"/>
      <c r="AC1112" s="204"/>
      <c r="AD1112" s="204"/>
    </row>
    <row r="1113">
      <c r="A1113" s="202"/>
      <c r="B1113" s="203"/>
      <c r="C1113" s="204"/>
      <c r="D1113" s="203"/>
      <c r="E1113" s="204"/>
      <c r="F1113" s="204"/>
      <c r="G1113" s="93"/>
      <c r="H1113" s="204"/>
      <c r="I1113" s="205"/>
      <c r="J1113" s="204"/>
      <c r="K1113" s="204"/>
      <c r="L1113" s="203"/>
      <c r="M1113" s="204"/>
      <c r="N1113" s="205"/>
      <c r="O1113" s="205"/>
      <c r="P1113" s="204"/>
      <c r="Q1113" s="205"/>
      <c r="R1113" s="204"/>
      <c r="S1113" s="204"/>
      <c r="T1113" s="204"/>
      <c r="U1113" s="205"/>
      <c r="V1113" s="204"/>
      <c r="W1113" s="204"/>
      <c r="X1113" s="204"/>
      <c r="Y1113" s="204"/>
      <c r="Z1113" s="204"/>
      <c r="AA1113" s="204"/>
      <c r="AB1113" s="204"/>
      <c r="AC1113" s="204"/>
      <c r="AD1113" s="204"/>
    </row>
    <row r="1114">
      <c r="A1114" s="202"/>
      <c r="B1114" s="203"/>
      <c r="C1114" s="204"/>
      <c r="D1114" s="203"/>
      <c r="E1114" s="204"/>
      <c r="F1114" s="204"/>
      <c r="G1114" s="93"/>
      <c r="H1114" s="204"/>
      <c r="I1114" s="205"/>
      <c r="J1114" s="204"/>
      <c r="K1114" s="204"/>
      <c r="L1114" s="203"/>
      <c r="M1114" s="204"/>
      <c r="N1114" s="205"/>
      <c r="O1114" s="205"/>
      <c r="P1114" s="204"/>
      <c r="Q1114" s="205"/>
      <c r="R1114" s="204"/>
      <c r="S1114" s="204"/>
      <c r="T1114" s="204"/>
      <c r="U1114" s="205"/>
      <c r="V1114" s="204"/>
      <c r="W1114" s="204"/>
      <c r="X1114" s="204"/>
      <c r="Y1114" s="204"/>
      <c r="Z1114" s="204"/>
      <c r="AA1114" s="204"/>
      <c r="AB1114" s="204"/>
      <c r="AC1114" s="204"/>
      <c r="AD1114" s="204"/>
    </row>
    <row r="1115">
      <c r="A1115" s="202"/>
      <c r="B1115" s="203"/>
      <c r="C1115" s="204"/>
      <c r="D1115" s="203"/>
      <c r="E1115" s="204"/>
      <c r="F1115" s="204"/>
      <c r="G1115" s="93"/>
      <c r="H1115" s="204"/>
      <c r="I1115" s="205"/>
      <c r="J1115" s="204"/>
      <c r="K1115" s="204"/>
      <c r="L1115" s="203"/>
      <c r="M1115" s="204"/>
      <c r="N1115" s="205"/>
      <c r="O1115" s="205"/>
      <c r="P1115" s="204"/>
      <c r="Q1115" s="205"/>
      <c r="R1115" s="204"/>
      <c r="S1115" s="204"/>
      <c r="T1115" s="204"/>
      <c r="U1115" s="205"/>
      <c r="V1115" s="204"/>
      <c r="W1115" s="204"/>
      <c r="X1115" s="204"/>
      <c r="Y1115" s="204"/>
      <c r="Z1115" s="204"/>
      <c r="AA1115" s="204"/>
      <c r="AB1115" s="204"/>
      <c r="AC1115" s="204"/>
      <c r="AD1115" s="204"/>
    </row>
    <row r="1116">
      <c r="A1116" s="202"/>
      <c r="B1116" s="203"/>
      <c r="C1116" s="204"/>
      <c r="D1116" s="203"/>
      <c r="E1116" s="204"/>
      <c r="F1116" s="204"/>
      <c r="G1116" s="93"/>
      <c r="H1116" s="204"/>
      <c r="I1116" s="205"/>
      <c r="J1116" s="204"/>
      <c r="K1116" s="204"/>
      <c r="L1116" s="203"/>
      <c r="M1116" s="204"/>
      <c r="N1116" s="205"/>
      <c r="O1116" s="205"/>
      <c r="P1116" s="204"/>
      <c r="Q1116" s="205"/>
      <c r="R1116" s="204"/>
      <c r="S1116" s="204"/>
      <c r="T1116" s="204"/>
      <c r="U1116" s="205"/>
      <c r="V1116" s="204"/>
      <c r="W1116" s="204"/>
      <c r="X1116" s="204"/>
      <c r="Y1116" s="204"/>
      <c r="Z1116" s="204"/>
      <c r="AA1116" s="204"/>
      <c r="AB1116" s="204"/>
      <c r="AC1116" s="204"/>
      <c r="AD1116" s="204"/>
    </row>
    <row r="1117">
      <c r="A1117" s="202"/>
      <c r="B1117" s="203"/>
      <c r="C1117" s="204"/>
      <c r="D1117" s="203"/>
      <c r="E1117" s="204"/>
      <c r="F1117" s="204"/>
      <c r="G1117" s="93"/>
      <c r="H1117" s="204"/>
      <c r="I1117" s="205"/>
      <c r="J1117" s="204"/>
      <c r="K1117" s="204"/>
      <c r="L1117" s="203"/>
      <c r="M1117" s="204"/>
      <c r="N1117" s="205"/>
      <c r="O1117" s="205"/>
      <c r="P1117" s="204"/>
      <c r="Q1117" s="205"/>
      <c r="R1117" s="204"/>
      <c r="S1117" s="204"/>
      <c r="T1117" s="204"/>
      <c r="U1117" s="205"/>
      <c r="V1117" s="204"/>
      <c r="W1117" s="204"/>
      <c r="X1117" s="204"/>
      <c r="Y1117" s="204"/>
      <c r="Z1117" s="204"/>
      <c r="AA1117" s="204"/>
      <c r="AB1117" s="204"/>
      <c r="AC1117" s="204"/>
      <c r="AD1117" s="204"/>
    </row>
    <row r="1118">
      <c r="A1118" s="202"/>
      <c r="B1118" s="203"/>
      <c r="C1118" s="204"/>
      <c r="D1118" s="203"/>
      <c r="E1118" s="204"/>
      <c r="F1118" s="204"/>
      <c r="G1118" s="93"/>
      <c r="H1118" s="204"/>
      <c r="I1118" s="205"/>
      <c r="J1118" s="204"/>
      <c r="K1118" s="204"/>
      <c r="L1118" s="203"/>
      <c r="M1118" s="204"/>
      <c r="N1118" s="205"/>
      <c r="O1118" s="205"/>
      <c r="P1118" s="204"/>
      <c r="Q1118" s="205"/>
      <c r="R1118" s="204"/>
      <c r="S1118" s="204"/>
      <c r="T1118" s="204"/>
      <c r="U1118" s="205"/>
      <c r="V1118" s="204"/>
      <c r="W1118" s="204"/>
      <c r="X1118" s="204"/>
      <c r="Y1118" s="204"/>
      <c r="Z1118" s="204"/>
      <c r="AA1118" s="204"/>
      <c r="AB1118" s="204"/>
      <c r="AC1118" s="204"/>
      <c r="AD1118" s="204"/>
    </row>
    <row r="1119">
      <c r="A1119" s="202"/>
      <c r="B1119" s="203"/>
      <c r="C1119" s="204"/>
      <c r="D1119" s="203"/>
      <c r="E1119" s="204"/>
      <c r="F1119" s="204"/>
      <c r="G1119" s="93"/>
      <c r="H1119" s="204"/>
      <c r="I1119" s="205"/>
      <c r="J1119" s="204"/>
      <c r="K1119" s="204"/>
      <c r="L1119" s="203"/>
      <c r="M1119" s="204"/>
      <c r="N1119" s="205"/>
      <c r="O1119" s="205"/>
      <c r="P1119" s="204"/>
      <c r="Q1119" s="205"/>
      <c r="R1119" s="204"/>
      <c r="S1119" s="204"/>
      <c r="T1119" s="204"/>
      <c r="U1119" s="205"/>
      <c r="V1119" s="204"/>
      <c r="W1119" s="204"/>
      <c r="X1119" s="204"/>
      <c r="Y1119" s="204"/>
      <c r="Z1119" s="204"/>
      <c r="AA1119" s="204"/>
      <c r="AB1119" s="204"/>
      <c r="AC1119" s="204"/>
      <c r="AD1119" s="204"/>
    </row>
    <row r="1120">
      <c r="A1120" s="202"/>
      <c r="B1120" s="203"/>
      <c r="C1120" s="204"/>
      <c r="D1120" s="203"/>
      <c r="E1120" s="204"/>
      <c r="F1120" s="204"/>
      <c r="G1120" s="93"/>
      <c r="H1120" s="204"/>
      <c r="I1120" s="205"/>
      <c r="J1120" s="204"/>
      <c r="K1120" s="204"/>
      <c r="L1120" s="203"/>
      <c r="M1120" s="204"/>
      <c r="N1120" s="205"/>
      <c r="O1120" s="205"/>
      <c r="P1120" s="204"/>
      <c r="Q1120" s="205"/>
      <c r="R1120" s="204"/>
      <c r="S1120" s="204"/>
      <c r="T1120" s="204"/>
      <c r="U1120" s="205"/>
      <c r="V1120" s="204"/>
      <c r="W1120" s="204"/>
      <c r="X1120" s="204"/>
      <c r="Y1120" s="204"/>
      <c r="Z1120" s="204"/>
      <c r="AA1120" s="204"/>
      <c r="AB1120" s="204"/>
      <c r="AC1120" s="204"/>
      <c r="AD1120" s="204"/>
    </row>
    <row r="1121">
      <c r="A1121" s="202"/>
      <c r="B1121" s="203"/>
      <c r="C1121" s="204"/>
      <c r="D1121" s="203"/>
      <c r="E1121" s="204"/>
      <c r="F1121" s="204"/>
      <c r="G1121" s="93"/>
      <c r="H1121" s="204"/>
      <c r="I1121" s="205"/>
      <c r="J1121" s="204"/>
      <c r="K1121" s="204"/>
      <c r="L1121" s="203"/>
      <c r="M1121" s="204"/>
      <c r="N1121" s="205"/>
      <c r="O1121" s="205"/>
      <c r="P1121" s="204"/>
      <c r="Q1121" s="205"/>
      <c r="R1121" s="204"/>
      <c r="S1121" s="204"/>
      <c r="T1121" s="204"/>
      <c r="U1121" s="205"/>
      <c r="V1121" s="204"/>
      <c r="W1121" s="204"/>
      <c r="X1121" s="204"/>
      <c r="Y1121" s="204"/>
      <c r="Z1121" s="204"/>
      <c r="AA1121" s="204"/>
      <c r="AB1121" s="204"/>
      <c r="AC1121" s="204"/>
      <c r="AD1121" s="204"/>
    </row>
    <row r="1122">
      <c r="A1122" s="202"/>
      <c r="B1122" s="203"/>
      <c r="C1122" s="204"/>
      <c r="D1122" s="203"/>
      <c r="E1122" s="204"/>
      <c r="F1122" s="204"/>
      <c r="G1122" s="93"/>
      <c r="H1122" s="204"/>
      <c r="I1122" s="205"/>
      <c r="J1122" s="204"/>
      <c r="K1122" s="204"/>
      <c r="L1122" s="203"/>
      <c r="M1122" s="204"/>
      <c r="N1122" s="205"/>
      <c r="O1122" s="205"/>
      <c r="P1122" s="204"/>
      <c r="Q1122" s="205"/>
      <c r="R1122" s="204"/>
      <c r="S1122" s="204"/>
      <c r="T1122" s="204"/>
      <c r="U1122" s="205"/>
      <c r="V1122" s="204"/>
      <c r="W1122" s="204"/>
      <c r="X1122" s="204"/>
      <c r="Y1122" s="204"/>
      <c r="Z1122" s="204"/>
      <c r="AA1122" s="204"/>
      <c r="AB1122" s="204"/>
      <c r="AC1122" s="204"/>
      <c r="AD1122" s="204"/>
    </row>
    <row r="1123">
      <c r="A1123" s="202"/>
      <c r="B1123" s="203"/>
      <c r="C1123" s="204"/>
      <c r="D1123" s="203"/>
      <c r="E1123" s="204"/>
      <c r="F1123" s="204"/>
      <c r="G1123" s="93"/>
      <c r="H1123" s="204"/>
      <c r="I1123" s="205"/>
      <c r="J1123" s="204"/>
      <c r="K1123" s="204"/>
      <c r="L1123" s="203"/>
      <c r="M1123" s="204"/>
      <c r="N1123" s="205"/>
      <c r="O1123" s="205"/>
      <c r="P1123" s="204"/>
      <c r="Q1123" s="205"/>
      <c r="R1123" s="204"/>
      <c r="S1123" s="204"/>
      <c r="T1123" s="204"/>
      <c r="U1123" s="205"/>
      <c r="V1123" s="204"/>
      <c r="W1123" s="204"/>
      <c r="X1123" s="204"/>
      <c r="Y1123" s="204"/>
      <c r="Z1123" s="204"/>
      <c r="AA1123" s="204"/>
      <c r="AB1123" s="204"/>
      <c r="AC1123" s="204"/>
      <c r="AD1123" s="204"/>
    </row>
    <row r="1124">
      <c r="A1124" s="202"/>
      <c r="B1124" s="203"/>
      <c r="C1124" s="204"/>
      <c r="D1124" s="203"/>
      <c r="E1124" s="204"/>
      <c r="F1124" s="204"/>
      <c r="G1124" s="93"/>
      <c r="H1124" s="204"/>
      <c r="I1124" s="205"/>
      <c r="J1124" s="204"/>
      <c r="K1124" s="204"/>
      <c r="L1124" s="203"/>
      <c r="M1124" s="204"/>
      <c r="N1124" s="205"/>
      <c r="O1124" s="205"/>
      <c r="P1124" s="204"/>
      <c r="Q1124" s="205"/>
      <c r="R1124" s="204"/>
      <c r="S1124" s="204"/>
      <c r="T1124" s="204"/>
      <c r="U1124" s="205"/>
      <c r="V1124" s="204"/>
      <c r="W1124" s="204"/>
      <c r="X1124" s="204"/>
      <c r="Y1124" s="204"/>
      <c r="Z1124" s="204"/>
      <c r="AA1124" s="204"/>
      <c r="AB1124" s="204"/>
      <c r="AC1124" s="204"/>
      <c r="AD1124" s="204"/>
    </row>
    <row r="1125">
      <c r="A1125" s="202"/>
      <c r="B1125" s="203"/>
      <c r="C1125" s="204"/>
      <c r="D1125" s="203"/>
      <c r="E1125" s="204"/>
      <c r="F1125" s="204"/>
      <c r="G1125" s="93"/>
      <c r="H1125" s="204"/>
      <c r="I1125" s="205"/>
      <c r="J1125" s="204"/>
      <c r="K1125" s="204"/>
      <c r="L1125" s="203"/>
      <c r="M1125" s="204"/>
      <c r="N1125" s="205"/>
      <c r="O1125" s="205"/>
      <c r="P1125" s="204"/>
      <c r="Q1125" s="205"/>
      <c r="R1125" s="204"/>
      <c r="S1125" s="204"/>
      <c r="T1125" s="204"/>
      <c r="U1125" s="205"/>
      <c r="V1125" s="204"/>
      <c r="W1125" s="204"/>
      <c r="X1125" s="204"/>
      <c r="Y1125" s="204"/>
      <c r="Z1125" s="204"/>
      <c r="AA1125" s="204"/>
      <c r="AB1125" s="204"/>
      <c r="AC1125" s="204"/>
      <c r="AD1125" s="204"/>
    </row>
    <row r="1126">
      <c r="A1126" s="202"/>
      <c r="B1126" s="203"/>
      <c r="C1126" s="204"/>
      <c r="D1126" s="203"/>
      <c r="E1126" s="204"/>
      <c r="F1126" s="204"/>
      <c r="G1126" s="93"/>
      <c r="H1126" s="204"/>
      <c r="I1126" s="205"/>
      <c r="J1126" s="204"/>
      <c r="K1126" s="204"/>
      <c r="L1126" s="203"/>
      <c r="M1126" s="204"/>
      <c r="N1126" s="205"/>
      <c r="O1126" s="205"/>
      <c r="P1126" s="204"/>
      <c r="Q1126" s="205"/>
      <c r="R1126" s="204"/>
      <c r="S1126" s="204"/>
      <c r="T1126" s="204"/>
      <c r="U1126" s="205"/>
      <c r="V1126" s="204"/>
      <c r="W1126" s="204"/>
      <c r="X1126" s="204"/>
      <c r="Y1126" s="204"/>
      <c r="Z1126" s="204"/>
      <c r="AA1126" s="204"/>
      <c r="AB1126" s="204"/>
      <c r="AC1126" s="204"/>
      <c r="AD1126" s="204"/>
    </row>
    <row r="1127">
      <c r="A1127" s="202"/>
      <c r="B1127" s="203"/>
      <c r="C1127" s="204"/>
      <c r="D1127" s="203"/>
      <c r="E1127" s="204"/>
      <c r="F1127" s="204"/>
      <c r="G1127" s="93"/>
      <c r="H1127" s="204"/>
      <c r="I1127" s="205"/>
      <c r="J1127" s="204"/>
      <c r="K1127" s="204"/>
      <c r="L1127" s="203"/>
      <c r="M1127" s="204"/>
      <c r="N1127" s="205"/>
      <c r="O1127" s="205"/>
      <c r="P1127" s="204"/>
      <c r="Q1127" s="205"/>
      <c r="R1127" s="204"/>
      <c r="S1127" s="204"/>
      <c r="T1127" s="204"/>
      <c r="U1127" s="205"/>
      <c r="V1127" s="204"/>
      <c r="W1127" s="204"/>
      <c r="X1127" s="204"/>
      <c r="Y1127" s="204"/>
      <c r="Z1127" s="204"/>
      <c r="AA1127" s="204"/>
      <c r="AB1127" s="204"/>
      <c r="AC1127" s="204"/>
      <c r="AD1127" s="204"/>
    </row>
    <row r="1128">
      <c r="A1128" s="202"/>
      <c r="B1128" s="203"/>
      <c r="C1128" s="204"/>
      <c r="D1128" s="203"/>
      <c r="E1128" s="204"/>
      <c r="F1128" s="204"/>
      <c r="G1128" s="93"/>
      <c r="H1128" s="204"/>
      <c r="I1128" s="205"/>
      <c r="J1128" s="204"/>
      <c r="K1128" s="204"/>
      <c r="L1128" s="203"/>
      <c r="M1128" s="204"/>
      <c r="N1128" s="205"/>
      <c r="O1128" s="205"/>
      <c r="P1128" s="204"/>
      <c r="Q1128" s="205"/>
      <c r="R1128" s="204"/>
      <c r="S1128" s="204"/>
      <c r="T1128" s="204"/>
      <c r="U1128" s="205"/>
      <c r="V1128" s="204"/>
      <c r="W1128" s="204"/>
      <c r="X1128" s="204"/>
      <c r="Y1128" s="204"/>
      <c r="Z1128" s="204"/>
      <c r="AA1128" s="204"/>
      <c r="AB1128" s="204"/>
      <c r="AC1128" s="204"/>
      <c r="AD1128" s="204"/>
    </row>
    <row r="1129">
      <c r="A1129" s="202"/>
      <c r="B1129" s="203"/>
      <c r="C1129" s="204"/>
      <c r="D1129" s="203"/>
      <c r="E1129" s="204"/>
      <c r="F1129" s="204"/>
      <c r="G1129" s="93"/>
      <c r="H1129" s="204"/>
      <c r="I1129" s="205"/>
      <c r="J1129" s="204"/>
      <c r="K1129" s="204"/>
      <c r="L1129" s="203"/>
      <c r="M1129" s="204"/>
      <c r="N1129" s="205"/>
      <c r="O1129" s="205"/>
      <c r="P1129" s="204"/>
      <c r="Q1129" s="205"/>
      <c r="R1129" s="204"/>
      <c r="S1129" s="204"/>
      <c r="T1129" s="204"/>
      <c r="U1129" s="205"/>
      <c r="V1129" s="204"/>
      <c r="W1129" s="204"/>
      <c r="X1129" s="204"/>
      <c r="Y1129" s="204"/>
      <c r="Z1129" s="204"/>
      <c r="AA1129" s="204"/>
      <c r="AB1129" s="204"/>
      <c r="AC1129" s="204"/>
      <c r="AD1129" s="204"/>
    </row>
    <row r="1130">
      <c r="A1130" s="202"/>
      <c r="B1130" s="203"/>
      <c r="C1130" s="204"/>
      <c r="D1130" s="203"/>
      <c r="E1130" s="204"/>
      <c r="F1130" s="204"/>
      <c r="G1130" s="93"/>
      <c r="H1130" s="204"/>
      <c r="I1130" s="205"/>
      <c r="J1130" s="204"/>
      <c r="K1130" s="204"/>
      <c r="L1130" s="203"/>
      <c r="M1130" s="204"/>
      <c r="N1130" s="205"/>
      <c r="O1130" s="205"/>
      <c r="P1130" s="204"/>
      <c r="Q1130" s="205"/>
      <c r="R1130" s="204"/>
      <c r="S1130" s="204"/>
      <c r="T1130" s="204"/>
      <c r="U1130" s="205"/>
      <c r="V1130" s="204"/>
      <c r="W1130" s="204"/>
      <c r="X1130" s="204"/>
      <c r="Y1130" s="204"/>
      <c r="Z1130" s="204"/>
      <c r="AA1130" s="204"/>
      <c r="AB1130" s="204"/>
      <c r="AC1130" s="204"/>
      <c r="AD1130" s="204"/>
    </row>
    <row r="1131">
      <c r="A1131" s="202"/>
      <c r="B1131" s="203"/>
      <c r="C1131" s="204"/>
      <c r="D1131" s="203"/>
      <c r="E1131" s="204"/>
      <c r="F1131" s="204"/>
      <c r="G1131" s="93"/>
      <c r="H1131" s="204"/>
      <c r="I1131" s="205"/>
      <c r="J1131" s="204"/>
      <c r="K1131" s="204"/>
      <c r="L1131" s="203"/>
      <c r="M1131" s="204"/>
      <c r="N1131" s="205"/>
      <c r="O1131" s="205"/>
      <c r="P1131" s="204"/>
      <c r="Q1131" s="205"/>
      <c r="R1131" s="204"/>
      <c r="S1131" s="204"/>
      <c r="T1131" s="204"/>
      <c r="U1131" s="205"/>
      <c r="V1131" s="204"/>
      <c r="W1131" s="204"/>
      <c r="X1131" s="204"/>
      <c r="Y1131" s="204"/>
      <c r="Z1131" s="204"/>
      <c r="AA1131" s="204"/>
      <c r="AB1131" s="204"/>
      <c r="AC1131" s="204"/>
      <c r="AD1131" s="204"/>
    </row>
    <row r="1132">
      <c r="A1132" s="202"/>
      <c r="B1132" s="203"/>
      <c r="C1132" s="204"/>
      <c r="D1132" s="203"/>
      <c r="E1132" s="204"/>
      <c r="F1132" s="204"/>
      <c r="G1132" s="93"/>
      <c r="H1132" s="204"/>
      <c r="I1132" s="205"/>
      <c r="J1132" s="204"/>
      <c r="K1132" s="204"/>
      <c r="L1132" s="203"/>
      <c r="M1132" s="204"/>
      <c r="N1132" s="205"/>
      <c r="O1132" s="205"/>
      <c r="P1132" s="204"/>
      <c r="Q1132" s="205"/>
      <c r="R1132" s="204"/>
      <c r="S1132" s="204"/>
      <c r="T1132" s="204"/>
      <c r="U1132" s="205"/>
      <c r="V1132" s="204"/>
      <c r="W1132" s="204"/>
      <c r="X1132" s="204"/>
      <c r="Y1132" s="204"/>
      <c r="Z1132" s="204"/>
      <c r="AA1132" s="204"/>
      <c r="AB1132" s="204"/>
      <c r="AC1132" s="204"/>
      <c r="AD1132" s="204"/>
    </row>
    <row r="1133">
      <c r="A1133" s="202"/>
      <c r="B1133" s="203"/>
      <c r="C1133" s="204"/>
      <c r="D1133" s="203"/>
      <c r="E1133" s="204"/>
      <c r="F1133" s="204"/>
      <c r="G1133" s="93"/>
      <c r="H1133" s="204"/>
      <c r="I1133" s="205"/>
      <c r="J1133" s="204"/>
      <c r="K1133" s="204"/>
      <c r="L1133" s="203"/>
      <c r="M1133" s="204"/>
      <c r="N1133" s="205"/>
      <c r="O1133" s="205"/>
      <c r="P1133" s="204"/>
      <c r="Q1133" s="205"/>
      <c r="R1133" s="204"/>
      <c r="S1133" s="204"/>
      <c r="T1133" s="204"/>
      <c r="U1133" s="205"/>
      <c r="V1133" s="204"/>
      <c r="W1133" s="204"/>
      <c r="X1133" s="204"/>
      <c r="Y1133" s="204"/>
      <c r="Z1133" s="204"/>
      <c r="AA1133" s="204"/>
      <c r="AB1133" s="204"/>
      <c r="AC1133" s="204"/>
      <c r="AD1133" s="204"/>
    </row>
    <row r="1134">
      <c r="A1134" s="202"/>
      <c r="B1134" s="203"/>
      <c r="C1134" s="204"/>
      <c r="D1134" s="203"/>
      <c r="E1134" s="204"/>
      <c r="F1134" s="204"/>
      <c r="G1134" s="93"/>
      <c r="H1134" s="204"/>
      <c r="I1134" s="205"/>
      <c r="J1134" s="204"/>
      <c r="K1134" s="204"/>
      <c r="L1134" s="203"/>
      <c r="M1134" s="204"/>
      <c r="N1134" s="205"/>
      <c r="O1134" s="205"/>
      <c r="P1134" s="204"/>
      <c r="Q1134" s="205"/>
      <c r="R1134" s="204"/>
      <c r="S1134" s="204"/>
      <c r="T1134" s="204"/>
      <c r="U1134" s="205"/>
      <c r="V1134" s="204"/>
      <c r="W1134" s="204"/>
      <c r="X1134" s="204"/>
      <c r="Y1134" s="204"/>
      <c r="Z1134" s="204"/>
      <c r="AA1134" s="204"/>
      <c r="AB1134" s="204"/>
      <c r="AC1134" s="204"/>
      <c r="AD1134" s="204"/>
    </row>
    <row r="1135">
      <c r="A1135" s="202"/>
      <c r="B1135" s="203"/>
      <c r="C1135" s="204"/>
      <c r="D1135" s="203"/>
      <c r="E1135" s="204"/>
      <c r="F1135" s="204"/>
      <c r="G1135" s="93"/>
      <c r="H1135" s="204"/>
      <c r="I1135" s="205"/>
      <c r="J1135" s="204"/>
      <c r="K1135" s="204"/>
      <c r="L1135" s="203"/>
      <c r="M1135" s="204"/>
      <c r="N1135" s="205"/>
      <c r="O1135" s="205"/>
      <c r="P1135" s="204"/>
      <c r="Q1135" s="205"/>
      <c r="R1135" s="204"/>
      <c r="S1135" s="204"/>
      <c r="T1135" s="204"/>
      <c r="U1135" s="205"/>
      <c r="V1135" s="204"/>
      <c r="W1135" s="204"/>
      <c r="X1135" s="204"/>
      <c r="Y1135" s="204"/>
      <c r="Z1135" s="204"/>
      <c r="AA1135" s="204"/>
      <c r="AB1135" s="204"/>
      <c r="AC1135" s="204"/>
      <c r="AD1135" s="204"/>
    </row>
    <row r="1136">
      <c r="A1136" s="202"/>
      <c r="B1136" s="203"/>
      <c r="C1136" s="204"/>
      <c r="D1136" s="203"/>
      <c r="E1136" s="204"/>
      <c r="F1136" s="204"/>
      <c r="G1136" s="93"/>
      <c r="H1136" s="204"/>
      <c r="I1136" s="205"/>
      <c r="J1136" s="204"/>
      <c r="K1136" s="204"/>
      <c r="L1136" s="203"/>
      <c r="M1136" s="204"/>
      <c r="N1136" s="205"/>
      <c r="O1136" s="205"/>
      <c r="P1136" s="204"/>
      <c r="Q1136" s="205"/>
      <c r="R1136" s="204"/>
      <c r="S1136" s="204"/>
      <c r="T1136" s="204"/>
      <c r="U1136" s="205"/>
      <c r="V1136" s="204"/>
      <c r="W1136" s="204"/>
      <c r="X1136" s="204"/>
      <c r="Y1136" s="204"/>
      <c r="Z1136" s="204"/>
      <c r="AA1136" s="204"/>
      <c r="AB1136" s="204"/>
      <c r="AC1136" s="204"/>
      <c r="AD1136" s="204"/>
    </row>
    <row r="1137">
      <c r="A1137" s="202"/>
      <c r="B1137" s="203"/>
      <c r="C1137" s="204"/>
      <c r="D1137" s="203"/>
      <c r="E1137" s="204"/>
      <c r="F1137" s="204"/>
      <c r="G1137" s="93"/>
      <c r="H1137" s="204"/>
      <c r="I1137" s="205"/>
      <c r="J1137" s="204"/>
      <c r="K1137" s="204"/>
      <c r="L1137" s="203"/>
      <c r="M1137" s="204"/>
      <c r="N1137" s="205"/>
      <c r="O1137" s="205"/>
      <c r="P1137" s="204"/>
      <c r="Q1137" s="205"/>
      <c r="R1137" s="204"/>
      <c r="S1137" s="204"/>
      <c r="T1137" s="204"/>
      <c r="U1137" s="205"/>
      <c r="V1137" s="204"/>
      <c r="W1137" s="204"/>
      <c r="X1137" s="204"/>
      <c r="Y1137" s="204"/>
      <c r="Z1137" s="204"/>
      <c r="AA1137" s="204"/>
      <c r="AB1137" s="204"/>
      <c r="AC1137" s="204"/>
      <c r="AD1137" s="204"/>
    </row>
    <row r="1138">
      <c r="A1138" s="202"/>
      <c r="B1138" s="203"/>
      <c r="C1138" s="204"/>
      <c r="D1138" s="203"/>
      <c r="E1138" s="204"/>
      <c r="F1138" s="204"/>
      <c r="G1138" s="93"/>
      <c r="H1138" s="204"/>
      <c r="I1138" s="205"/>
      <c r="J1138" s="204"/>
      <c r="K1138" s="204"/>
      <c r="L1138" s="203"/>
      <c r="M1138" s="204"/>
      <c r="N1138" s="205"/>
      <c r="O1138" s="205"/>
      <c r="P1138" s="204"/>
      <c r="Q1138" s="205"/>
      <c r="R1138" s="204"/>
      <c r="S1138" s="204"/>
      <c r="T1138" s="204"/>
      <c r="U1138" s="205"/>
      <c r="V1138" s="204"/>
      <c r="W1138" s="204"/>
      <c r="X1138" s="204"/>
      <c r="Y1138" s="204"/>
      <c r="Z1138" s="204"/>
      <c r="AA1138" s="204"/>
      <c r="AB1138" s="204"/>
      <c r="AC1138" s="204"/>
      <c r="AD1138" s="204"/>
    </row>
    <row r="1139">
      <c r="A1139" s="202"/>
      <c r="B1139" s="203"/>
      <c r="C1139" s="204"/>
      <c r="D1139" s="203"/>
      <c r="E1139" s="204"/>
      <c r="F1139" s="204"/>
      <c r="G1139" s="93"/>
      <c r="H1139" s="204"/>
      <c r="I1139" s="205"/>
      <c r="J1139" s="204"/>
      <c r="K1139" s="204"/>
      <c r="L1139" s="203"/>
      <c r="M1139" s="204"/>
      <c r="N1139" s="205"/>
      <c r="O1139" s="205"/>
      <c r="P1139" s="204"/>
      <c r="Q1139" s="205"/>
      <c r="R1139" s="204"/>
      <c r="S1139" s="204"/>
      <c r="T1139" s="204"/>
      <c r="U1139" s="205"/>
      <c r="V1139" s="204"/>
      <c r="W1139" s="204"/>
      <c r="X1139" s="204"/>
      <c r="Y1139" s="204"/>
      <c r="Z1139" s="204"/>
      <c r="AA1139" s="204"/>
      <c r="AB1139" s="204"/>
      <c r="AC1139" s="204"/>
      <c r="AD1139" s="204"/>
    </row>
    <row r="1140">
      <c r="A1140" s="202"/>
      <c r="B1140" s="203"/>
      <c r="C1140" s="204"/>
      <c r="D1140" s="203"/>
      <c r="E1140" s="204"/>
      <c r="F1140" s="204"/>
      <c r="G1140" s="93"/>
      <c r="H1140" s="204"/>
      <c r="I1140" s="205"/>
      <c r="J1140" s="204"/>
      <c r="K1140" s="204"/>
      <c r="L1140" s="203"/>
      <c r="M1140" s="204"/>
      <c r="N1140" s="205"/>
      <c r="O1140" s="205"/>
      <c r="P1140" s="204"/>
      <c r="Q1140" s="205"/>
      <c r="R1140" s="204"/>
      <c r="S1140" s="204"/>
      <c r="T1140" s="204"/>
      <c r="U1140" s="205"/>
      <c r="V1140" s="204"/>
      <c r="W1140" s="204"/>
      <c r="X1140" s="204"/>
      <c r="Y1140" s="204"/>
      <c r="Z1140" s="204"/>
      <c r="AA1140" s="204"/>
      <c r="AB1140" s="204"/>
      <c r="AC1140" s="204"/>
      <c r="AD1140" s="204"/>
    </row>
    <row r="1141">
      <c r="A1141" s="202"/>
      <c r="B1141" s="203"/>
      <c r="C1141" s="204"/>
      <c r="D1141" s="203"/>
      <c r="E1141" s="204"/>
      <c r="F1141" s="204"/>
      <c r="G1141" s="93"/>
      <c r="H1141" s="204"/>
      <c r="I1141" s="205"/>
      <c r="J1141" s="204"/>
      <c r="K1141" s="204"/>
      <c r="L1141" s="203"/>
      <c r="M1141" s="204"/>
      <c r="N1141" s="205"/>
      <c r="O1141" s="205"/>
      <c r="P1141" s="204"/>
      <c r="Q1141" s="205"/>
      <c r="R1141" s="204"/>
      <c r="S1141" s="204"/>
      <c r="T1141" s="204"/>
      <c r="U1141" s="205"/>
      <c r="V1141" s="204"/>
      <c r="W1141" s="204"/>
      <c r="X1141" s="204"/>
      <c r="Y1141" s="204"/>
      <c r="Z1141" s="204"/>
      <c r="AA1141" s="204"/>
      <c r="AB1141" s="204"/>
      <c r="AC1141" s="204"/>
      <c r="AD1141" s="204"/>
    </row>
    <row r="1142">
      <c r="A1142" s="202"/>
      <c r="B1142" s="203"/>
      <c r="C1142" s="204"/>
      <c r="D1142" s="203"/>
      <c r="E1142" s="204"/>
      <c r="F1142" s="204"/>
      <c r="G1142" s="93"/>
      <c r="H1142" s="204"/>
      <c r="I1142" s="205"/>
      <c r="J1142" s="204"/>
      <c r="K1142" s="204"/>
      <c r="L1142" s="203"/>
      <c r="M1142" s="204"/>
      <c r="N1142" s="205"/>
      <c r="O1142" s="205"/>
      <c r="P1142" s="204"/>
      <c r="Q1142" s="205"/>
      <c r="R1142" s="204"/>
      <c r="S1142" s="204"/>
      <c r="T1142" s="204"/>
      <c r="U1142" s="205"/>
      <c r="V1142" s="204"/>
      <c r="W1142" s="204"/>
      <c r="X1142" s="204"/>
      <c r="Y1142" s="204"/>
      <c r="Z1142" s="204"/>
      <c r="AA1142" s="204"/>
      <c r="AB1142" s="204"/>
      <c r="AC1142" s="204"/>
      <c r="AD1142" s="204"/>
    </row>
    <row r="1143">
      <c r="A1143" s="202"/>
      <c r="B1143" s="203"/>
      <c r="C1143" s="204"/>
      <c r="D1143" s="203"/>
      <c r="E1143" s="204"/>
      <c r="F1143" s="204"/>
      <c r="G1143" s="93"/>
      <c r="H1143" s="204"/>
      <c r="I1143" s="205"/>
      <c r="J1143" s="204"/>
      <c r="K1143" s="204"/>
      <c r="L1143" s="203"/>
      <c r="M1143" s="204"/>
      <c r="N1143" s="205"/>
      <c r="O1143" s="205"/>
      <c r="P1143" s="204"/>
      <c r="Q1143" s="205"/>
      <c r="R1143" s="204"/>
      <c r="S1143" s="204"/>
      <c r="T1143" s="204"/>
      <c r="U1143" s="205"/>
      <c r="V1143" s="204"/>
      <c r="W1143" s="204"/>
      <c r="X1143" s="204"/>
      <c r="Y1143" s="204"/>
      <c r="Z1143" s="204"/>
      <c r="AA1143" s="204"/>
      <c r="AB1143" s="204"/>
      <c r="AC1143" s="204"/>
      <c r="AD1143" s="204"/>
    </row>
    <row r="1144">
      <c r="A1144" s="202"/>
      <c r="B1144" s="203"/>
      <c r="C1144" s="204"/>
      <c r="D1144" s="203"/>
      <c r="E1144" s="204"/>
      <c r="F1144" s="204"/>
      <c r="G1144" s="93"/>
      <c r="H1144" s="204"/>
      <c r="I1144" s="205"/>
      <c r="J1144" s="204"/>
      <c r="K1144" s="204"/>
      <c r="L1144" s="203"/>
      <c r="M1144" s="204"/>
      <c r="N1144" s="205"/>
      <c r="O1144" s="205"/>
      <c r="P1144" s="204"/>
      <c r="Q1144" s="205"/>
      <c r="R1144" s="204"/>
      <c r="S1144" s="204"/>
      <c r="T1144" s="204"/>
      <c r="U1144" s="205"/>
      <c r="V1144" s="204"/>
      <c r="W1144" s="204"/>
      <c r="X1144" s="204"/>
      <c r="Y1144" s="204"/>
      <c r="Z1144" s="204"/>
      <c r="AA1144" s="204"/>
      <c r="AB1144" s="204"/>
      <c r="AC1144" s="204"/>
      <c r="AD1144" s="204"/>
    </row>
    <row r="1145">
      <c r="A1145" s="202"/>
      <c r="B1145" s="203"/>
      <c r="C1145" s="204"/>
      <c r="D1145" s="203"/>
      <c r="E1145" s="204"/>
      <c r="F1145" s="204"/>
      <c r="G1145" s="93"/>
      <c r="H1145" s="204"/>
      <c r="I1145" s="205"/>
      <c r="J1145" s="204"/>
      <c r="K1145" s="204"/>
      <c r="L1145" s="203"/>
      <c r="M1145" s="204"/>
      <c r="N1145" s="205"/>
      <c r="O1145" s="205"/>
      <c r="P1145" s="204"/>
      <c r="Q1145" s="205"/>
      <c r="R1145" s="204"/>
      <c r="S1145" s="204"/>
      <c r="T1145" s="204"/>
      <c r="U1145" s="205"/>
      <c r="V1145" s="204"/>
      <c r="W1145" s="204"/>
      <c r="X1145" s="204"/>
      <c r="Y1145" s="204"/>
      <c r="Z1145" s="204"/>
      <c r="AA1145" s="204"/>
      <c r="AB1145" s="204"/>
      <c r="AC1145" s="204"/>
      <c r="AD1145" s="204"/>
    </row>
    <row r="1146">
      <c r="A1146" s="202"/>
      <c r="B1146" s="203"/>
      <c r="C1146" s="204"/>
      <c r="D1146" s="203"/>
      <c r="E1146" s="204"/>
      <c r="F1146" s="204"/>
      <c r="G1146" s="93"/>
      <c r="H1146" s="204"/>
      <c r="I1146" s="205"/>
      <c r="J1146" s="204"/>
      <c r="K1146" s="204"/>
      <c r="L1146" s="203"/>
      <c r="M1146" s="204"/>
      <c r="N1146" s="205"/>
      <c r="O1146" s="205"/>
      <c r="P1146" s="204"/>
      <c r="Q1146" s="205"/>
      <c r="R1146" s="204"/>
      <c r="S1146" s="204"/>
      <c r="T1146" s="204"/>
      <c r="U1146" s="205"/>
      <c r="V1146" s="204"/>
      <c r="W1146" s="204"/>
      <c r="X1146" s="204"/>
      <c r="Y1146" s="204"/>
      <c r="Z1146" s="204"/>
      <c r="AA1146" s="204"/>
      <c r="AB1146" s="204"/>
      <c r="AC1146" s="204"/>
      <c r="AD1146" s="204"/>
    </row>
    <row r="1147">
      <c r="A1147" s="202"/>
      <c r="B1147" s="203"/>
      <c r="C1147" s="204"/>
      <c r="D1147" s="203"/>
      <c r="E1147" s="204"/>
      <c r="F1147" s="204"/>
      <c r="G1147" s="93"/>
      <c r="H1147" s="204"/>
      <c r="I1147" s="205"/>
      <c r="J1147" s="204"/>
      <c r="K1147" s="204"/>
      <c r="L1147" s="203"/>
      <c r="M1147" s="204"/>
      <c r="N1147" s="205"/>
      <c r="O1147" s="205"/>
      <c r="P1147" s="204"/>
      <c r="Q1147" s="205"/>
      <c r="R1147" s="204"/>
      <c r="S1147" s="204"/>
      <c r="T1147" s="204"/>
      <c r="U1147" s="205"/>
      <c r="V1147" s="204"/>
      <c r="W1147" s="204"/>
      <c r="X1147" s="204"/>
      <c r="Y1147" s="204"/>
      <c r="Z1147" s="204"/>
      <c r="AA1147" s="204"/>
      <c r="AB1147" s="204"/>
      <c r="AC1147" s="204"/>
      <c r="AD1147" s="204"/>
    </row>
    <row r="1148">
      <c r="A1148" s="202"/>
      <c r="B1148" s="203"/>
      <c r="C1148" s="204"/>
      <c r="D1148" s="203"/>
      <c r="E1148" s="204"/>
      <c r="F1148" s="204"/>
      <c r="G1148" s="93"/>
      <c r="H1148" s="204"/>
      <c r="I1148" s="205"/>
      <c r="J1148" s="204"/>
      <c r="K1148" s="204"/>
      <c r="L1148" s="203"/>
      <c r="M1148" s="204"/>
      <c r="N1148" s="205"/>
      <c r="O1148" s="205"/>
      <c r="P1148" s="204"/>
      <c r="Q1148" s="205"/>
      <c r="R1148" s="204"/>
      <c r="S1148" s="204"/>
      <c r="T1148" s="204"/>
      <c r="U1148" s="205"/>
      <c r="V1148" s="204"/>
      <c r="W1148" s="204"/>
      <c r="X1148" s="204"/>
      <c r="Y1148" s="204"/>
      <c r="Z1148" s="204"/>
      <c r="AA1148" s="204"/>
      <c r="AB1148" s="204"/>
      <c r="AC1148" s="204"/>
      <c r="AD1148" s="204"/>
    </row>
    <row r="1149">
      <c r="A1149" s="202"/>
      <c r="B1149" s="203"/>
      <c r="C1149" s="204"/>
      <c r="D1149" s="203"/>
      <c r="E1149" s="204"/>
      <c r="F1149" s="204"/>
      <c r="G1149" s="93"/>
      <c r="H1149" s="204"/>
      <c r="I1149" s="205"/>
      <c r="J1149" s="204"/>
      <c r="K1149" s="204"/>
      <c r="L1149" s="203"/>
      <c r="M1149" s="204"/>
      <c r="N1149" s="205"/>
      <c r="O1149" s="205"/>
      <c r="P1149" s="204"/>
      <c r="Q1149" s="205"/>
      <c r="R1149" s="204"/>
      <c r="S1149" s="204"/>
      <c r="T1149" s="204"/>
      <c r="U1149" s="205"/>
      <c r="V1149" s="204"/>
      <c r="W1149" s="204"/>
      <c r="X1149" s="204"/>
      <c r="Y1149" s="204"/>
      <c r="Z1149" s="204"/>
      <c r="AA1149" s="204"/>
      <c r="AB1149" s="204"/>
      <c r="AC1149" s="204"/>
      <c r="AD1149" s="204"/>
    </row>
    <row r="1150">
      <c r="A1150" s="202"/>
      <c r="B1150" s="203"/>
      <c r="C1150" s="204"/>
      <c r="D1150" s="203"/>
      <c r="E1150" s="204"/>
      <c r="F1150" s="204"/>
      <c r="G1150" s="93"/>
      <c r="H1150" s="204"/>
      <c r="I1150" s="205"/>
      <c r="J1150" s="204"/>
      <c r="K1150" s="204"/>
      <c r="L1150" s="203"/>
      <c r="M1150" s="204"/>
      <c r="N1150" s="205"/>
      <c r="O1150" s="205"/>
      <c r="P1150" s="204"/>
      <c r="Q1150" s="205"/>
      <c r="R1150" s="204"/>
      <c r="S1150" s="204"/>
      <c r="T1150" s="204"/>
      <c r="U1150" s="205"/>
      <c r="V1150" s="204"/>
      <c r="W1150" s="204"/>
      <c r="X1150" s="204"/>
      <c r="Y1150" s="204"/>
      <c r="Z1150" s="204"/>
      <c r="AA1150" s="204"/>
      <c r="AB1150" s="204"/>
      <c r="AC1150" s="204"/>
      <c r="AD1150" s="204"/>
    </row>
    <row r="1151">
      <c r="A1151" s="202"/>
      <c r="B1151" s="203"/>
      <c r="C1151" s="204"/>
      <c r="D1151" s="203"/>
      <c r="E1151" s="204"/>
      <c r="F1151" s="204"/>
      <c r="G1151" s="93"/>
      <c r="H1151" s="204"/>
      <c r="I1151" s="205"/>
      <c r="J1151" s="204"/>
      <c r="K1151" s="204"/>
      <c r="L1151" s="203"/>
      <c r="M1151" s="204"/>
      <c r="N1151" s="205"/>
      <c r="O1151" s="205"/>
      <c r="P1151" s="204"/>
      <c r="Q1151" s="205"/>
      <c r="R1151" s="204"/>
      <c r="S1151" s="204"/>
      <c r="T1151" s="204"/>
      <c r="U1151" s="205"/>
      <c r="V1151" s="204"/>
      <c r="W1151" s="204"/>
      <c r="X1151" s="204"/>
      <c r="Y1151" s="204"/>
      <c r="Z1151" s="204"/>
      <c r="AA1151" s="204"/>
      <c r="AB1151" s="204"/>
      <c r="AC1151" s="204"/>
      <c r="AD1151" s="204"/>
    </row>
    <row r="1152">
      <c r="A1152" s="202"/>
      <c r="B1152" s="203"/>
      <c r="C1152" s="204"/>
      <c r="D1152" s="203"/>
      <c r="E1152" s="204"/>
      <c r="F1152" s="204"/>
      <c r="G1152" s="93"/>
      <c r="H1152" s="204"/>
      <c r="I1152" s="205"/>
      <c r="J1152" s="204"/>
      <c r="K1152" s="204"/>
      <c r="L1152" s="203"/>
      <c r="M1152" s="204"/>
      <c r="N1152" s="205"/>
      <c r="O1152" s="205"/>
      <c r="P1152" s="204"/>
      <c r="Q1152" s="205"/>
      <c r="R1152" s="204"/>
      <c r="S1152" s="204"/>
      <c r="T1152" s="204"/>
      <c r="U1152" s="205"/>
      <c r="V1152" s="204"/>
      <c r="W1152" s="204"/>
      <c r="X1152" s="204"/>
      <c r="Y1152" s="204"/>
      <c r="Z1152" s="204"/>
      <c r="AA1152" s="204"/>
      <c r="AB1152" s="204"/>
      <c r="AC1152" s="204"/>
      <c r="AD1152" s="204"/>
    </row>
    <row r="1153">
      <c r="A1153" s="202"/>
      <c r="B1153" s="203"/>
      <c r="C1153" s="204"/>
      <c r="D1153" s="203"/>
      <c r="E1153" s="204"/>
      <c r="F1153" s="204"/>
      <c r="G1153" s="93"/>
      <c r="H1153" s="204"/>
      <c r="I1153" s="205"/>
      <c r="J1153" s="204"/>
      <c r="K1153" s="204"/>
      <c r="L1153" s="203"/>
      <c r="M1153" s="204"/>
      <c r="N1153" s="205"/>
      <c r="O1153" s="205"/>
      <c r="P1153" s="204"/>
      <c r="Q1153" s="205"/>
      <c r="R1153" s="204"/>
      <c r="S1153" s="204"/>
      <c r="T1153" s="204"/>
      <c r="U1153" s="205"/>
      <c r="V1153" s="204"/>
      <c r="W1153" s="204"/>
      <c r="X1153" s="204"/>
      <c r="Y1153" s="204"/>
      <c r="Z1153" s="204"/>
      <c r="AA1153" s="204"/>
      <c r="AB1153" s="204"/>
      <c r="AC1153" s="204"/>
      <c r="AD1153" s="204"/>
    </row>
    <row r="1154">
      <c r="A1154" s="202"/>
      <c r="B1154" s="203"/>
      <c r="C1154" s="204"/>
      <c r="D1154" s="203"/>
      <c r="E1154" s="204"/>
      <c r="F1154" s="204"/>
      <c r="G1154" s="93"/>
      <c r="H1154" s="204"/>
      <c r="I1154" s="205"/>
      <c r="J1154" s="204"/>
      <c r="K1154" s="204"/>
      <c r="L1154" s="203"/>
      <c r="M1154" s="204"/>
      <c r="N1154" s="205"/>
      <c r="O1154" s="205"/>
      <c r="P1154" s="204"/>
      <c r="Q1154" s="205"/>
      <c r="R1154" s="204"/>
      <c r="S1154" s="204"/>
      <c r="T1154" s="204"/>
      <c r="U1154" s="205"/>
      <c r="V1154" s="204"/>
      <c r="W1154" s="204"/>
      <c r="X1154" s="204"/>
      <c r="Y1154" s="204"/>
      <c r="Z1154" s="204"/>
      <c r="AA1154" s="204"/>
      <c r="AB1154" s="204"/>
      <c r="AC1154" s="204"/>
      <c r="AD1154" s="204"/>
    </row>
    <row r="1155">
      <c r="A1155" s="202"/>
      <c r="B1155" s="203"/>
      <c r="C1155" s="204"/>
      <c r="D1155" s="203"/>
      <c r="E1155" s="204"/>
      <c r="F1155" s="204"/>
      <c r="G1155" s="93"/>
      <c r="H1155" s="204"/>
      <c r="I1155" s="205"/>
      <c r="J1155" s="204"/>
      <c r="K1155" s="204"/>
      <c r="L1155" s="203"/>
      <c r="M1155" s="204"/>
      <c r="N1155" s="205"/>
      <c r="O1155" s="205"/>
      <c r="P1155" s="204"/>
      <c r="Q1155" s="205"/>
      <c r="R1155" s="204"/>
      <c r="S1155" s="204"/>
      <c r="T1155" s="204"/>
      <c r="U1155" s="205"/>
      <c r="V1155" s="204"/>
      <c r="W1155" s="204"/>
      <c r="X1155" s="204"/>
      <c r="Y1155" s="204"/>
      <c r="Z1155" s="204"/>
      <c r="AA1155" s="204"/>
      <c r="AB1155" s="204"/>
      <c r="AC1155" s="204"/>
      <c r="AD1155" s="204"/>
    </row>
    <row r="1156">
      <c r="A1156" s="202"/>
      <c r="B1156" s="203"/>
      <c r="C1156" s="204"/>
      <c r="D1156" s="203"/>
      <c r="E1156" s="204"/>
      <c r="F1156" s="204"/>
      <c r="G1156" s="93"/>
      <c r="H1156" s="204"/>
      <c r="I1156" s="205"/>
      <c r="J1156" s="204"/>
      <c r="K1156" s="204"/>
      <c r="L1156" s="203"/>
      <c r="M1156" s="204"/>
      <c r="N1156" s="205"/>
      <c r="O1156" s="205"/>
      <c r="P1156" s="204"/>
      <c r="Q1156" s="205"/>
      <c r="R1156" s="204"/>
      <c r="S1156" s="204"/>
      <c r="T1156" s="204"/>
      <c r="U1156" s="205"/>
      <c r="V1156" s="204"/>
      <c r="W1156" s="204"/>
      <c r="X1156" s="204"/>
      <c r="Y1156" s="204"/>
      <c r="Z1156" s="204"/>
      <c r="AA1156" s="204"/>
      <c r="AB1156" s="204"/>
      <c r="AC1156" s="204"/>
      <c r="AD1156" s="204"/>
    </row>
    <row r="1157">
      <c r="A1157" s="202"/>
      <c r="B1157" s="203"/>
      <c r="C1157" s="204"/>
      <c r="D1157" s="203"/>
      <c r="E1157" s="204"/>
      <c r="F1157" s="204"/>
      <c r="G1157" s="93"/>
      <c r="H1157" s="204"/>
      <c r="I1157" s="205"/>
      <c r="J1157" s="204"/>
      <c r="K1157" s="204"/>
      <c r="L1157" s="203"/>
      <c r="M1157" s="204"/>
      <c r="N1157" s="205"/>
      <c r="O1157" s="205"/>
      <c r="P1157" s="204"/>
      <c r="Q1157" s="205"/>
      <c r="R1157" s="204"/>
      <c r="S1157" s="204"/>
      <c r="T1157" s="204"/>
      <c r="U1157" s="205"/>
      <c r="V1157" s="204"/>
      <c r="W1157" s="204"/>
      <c r="X1157" s="204"/>
      <c r="Y1157" s="204"/>
      <c r="Z1157" s="204"/>
      <c r="AA1157" s="204"/>
      <c r="AB1157" s="204"/>
      <c r="AC1157" s="204"/>
      <c r="AD1157" s="204"/>
    </row>
    <row r="1158">
      <c r="A1158" s="202"/>
      <c r="B1158" s="203"/>
      <c r="C1158" s="204"/>
      <c r="D1158" s="203"/>
      <c r="E1158" s="204"/>
      <c r="F1158" s="204"/>
      <c r="G1158" s="93"/>
      <c r="H1158" s="204"/>
      <c r="I1158" s="205"/>
      <c r="J1158" s="204"/>
      <c r="K1158" s="204"/>
      <c r="L1158" s="203"/>
      <c r="M1158" s="204"/>
      <c r="N1158" s="205"/>
      <c r="O1158" s="205"/>
      <c r="P1158" s="204"/>
      <c r="Q1158" s="205"/>
      <c r="R1158" s="204"/>
      <c r="S1158" s="204"/>
      <c r="T1158" s="204"/>
      <c r="U1158" s="205"/>
      <c r="V1158" s="204"/>
      <c r="W1158" s="204"/>
      <c r="X1158" s="204"/>
      <c r="Y1158" s="204"/>
      <c r="Z1158" s="204"/>
      <c r="AA1158" s="204"/>
      <c r="AB1158" s="204"/>
      <c r="AC1158" s="204"/>
      <c r="AD1158" s="204"/>
    </row>
    <row r="1159">
      <c r="A1159" s="202"/>
      <c r="B1159" s="203"/>
      <c r="C1159" s="204"/>
      <c r="D1159" s="203"/>
      <c r="E1159" s="204"/>
      <c r="F1159" s="204"/>
      <c r="G1159" s="93"/>
      <c r="H1159" s="204"/>
      <c r="I1159" s="205"/>
      <c r="J1159" s="204"/>
      <c r="K1159" s="204"/>
      <c r="L1159" s="203"/>
      <c r="M1159" s="204"/>
      <c r="N1159" s="205"/>
      <c r="O1159" s="205"/>
      <c r="P1159" s="204"/>
      <c r="Q1159" s="205"/>
      <c r="R1159" s="204"/>
      <c r="S1159" s="204"/>
      <c r="T1159" s="204"/>
      <c r="U1159" s="205"/>
      <c r="V1159" s="204"/>
      <c r="W1159" s="204"/>
      <c r="X1159" s="204"/>
      <c r="Y1159" s="204"/>
      <c r="Z1159" s="204"/>
      <c r="AA1159" s="204"/>
      <c r="AB1159" s="204"/>
      <c r="AC1159" s="204"/>
      <c r="AD1159" s="204"/>
    </row>
    <row r="1160">
      <c r="A1160" s="202"/>
      <c r="B1160" s="203"/>
      <c r="C1160" s="204"/>
      <c r="D1160" s="203"/>
      <c r="E1160" s="204"/>
      <c r="F1160" s="204"/>
      <c r="G1160" s="93"/>
      <c r="H1160" s="204"/>
      <c r="I1160" s="205"/>
      <c r="J1160" s="204"/>
      <c r="K1160" s="204"/>
      <c r="L1160" s="203"/>
      <c r="M1160" s="204"/>
      <c r="N1160" s="205"/>
      <c r="O1160" s="205"/>
      <c r="P1160" s="204"/>
      <c r="Q1160" s="205"/>
      <c r="R1160" s="204"/>
      <c r="S1160" s="204"/>
      <c r="T1160" s="204"/>
      <c r="U1160" s="205"/>
      <c r="V1160" s="204"/>
      <c r="W1160" s="204"/>
      <c r="X1160" s="204"/>
      <c r="Y1160" s="204"/>
      <c r="Z1160" s="204"/>
      <c r="AA1160" s="204"/>
      <c r="AB1160" s="204"/>
      <c r="AC1160" s="204"/>
      <c r="AD1160" s="204"/>
    </row>
    <row r="1161">
      <c r="A1161" s="202"/>
      <c r="B1161" s="203"/>
      <c r="C1161" s="204"/>
      <c r="D1161" s="203"/>
      <c r="E1161" s="204"/>
      <c r="F1161" s="204"/>
      <c r="G1161" s="93"/>
      <c r="H1161" s="204"/>
      <c r="I1161" s="205"/>
      <c r="J1161" s="204"/>
      <c r="K1161" s="204"/>
      <c r="L1161" s="203"/>
      <c r="M1161" s="204"/>
      <c r="N1161" s="205"/>
      <c r="O1161" s="205"/>
      <c r="P1161" s="204"/>
      <c r="Q1161" s="205"/>
      <c r="R1161" s="204"/>
      <c r="S1161" s="204"/>
      <c r="T1161" s="204"/>
      <c r="U1161" s="205"/>
      <c r="V1161" s="204"/>
      <c r="W1161" s="204"/>
      <c r="X1161" s="204"/>
      <c r="Y1161" s="204"/>
      <c r="Z1161" s="204"/>
      <c r="AA1161" s="204"/>
      <c r="AB1161" s="204"/>
      <c r="AC1161" s="204"/>
      <c r="AD1161" s="204"/>
    </row>
    <row r="1162">
      <c r="A1162" s="202"/>
      <c r="B1162" s="203"/>
      <c r="C1162" s="204"/>
      <c r="D1162" s="203"/>
      <c r="E1162" s="204"/>
      <c r="F1162" s="204"/>
      <c r="G1162" s="93"/>
      <c r="H1162" s="204"/>
      <c r="I1162" s="205"/>
      <c r="J1162" s="204"/>
      <c r="K1162" s="204"/>
      <c r="L1162" s="203"/>
      <c r="M1162" s="204"/>
      <c r="N1162" s="205"/>
      <c r="O1162" s="205"/>
      <c r="P1162" s="204"/>
      <c r="Q1162" s="205"/>
      <c r="R1162" s="204"/>
      <c r="S1162" s="204"/>
      <c r="T1162" s="204"/>
      <c r="U1162" s="205"/>
      <c r="V1162" s="204"/>
      <c r="W1162" s="204"/>
      <c r="X1162" s="204"/>
      <c r="Y1162" s="204"/>
      <c r="Z1162" s="204"/>
      <c r="AA1162" s="204"/>
      <c r="AB1162" s="204"/>
      <c r="AC1162" s="204"/>
      <c r="AD1162" s="204"/>
    </row>
    <row r="1163">
      <c r="A1163" s="202"/>
      <c r="B1163" s="203"/>
      <c r="C1163" s="204"/>
      <c r="D1163" s="203"/>
      <c r="E1163" s="204"/>
      <c r="F1163" s="204"/>
      <c r="G1163" s="93"/>
      <c r="H1163" s="204"/>
      <c r="I1163" s="205"/>
      <c r="J1163" s="204"/>
      <c r="K1163" s="204"/>
      <c r="L1163" s="203"/>
      <c r="M1163" s="204"/>
      <c r="N1163" s="205"/>
      <c r="O1163" s="205"/>
      <c r="P1163" s="204"/>
      <c r="Q1163" s="205"/>
      <c r="R1163" s="204"/>
      <c r="S1163" s="204"/>
      <c r="T1163" s="204"/>
      <c r="U1163" s="205"/>
      <c r="V1163" s="204"/>
      <c r="W1163" s="204"/>
      <c r="X1163" s="204"/>
      <c r="Y1163" s="204"/>
      <c r="Z1163" s="204"/>
      <c r="AA1163" s="204"/>
      <c r="AB1163" s="204"/>
      <c r="AC1163" s="204"/>
      <c r="AD1163" s="204"/>
    </row>
    <row r="1164">
      <c r="A1164" s="202"/>
      <c r="B1164" s="203"/>
      <c r="C1164" s="204"/>
      <c r="D1164" s="203"/>
      <c r="E1164" s="204"/>
      <c r="F1164" s="204"/>
      <c r="G1164" s="93"/>
      <c r="H1164" s="204"/>
      <c r="I1164" s="205"/>
      <c r="J1164" s="204"/>
      <c r="K1164" s="204"/>
      <c r="L1164" s="203"/>
      <c r="M1164" s="204"/>
      <c r="N1164" s="205"/>
      <c r="O1164" s="205"/>
      <c r="P1164" s="204"/>
      <c r="Q1164" s="205"/>
      <c r="R1164" s="204"/>
      <c r="S1164" s="204"/>
      <c r="T1164" s="204"/>
      <c r="U1164" s="205"/>
      <c r="V1164" s="204"/>
      <c r="W1164" s="204"/>
      <c r="X1164" s="204"/>
      <c r="Y1164" s="204"/>
      <c r="Z1164" s="204"/>
      <c r="AA1164" s="204"/>
      <c r="AB1164" s="204"/>
      <c r="AC1164" s="204"/>
      <c r="AD1164" s="204"/>
    </row>
    <row r="1165">
      <c r="A1165" s="202"/>
      <c r="B1165" s="203"/>
      <c r="C1165" s="204"/>
      <c r="D1165" s="203"/>
      <c r="E1165" s="204"/>
      <c r="F1165" s="204"/>
      <c r="G1165" s="93"/>
      <c r="H1165" s="204"/>
      <c r="I1165" s="205"/>
      <c r="J1165" s="204"/>
      <c r="K1165" s="204"/>
      <c r="L1165" s="203"/>
      <c r="M1165" s="204"/>
      <c r="N1165" s="205"/>
      <c r="O1165" s="205"/>
      <c r="P1165" s="204"/>
      <c r="Q1165" s="205"/>
      <c r="R1165" s="204"/>
      <c r="S1165" s="204"/>
      <c r="T1165" s="204"/>
      <c r="U1165" s="205"/>
      <c r="V1165" s="204"/>
      <c r="W1165" s="204"/>
      <c r="X1165" s="204"/>
      <c r="Y1165" s="204"/>
      <c r="Z1165" s="204"/>
      <c r="AA1165" s="204"/>
      <c r="AB1165" s="204"/>
      <c r="AC1165" s="204"/>
      <c r="AD1165" s="204"/>
    </row>
    <row r="1166">
      <c r="A1166" s="202"/>
      <c r="B1166" s="203"/>
      <c r="C1166" s="204"/>
      <c r="D1166" s="203"/>
      <c r="E1166" s="204"/>
      <c r="F1166" s="204"/>
      <c r="G1166" s="93"/>
      <c r="H1166" s="204"/>
      <c r="I1166" s="205"/>
      <c r="J1166" s="204"/>
      <c r="K1166" s="204"/>
      <c r="L1166" s="203"/>
      <c r="M1166" s="204"/>
      <c r="N1166" s="205"/>
      <c r="O1166" s="205"/>
      <c r="P1166" s="204"/>
      <c r="Q1166" s="205"/>
      <c r="R1166" s="204"/>
      <c r="S1166" s="204"/>
      <c r="T1166" s="204"/>
      <c r="U1166" s="205"/>
      <c r="V1166" s="204"/>
      <c r="W1166" s="204"/>
      <c r="X1166" s="204"/>
      <c r="Y1166" s="204"/>
      <c r="Z1166" s="204"/>
      <c r="AA1166" s="204"/>
      <c r="AB1166" s="204"/>
      <c r="AC1166" s="204"/>
      <c r="AD1166" s="204"/>
    </row>
    <row r="1167">
      <c r="A1167" s="202"/>
      <c r="B1167" s="203"/>
      <c r="C1167" s="204"/>
      <c r="D1167" s="203"/>
      <c r="E1167" s="204"/>
      <c r="F1167" s="204"/>
      <c r="G1167" s="93"/>
      <c r="H1167" s="204"/>
      <c r="I1167" s="205"/>
      <c r="J1167" s="204"/>
      <c r="K1167" s="204"/>
      <c r="L1167" s="203"/>
      <c r="M1167" s="204"/>
      <c r="N1167" s="205"/>
      <c r="O1167" s="205"/>
      <c r="P1167" s="204"/>
      <c r="Q1167" s="205"/>
      <c r="R1167" s="204"/>
      <c r="S1167" s="204"/>
      <c r="T1167" s="204"/>
      <c r="U1167" s="205"/>
      <c r="V1167" s="204"/>
      <c r="W1167" s="204"/>
      <c r="X1167" s="204"/>
      <c r="Y1167" s="204"/>
      <c r="Z1167" s="204"/>
      <c r="AA1167" s="204"/>
      <c r="AB1167" s="204"/>
      <c r="AC1167" s="204"/>
      <c r="AD1167" s="204"/>
    </row>
    <row r="1168">
      <c r="A1168" s="202"/>
      <c r="B1168" s="203"/>
      <c r="C1168" s="204"/>
      <c r="D1168" s="203"/>
      <c r="E1168" s="204"/>
      <c r="F1168" s="204"/>
      <c r="G1168" s="93"/>
      <c r="H1168" s="204"/>
      <c r="I1168" s="205"/>
      <c r="J1168" s="204"/>
      <c r="K1168" s="204"/>
      <c r="L1168" s="203"/>
      <c r="M1168" s="204"/>
      <c r="N1168" s="205"/>
      <c r="O1168" s="205"/>
      <c r="P1168" s="204"/>
      <c r="Q1168" s="205"/>
      <c r="R1168" s="204"/>
      <c r="S1168" s="204"/>
      <c r="T1168" s="204"/>
      <c r="U1168" s="205"/>
      <c r="V1168" s="204"/>
      <c r="W1168" s="204"/>
      <c r="X1168" s="204"/>
      <c r="Y1168" s="204"/>
      <c r="Z1168" s="204"/>
      <c r="AA1168" s="204"/>
      <c r="AB1168" s="204"/>
      <c r="AC1168" s="204"/>
      <c r="AD1168" s="204"/>
    </row>
    <row r="1169">
      <c r="A1169" s="202"/>
      <c r="B1169" s="203"/>
      <c r="C1169" s="204"/>
      <c r="D1169" s="203"/>
      <c r="E1169" s="204"/>
      <c r="F1169" s="204"/>
      <c r="G1169" s="93"/>
      <c r="H1169" s="204"/>
      <c r="I1169" s="205"/>
      <c r="J1169" s="204"/>
      <c r="K1169" s="204"/>
      <c r="L1169" s="203"/>
      <c r="M1169" s="204"/>
      <c r="N1169" s="205"/>
      <c r="O1169" s="205"/>
      <c r="P1169" s="204"/>
      <c r="Q1169" s="205"/>
      <c r="R1169" s="204"/>
      <c r="S1169" s="204"/>
      <c r="T1169" s="204"/>
      <c r="U1169" s="205"/>
      <c r="V1169" s="204"/>
      <c r="W1169" s="204"/>
      <c r="X1169" s="204"/>
      <c r="Y1169" s="204"/>
      <c r="Z1169" s="204"/>
      <c r="AA1169" s="204"/>
      <c r="AB1169" s="204"/>
      <c r="AC1169" s="204"/>
      <c r="AD1169" s="204"/>
    </row>
    <row r="1170">
      <c r="A1170" s="202"/>
      <c r="B1170" s="203"/>
      <c r="C1170" s="204"/>
      <c r="D1170" s="203"/>
      <c r="E1170" s="204"/>
      <c r="F1170" s="204"/>
      <c r="G1170" s="93"/>
      <c r="H1170" s="204"/>
      <c r="I1170" s="205"/>
      <c r="J1170" s="204"/>
      <c r="K1170" s="204"/>
      <c r="L1170" s="203"/>
      <c r="M1170" s="204"/>
      <c r="N1170" s="205"/>
      <c r="O1170" s="205"/>
      <c r="P1170" s="204"/>
      <c r="Q1170" s="205"/>
      <c r="R1170" s="204"/>
      <c r="S1170" s="204"/>
      <c r="T1170" s="204"/>
      <c r="U1170" s="205"/>
      <c r="V1170" s="204"/>
      <c r="W1170" s="204"/>
      <c r="X1170" s="204"/>
      <c r="Y1170" s="204"/>
      <c r="Z1170" s="204"/>
      <c r="AA1170" s="204"/>
      <c r="AB1170" s="204"/>
      <c r="AC1170" s="204"/>
      <c r="AD1170" s="204"/>
    </row>
    <row r="1171">
      <c r="A1171" s="202"/>
      <c r="B1171" s="203"/>
      <c r="C1171" s="204"/>
      <c r="D1171" s="203"/>
      <c r="E1171" s="204"/>
      <c r="F1171" s="204"/>
      <c r="G1171" s="93"/>
      <c r="H1171" s="204"/>
      <c r="I1171" s="205"/>
      <c r="J1171" s="204"/>
      <c r="K1171" s="204"/>
      <c r="L1171" s="203"/>
      <c r="M1171" s="204"/>
      <c r="N1171" s="205"/>
      <c r="O1171" s="205"/>
      <c r="P1171" s="204"/>
      <c r="Q1171" s="205"/>
      <c r="R1171" s="204"/>
      <c r="S1171" s="204"/>
      <c r="T1171" s="204"/>
      <c r="U1171" s="205"/>
      <c r="V1171" s="204"/>
      <c r="W1171" s="204"/>
      <c r="X1171" s="204"/>
      <c r="Y1171" s="204"/>
      <c r="Z1171" s="204"/>
      <c r="AA1171" s="204"/>
      <c r="AB1171" s="204"/>
      <c r="AC1171" s="204"/>
      <c r="AD1171" s="204"/>
    </row>
    <row r="1172">
      <c r="A1172" s="202"/>
      <c r="B1172" s="203"/>
      <c r="C1172" s="204"/>
      <c r="D1172" s="203"/>
      <c r="E1172" s="204"/>
      <c r="F1172" s="204"/>
      <c r="G1172" s="93"/>
      <c r="H1172" s="204"/>
      <c r="I1172" s="205"/>
      <c r="J1172" s="204"/>
      <c r="K1172" s="204"/>
      <c r="L1172" s="203"/>
      <c r="M1172" s="204"/>
      <c r="N1172" s="205"/>
      <c r="O1172" s="205"/>
      <c r="P1172" s="204"/>
      <c r="Q1172" s="205"/>
      <c r="R1172" s="204"/>
      <c r="S1172" s="204"/>
      <c r="T1172" s="204"/>
      <c r="U1172" s="205"/>
      <c r="V1172" s="204"/>
      <c r="W1172" s="204"/>
      <c r="X1172" s="204"/>
      <c r="Y1172" s="204"/>
      <c r="Z1172" s="204"/>
      <c r="AA1172" s="204"/>
      <c r="AB1172" s="204"/>
      <c r="AC1172" s="204"/>
      <c r="AD1172" s="204"/>
    </row>
    <row r="1173">
      <c r="A1173" s="202"/>
      <c r="B1173" s="203"/>
      <c r="C1173" s="204"/>
      <c r="D1173" s="203"/>
      <c r="E1173" s="204"/>
      <c r="F1173" s="204"/>
      <c r="G1173" s="93"/>
      <c r="H1173" s="204"/>
      <c r="I1173" s="205"/>
      <c r="J1173" s="204"/>
      <c r="K1173" s="204"/>
      <c r="L1173" s="203"/>
      <c r="M1173" s="204"/>
      <c r="N1173" s="205"/>
      <c r="O1173" s="205"/>
      <c r="P1173" s="204"/>
      <c r="Q1173" s="205"/>
      <c r="R1173" s="204"/>
      <c r="S1173" s="204"/>
      <c r="T1173" s="204"/>
      <c r="U1173" s="205"/>
      <c r="V1173" s="204"/>
      <c r="W1173" s="204"/>
      <c r="X1173" s="204"/>
      <c r="Y1173" s="204"/>
      <c r="Z1173" s="204"/>
      <c r="AA1173" s="204"/>
      <c r="AB1173" s="204"/>
      <c r="AC1173" s="204"/>
      <c r="AD1173" s="204"/>
    </row>
    <row r="1174">
      <c r="A1174" s="202"/>
      <c r="B1174" s="203"/>
      <c r="C1174" s="204"/>
      <c r="D1174" s="203"/>
      <c r="E1174" s="204"/>
      <c r="F1174" s="204"/>
      <c r="G1174" s="93"/>
      <c r="H1174" s="204"/>
      <c r="I1174" s="205"/>
      <c r="J1174" s="204"/>
      <c r="K1174" s="204"/>
      <c r="L1174" s="203"/>
      <c r="M1174" s="204"/>
      <c r="N1174" s="205"/>
      <c r="O1174" s="205"/>
      <c r="P1174" s="204"/>
      <c r="Q1174" s="205"/>
      <c r="R1174" s="204"/>
      <c r="S1174" s="204"/>
      <c r="T1174" s="204"/>
      <c r="U1174" s="205"/>
      <c r="V1174" s="204"/>
      <c r="W1174" s="204"/>
      <c r="X1174" s="204"/>
      <c r="Y1174" s="204"/>
      <c r="Z1174" s="204"/>
      <c r="AA1174" s="204"/>
      <c r="AB1174" s="204"/>
      <c r="AC1174" s="204"/>
      <c r="AD1174" s="204"/>
    </row>
    <row r="1175">
      <c r="A1175" s="202"/>
      <c r="B1175" s="203"/>
      <c r="C1175" s="204"/>
      <c r="D1175" s="203"/>
      <c r="E1175" s="204"/>
      <c r="F1175" s="204"/>
      <c r="G1175" s="93"/>
      <c r="H1175" s="204"/>
      <c r="I1175" s="205"/>
      <c r="J1175" s="204"/>
      <c r="K1175" s="204"/>
      <c r="L1175" s="203"/>
      <c r="M1175" s="204"/>
      <c r="N1175" s="205"/>
      <c r="O1175" s="205"/>
      <c r="P1175" s="204"/>
      <c r="Q1175" s="205"/>
      <c r="R1175" s="204"/>
      <c r="S1175" s="204"/>
      <c r="T1175" s="204"/>
      <c r="U1175" s="205"/>
      <c r="V1175" s="204"/>
      <c r="W1175" s="204"/>
      <c r="X1175" s="204"/>
      <c r="Y1175" s="204"/>
      <c r="Z1175" s="204"/>
      <c r="AA1175" s="204"/>
      <c r="AB1175" s="204"/>
      <c r="AC1175" s="204"/>
      <c r="AD1175" s="204"/>
    </row>
    <row r="1176">
      <c r="A1176" s="202"/>
      <c r="B1176" s="203"/>
      <c r="C1176" s="204"/>
      <c r="D1176" s="203"/>
      <c r="E1176" s="204"/>
      <c r="F1176" s="204"/>
      <c r="G1176" s="93"/>
      <c r="H1176" s="204"/>
      <c r="I1176" s="205"/>
      <c r="J1176" s="204"/>
      <c r="K1176" s="204"/>
      <c r="L1176" s="203"/>
      <c r="M1176" s="204"/>
      <c r="N1176" s="205"/>
      <c r="O1176" s="205"/>
      <c r="P1176" s="204"/>
      <c r="Q1176" s="205"/>
      <c r="R1176" s="204"/>
      <c r="S1176" s="204"/>
      <c r="T1176" s="204"/>
      <c r="U1176" s="205"/>
      <c r="V1176" s="204"/>
      <c r="W1176" s="204"/>
      <c r="X1176" s="204"/>
      <c r="Y1176" s="204"/>
      <c r="Z1176" s="204"/>
      <c r="AA1176" s="204"/>
      <c r="AB1176" s="204"/>
      <c r="AC1176" s="204"/>
      <c r="AD1176" s="204"/>
    </row>
    <row r="1177">
      <c r="A1177" s="202"/>
      <c r="B1177" s="203"/>
      <c r="C1177" s="204"/>
      <c r="D1177" s="203"/>
      <c r="E1177" s="204"/>
      <c r="F1177" s="204"/>
      <c r="G1177" s="93"/>
      <c r="H1177" s="204"/>
      <c r="I1177" s="205"/>
      <c r="J1177" s="204"/>
      <c r="K1177" s="204"/>
      <c r="L1177" s="203"/>
      <c r="M1177" s="204"/>
      <c r="N1177" s="205"/>
      <c r="O1177" s="205"/>
      <c r="P1177" s="204"/>
      <c r="Q1177" s="205"/>
      <c r="R1177" s="204"/>
      <c r="S1177" s="204"/>
      <c r="T1177" s="204"/>
      <c r="U1177" s="205"/>
      <c r="V1177" s="204"/>
      <c r="W1177" s="204"/>
      <c r="X1177" s="204"/>
      <c r="Y1177" s="204"/>
      <c r="Z1177" s="204"/>
      <c r="AA1177" s="204"/>
      <c r="AB1177" s="204"/>
      <c r="AC1177" s="204"/>
      <c r="AD1177" s="204"/>
    </row>
    <row r="1178">
      <c r="A1178" s="202"/>
      <c r="B1178" s="203"/>
      <c r="C1178" s="204"/>
      <c r="D1178" s="203"/>
      <c r="E1178" s="204"/>
      <c r="F1178" s="204"/>
      <c r="G1178" s="93"/>
      <c r="H1178" s="204"/>
      <c r="I1178" s="205"/>
      <c r="J1178" s="204"/>
      <c r="K1178" s="204"/>
      <c r="L1178" s="203"/>
      <c r="M1178" s="204"/>
      <c r="N1178" s="205"/>
      <c r="O1178" s="205"/>
      <c r="P1178" s="204"/>
      <c r="Q1178" s="205"/>
      <c r="R1178" s="204"/>
      <c r="S1178" s="204"/>
      <c r="T1178" s="204"/>
      <c r="U1178" s="205"/>
      <c r="V1178" s="204"/>
      <c r="W1178" s="204"/>
      <c r="X1178" s="204"/>
      <c r="Y1178" s="204"/>
      <c r="Z1178" s="204"/>
      <c r="AA1178" s="204"/>
      <c r="AB1178" s="204"/>
      <c r="AC1178" s="204"/>
      <c r="AD1178" s="204"/>
    </row>
    <row r="1179">
      <c r="A1179" s="202"/>
      <c r="B1179" s="203"/>
      <c r="C1179" s="204"/>
      <c r="D1179" s="203"/>
      <c r="E1179" s="204"/>
      <c r="F1179" s="204"/>
      <c r="G1179" s="93"/>
      <c r="H1179" s="204"/>
      <c r="I1179" s="205"/>
      <c r="J1179" s="204"/>
      <c r="K1179" s="204"/>
      <c r="L1179" s="203"/>
      <c r="M1179" s="204"/>
      <c r="N1179" s="205"/>
      <c r="O1179" s="205"/>
      <c r="P1179" s="204"/>
      <c r="Q1179" s="205"/>
      <c r="R1179" s="204"/>
      <c r="S1179" s="204"/>
      <c r="T1179" s="204"/>
      <c r="U1179" s="205"/>
      <c r="V1179" s="204"/>
      <c r="W1179" s="204"/>
      <c r="X1179" s="204"/>
      <c r="Y1179" s="204"/>
      <c r="Z1179" s="204"/>
      <c r="AA1179" s="204"/>
      <c r="AB1179" s="204"/>
      <c r="AC1179" s="204"/>
      <c r="AD1179" s="204"/>
    </row>
    <row r="1180">
      <c r="A1180" s="202"/>
      <c r="B1180" s="203"/>
      <c r="C1180" s="204"/>
      <c r="D1180" s="203"/>
      <c r="E1180" s="204"/>
      <c r="F1180" s="204"/>
      <c r="G1180" s="93"/>
      <c r="H1180" s="204"/>
      <c r="I1180" s="205"/>
      <c r="J1180" s="204"/>
      <c r="K1180" s="204"/>
      <c r="L1180" s="203"/>
      <c r="M1180" s="204"/>
      <c r="N1180" s="205"/>
      <c r="O1180" s="205"/>
      <c r="P1180" s="204"/>
      <c r="Q1180" s="205"/>
      <c r="R1180" s="204"/>
      <c r="S1180" s="204"/>
      <c r="T1180" s="204"/>
      <c r="U1180" s="205"/>
      <c r="V1180" s="204"/>
      <c r="W1180" s="204"/>
      <c r="X1180" s="204"/>
      <c r="Y1180" s="204"/>
      <c r="Z1180" s="204"/>
      <c r="AA1180" s="204"/>
      <c r="AB1180" s="204"/>
      <c r="AC1180" s="204"/>
      <c r="AD1180" s="204"/>
    </row>
    <row r="1181">
      <c r="A1181" s="202"/>
      <c r="B1181" s="203"/>
      <c r="C1181" s="204"/>
      <c r="D1181" s="203"/>
      <c r="E1181" s="204"/>
      <c r="F1181" s="204"/>
      <c r="G1181" s="93"/>
      <c r="H1181" s="204"/>
      <c r="I1181" s="205"/>
      <c r="J1181" s="204"/>
      <c r="K1181" s="204"/>
      <c r="L1181" s="203"/>
      <c r="M1181" s="204"/>
      <c r="N1181" s="205"/>
      <c r="O1181" s="205"/>
      <c r="P1181" s="204"/>
      <c r="Q1181" s="205"/>
      <c r="R1181" s="204"/>
      <c r="S1181" s="204"/>
      <c r="T1181" s="204"/>
      <c r="U1181" s="205"/>
      <c r="V1181" s="204"/>
      <c r="W1181" s="204"/>
      <c r="X1181" s="204"/>
      <c r="Y1181" s="204"/>
      <c r="Z1181" s="204"/>
      <c r="AA1181" s="204"/>
      <c r="AB1181" s="204"/>
      <c r="AC1181" s="204"/>
      <c r="AD1181" s="204"/>
    </row>
    <row r="1182">
      <c r="A1182" s="202"/>
      <c r="B1182" s="203"/>
      <c r="C1182" s="204"/>
      <c r="D1182" s="203"/>
      <c r="E1182" s="204"/>
      <c r="F1182" s="204"/>
      <c r="G1182" s="93"/>
      <c r="H1182" s="204"/>
      <c r="I1182" s="205"/>
      <c r="J1182" s="204"/>
      <c r="K1182" s="204"/>
      <c r="L1182" s="203"/>
      <c r="M1182" s="204"/>
      <c r="N1182" s="205"/>
      <c r="O1182" s="205"/>
      <c r="P1182" s="204"/>
      <c r="Q1182" s="205"/>
      <c r="R1182" s="204"/>
      <c r="S1182" s="204"/>
      <c r="T1182" s="204"/>
      <c r="U1182" s="205"/>
      <c r="V1182" s="204"/>
      <c r="W1182" s="204"/>
      <c r="X1182" s="204"/>
      <c r="Y1182" s="204"/>
      <c r="Z1182" s="204"/>
      <c r="AA1182" s="204"/>
      <c r="AB1182" s="204"/>
      <c r="AC1182" s="204"/>
      <c r="AD1182" s="204"/>
    </row>
    <row r="1183">
      <c r="A1183" s="202"/>
      <c r="B1183" s="203"/>
      <c r="C1183" s="204"/>
      <c r="D1183" s="203"/>
      <c r="E1183" s="204"/>
      <c r="F1183" s="204"/>
      <c r="G1183" s="93"/>
      <c r="H1183" s="204"/>
      <c r="I1183" s="205"/>
      <c r="J1183" s="204"/>
      <c r="K1183" s="204"/>
      <c r="L1183" s="203"/>
      <c r="M1183" s="204"/>
      <c r="N1183" s="205"/>
      <c r="O1183" s="205"/>
      <c r="P1183" s="204"/>
      <c r="Q1183" s="205"/>
      <c r="R1183" s="204"/>
      <c r="S1183" s="204"/>
      <c r="T1183" s="204"/>
      <c r="U1183" s="205"/>
      <c r="V1183" s="204"/>
      <c r="W1183" s="204"/>
      <c r="X1183" s="204"/>
      <c r="Y1183" s="204"/>
      <c r="Z1183" s="204"/>
      <c r="AA1183" s="204"/>
      <c r="AB1183" s="204"/>
      <c r="AC1183" s="204"/>
      <c r="AD1183" s="204"/>
    </row>
    <row r="1184">
      <c r="A1184" s="202"/>
      <c r="B1184" s="203"/>
      <c r="C1184" s="204"/>
      <c r="D1184" s="203"/>
      <c r="E1184" s="204"/>
      <c r="F1184" s="204"/>
      <c r="G1184" s="93"/>
      <c r="H1184" s="204"/>
      <c r="I1184" s="205"/>
      <c r="J1184" s="204"/>
      <c r="K1184" s="204"/>
      <c r="L1184" s="203"/>
      <c r="M1184" s="204"/>
      <c r="N1184" s="205"/>
      <c r="O1184" s="205"/>
      <c r="P1184" s="204"/>
      <c r="Q1184" s="205"/>
      <c r="R1184" s="204"/>
      <c r="S1184" s="204"/>
      <c r="T1184" s="204"/>
      <c r="U1184" s="205"/>
      <c r="V1184" s="204"/>
      <c r="W1184" s="204"/>
      <c r="X1184" s="204"/>
      <c r="Y1184" s="204"/>
      <c r="Z1184" s="204"/>
      <c r="AA1184" s="204"/>
      <c r="AB1184" s="204"/>
      <c r="AC1184" s="204"/>
      <c r="AD1184" s="204"/>
    </row>
    <row r="1185">
      <c r="A1185" s="202"/>
      <c r="B1185" s="203"/>
      <c r="C1185" s="204"/>
      <c r="D1185" s="203"/>
      <c r="E1185" s="204"/>
      <c r="F1185" s="204"/>
      <c r="G1185" s="93"/>
      <c r="H1185" s="204"/>
      <c r="I1185" s="205"/>
      <c r="J1185" s="204"/>
      <c r="K1185" s="204"/>
      <c r="L1185" s="203"/>
      <c r="M1185" s="204"/>
      <c r="N1185" s="205"/>
      <c r="O1185" s="205"/>
      <c r="P1185" s="204"/>
      <c r="Q1185" s="205"/>
      <c r="R1185" s="204"/>
      <c r="S1185" s="204"/>
      <c r="T1185" s="204"/>
      <c r="U1185" s="205"/>
      <c r="V1185" s="204"/>
      <c r="W1185" s="204"/>
      <c r="X1185" s="204"/>
      <c r="Y1185" s="204"/>
      <c r="Z1185" s="204"/>
      <c r="AA1185" s="204"/>
      <c r="AB1185" s="204"/>
      <c r="AC1185" s="204"/>
      <c r="AD1185" s="204"/>
    </row>
  </sheetData>
  <autoFilter ref="$A$2:$AD$299">
    <filterColumn colId="22">
      <filters blank="1">
        <filter val="OK"/>
      </filters>
    </filterColumn>
  </autoFilter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2" t="s">
        <v>1</v>
      </c>
      <c r="B1" s="2"/>
      <c r="C1" s="3" t="s">
        <v>2</v>
      </c>
      <c r="D1" s="8">
        <f>IFERROR(__xludf.DUMMYFUNCTION("INDEX(FILTER(K:K,K:K&lt;&gt;""""),COUNTA(K:K))"),46174.0)</f>
        <v>46174</v>
      </c>
      <c r="E1" s="3"/>
      <c r="F1" s="3"/>
      <c r="G1" s="3"/>
      <c r="H1" s="3"/>
      <c r="I1" s="12"/>
      <c r="J1" s="3"/>
      <c r="K1" s="3"/>
      <c r="L1" s="2"/>
      <c r="M1" s="3"/>
      <c r="N1" s="12"/>
      <c r="O1" s="12"/>
      <c r="P1" s="3"/>
      <c r="Q1" s="12"/>
      <c r="R1" s="3"/>
      <c r="S1" s="3"/>
      <c r="T1" s="3"/>
      <c r="U1" s="12"/>
      <c r="V1" s="3"/>
      <c r="W1" s="3"/>
      <c r="X1" s="15"/>
      <c r="Y1" s="15"/>
      <c r="Z1" s="15"/>
      <c r="AA1" s="15"/>
      <c r="AB1" s="15"/>
      <c r="AC1" s="15"/>
      <c r="AD1" s="15"/>
    </row>
    <row r="2">
      <c r="A2" s="17" t="s">
        <v>6</v>
      </c>
      <c r="B2" s="17" t="s">
        <v>7</v>
      </c>
      <c r="C2" s="20" t="s">
        <v>8</v>
      </c>
      <c r="D2" s="17" t="s">
        <v>9</v>
      </c>
      <c r="E2" s="20" t="s">
        <v>10</v>
      </c>
      <c r="F2" s="20" t="s">
        <v>11</v>
      </c>
      <c r="G2" s="20" t="s">
        <v>11</v>
      </c>
      <c r="H2" s="24" t="s">
        <v>12</v>
      </c>
      <c r="I2" s="28" t="s">
        <v>14</v>
      </c>
      <c r="J2" s="20" t="s">
        <v>15</v>
      </c>
      <c r="K2" s="20" t="s">
        <v>16</v>
      </c>
      <c r="L2" s="17" t="s">
        <v>17</v>
      </c>
      <c r="M2" s="20" t="s">
        <v>18</v>
      </c>
      <c r="N2" s="28" t="s">
        <v>19</v>
      </c>
      <c r="O2" s="28" t="s">
        <v>20</v>
      </c>
      <c r="P2" s="20" t="s">
        <v>21</v>
      </c>
      <c r="Q2" s="28" t="s">
        <v>22</v>
      </c>
      <c r="R2" s="20" t="s">
        <v>23</v>
      </c>
      <c r="S2" s="20" t="s">
        <v>24</v>
      </c>
      <c r="T2" s="20" t="s">
        <v>25</v>
      </c>
      <c r="U2" s="29" t="s">
        <v>26</v>
      </c>
      <c r="V2" s="11" t="s">
        <v>27</v>
      </c>
      <c r="W2" s="20" t="s">
        <v>22</v>
      </c>
      <c r="X2" s="30"/>
      <c r="Y2" s="30"/>
      <c r="Z2" s="30"/>
      <c r="AA2" s="30"/>
      <c r="AB2" s="30"/>
      <c r="AC2" s="30"/>
      <c r="AD2" s="30"/>
    </row>
    <row r="3">
      <c r="A3" s="33" t="s">
        <v>28</v>
      </c>
      <c r="B3" s="35" t="s">
        <v>30</v>
      </c>
      <c r="C3" s="35" t="str">
        <f>IF(B3="","",(VLOOKUP(B3,'Dados de PN'!$A:$B,2,0)))</f>
        <v>650X10 TUBE</v>
      </c>
      <c r="D3" s="35" t="s">
        <v>31</v>
      </c>
      <c r="E3" s="42" t="s">
        <v>32</v>
      </c>
      <c r="F3" s="42" t="s">
        <v>34</v>
      </c>
      <c r="G3" s="42">
        <v>1.0</v>
      </c>
      <c r="H3" s="42">
        <v>1.3947615E7</v>
      </c>
      <c r="I3" s="43" t="s">
        <v>36</v>
      </c>
      <c r="J3" s="42" t="s">
        <v>37</v>
      </c>
      <c r="K3" s="46">
        <v>45730.0</v>
      </c>
      <c r="L3" s="35" t="s">
        <v>38</v>
      </c>
      <c r="M3" s="42" t="s">
        <v>39</v>
      </c>
      <c r="N3" s="49"/>
      <c r="O3" s="49"/>
      <c r="P3" s="50"/>
      <c r="Q3" s="51"/>
      <c r="R3" s="52"/>
      <c r="S3" s="52"/>
      <c r="T3" s="52"/>
      <c r="U3" s="55"/>
      <c r="V3" s="60"/>
      <c r="W3" s="60"/>
    </row>
    <row r="4">
      <c r="A4" s="33" t="s">
        <v>47</v>
      </c>
      <c r="B4" s="35" t="s">
        <v>30</v>
      </c>
      <c r="C4" s="35" t="str">
        <f>IF(B4="","",(VLOOKUP(B4,'Dados de PN'!$A:$B,2,0)))</f>
        <v>650X10 TUBE</v>
      </c>
      <c r="D4" s="35" t="s">
        <v>31</v>
      </c>
      <c r="E4" s="42" t="s">
        <v>32</v>
      </c>
      <c r="F4" s="42" t="s">
        <v>34</v>
      </c>
      <c r="G4" s="42">
        <v>1.0</v>
      </c>
      <c r="H4" s="42">
        <v>1.4000316E7</v>
      </c>
      <c r="I4" s="43" t="s">
        <v>36</v>
      </c>
      <c r="J4" s="42" t="s">
        <v>37</v>
      </c>
      <c r="K4" s="46">
        <v>45735.0</v>
      </c>
      <c r="L4" s="35" t="s">
        <v>50</v>
      </c>
      <c r="M4" s="42" t="s">
        <v>51</v>
      </c>
      <c r="N4" s="49"/>
      <c r="O4" s="49"/>
      <c r="P4" s="67"/>
      <c r="Q4" s="51"/>
      <c r="R4" s="68"/>
      <c r="S4" s="69"/>
      <c r="T4" s="69"/>
      <c r="U4" s="55"/>
      <c r="V4" s="60"/>
      <c r="W4" s="60"/>
    </row>
    <row r="5">
      <c r="A5" s="33" t="s">
        <v>55</v>
      </c>
      <c r="B5" s="35" t="s">
        <v>52</v>
      </c>
      <c r="C5" s="35" t="str">
        <f>IF(B5="","",(VLOOKUP(B5,'Dados de PN'!$A:$B,2,0)))</f>
        <v>SELECTOR ALT</v>
      </c>
      <c r="D5" s="35" t="s">
        <v>31</v>
      </c>
      <c r="E5" s="42" t="s">
        <v>54</v>
      </c>
      <c r="F5" s="42" t="s">
        <v>34</v>
      </c>
      <c r="G5" s="42">
        <v>100.0</v>
      </c>
      <c r="H5" s="42">
        <v>1.3719978E7</v>
      </c>
      <c r="I5" s="43" t="s">
        <v>59</v>
      </c>
      <c r="J5" s="42" t="s">
        <v>37</v>
      </c>
      <c r="K5" s="46">
        <v>45737.0</v>
      </c>
      <c r="L5" s="35" t="s">
        <v>60</v>
      </c>
      <c r="M5" s="42" t="s">
        <v>61</v>
      </c>
      <c r="N5" s="49"/>
      <c r="O5" s="49"/>
      <c r="P5" s="68"/>
      <c r="Q5" s="71"/>
      <c r="R5" s="68"/>
      <c r="S5" s="69"/>
      <c r="T5" s="69"/>
      <c r="U5" s="55"/>
      <c r="V5" s="60"/>
      <c r="W5" s="60"/>
    </row>
    <row r="6">
      <c r="A6" s="33" t="s">
        <v>64</v>
      </c>
      <c r="B6" s="75" t="s">
        <v>56</v>
      </c>
      <c r="C6" s="35" t="str">
        <f>IF(B6="","",(VLOOKUP(B6,'Dados de PN'!$A:$B,2,0)))</f>
        <v>REBITE, CEGO</v>
      </c>
      <c r="D6" s="35" t="s">
        <v>31</v>
      </c>
      <c r="E6" s="42" t="s">
        <v>32</v>
      </c>
      <c r="F6" s="78" t="s">
        <v>71</v>
      </c>
      <c r="G6" s="42">
        <v>100.0</v>
      </c>
      <c r="H6" s="78">
        <v>1.4119927E7</v>
      </c>
      <c r="I6" s="43"/>
      <c r="J6" s="42" t="s">
        <v>74</v>
      </c>
      <c r="K6" s="46">
        <v>45747.0</v>
      </c>
      <c r="L6" s="35" t="s">
        <v>75</v>
      </c>
      <c r="M6" s="42" t="s">
        <v>76</v>
      </c>
      <c r="N6" s="49"/>
      <c r="O6" s="49"/>
      <c r="P6" s="68"/>
      <c r="Q6" s="71"/>
      <c r="R6" s="68"/>
      <c r="S6" s="69"/>
      <c r="T6" s="69"/>
      <c r="U6" s="81" t="s">
        <v>77</v>
      </c>
      <c r="V6" s="82" t="s">
        <v>58</v>
      </c>
      <c r="W6" s="83" t="s">
        <v>83</v>
      </c>
    </row>
    <row r="7">
      <c r="A7" s="33" t="s">
        <v>86</v>
      </c>
      <c r="B7" s="75" t="s">
        <v>62</v>
      </c>
      <c r="C7" s="35" t="str">
        <f>IF(B7="","",(VLOOKUP(B7,'Dados de PN'!$A:$B,2,0)))</f>
        <v>RIVET, BLIND</v>
      </c>
      <c r="D7" s="35" t="s">
        <v>31</v>
      </c>
      <c r="E7" s="42" t="s">
        <v>32</v>
      </c>
      <c r="F7" s="78" t="s">
        <v>71</v>
      </c>
      <c r="G7" s="42">
        <v>100.0</v>
      </c>
      <c r="H7" s="78">
        <v>1.4119761E7</v>
      </c>
      <c r="I7" s="43" t="s">
        <v>85</v>
      </c>
      <c r="J7" s="42" t="s">
        <v>37</v>
      </c>
      <c r="K7" s="46">
        <v>45747.0</v>
      </c>
      <c r="L7" s="35" t="s">
        <v>75</v>
      </c>
      <c r="M7" s="42" t="s">
        <v>76</v>
      </c>
      <c r="N7" s="49"/>
      <c r="O7" s="49"/>
      <c r="P7" s="68"/>
      <c r="Q7" s="71"/>
      <c r="R7" s="68"/>
      <c r="S7" s="69"/>
      <c r="T7" s="69"/>
      <c r="U7" s="81" t="s">
        <v>93</v>
      </c>
      <c r="V7" s="72"/>
      <c r="W7" s="83" t="s">
        <v>83</v>
      </c>
    </row>
    <row r="8">
      <c r="A8" s="33" t="s">
        <v>95</v>
      </c>
      <c r="B8" s="75" t="s">
        <v>65</v>
      </c>
      <c r="C8" s="35" t="str">
        <f>IF(B8="","",(VLOOKUP(B8,'Dados de PN'!$A:$B,2,0)))</f>
        <v>RIVET SOLID</v>
      </c>
      <c r="D8" s="35" t="s">
        <v>31</v>
      </c>
      <c r="E8" s="42" t="s">
        <v>32</v>
      </c>
      <c r="F8" s="78" t="s">
        <v>98</v>
      </c>
      <c r="G8" s="42">
        <v>500.0</v>
      </c>
      <c r="H8" s="78">
        <v>1.4119172E7</v>
      </c>
      <c r="I8" s="43" t="s">
        <v>85</v>
      </c>
      <c r="J8" s="42" t="s">
        <v>37</v>
      </c>
      <c r="K8" s="46">
        <v>45747.0</v>
      </c>
      <c r="L8" s="35" t="s">
        <v>75</v>
      </c>
      <c r="M8" s="42" t="s">
        <v>76</v>
      </c>
      <c r="N8" s="49"/>
      <c r="O8" s="49"/>
      <c r="P8" s="68"/>
      <c r="Q8" s="71"/>
      <c r="R8" s="68"/>
      <c r="S8" s="69"/>
      <c r="T8" s="69"/>
      <c r="U8" s="81" t="s">
        <v>93</v>
      </c>
      <c r="V8" s="72"/>
      <c r="W8" s="83" t="s">
        <v>83</v>
      </c>
    </row>
    <row r="9">
      <c r="A9" s="33" t="s">
        <v>100</v>
      </c>
      <c r="B9" s="75" t="s">
        <v>67</v>
      </c>
      <c r="C9" s="35" t="str">
        <f>IF(B9="","",(VLOOKUP(B9,'Dados de PN'!$A:$B,2,0)))</f>
        <v>RIVET, SOLID</v>
      </c>
      <c r="D9" s="35" t="s">
        <v>31</v>
      </c>
      <c r="E9" s="42" t="s">
        <v>32</v>
      </c>
      <c r="F9" s="78" t="s">
        <v>71</v>
      </c>
      <c r="G9" s="42">
        <v>100.0</v>
      </c>
      <c r="H9" s="78">
        <v>1.4118815E7</v>
      </c>
      <c r="I9" s="43" t="s">
        <v>85</v>
      </c>
      <c r="J9" s="42" t="s">
        <v>37</v>
      </c>
      <c r="K9" s="46">
        <v>45747.0</v>
      </c>
      <c r="L9" s="35" t="s">
        <v>75</v>
      </c>
      <c r="M9" s="42" t="s">
        <v>76</v>
      </c>
      <c r="N9" s="49"/>
      <c r="O9" s="49"/>
      <c r="P9" s="68"/>
      <c r="Q9" s="71"/>
      <c r="R9" s="68"/>
      <c r="S9" s="69"/>
      <c r="T9" s="69"/>
      <c r="U9" s="81" t="s">
        <v>93</v>
      </c>
      <c r="V9" s="72"/>
      <c r="W9" s="83" t="s">
        <v>83</v>
      </c>
    </row>
    <row r="10">
      <c r="A10" s="33" t="s">
        <v>107</v>
      </c>
      <c r="B10" s="75" t="s">
        <v>69</v>
      </c>
      <c r="C10" s="35" t="str">
        <f>IF(B10="","",(VLOOKUP(B10,'Dados de PN'!$A:$B,2,0)))</f>
        <v>RIVET, SOLID</v>
      </c>
      <c r="D10" s="35" t="s">
        <v>31</v>
      </c>
      <c r="E10" s="42" t="s">
        <v>32</v>
      </c>
      <c r="F10" s="78" t="s">
        <v>108</v>
      </c>
      <c r="G10" s="42">
        <v>1.0</v>
      </c>
      <c r="H10" s="78">
        <v>1.4118717E7</v>
      </c>
      <c r="I10" s="43" t="s">
        <v>85</v>
      </c>
      <c r="J10" s="42" t="s">
        <v>37</v>
      </c>
      <c r="K10" s="46">
        <v>45747.0</v>
      </c>
      <c r="L10" s="35" t="s">
        <v>75</v>
      </c>
      <c r="M10" s="42" t="s">
        <v>76</v>
      </c>
      <c r="N10" s="49"/>
      <c r="O10" s="49"/>
      <c r="P10" s="68"/>
      <c r="Q10" s="71"/>
      <c r="R10" s="68"/>
      <c r="S10" s="69"/>
      <c r="T10" s="69"/>
      <c r="U10" s="81" t="s">
        <v>93</v>
      </c>
      <c r="V10" s="72"/>
      <c r="W10" s="83" t="s">
        <v>83</v>
      </c>
    </row>
    <row r="11">
      <c r="A11" s="33" t="s">
        <v>110</v>
      </c>
      <c r="B11" s="75" t="s">
        <v>70</v>
      </c>
      <c r="C11" s="35" t="str">
        <f>IF(B11="","",(VLOOKUP(B11,'Dados de PN'!$A:$B,2,0)))</f>
        <v>RIVET, SOLID</v>
      </c>
      <c r="D11" s="35" t="s">
        <v>31</v>
      </c>
      <c r="E11" s="42" t="s">
        <v>32</v>
      </c>
      <c r="F11" s="78" t="s">
        <v>108</v>
      </c>
      <c r="G11" s="42">
        <v>1.0</v>
      </c>
      <c r="H11" s="78">
        <v>1.4118631E7</v>
      </c>
      <c r="I11" s="43" t="s">
        <v>85</v>
      </c>
      <c r="J11" s="42" t="s">
        <v>37</v>
      </c>
      <c r="K11" s="46">
        <v>45747.0</v>
      </c>
      <c r="L11" s="35" t="s">
        <v>75</v>
      </c>
      <c r="M11" s="42" t="s">
        <v>76</v>
      </c>
      <c r="N11" s="49"/>
      <c r="O11" s="49"/>
      <c r="P11" s="68"/>
      <c r="Q11" s="71"/>
      <c r="R11" s="68"/>
      <c r="S11" s="69"/>
      <c r="T11" s="69"/>
      <c r="U11" s="81" t="s">
        <v>93</v>
      </c>
      <c r="V11" s="72"/>
      <c r="W11" s="83" t="s">
        <v>83</v>
      </c>
    </row>
    <row r="12">
      <c r="A12" s="33" t="s">
        <v>117</v>
      </c>
      <c r="B12" s="75" t="s">
        <v>72</v>
      </c>
      <c r="C12" s="35" t="str">
        <f>IF(B12="","",(VLOOKUP(B12,'Dados de PN'!$A:$B,2,0)))</f>
        <v>RIVET, SOLID</v>
      </c>
      <c r="D12" s="35" t="s">
        <v>31</v>
      </c>
      <c r="E12" s="42" t="s">
        <v>32</v>
      </c>
      <c r="F12" s="78" t="s">
        <v>108</v>
      </c>
      <c r="G12" s="42">
        <v>1.0</v>
      </c>
      <c r="H12" s="78">
        <v>1.4118223E7</v>
      </c>
      <c r="I12" s="43" t="s">
        <v>85</v>
      </c>
      <c r="J12" s="42" t="s">
        <v>37</v>
      </c>
      <c r="K12" s="46">
        <v>45747.0</v>
      </c>
      <c r="L12" s="35" t="s">
        <v>75</v>
      </c>
      <c r="M12" s="42" t="s">
        <v>76</v>
      </c>
      <c r="N12" s="49"/>
      <c r="O12" s="49"/>
      <c r="P12" s="68"/>
      <c r="Q12" s="71"/>
      <c r="R12" s="68"/>
      <c r="S12" s="69"/>
      <c r="T12" s="69"/>
      <c r="U12" s="81" t="s">
        <v>93</v>
      </c>
      <c r="V12" s="72"/>
      <c r="W12" s="83" t="s">
        <v>83</v>
      </c>
    </row>
    <row r="13">
      <c r="A13" s="33" t="s">
        <v>121</v>
      </c>
      <c r="B13" s="75" t="s">
        <v>73</v>
      </c>
      <c r="C13" s="35" t="str">
        <f>IF(B13="","",(VLOOKUP(B13,'Dados de PN'!$A:$B,2,0)))</f>
        <v>RIVET SOLID</v>
      </c>
      <c r="D13" s="35" t="s">
        <v>31</v>
      </c>
      <c r="E13" s="42" t="s">
        <v>32</v>
      </c>
      <c r="F13" s="78" t="s">
        <v>124</v>
      </c>
      <c r="G13" s="42">
        <v>50.0</v>
      </c>
      <c r="H13" s="78">
        <v>1.4117687E7</v>
      </c>
      <c r="I13" s="43" t="s">
        <v>85</v>
      </c>
      <c r="J13" s="42" t="s">
        <v>37</v>
      </c>
      <c r="K13" s="46">
        <v>45747.0</v>
      </c>
      <c r="L13" s="35" t="s">
        <v>75</v>
      </c>
      <c r="M13" s="42" t="s">
        <v>76</v>
      </c>
      <c r="N13" s="49"/>
      <c r="O13" s="49"/>
      <c r="P13" s="68"/>
      <c r="Q13" s="71"/>
      <c r="R13" s="68"/>
      <c r="S13" s="69"/>
      <c r="T13" s="69"/>
      <c r="U13" s="55"/>
      <c r="V13" s="80"/>
      <c r="W13" s="60"/>
    </row>
    <row r="14">
      <c r="A14" s="33" t="s">
        <v>129</v>
      </c>
      <c r="B14" s="35" t="s">
        <v>79</v>
      </c>
      <c r="C14" s="35" t="str">
        <f>IF(B14="","",(VLOOKUP(B14,'Dados de PN'!$A:$B,2,0)))</f>
        <v>ALTIMETER</v>
      </c>
      <c r="D14" s="35" t="s">
        <v>31</v>
      </c>
      <c r="E14" s="42" t="s">
        <v>81</v>
      </c>
      <c r="F14" s="42" t="s">
        <v>34</v>
      </c>
      <c r="G14" s="42">
        <v>1.0</v>
      </c>
      <c r="H14" s="42">
        <v>1.4305088E7</v>
      </c>
      <c r="I14" s="43" t="s">
        <v>132</v>
      </c>
      <c r="J14" s="42" t="s">
        <v>37</v>
      </c>
      <c r="K14" s="46">
        <v>45762.0</v>
      </c>
      <c r="L14" s="35" t="s">
        <v>133</v>
      </c>
      <c r="M14" s="42" t="s">
        <v>76</v>
      </c>
      <c r="N14" s="49"/>
      <c r="O14" s="49"/>
      <c r="P14" s="52"/>
      <c r="Q14" s="90"/>
      <c r="R14" s="52"/>
      <c r="S14" s="69"/>
      <c r="T14" s="69"/>
      <c r="U14" s="55"/>
      <c r="V14" s="60"/>
      <c r="W14" s="60"/>
    </row>
    <row r="15">
      <c r="A15" s="33" t="s">
        <v>146</v>
      </c>
      <c r="B15" s="35" t="s">
        <v>87</v>
      </c>
      <c r="C15" s="35" t="str">
        <f>IF(B15="","",(VLOOKUP(B15,'Dados de PN'!$A:$B,2,0)))</f>
        <v>INSULATOR</v>
      </c>
      <c r="D15" s="35" t="s">
        <v>31</v>
      </c>
      <c r="E15" s="42" t="s">
        <v>32</v>
      </c>
      <c r="F15" s="42" t="s">
        <v>34</v>
      </c>
      <c r="G15" s="42">
        <v>1.0</v>
      </c>
      <c r="H15" s="42">
        <v>1.4309534E7</v>
      </c>
      <c r="I15" s="43" t="s">
        <v>151</v>
      </c>
      <c r="J15" s="42" t="s">
        <v>37</v>
      </c>
      <c r="K15" s="46">
        <v>45763.0</v>
      </c>
      <c r="L15" s="35" t="s">
        <v>152</v>
      </c>
      <c r="M15" s="42" t="s">
        <v>61</v>
      </c>
      <c r="N15" s="49"/>
      <c r="O15" s="49"/>
      <c r="P15" s="68"/>
      <c r="Q15" s="71"/>
      <c r="R15" s="68"/>
      <c r="S15" s="69"/>
      <c r="T15" s="69"/>
      <c r="U15" s="55"/>
      <c r="V15" s="60"/>
      <c r="W15" s="60"/>
    </row>
    <row r="16">
      <c r="A16" s="33" t="s">
        <v>155</v>
      </c>
      <c r="B16" s="35" t="s">
        <v>89</v>
      </c>
      <c r="C16" s="35" t="str">
        <f>IF(B16="","",(VLOOKUP(B16,'Dados de PN'!$A:$B,2,0)))</f>
        <v>INSULATOR</v>
      </c>
      <c r="D16" s="35" t="s">
        <v>31</v>
      </c>
      <c r="E16" s="42" t="s">
        <v>32</v>
      </c>
      <c r="F16" s="42" t="s">
        <v>34</v>
      </c>
      <c r="G16" s="42">
        <v>1.0</v>
      </c>
      <c r="H16" s="42">
        <v>1.4316808E7</v>
      </c>
      <c r="I16" s="43" t="s">
        <v>151</v>
      </c>
      <c r="J16" s="42" t="s">
        <v>37</v>
      </c>
      <c r="K16" s="46">
        <v>45763.0</v>
      </c>
      <c r="L16" s="35" t="s">
        <v>152</v>
      </c>
      <c r="M16" s="42" t="s">
        <v>61</v>
      </c>
      <c r="N16" s="49"/>
      <c r="O16" s="49"/>
      <c r="P16" s="68"/>
      <c r="Q16" s="71"/>
      <c r="R16" s="68"/>
      <c r="S16" s="69"/>
      <c r="T16" s="69"/>
      <c r="U16" s="55"/>
      <c r="V16" s="60"/>
      <c r="W16" s="60"/>
    </row>
    <row r="17">
      <c r="A17" s="33" t="s">
        <v>163</v>
      </c>
      <c r="B17" s="35" t="s">
        <v>96</v>
      </c>
      <c r="C17" s="35" t="str">
        <f>IF(B17="","",(VLOOKUP(B17,'Dados de PN'!$A:$B,2,0)))</f>
        <v>BEARING,ROLLER,NEEDLE</v>
      </c>
      <c r="D17" s="35" t="s">
        <v>31</v>
      </c>
      <c r="E17" s="42" t="s">
        <v>32</v>
      </c>
      <c r="F17" s="42" t="s">
        <v>164</v>
      </c>
      <c r="G17" s="42">
        <v>2.0</v>
      </c>
      <c r="H17" s="42">
        <v>1.4478457E7</v>
      </c>
      <c r="I17" s="43" t="s">
        <v>166</v>
      </c>
      <c r="J17" s="42" t="s">
        <v>37</v>
      </c>
      <c r="K17" s="46">
        <v>45783.0</v>
      </c>
      <c r="L17" s="35" t="s">
        <v>168</v>
      </c>
      <c r="M17" s="42" t="s">
        <v>169</v>
      </c>
      <c r="N17" s="49"/>
      <c r="O17" s="49"/>
      <c r="P17" s="68"/>
      <c r="Q17" s="71"/>
      <c r="R17" s="68"/>
      <c r="S17" s="69"/>
      <c r="T17" s="69"/>
      <c r="U17" s="55"/>
      <c r="V17" s="60"/>
      <c r="W17" s="60"/>
    </row>
    <row r="18">
      <c r="A18" s="33" t="s">
        <v>170</v>
      </c>
      <c r="B18" s="35" t="s">
        <v>171</v>
      </c>
      <c r="C18" s="35" t="str">
        <f>IF(B18="","",(VLOOKUP(B18,'Dados de PN'!$A:$B,2,0)))</f>
        <v>BUSHING,SLEEVE</v>
      </c>
      <c r="D18" s="35" t="s">
        <v>31</v>
      </c>
      <c r="E18" s="42" t="s">
        <v>32</v>
      </c>
      <c r="F18" s="42" t="s">
        <v>164</v>
      </c>
      <c r="G18" s="42">
        <v>2.0</v>
      </c>
      <c r="H18" s="42">
        <v>1.4478396E7</v>
      </c>
      <c r="I18" s="43" t="s">
        <v>166</v>
      </c>
      <c r="J18" s="42" t="s">
        <v>37</v>
      </c>
      <c r="K18" s="46">
        <v>45783.0</v>
      </c>
      <c r="L18" s="35" t="s">
        <v>168</v>
      </c>
      <c r="M18" s="42" t="s">
        <v>169</v>
      </c>
      <c r="N18" s="49"/>
      <c r="O18" s="49"/>
      <c r="P18" s="68"/>
      <c r="Q18" s="71"/>
      <c r="R18" s="68"/>
      <c r="S18" s="69"/>
      <c r="T18" s="69"/>
      <c r="U18" s="55"/>
      <c r="V18" s="60"/>
      <c r="W18" s="60"/>
    </row>
    <row r="19">
      <c r="A19" s="33" t="s">
        <v>173</v>
      </c>
      <c r="B19" s="35" t="s">
        <v>102</v>
      </c>
      <c r="C19" s="35" t="str">
        <f>IF(B19="","",(VLOOKUP(B19,'Dados de PN'!$A:$B,2,0)))</f>
        <v>AUTOPILOT COMPUTER/FLIGHT DIRECTOT</v>
      </c>
      <c r="D19" s="35" t="s">
        <v>31</v>
      </c>
      <c r="E19" s="42" t="s">
        <v>81</v>
      </c>
      <c r="F19" s="42" t="s">
        <v>34</v>
      </c>
      <c r="G19" s="42">
        <v>1.0</v>
      </c>
      <c r="H19" s="42">
        <v>6.85240004653E11</v>
      </c>
      <c r="I19" s="43" t="s">
        <v>175</v>
      </c>
      <c r="J19" s="42" t="s">
        <v>37</v>
      </c>
      <c r="K19" s="46">
        <v>45784.0</v>
      </c>
      <c r="L19" s="35" t="s">
        <v>152</v>
      </c>
      <c r="M19" s="42" t="s">
        <v>61</v>
      </c>
      <c r="N19" s="49"/>
      <c r="O19" s="49"/>
      <c r="P19" s="98" t="s">
        <v>102</v>
      </c>
      <c r="Q19" s="99" t="s">
        <v>104</v>
      </c>
      <c r="R19" s="99" t="s">
        <v>176</v>
      </c>
      <c r="S19" s="69"/>
      <c r="T19" s="101">
        <v>45845.0</v>
      </c>
      <c r="U19" s="102" t="s">
        <v>177</v>
      </c>
      <c r="V19" s="83"/>
      <c r="W19" s="83" t="s">
        <v>83</v>
      </c>
    </row>
    <row r="20">
      <c r="A20" s="33" t="s">
        <v>178</v>
      </c>
      <c r="B20" s="35" t="s">
        <v>111</v>
      </c>
      <c r="C20" s="35" t="str">
        <f>IF(B20="","",(VLOOKUP(B20,'Dados de PN'!$A:$B,2,0)))</f>
        <v>HOSE ASSY</v>
      </c>
      <c r="D20" s="35" t="s">
        <v>31</v>
      </c>
      <c r="E20" s="42" t="s">
        <v>32</v>
      </c>
      <c r="F20" s="42" t="s">
        <v>34</v>
      </c>
      <c r="G20" s="42">
        <v>1.0</v>
      </c>
      <c r="H20" s="42">
        <v>6.85250006026E11</v>
      </c>
      <c r="I20" s="43" t="s">
        <v>175</v>
      </c>
      <c r="J20" s="42" t="s">
        <v>37</v>
      </c>
      <c r="K20" s="46">
        <v>45784.0</v>
      </c>
      <c r="L20" s="35" t="s">
        <v>183</v>
      </c>
      <c r="M20" s="42" t="s">
        <v>61</v>
      </c>
      <c r="N20" s="49"/>
      <c r="O20" s="49"/>
      <c r="P20" s="68"/>
      <c r="Q20" s="71"/>
      <c r="R20" s="68"/>
      <c r="S20" s="69"/>
      <c r="T20" s="69"/>
      <c r="U20" s="55"/>
      <c r="V20" s="60"/>
      <c r="W20" s="60"/>
    </row>
    <row r="21">
      <c r="A21" s="33" t="s">
        <v>186</v>
      </c>
      <c r="B21" s="35" t="s">
        <v>114</v>
      </c>
      <c r="C21" s="35" t="str">
        <f>IF(B21="","",(VLOOKUP(B21,'Dados de PN'!$A:$B,2,0)))</f>
        <v>NUT,SELF-LOCKING,HEXAGON</v>
      </c>
      <c r="D21" s="35" t="s">
        <v>31</v>
      </c>
      <c r="E21" s="42" t="s">
        <v>32</v>
      </c>
      <c r="F21" s="42" t="s">
        <v>187</v>
      </c>
      <c r="G21" s="42">
        <v>16.0</v>
      </c>
      <c r="H21" s="42">
        <v>1.4481761E7</v>
      </c>
      <c r="I21" s="43" t="s">
        <v>188</v>
      </c>
      <c r="J21" s="42" t="s">
        <v>37</v>
      </c>
      <c r="K21" s="46">
        <v>45784.0</v>
      </c>
      <c r="L21" s="35" t="s">
        <v>116</v>
      </c>
      <c r="M21" s="42" t="s">
        <v>61</v>
      </c>
      <c r="N21" s="49"/>
      <c r="O21" s="49"/>
      <c r="P21" s="68"/>
      <c r="Q21" s="71"/>
      <c r="R21" s="68"/>
      <c r="S21" s="69"/>
      <c r="T21" s="69"/>
      <c r="U21" s="55"/>
      <c r="V21" s="60"/>
      <c r="W21" s="60"/>
    </row>
    <row r="22">
      <c r="A22" s="33" t="s">
        <v>193</v>
      </c>
      <c r="B22" s="35" t="s">
        <v>114</v>
      </c>
      <c r="C22" s="35" t="str">
        <f>IF(B22="","",(VLOOKUP(B22,'Dados de PN'!$A:$B,2,0)))</f>
        <v>NUT,SELF-LOCKING,HEXAGON</v>
      </c>
      <c r="D22" s="35" t="s">
        <v>31</v>
      </c>
      <c r="E22" s="42" t="s">
        <v>32</v>
      </c>
      <c r="F22" s="42" t="s">
        <v>196</v>
      </c>
      <c r="G22" s="42">
        <v>8.0</v>
      </c>
      <c r="H22" s="42">
        <v>1.4482166E7</v>
      </c>
      <c r="I22" s="43" t="s">
        <v>197</v>
      </c>
      <c r="J22" s="42" t="s">
        <v>37</v>
      </c>
      <c r="K22" s="46">
        <v>45784.0</v>
      </c>
      <c r="L22" s="35" t="s">
        <v>199</v>
      </c>
      <c r="M22" s="42" t="s">
        <v>61</v>
      </c>
      <c r="N22" s="49"/>
      <c r="O22" s="49"/>
      <c r="P22" s="98" t="s">
        <v>118</v>
      </c>
      <c r="Q22" s="99" t="s">
        <v>119</v>
      </c>
      <c r="R22" s="99" t="s">
        <v>120</v>
      </c>
      <c r="S22" s="69"/>
      <c r="T22" s="101">
        <v>45938.0</v>
      </c>
      <c r="U22" s="102" t="s">
        <v>202</v>
      </c>
      <c r="V22" s="60"/>
      <c r="W22" s="83" t="s">
        <v>83</v>
      </c>
    </row>
    <row r="23">
      <c r="A23" s="33" t="s">
        <v>204</v>
      </c>
      <c r="B23" s="35" t="s">
        <v>122</v>
      </c>
      <c r="C23" s="35" t="str">
        <f>IF(B23="","",(VLOOKUP(B23,'Dados de PN'!$A:$B,2,0)))</f>
        <v>TRANSMISSION ASSY</v>
      </c>
      <c r="D23" s="35" t="s">
        <v>31</v>
      </c>
      <c r="E23" s="42" t="s">
        <v>32</v>
      </c>
      <c r="F23" s="42" t="s">
        <v>34</v>
      </c>
      <c r="G23" s="42">
        <v>1.0</v>
      </c>
      <c r="H23" s="42">
        <v>1.4530282E7</v>
      </c>
      <c r="I23" s="43" t="s">
        <v>207</v>
      </c>
      <c r="J23" s="42" t="s">
        <v>37</v>
      </c>
      <c r="K23" s="46">
        <v>45789.0</v>
      </c>
      <c r="L23" s="35" t="s">
        <v>168</v>
      </c>
      <c r="M23" s="42" t="s">
        <v>169</v>
      </c>
      <c r="N23" s="49"/>
      <c r="O23" s="49"/>
      <c r="P23" s="104" t="s">
        <v>122</v>
      </c>
      <c r="Q23" s="99" t="s">
        <v>210</v>
      </c>
      <c r="R23" s="104" t="s">
        <v>126</v>
      </c>
      <c r="S23" s="69"/>
      <c r="T23" s="105">
        <v>45868.0</v>
      </c>
      <c r="U23" s="102" t="s">
        <v>212</v>
      </c>
      <c r="V23" s="60"/>
      <c r="W23" s="83" t="s">
        <v>83</v>
      </c>
    </row>
    <row r="24">
      <c r="A24" s="33" t="s">
        <v>215</v>
      </c>
      <c r="B24" s="35" t="s">
        <v>127</v>
      </c>
      <c r="C24" s="35" t="str">
        <f>IF(B24="","",(VLOOKUP(B24,'Dados de PN'!$A:$B,2,0)))</f>
        <v>MICROPHONE,MAGNETIC</v>
      </c>
      <c r="D24" s="35" t="s">
        <v>31</v>
      </c>
      <c r="E24" s="42" t="s">
        <v>54</v>
      </c>
      <c r="F24" s="42" t="s">
        <v>34</v>
      </c>
      <c r="G24" s="42">
        <v>1.0</v>
      </c>
      <c r="H24" s="42">
        <v>1.4530445E7</v>
      </c>
      <c r="I24" s="43" t="s">
        <v>219</v>
      </c>
      <c r="J24" s="42" t="s">
        <v>37</v>
      </c>
      <c r="K24" s="46">
        <v>45789.0</v>
      </c>
      <c r="L24" s="35" t="s">
        <v>168</v>
      </c>
      <c r="M24" s="42" t="s">
        <v>169</v>
      </c>
      <c r="N24" s="49"/>
      <c r="O24" s="49"/>
      <c r="P24" s="104" t="s">
        <v>127</v>
      </c>
      <c r="Q24" s="99" t="s">
        <v>130</v>
      </c>
      <c r="R24" s="104" t="s">
        <v>220</v>
      </c>
      <c r="S24" s="69"/>
      <c r="T24" s="105">
        <v>45982.0</v>
      </c>
      <c r="U24" s="108" t="s">
        <v>221</v>
      </c>
      <c r="V24" s="60"/>
      <c r="W24" s="83" t="s">
        <v>83</v>
      </c>
    </row>
    <row r="25">
      <c r="A25" s="33" t="s">
        <v>224</v>
      </c>
      <c r="B25" s="35" t="s">
        <v>138</v>
      </c>
      <c r="C25" s="35" t="str">
        <f>IF(B25="","",(VLOOKUP(B25,'Dados de PN'!$A:$B,2,0)))</f>
        <v>COMPUTADOR DO PILOTO AUTOMÁTICO</v>
      </c>
      <c r="D25" s="35" t="s">
        <v>228</v>
      </c>
      <c r="E25" s="42" t="s">
        <v>81</v>
      </c>
      <c r="F25" s="42" t="s">
        <v>34</v>
      </c>
      <c r="G25" s="42">
        <v>1.0</v>
      </c>
      <c r="H25" s="42">
        <v>6.9425000186E11</v>
      </c>
      <c r="I25" s="43" t="s">
        <v>231</v>
      </c>
      <c r="J25" s="42" t="s">
        <v>37</v>
      </c>
      <c r="K25" s="46">
        <v>45791.0</v>
      </c>
      <c r="L25" s="35" t="s">
        <v>232</v>
      </c>
      <c r="M25" s="42" t="s">
        <v>234</v>
      </c>
      <c r="N25" s="49"/>
      <c r="O25" s="49"/>
      <c r="P25" s="52"/>
      <c r="Q25" s="90"/>
      <c r="R25" s="52"/>
      <c r="S25" s="69"/>
      <c r="T25" s="69"/>
      <c r="U25" s="55"/>
      <c r="V25" s="60"/>
      <c r="W25" s="60"/>
    </row>
    <row r="26">
      <c r="A26" s="33" t="s">
        <v>237</v>
      </c>
      <c r="B26" s="35" t="s">
        <v>147</v>
      </c>
      <c r="C26" s="35" t="str">
        <f>IF(B26="","",(VLOOKUP(B26,'Dados de PN'!$A:$B,2,0)))</f>
        <v>INDICATOR,HORIZONTAL SITUATION</v>
      </c>
      <c r="D26" s="35" t="s">
        <v>149</v>
      </c>
      <c r="E26" s="42" t="s">
        <v>81</v>
      </c>
      <c r="F26" s="42" t="s">
        <v>34</v>
      </c>
      <c r="G26" s="42">
        <v>1.0</v>
      </c>
      <c r="H26" s="42">
        <v>1.4741958E7</v>
      </c>
      <c r="I26" s="43" t="s">
        <v>242</v>
      </c>
      <c r="J26" s="42" t="s">
        <v>37</v>
      </c>
      <c r="K26" s="46">
        <v>45814.0</v>
      </c>
      <c r="L26" s="35" t="s">
        <v>150</v>
      </c>
      <c r="M26" s="42" t="s">
        <v>51</v>
      </c>
      <c r="N26" s="49"/>
      <c r="O26" s="49"/>
      <c r="P26" s="68"/>
      <c r="Q26" s="71"/>
      <c r="R26" s="68"/>
      <c r="S26" s="69"/>
      <c r="T26" s="69"/>
      <c r="U26" s="55"/>
      <c r="V26" s="60"/>
      <c r="W26" s="60"/>
    </row>
    <row r="27">
      <c r="A27" s="33" t="s">
        <v>249</v>
      </c>
      <c r="B27" s="35" t="s">
        <v>153</v>
      </c>
      <c r="C27" s="35" t="str">
        <f>IF(B27="","",(VLOOKUP(B27,'Dados de PN'!$A:$B,2,0)))</f>
        <v>ANEL-O</v>
      </c>
      <c r="D27" s="75"/>
      <c r="E27" s="42" t="s">
        <v>32</v>
      </c>
      <c r="F27" s="42" t="s">
        <v>252</v>
      </c>
      <c r="G27" s="42">
        <v>4.0</v>
      </c>
      <c r="H27" s="42">
        <v>6.8525000789E11</v>
      </c>
      <c r="I27" s="43" t="s">
        <v>254</v>
      </c>
      <c r="J27" s="42" t="s">
        <v>256</v>
      </c>
      <c r="K27" s="46">
        <v>45819.0</v>
      </c>
      <c r="L27" s="35" t="s">
        <v>60</v>
      </c>
      <c r="M27" s="42" t="s">
        <v>61</v>
      </c>
      <c r="N27" s="49"/>
      <c r="O27" s="49"/>
      <c r="P27" s="68"/>
      <c r="Q27" s="71"/>
      <c r="R27" s="68"/>
      <c r="S27" s="69"/>
      <c r="T27" s="69"/>
      <c r="U27" s="55"/>
      <c r="V27" s="60"/>
      <c r="W27" s="60"/>
    </row>
    <row r="28">
      <c r="A28" s="33" t="s">
        <v>259</v>
      </c>
      <c r="B28" s="35" t="s">
        <v>156</v>
      </c>
      <c r="C28" s="35" t="str">
        <f>IF(B28="","",(VLOOKUP(B28,'Dados de PN'!$A:$B,2,0)))</f>
        <v>CONJUNTO DE FREIO</v>
      </c>
      <c r="D28" s="75"/>
      <c r="E28" s="42" t="s">
        <v>81</v>
      </c>
      <c r="F28" s="42" t="s">
        <v>34</v>
      </c>
      <c r="G28" s="42">
        <v>1.0</v>
      </c>
      <c r="H28" s="42">
        <v>6.93250000848E11</v>
      </c>
      <c r="I28" s="43" t="s">
        <v>262</v>
      </c>
      <c r="J28" s="42" t="s">
        <v>37</v>
      </c>
      <c r="K28" s="46">
        <v>45821.0</v>
      </c>
      <c r="L28" s="35" t="s">
        <v>263</v>
      </c>
      <c r="M28" s="42" t="s">
        <v>51</v>
      </c>
      <c r="N28" s="49"/>
      <c r="O28" s="49"/>
      <c r="P28" s="118" t="s">
        <v>158</v>
      </c>
      <c r="Q28" s="99" t="s">
        <v>159</v>
      </c>
      <c r="R28" s="104" t="s">
        <v>266</v>
      </c>
      <c r="S28" s="69"/>
      <c r="T28" s="101">
        <v>45876.0</v>
      </c>
      <c r="U28" s="102" t="s">
        <v>268</v>
      </c>
      <c r="V28" s="60"/>
      <c r="W28" s="83" t="s">
        <v>83</v>
      </c>
    </row>
    <row r="29">
      <c r="A29" s="33" t="s">
        <v>271</v>
      </c>
      <c r="B29" s="35" t="s">
        <v>161</v>
      </c>
      <c r="C29" s="35" t="str">
        <f>IF(B29="","",(VLOOKUP(B29,'Dados de PN'!$A:$B,2,0)))</f>
        <v>CABLE ASSY-FLAP INDICATOR</v>
      </c>
      <c r="D29" s="35" t="s">
        <v>31</v>
      </c>
      <c r="E29" s="42" t="s">
        <v>32</v>
      </c>
      <c r="F29" s="42" t="s">
        <v>34</v>
      </c>
      <c r="G29" s="42">
        <v>1.0</v>
      </c>
      <c r="H29" s="42">
        <v>3.13250016636E11</v>
      </c>
      <c r="I29" s="43" t="s">
        <v>277</v>
      </c>
      <c r="J29" s="42" t="s">
        <v>37</v>
      </c>
      <c r="K29" s="46">
        <v>45824.0</v>
      </c>
      <c r="L29" s="35" t="s">
        <v>50</v>
      </c>
      <c r="M29" s="42" t="s">
        <v>51</v>
      </c>
      <c r="N29" s="49"/>
      <c r="O29" s="49"/>
      <c r="P29" s="68"/>
      <c r="Q29" s="71"/>
      <c r="R29" s="68"/>
      <c r="S29" s="69"/>
      <c r="T29" s="69"/>
      <c r="U29" s="55"/>
      <c r="V29" s="60"/>
      <c r="W29" s="60"/>
    </row>
    <row r="30">
      <c r="A30" s="33" t="s">
        <v>281</v>
      </c>
      <c r="B30" s="119" t="s">
        <v>165</v>
      </c>
      <c r="C30" s="35" t="str">
        <f>IF(B30="","",(VLOOKUP(B30,'Dados de PN'!$A:$B,2,0)))</f>
        <v>IND OIL TEMP/P</v>
      </c>
      <c r="D30" s="120">
        <v>890716.0</v>
      </c>
      <c r="E30" s="42" t="s">
        <v>81</v>
      </c>
      <c r="F30" s="42" t="s">
        <v>34</v>
      </c>
      <c r="G30" s="42">
        <v>1.0</v>
      </c>
      <c r="H30" s="42">
        <v>1.4791313E7</v>
      </c>
      <c r="I30" s="43" t="s">
        <v>287</v>
      </c>
      <c r="J30" s="42" t="s">
        <v>37</v>
      </c>
      <c r="K30" s="46">
        <v>45825.0</v>
      </c>
      <c r="L30" s="35" t="s">
        <v>290</v>
      </c>
      <c r="M30" s="42" t="s">
        <v>169</v>
      </c>
      <c r="N30" s="49"/>
      <c r="O30" s="49"/>
      <c r="P30" s="68"/>
      <c r="Q30" s="71"/>
      <c r="R30" s="68"/>
      <c r="S30" s="69"/>
      <c r="T30" s="69"/>
      <c r="U30" s="55"/>
      <c r="V30" s="60"/>
      <c r="W30" s="60"/>
    </row>
    <row r="31">
      <c r="A31" s="33" t="s">
        <v>291</v>
      </c>
      <c r="B31" s="35" t="s">
        <v>172</v>
      </c>
      <c r="C31" s="35" t="str">
        <f>IF(B31="","",(VLOOKUP(B31,'Dados de PN'!$A:$B,2,0)))</f>
        <v>SENSOR, FUEL LEVEL SHORT</v>
      </c>
      <c r="D31" s="35" t="s">
        <v>31</v>
      </c>
      <c r="E31" s="42" t="s">
        <v>32</v>
      </c>
      <c r="F31" s="42" t="s">
        <v>34</v>
      </c>
      <c r="G31" s="42">
        <v>1.0</v>
      </c>
      <c r="H31" s="42">
        <v>1.4915782E7</v>
      </c>
      <c r="I31" s="43" t="s">
        <v>295</v>
      </c>
      <c r="J31" s="42" t="s">
        <v>37</v>
      </c>
      <c r="K31" s="46">
        <v>45836.0</v>
      </c>
      <c r="L31" s="35" t="s">
        <v>50</v>
      </c>
      <c r="M31" s="42" t="s">
        <v>51</v>
      </c>
      <c r="N31" s="49"/>
      <c r="O31" s="49"/>
      <c r="P31" s="68"/>
      <c r="Q31" s="71"/>
      <c r="R31" s="68"/>
      <c r="S31" s="69"/>
      <c r="T31" s="69"/>
      <c r="U31" s="55"/>
      <c r="V31" s="60"/>
      <c r="W31" s="60"/>
    </row>
    <row r="32">
      <c r="A32" s="33" t="s">
        <v>300</v>
      </c>
      <c r="B32" s="35" t="s">
        <v>179</v>
      </c>
      <c r="C32" s="35" t="str">
        <f>IF(B32="","",(VLOOKUP(B32,'Dados de PN'!$A:$B,2,0)))</f>
        <v>BOLT,INTERNAL WRENCHING</v>
      </c>
      <c r="D32" s="35" t="s">
        <v>31</v>
      </c>
      <c r="E32" s="42" t="s">
        <v>32</v>
      </c>
      <c r="F32" s="42" t="s">
        <v>164</v>
      </c>
      <c r="G32" s="42">
        <v>2.0</v>
      </c>
      <c r="H32" s="42">
        <v>3.96250014839E11</v>
      </c>
      <c r="I32" s="43" t="s">
        <v>303</v>
      </c>
      <c r="J32" s="42" t="s">
        <v>37</v>
      </c>
      <c r="K32" s="46">
        <v>45839.0</v>
      </c>
      <c r="L32" s="35" t="s">
        <v>304</v>
      </c>
      <c r="M32" s="42" t="s">
        <v>76</v>
      </c>
      <c r="N32" s="49"/>
      <c r="O32" s="49"/>
      <c r="P32" s="98" t="s">
        <v>181</v>
      </c>
      <c r="Q32" s="99" t="s">
        <v>182</v>
      </c>
      <c r="R32" s="99" t="s">
        <v>305</v>
      </c>
      <c r="S32" s="69"/>
      <c r="T32" s="101">
        <v>45912.0</v>
      </c>
      <c r="U32" s="102" t="s">
        <v>308</v>
      </c>
      <c r="V32" s="60"/>
      <c r="W32" s="83" t="s">
        <v>83</v>
      </c>
    </row>
    <row r="33">
      <c r="A33" s="33" t="s">
        <v>309</v>
      </c>
      <c r="B33" s="35" t="s">
        <v>185</v>
      </c>
      <c r="C33" s="35" t="str">
        <f>IF(B33="","",(VLOOKUP(B33,'Dados de PN'!$A:$B,2,0)))</f>
        <v>BOLT,INTERNAL WRENCHING</v>
      </c>
      <c r="D33" s="35" t="s">
        <v>31</v>
      </c>
      <c r="E33" s="42" t="s">
        <v>32</v>
      </c>
      <c r="F33" s="42" t="s">
        <v>164</v>
      </c>
      <c r="G33" s="42">
        <v>2.0</v>
      </c>
      <c r="H33" s="42">
        <v>3.9625001484E11</v>
      </c>
      <c r="I33" s="43" t="s">
        <v>303</v>
      </c>
      <c r="J33" s="42" t="s">
        <v>37</v>
      </c>
      <c r="K33" s="46">
        <v>45839.0</v>
      </c>
      <c r="L33" s="35" t="s">
        <v>304</v>
      </c>
      <c r="M33" s="42" t="s">
        <v>76</v>
      </c>
      <c r="N33" s="49"/>
      <c r="O33" s="49"/>
      <c r="P33" s="68"/>
      <c r="Q33" s="71"/>
      <c r="R33" s="68"/>
      <c r="S33" s="69"/>
      <c r="T33" s="69"/>
      <c r="U33" s="55"/>
      <c r="V33" s="60"/>
      <c r="W33" s="60"/>
    </row>
    <row r="34">
      <c r="A34" s="33" t="s">
        <v>312</v>
      </c>
      <c r="B34" s="35" t="s">
        <v>189</v>
      </c>
      <c r="C34" s="35" t="str">
        <f>IF(B34="","",(VLOOKUP(B34,'Dados de PN'!$A:$B,2,0)))</f>
        <v>FEEDBACK BEARING ASSY</v>
      </c>
      <c r="D34" s="35" t="s">
        <v>31</v>
      </c>
      <c r="E34" s="42" t="s">
        <v>32</v>
      </c>
      <c r="F34" s="42" t="s">
        <v>34</v>
      </c>
      <c r="G34" s="42">
        <v>1.0</v>
      </c>
      <c r="H34" s="42">
        <v>1.4966758E7</v>
      </c>
      <c r="I34" s="43" t="s">
        <v>319</v>
      </c>
      <c r="J34" s="42" t="s">
        <v>37</v>
      </c>
      <c r="K34" s="46">
        <v>45845.0</v>
      </c>
      <c r="L34" s="35" t="s">
        <v>320</v>
      </c>
      <c r="M34" s="42" t="s">
        <v>321</v>
      </c>
      <c r="N34" s="49"/>
      <c r="O34" s="49"/>
      <c r="P34" s="98" t="s">
        <v>189</v>
      </c>
      <c r="Q34" s="99" t="s">
        <v>191</v>
      </c>
      <c r="R34" s="99" t="s">
        <v>192</v>
      </c>
      <c r="S34" s="69"/>
      <c r="T34" s="101">
        <v>45912.0</v>
      </c>
      <c r="U34" s="102" t="s">
        <v>323</v>
      </c>
      <c r="V34" s="60"/>
      <c r="W34" s="83" t="s">
        <v>83</v>
      </c>
    </row>
    <row r="35">
      <c r="A35" s="33" t="s">
        <v>324</v>
      </c>
      <c r="B35" s="35" t="s">
        <v>194</v>
      </c>
      <c r="C35" s="35" t="str">
        <f>IF(B35="","",(VLOOKUP(B35,'Dados de PN'!$A:$B,2,0)))</f>
        <v>TRANSMITER FUEL</v>
      </c>
      <c r="D35" s="35" t="s">
        <v>31</v>
      </c>
      <c r="E35" s="42" t="s">
        <v>32</v>
      </c>
      <c r="F35" s="42" t="s">
        <v>34</v>
      </c>
      <c r="G35" s="42">
        <v>1.0</v>
      </c>
      <c r="H35" s="42">
        <v>1.5057806E7</v>
      </c>
      <c r="I35" s="43" t="s">
        <v>329</v>
      </c>
      <c r="J35" s="42" t="s">
        <v>37</v>
      </c>
      <c r="K35" s="46">
        <v>45856.0</v>
      </c>
      <c r="L35" s="35" t="s">
        <v>168</v>
      </c>
      <c r="M35" s="42" t="s">
        <v>169</v>
      </c>
      <c r="N35" s="49"/>
      <c r="O35" s="49"/>
      <c r="P35" s="68"/>
      <c r="Q35" s="71"/>
      <c r="R35" s="68"/>
      <c r="S35" s="69"/>
      <c r="T35" s="69"/>
      <c r="U35" s="55"/>
      <c r="V35" s="60"/>
      <c r="W35" s="60"/>
    </row>
    <row r="36">
      <c r="A36" s="33" t="s">
        <v>330</v>
      </c>
      <c r="B36" s="35" t="s">
        <v>198</v>
      </c>
      <c r="C36" s="35" t="str">
        <f>IF(B36="","",(VLOOKUP(B36,'Dados de PN'!$A:$B,2,0)))</f>
        <v>SWITCH,PROXIMITY</v>
      </c>
      <c r="D36" s="35" t="s">
        <v>31</v>
      </c>
      <c r="E36" s="42" t="s">
        <v>32</v>
      </c>
      <c r="F36" s="42" t="s">
        <v>34</v>
      </c>
      <c r="G36" s="42">
        <v>1.0</v>
      </c>
      <c r="H36" s="42">
        <v>1.5057808E7</v>
      </c>
      <c r="I36" s="43" t="s">
        <v>329</v>
      </c>
      <c r="J36" s="42" t="s">
        <v>37</v>
      </c>
      <c r="K36" s="46">
        <v>45856.0</v>
      </c>
      <c r="L36" s="35" t="s">
        <v>168</v>
      </c>
      <c r="M36" s="42" t="s">
        <v>169</v>
      </c>
      <c r="N36" s="49"/>
      <c r="O36" s="49"/>
      <c r="P36" s="98" t="s">
        <v>198</v>
      </c>
      <c r="Q36" s="99" t="s">
        <v>201</v>
      </c>
      <c r="R36" s="99" t="s">
        <v>203</v>
      </c>
      <c r="S36" s="69"/>
      <c r="T36" s="101">
        <v>45912.0</v>
      </c>
      <c r="U36" s="102" t="s">
        <v>333</v>
      </c>
      <c r="V36" s="60"/>
      <c r="W36" s="83" t="s">
        <v>83</v>
      </c>
    </row>
    <row r="37">
      <c r="A37" s="33" t="s">
        <v>334</v>
      </c>
      <c r="B37" s="35" t="s">
        <v>205</v>
      </c>
      <c r="C37" s="35" t="str">
        <f>IF(B37="","",(VLOOKUP(B37,'Dados de PN'!$A:$B,2,0)))</f>
        <v>BRACKET</v>
      </c>
      <c r="D37" s="35" t="s">
        <v>31</v>
      </c>
      <c r="E37" s="42" t="s">
        <v>32</v>
      </c>
      <c r="F37" s="42" t="s">
        <v>164</v>
      </c>
      <c r="G37" s="42">
        <v>2.0</v>
      </c>
      <c r="H37" s="42">
        <v>1.5062865E7</v>
      </c>
      <c r="I37" s="43" t="s">
        <v>329</v>
      </c>
      <c r="J37" s="42" t="s">
        <v>37</v>
      </c>
      <c r="K37" s="46">
        <v>45856.0</v>
      </c>
      <c r="L37" s="35" t="s">
        <v>168</v>
      </c>
      <c r="M37" s="42" t="s">
        <v>169</v>
      </c>
      <c r="N37" s="49"/>
      <c r="O37" s="49"/>
      <c r="P37" s="98" t="s">
        <v>205</v>
      </c>
      <c r="Q37" s="99" t="s">
        <v>208</v>
      </c>
      <c r="R37" s="99" t="s">
        <v>203</v>
      </c>
      <c r="S37" s="69"/>
      <c r="T37" s="101">
        <v>45912.0</v>
      </c>
      <c r="U37" s="102" t="s">
        <v>333</v>
      </c>
      <c r="V37" s="60"/>
      <c r="W37" s="83" t="s">
        <v>83</v>
      </c>
    </row>
    <row r="38">
      <c r="A38" s="33" t="s">
        <v>338</v>
      </c>
      <c r="B38" s="35" t="s">
        <v>209</v>
      </c>
      <c r="C38" s="35" t="str">
        <f>IF(B38="","",(VLOOKUP(B38,'Dados de PN'!$A:$B,2,0)))</f>
        <v>BRACKET</v>
      </c>
      <c r="D38" s="35" t="s">
        <v>31</v>
      </c>
      <c r="E38" s="42" t="s">
        <v>32</v>
      </c>
      <c r="F38" s="42" t="s">
        <v>340</v>
      </c>
      <c r="G38" s="42">
        <v>3.0</v>
      </c>
      <c r="H38" s="42">
        <v>1.5062866E7</v>
      </c>
      <c r="I38" s="43" t="s">
        <v>329</v>
      </c>
      <c r="J38" s="42" t="s">
        <v>37</v>
      </c>
      <c r="K38" s="46">
        <v>45856.0</v>
      </c>
      <c r="L38" s="35" t="s">
        <v>168</v>
      </c>
      <c r="M38" s="42" t="s">
        <v>169</v>
      </c>
      <c r="N38" s="49"/>
      <c r="O38" s="49"/>
      <c r="P38" s="98" t="s">
        <v>209</v>
      </c>
      <c r="Q38" s="99" t="s">
        <v>211</v>
      </c>
      <c r="R38" s="99" t="s">
        <v>203</v>
      </c>
      <c r="S38" s="69"/>
      <c r="T38" s="101">
        <v>45912.0</v>
      </c>
      <c r="U38" s="102" t="s">
        <v>333</v>
      </c>
      <c r="V38" s="60"/>
      <c r="W38" s="83" t="s">
        <v>83</v>
      </c>
    </row>
    <row r="39">
      <c r="A39" s="33" t="s">
        <v>343</v>
      </c>
      <c r="B39" s="35" t="s">
        <v>213</v>
      </c>
      <c r="C39" s="35" t="str">
        <f>IF(B39="","",(VLOOKUP(B39,'Dados de PN'!$A:$B,2,0)))</f>
        <v>CLAMP,HOSE</v>
      </c>
      <c r="D39" s="35" t="s">
        <v>31</v>
      </c>
      <c r="E39" s="42" t="s">
        <v>32</v>
      </c>
      <c r="F39" s="42" t="s">
        <v>346</v>
      </c>
      <c r="G39" s="42">
        <v>10.0</v>
      </c>
      <c r="H39" s="42" t="s">
        <v>347</v>
      </c>
      <c r="I39" s="43" t="s">
        <v>329</v>
      </c>
      <c r="J39" s="42" t="s">
        <v>37</v>
      </c>
      <c r="K39" s="46">
        <v>45856.0</v>
      </c>
      <c r="L39" s="35" t="s">
        <v>168</v>
      </c>
      <c r="M39" s="42" t="s">
        <v>169</v>
      </c>
      <c r="N39" s="49"/>
      <c r="O39" s="49"/>
      <c r="P39" s="98" t="s">
        <v>213</v>
      </c>
      <c r="Q39" s="99" t="s">
        <v>216</v>
      </c>
      <c r="R39" s="99" t="s">
        <v>203</v>
      </c>
      <c r="S39" s="69"/>
      <c r="T39" s="101">
        <v>45912.0</v>
      </c>
      <c r="U39" s="102" t="s">
        <v>333</v>
      </c>
      <c r="V39" s="60"/>
      <c r="W39" s="83" t="s">
        <v>83</v>
      </c>
    </row>
    <row r="40">
      <c r="A40" s="33" t="s">
        <v>350</v>
      </c>
      <c r="B40" s="35" t="s">
        <v>217</v>
      </c>
      <c r="C40" s="35" t="str">
        <f>IF(B40="","",(VLOOKUP(B40,'Dados de PN'!$A:$B,2,0)))</f>
        <v>TRANSISTOR</v>
      </c>
      <c r="D40" s="35" t="s">
        <v>31</v>
      </c>
      <c r="E40" s="42" t="s">
        <v>32</v>
      </c>
      <c r="F40" s="42" t="s">
        <v>340</v>
      </c>
      <c r="G40" s="42">
        <v>3.0</v>
      </c>
      <c r="H40" s="42" t="s">
        <v>351</v>
      </c>
      <c r="I40" s="43" t="s">
        <v>329</v>
      </c>
      <c r="J40" s="42" t="s">
        <v>37</v>
      </c>
      <c r="K40" s="46">
        <v>45856.0</v>
      </c>
      <c r="L40" s="35" t="s">
        <v>168</v>
      </c>
      <c r="M40" s="42" t="s">
        <v>169</v>
      </c>
      <c r="N40" s="49"/>
      <c r="O40" s="49"/>
      <c r="P40" s="98" t="s">
        <v>217</v>
      </c>
      <c r="Q40" s="99" t="s">
        <v>201</v>
      </c>
      <c r="R40" s="99" t="s">
        <v>203</v>
      </c>
      <c r="S40" s="69"/>
      <c r="T40" s="101">
        <v>45912.0</v>
      </c>
      <c r="U40" s="102" t="s">
        <v>333</v>
      </c>
      <c r="V40" s="60"/>
      <c r="W40" s="83" t="s">
        <v>83</v>
      </c>
    </row>
    <row r="41">
      <c r="A41" s="33" t="s">
        <v>354</v>
      </c>
      <c r="B41" s="35" t="s">
        <v>222</v>
      </c>
      <c r="C41" s="35" t="str">
        <f>IF(B41="","",(VLOOKUP(B41,'Dados de PN'!$A:$B,2,0)))</f>
        <v>CLIP,ELECTRICAL</v>
      </c>
      <c r="D41" s="35" t="s">
        <v>31</v>
      </c>
      <c r="E41" s="42" t="s">
        <v>32</v>
      </c>
      <c r="F41" s="42" t="s">
        <v>346</v>
      </c>
      <c r="G41" s="42">
        <v>10.0</v>
      </c>
      <c r="H41" s="42" t="s">
        <v>357</v>
      </c>
      <c r="I41" s="43" t="s">
        <v>329</v>
      </c>
      <c r="J41" s="42" t="s">
        <v>37</v>
      </c>
      <c r="K41" s="46">
        <v>45866.0</v>
      </c>
      <c r="L41" s="35" t="s">
        <v>168</v>
      </c>
      <c r="M41" s="42" t="s">
        <v>169</v>
      </c>
      <c r="N41" s="49"/>
      <c r="O41" s="49"/>
      <c r="P41" s="98" t="s">
        <v>222</v>
      </c>
      <c r="Q41" s="99" t="s">
        <v>225</v>
      </c>
      <c r="R41" s="99" t="s">
        <v>226</v>
      </c>
      <c r="S41" s="69"/>
      <c r="T41" s="101">
        <v>45916.0</v>
      </c>
      <c r="U41" s="102" t="s">
        <v>359</v>
      </c>
      <c r="V41" s="60"/>
      <c r="W41" s="83" t="s">
        <v>83</v>
      </c>
    </row>
    <row r="42">
      <c r="A42" s="33" t="s">
        <v>361</v>
      </c>
      <c r="B42" s="35" t="s">
        <v>87</v>
      </c>
      <c r="C42" s="35" t="str">
        <f>IF(B42="","",(VLOOKUP(B42,'Dados de PN'!$A:$B,2,0)))</f>
        <v>INSULATOR</v>
      </c>
      <c r="D42" s="35" t="s">
        <v>31</v>
      </c>
      <c r="E42" s="42" t="s">
        <v>32</v>
      </c>
      <c r="F42" s="42" t="s">
        <v>164</v>
      </c>
      <c r="G42" s="42">
        <v>2.0</v>
      </c>
      <c r="H42" s="42" t="s">
        <v>365</v>
      </c>
      <c r="I42" s="43" t="s">
        <v>329</v>
      </c>
      <c r="J42" s="42" t="s">
        <v>37</v>
      </c>
      <c r="K42" s="46">
        <v>45866.0</v>
      </c>
      <c r="L42" s="35" t="s">
        <v>168</v>
      </c>
      <c r="M42" s="42" t="s">
        <v>169</v>
      </c>
      <c r="N42" s="49"/>
      <c r="O42" s="49"/>
      <c r="P42" s="68"/>
      <c r="Q42" s="71"/>
      <c r="R42" s="68"/>
      <c r="S42" s="69"/>
      <c r="T42" s="69"/>
      <c r="U42" s="55"/>
      <c r="V42" s="60"/>
      <c r="W42" s="60"/>
    </row>
    <row r="43">
      <c r="A43" s="33" t="s">
        <v>368</v>
      </c>
      <c r="B43" s="35" t="s">
        <v>217</v>
      </c>
      <c r="C43" s="35" t="str">
        <f>IF(B43="","",(VLOOKUP(B43,'Dados de PN'!$A:$B,2,0)))</f>
        <v>TRANSISTOR</v>
      </c>
      <c r="D43" s="35" t="s">
        <v>31</v>
      </c>
      <c r="E43" s="42" t="s">
        <v>32</v>
      </c>
      <c r="F43" s="42" t="s">
        <v>164</v>
      </c>
      <c r="G43" s="42">
        <v>2.0</v>
      </c>
      <c r="H43" s="42" t="s">
        <v>371</v>
      </c>
      <c r="I43" s="43" t="s">
        <v>329</v>
      </c>
      <c r="J43" s="42" t="s">
        <v>37</v>
      </c>
      <c r="K43" s="46">
        <v>45866.0</v>
      </c>
      <c r="L43" s="35" t="s">
        <v>168</v>
      </c>
      <c r="M43" s="42" t="s">
        <v>169</v>
      </c>
      <c r="N43" s="49"/>
      <c r="O43" s="49"/>
      <c r="P43" s="98" t="s">
        <v>217</v>
      </c>
      <c r="Q43" s="99" t="s">
        <v>201</v>
      </c>
      <c r="R43" s="99" t="s">
        <v>203</v>
      </c>
      <c r="S43" s="69"/>
      <c r="T43" s="101">
        <v>45912.0</v>
      </c>
      <c r="U43" s="102" t="s">
        <v>373</v>
      </c>
      <c r="V43" s="60"/>
      <c r="W43" s="83" t="s">
        <v>83</v>
      </c>
    </row>
    <row r="44">
      <c r="A44" s="33" t="s">
        <v>375</v>
      </c>
      <c r="B44" s="35" t="s">
        <v>235</v>
      </c>
      <c r="C44" s="35" t="str">
        <f>IF(B44="","",(VLOOKUP(B44,'Dados de PN'!$A:$B,2,0)))</f>
        <v>CONTROL,DIRECTIONAL,AUTOMATIC PILOT</v>
      </c>
      <c r="D44" s="35" t="s">
        <v>376</v>
      </c>
      <c r="E44" s="42" t="s">
        <v>81</v>
      </c>
      <c r="F44" s="42" t="s">
        <v>34</v>
      </c>
      <c r="G44" s="42">
        <v>1.0</v>
      </c>
      <c r="H44" s="42" t="s">
        <v>377</v>
      </c>
      <c r="I44" s="43" t="s">
        <v>329</v>
      </c>
      <c r="J44" s="42" t="s">
        <v>37</v>
      </c>
      <c r="K44" s="46">
        <v>45866.0</v>
      </c>
      <c r="L44" s="35" t="s">
        <v>168</v>
      </c>
      <c r="M44" s="42" t="s">
        <v>169</v>
      </c>
      <c r="N44" s="49"/>
      <c r="O44" s="49"/>
      <c r="P44" s="68"/>
      <c r="Q44" s="71"/>
      <c r="R44" s="68"/>
      <c r="S44" s="69"/>
      <c r="T44" s="69"/>
      <c r="U44" s="55"/>
      <c r="V44" s="60"/>
      <c r="W44" s="60"/>
    </row>
    <row r="45">
      <c r="A45" s="33" t="s">
        <v>380</v>
      </c>
      <c r="B45" s="35" t="s">
        <v>238</v>
      </c>
      <c r="C45" s="35" t="str">
        <f>IF(B45="","",(VLOOKUP(B45,'Dados de PN'!$A:$B,2,0)))</f>
        <v>RECEPTOR</v>
      </c>
      <c r="D45" s="35" t="s">
        <v>381</v>
      </c>
      <c r="E45" s="42" t="s">
        <v>81</v>
      </c>
      <c r="F45" s="42" t="s">
        <v>34</v>
      </c>
      <c r="G45" s="42">
        <v>1.0</v>
      </c>
      <c r="H45" s="42" t="s">
        <v>382</v>
      </c>
      <c r="I45" s="43" t="s">
        <v>329</v>
      </c>
      <c r="J45" s="42" t="s">
        <v>37</v>
      </c>
      <c r="K45" s="46">
        <v>45866.0</v>
      </c>
      <c r="L45" s="35" t="s">
        <v>168</v>
      </c>
      <c r="M45" s="42" t="s">
        <v>169</v>
      </c>
      <c r="N45" s="49"/>
      <c r="O45" s="49"/>
      <c r="P45" s="98" t="s">
        <v>243</v>
      </c>
      <c r="Q45" s="99" t="s">
        <v>244</v>
      </c>
      <c r="R45" s="99" t="s">
        <v>245</v>
      </c>
      <c r="S45" s="69"/>
      <c r="T45" s="101">
        <v>46002.0</v>
      </c>
      <c r="U45" s="108" t="s">
        <v>385</v>
      </c>
      <c r="V45" s="60"/>
      <c r="W45" s="83" t="s">
        <v>83</v>
      </c>
    </row>
    <row r="46">
      <c r="A46" s="33" t="s">
        <v>387</v>
      </c>
      <c r="B46" s="35" t="s">
        <v>247</v>
      </c>
      <c r="C46" s="35" t="str">
        <f>IF(B46="","",(VLOOKUP(B46,'Dados de PN'!$A:$B,2,0)))</f>
        <v>AFCS MODE CONTROLLER GMC 710</v>
      </c>
      <c r="D46" s="35" t="s">
        <v>389</v>
      </c>
      <c r="E46" s="42" t="s">
        <v>81</v>
      </c>
      <c r="F46" s="42" t="s">
        <v>34</v>
      </c>
      <c r="G46" s="42">
        <v>1.0</v>
      </c>
      <c r="H46" s="42">
        <v>3.13250016954E11</v>
      </c>
      <c r="I46" s="43" t="s">
        <v>392</v>
      </c>
      <c r="J46" s="42" t="s">
        <v>37</v>
      </c>
      <c r="K46" s="46">
        <v>45882.0</v>
      </c>
      <c r="L46" s="35" t="s">
        <v>50</v>
      </c>
      <c r="M46" s="42" t="s">
        <v>51</v>
      </c>
      <c r="N46" s="49"/>
      <c r="O46" s="49"/>
      <c r="P46" s="68"/>
      <c r="Q46" s="71"/>
      <c r="R46" s="68"/>
      <c r="S46" s="69"/>
      <c r="T46" s="69"/>
      <c r="U46" s="55"/>
      <c r="V46" s="60"/>
      <c r="W46" s="60"/>
    </row>
    <row r="47">
      <c r="A47" s="33" t="s">
        <v>393</v>
      </c>
      <c r="B47" s="35" t="s">
        <v>250</v>
      </c>
      <c r="C47" s="35" t="str">
        <f>IF(B47="","",(VLOOKUP(B47,'Dados de PN'!$A:$B,2,0)))</f>
        <v>POST LIGHT</v>
      </c>
      <c r="D47" s="35" t="s">
        <v>31</v>
      </c>
      <c r="E47" s="120" t="s">
        <v>32</v>
      </c>
      <c r="F47" s="42" t="s">
        <v>252</v>
      </c>
      <c r="G47" s="42">
        <v>4.0</v>
      </c>
      <c r="H47" s="42">
        <v>1.5274927E7</v>
      </c>
      <c r="I47" s="43" t="s">
        <v>396</v>
      </c>
      <c r="J47" s="42" t="s">
        <v>37</v>
      </c>
      <c r="K47" s="46">
        <v>45882.0</v>
      </c>
      <c r="L47" s="35" t="s">
        <v>168</v>
      </c>
      <c r="M47" s="42" t="s">
        <v>169</v>
      </c>
      <c r="N47" s="49"/>
      <c r="O47" s="49"/>
      <c r="P47" s="68"/>
      <c r="Q47" s="71"/>
      <c r="R47" s="68"/>
      <c r="S47" s="69"/>
      <c r="T47" s="69"/>
      <c r="U47" s="55"/>
      <c r="V47" s="60"/>
      <c r="W47" s="60"/>
    </row>
    <row r="48">
      <c r="A48" s="33" t="s">
        <v>399</v>
      </c>
      <c r="B48" s="35" t="s">
        <v>253</v>
      </c>
      <c r="C48" s="35" t="str">
        <f>IF(B48="","",(VLOOKUP(B48,'Dados de PN'!$A:$B,2,0)))</f>
        <v>TUBE 850X10</v>
      </c>
      <c r="D48" s="35" t="s">
        <v>31</v>
      </c>
      <c r="E48" s="42" t="s">
        <v>32</v>
      </c>
      <c r="F48" s="42" t="s">
        <v>164</v>
      </c>
      <c r="G48" s="42">
        <v>2.0</v>
      </c>
      <c r="H48" s="42">
        <v>1.5329914E7</v>
      </c>
      <c r="I48" s="43" t="s">
        <v>402</v>
      </c>
      <c r="J48" s="42" t="s">
        <v>37</v>
      </c>
      <c r="K48" s="46">
        <v>45890.0</v>
      </c>
      <c r="L48" s="35" t="s">
        <v>403</v>
      </c>
      <c r="M48" s="42" t="s">
        <v>404</v>
      </c>
      <c r="N48" s="49"/>
      <c r="O48" s="49"/>
      <c r="P48" s="98" t="s">
        <v>257</v>
      </c>
      <c r="Q48" s="99" t="s">
        <v>130</v>
      </c>
      <c r="R48" s="99" t="s">
        <v>258</v>
      </c>
      <c r="S48" s="69"/>
      <c r="T48" s="101">
        <v>45944.0</v>
      </c>
      <c r="U48" s="102" t="s">
        <v>407</v>
      </c>
      <c r="V48" s="60"/>
      <c r="W48" s="83" t="s">
        <v>83</v>
      </c>
    </row>
    <row r="49">
      <c r="A49" s="33" t="s">
        <v>408</v>
      </c>
      <c r="B49" s="35" t="s">
        <v>260</v>
      </c>
      <c r="C49" s="35" t="str">
        <f>IF(B49="","",(VLOOKUP(B49,'Dados de PN'!$A:$B,2,0)))</f>
        <v>VALVE ASSY FUEL VENT</v>
      </c>
      <c r="D49" s="35" t="s">
        <v>31</v>
      </c>
      <c r="E49" s="42" t="s">
        <v>32</v>
      </c>
      <c r="F49" s="42" t="s">
        <v>34</v>
      </c>
      <c r="G49" s="42">
        <v>1.0</v>
      </c>
      <c r="H49" s="42">
        <v>3.13250016991E11</v>
      </c>
      <c r="I49" s="43" t="s">
        <v>411</v>
      </c>
      <c r="J49" s="42" t="s">
        <v>37</v>
      </c>
      <c r="K49" s="46">
        <v>45903.0</v>
      </c>
      <c r="L49" s="35" t="s">
        <v>412</v>
      </c>
      <c r="M49" s="42" t="s">
        <v>51</v>
      </c>
      <c r="N49" s="49"/>
      <c r="O49" s="49"/>
      <c r="P49" s="68"/>
      <c r="Q49" s="71"/>
      <c r="R49" s="68"/>
      <c r="S49" s="69"/>
      <c r="T49" s="69"/>
      <c r="U49" s="55"/>
      <c r="V49" s="60"/>
      <c r="W49" s="60"/>
    </row>
    <row r="50">
      <c r="A50" s="33" t="s">
        <v>413</v>
      </c>
      <c r="B50" s="35" t="s">
        <v>264</v>
      </c>
      <c r="C50" s="35" t="str">
        <f>IF(B50="","",(VLOOKUP(B50,'Dados de PN'!$A:$B,2,0)))</f>
        <v>TIE DOWM ASSY</v>
      </c>
      <c r="D50" s="35" t="s">
        <v>31</v>
      </c>
      <c r="E50" s="42" t="s">
        <v>32</v>
      </c>
      <c r="F50" s="42" t="s">
        <v>34</v>
      </c>
      <c r="G50" s="42">
        <v>1.0</v>
      </c>
      <c r="H50" s="42">
        <v>1.5453227E7</v>
      </c>
      <c r="I50" s="43" t="s">
        <v>415</v>
      </c>
      <c r="J50" s="42" t="s">
        <v>37</v>
      </c>
      <c r="K50" s="46">
        <v>45904.0</v>
      </c>
      <c r="L50" s="35" t="s">
        <v>152</v>
      </c>
      <c r="M50" s="42" t="s">
        <v>61</v>
      </c>
      <c r="N50" s="49"/>
      <c r="O50" s="49"/>
      <c r="P50" s="68"/>
      <c r="Q50" s="71"/>
      <c r="R50" s="68"/>
      <c r="S50" s="69"/>
      <c r="T50" s="69"/>
      <c r="U50" s="55"/>
      <c r="V50" s="60"/>
      <c r="W50" s="60"/>
    </row>
    <row r="51">
      <c r="A51" s="33" t="s">
        <v>417</v>
      </c>
      <c r="B51" s="35" t="s">
        <v>267</v>
      </c>
      <c r="C51" s="35" t="str">
        <f>IF(B51="","",(VLOOKUP(B51,'Dados de PN'!$A:$B,2,0)))</f>
        <v>TRUNNION ASSY GEAR LH</v>
      </c>
      <c r="D51" s="35" t="s">
        <v>270</v>
      </c>
      <c r="E51" s="42" t="s">
        <v>81</v>
      </c>
      <c r="F51" s="42" t="s">
        <v>34</v>
      </c>
      <c r="G51" s="42">
        <v>1.0</v>
      </c>
      <c r="H51" s="42">
        <v>1.5576074E7</v>
      </c>
      <c r="I51" s="43" t="s">
        <v>418</v>
      </c>
      <c r="J51" s="42" t="s">
        <v>37</v>
      </c>
      <c r="K51" s="46">
        <v>45912.0</v>
      </c>
      <c r="L51" s="35" t="s">
        <v>183</v>
      </c>
      <c r="M51" s="42" t="s">
        <v>61</v>
      </c>
      <c r="N51" s="49"/>
      <c r="O51" s="49"/>
      <c r="P51" s="68"/>
      <c r="Q51" s="71"/>
      <c r="R51" s="68"/>
      <c r="S51" s="69"/>
      <c r="T51" s="69"/>
      <c r="U51" s="55"/>
      <c r="V51" s="60"/>
      <c r="W51" s="60"/>
    </row>
    <row r="52">
      <c r="A52" s="33" t="s">
        <v>420</v>
      </c>
      <c r="B52" s="35" t="s">
        <v>275</v>
      </c>
      <c r="C52" s="35" t="str">
        <f>IF(B52="","",(VLOOKUP(B52,'Dados de PN'!$A:$B,2,0)))</f>
        <v>STATIC WICK</v>
      </c>
      <c r="D52" s="35" t="s">
        <v>31</v>
      </c>
      <c r="E52" s="42" t="s">
        <v>32</v>
      </c>
      <c r="F52" s="42" t="s">
        <v>346</v>
      </c>
      <c r="G52" s="42">
        <v>10.0</v>
      </c>
      <c r="H52" s="42">
        <v>3.86250012764E11</v>
      </c>
      <c r="I52" s="43" t="s">
        <v>421</v>
      </c>
      <c r="J52" s="42" t="s">
        <v>37</v>
      </c>
      <c r="K52" s="46">
        <v>45925.0</v>
      </c>
      <c r="L52" s="35" t="s">
        <v>422</v>
      </c>
      <c r="M52" s="42" t="s">
        <v>423</v>
      </c>
      <c r="N52" s="49"/>
      <c r="O52" s="49"/>
      <c r="P52" s="68"/>
      <c r="Q52" s="71"/>
      <c r="R52" s="68"/>
      <c r="S52" s="69"/>
      <c r="T52" s="69"/>
      <c r="U52" s="108" t="s">
        <v>424</v>
      </c>
      <c r="V52" s="83"/>
      <c r="W52" s="60"/>
    </row>
    <row r="53">
      <c r="A53" s="33" t="s">
        <v>425</v>
      </c>
      <c r="B53" s="35" t="s">
        <v>282</v>
      </c>
      <c r="C53" s="35" t="str">
        <f>IF(B53="","",(VLOOKUP(B53,'Dados de PN'!$A:$B,2,0)))</f>
        <v>SENSOR, FUEL LEVEL</v>
      </c>
      <c r="D53" s="35" t="s">
        <v>284</v>
      </c>
      <c r="E53" s="42" t="s">
        <v>32</v>
      </c>
      <c r="F53" s="42" t="s">
        <v>34</v>
      </c>
      <c r="G53" s="42">
        <v>1.0</v>
      </c>
      <c r="H53" s="42">
        <v>3.1325001706E11</v>
      </c>
      <c r="I53" s="43" t="s">
        <v>427</v>
      </c>
      <c r="J53" s="42" t="s">
        <v>37</v>
      </c>
      <c r="K53" s="46">
        <v>45924.0</v>
      </c>
      <c r="L53" s="35" t="s">
        <v>412</v>
      </c>
      <c r="M53" s="42" t="s">
        <v>51</v>
      </c>
      <c r="N53" s="49"/>
      <c r="O53" s="49"/>
      <c r="P53" s="68"/>
      <c r="Q53" s="71"/>
      <c r="R53" s="68"/>
      <c r="S53" s="69"/>
      <c r="T53" s="69"/>
      <c r="U53" s="55"/>
      <c r="V53" s="60"/>
      <c r="W53" s="60"/>
    </row>
    <row r="54">
      <c r="A54" s="33" t="s">
        <v>428</v>
      </c>
      <c r="B54" s="35" t="s">
        <v>288</v>
      </c>
      <c r="C54" s="35" t="str">
        <f>IF(B54="","",(VLOOKUP(B54,'Dados de PN'!$A:$B,2,0)))</f>
        <v>LOW L SWITCH</v>
      </c>
      <c r="D54" s="35" t="s">
        <v>31</v>
      </c>
      <c r="E54" s="42" t="s">
        <v>32</v>
      </c>
      <c r="F54" s="42" t="s">
        <v>34</v>
      </c>
      <c r="G54" s="42">
        <v>1.0</v>
      </c>
      <c r="H54" s="42">
        <v>3.13250017063E11</v>
      </c>
      <c r="I54" s="43" t="s">
        <v>421</v>
      </c>
      <c r="J54" s="42" t="s">
        <v>37</v>
      </c>
      <c r="K54" s="46">
        <v>45930.0</v>
      </c>
      <c r="L54" s="35" t="s">
        <v>431</v>
      </c>
      <c r="M54" s="42" t="s">
        <v>51</v>
      </c>
      <c r="N54" s="49"/>
      <c r="O54" s="49"/>
      <c r="P54" s="68"/>
      <c r="Q54" s="71"/>
      <c r="R54" s="68"/>
      <c r="S54" s="69"/>
      <c r="T54" s="69"/>
      <c r="U54" s="55"/>
      <c r="V54" s="60"/>
      <c r="W54" s="60"/>
    </row>
    <row r="55">
      <c r="A55" s="33" t="s">
        <v>433</v>
      </c>
      <c r="B55" s="35" t="s">
        <v>292</v>
      </c>
      <c r="C55" s="35" t="str">
        <f>IF(B55="","",(VLOOKUP(B55,'Dados de PN'!$A:$B,2,0)))</f>
        <v>CAP</v>
      </c>
      <c r="D55" s="35" t="s">
        <v>31</v>
      </c>
      <c r="E55" s="42" t="s">
        <v>32</v>
      </c>
      <c r="F55" s="42" t="s">
        <v>34</v>
      </c>
      <c r="G55" s="42">
        <v>1.0</v>
      </c>
      <c r="H55" s="42">
        <v>6.85250009964E11</v>
      </c>
      <c r="I55" s="43" t="s">
        <v>434</v>
      </c>
      <c r="J55" s="42" t="s">
        <v>37</v>
      </c>
      <c r="K55" s="46">
        <v>45930.0</v>
      </c>
      <c r="L55" s="35" t="s">
        <v>183</v>
      </c>
      <c r="M55" s="42" t="s">
        <v>61</v>
      </c>
      <c r="N55" s="49"/>
      <c r="O55" s="49"/>
      <c r="P55" s="68"/>
      <c r="Q55" s="71"/>
      <c r="R55" s="68"/>
      <c r="S55" s="69"/>
      <c r="T55" s="69"/>
      <c r="U55" s="55"/>
      <c r="V55" s="60"/>
      <c r="W55" s="60"/>
    </row>
    <row r="56">
      <c r="A56" s="33" t="s">
        <v>437</v>
      </c>
      <c r="B56" s="35" t="s">
        <v>297</v>
      </c>
      <c r="C56" s="35" t="str">
        <f>IF(B56="","",(VLOOKUP(B56,'Dados de PN'!$A:$B,2,0)))</f>
        <v>TRUNION ASSY-RH-MAIN GEAR</v>
      </c>
      <c r="D56" s="35" t="s">
        <v>440</v>
      </c>
      <c r="E56" s="42" t="s">
        <v>81</v>
      </c>
      <c r="F56" s="42" t="s">
        <v>34</v>
      </c>
      <c r="G56" s="42">
        <v>1.0</v>
      </c>
      <c r="H56" s="42">
        <v>1.5737266E7</v>
      </c>
      <c r="I56" s="43" t="s">
        <v>443</v>
      </c>
      <c r="J56" s="42" t="s">
        <v>37</v>
      </c>
      <c r="K56" s="46">
        <v>45931.0</v>
      </c>
      <c r="L56" s="35" t="s">
        <v>60</v>
      </c>
      <c r="M56" s="42" t="s">
        <v>61</v>
      </c>
      <c r="N56" s="132">
        <v>2.02567113026298E14</v>
      </c>
      <c r="O56" s="132" t="s">
        <v>446</v>
      </c>
      <c r="P56" s="133"/>
      <c r="Q56" s="71"/>
      <c r="R56" s="68"/>
      <c r="S56" s="69"/>
      <c r="T56" s="69"/>
      <c r="U56" s="55"/>
      <c r="V56" s="60"/>
      <c r="W56" s="60"/>
    </row>
    <row r="57">
      <c r="A57" s="33" t="s">
        <v>450</v>
      </c>
      <c r="B57" s="35" t="s">
        <v>301</v>
      </c>
      <c r="C57" s="35" t="str">
        <f>IF(B57="","",(VLOOKUP(B57,'Dados de PN'!$A:$B,2,0)))</f>
        <v>TRUNNION ASSY</v>
      </c>
      <c r="D57" s="35" t="s">
        <v>117</v>
      </c>
      <c r="E57" s="42" t="s">
        <v>81</v>
      </c>
      <c r="F57" s="42" t="s">
        <v>34</v>
      </c>
      <c r="G57" s="42">
        <v>1.0</v>
      </c>
      <c r="H57" s="42">
        <v>1.5737271E7</v>
      </c>
      <c r="I57" s="43" t="s">
        <v>443</v>
      </c>
      <c r="J57" s="42" t="s">
        <v>37</v>
      </c>
      <c r="K57" s="46">
        <v>45931.0</v>
      </c>
      <c r="L57" s="35" t="s">
        <v>60</v>
      </c>
      <c r="M57" s="42" t="s">
        <v>61</v>
      </c>
      <c r="N57" s="132">
        <v>2.02567113026298E14</v>
      </c>
      <c r="O57" s="132" t="s">
        <v>446</v>
      </c>
      <c r="P57" s="68"/>
      <c r="Q57" s="71"/>
      <c r="R57" s="68"/>
      <c r="S57" s="69"/>
      <c r="T57" s="69"/>
      <c r="U57" s="108" t="s">
        <v>455</v>
      </c>
      <c r="V57" s="83"/>
      <c r="W57" s="60"/>
    </row>
    <row r="58">
      <c r="A58" s="33" t="s">
        <v>456</v>
      </c>
      <c r="B58" s="35" t="s">
        <v>457</v>
      </c>
      <c r="C58" s="35" t="str">
        <f>IF(B58="","",(VLOOKUP(B58,'Dados de PN'!$A:$B,2,0)))</f>
        <v>WASHER,FLAT</v>
      </c>
      <c r="D58" s="35" t="s">
        <v>31</v>
      </c>
      <c r="E58" s="42" t="s">
        <v>32</v>
      </c>
      <c r="F58" s="42" t="s">
        <v>164</v>
      </c>
      <c r="G58" s="42">
        <v>2.0</v>
      </c>
      <c r="H58" s="42">
        <v>1.5735958E7</v>
      </c>
      <c r="I58" s="43" t="s">
        <v>443</v>
      </c>
      <c r="J58" s="42" t="s">
        <v>37</v>
      </c>
      <c r="K58" s="46">
        <v>45931.0</v>
      </c>
      <c r="L58" s="35" t="s">
        <v>60</v>
      </c>
      <c r="M58" s="42" t="s">
        <v>61</v>
      </c>
      <c r="N58" s="132">
        <v>2.02567113026298E14</v>
      </c>
      <c r="O58" s="132" t="s">
        <v>446</v>
      </c>
      <c r="P58" s="68"/>
      <c r="Q58" s="71"/>
      <c r="R58" s="68"/>
      <c r="S58" s="69"/>
      <c r="T58" s="69"/>
      <c r="U58" s="55"/>
      <c r="V58" s="60"/>
      <c r="W58" s="60"/>
    </row>
    <row r="59">
      <c r="A59" s="33" t="s">
        <v>462</v>
      </c>
      <c r="B59" s="35" t="s">
        <v>310</v>
      </c>
      <c r="C59" s="35" t="str">
        <f>IF(B59="","",(VLOOKUP(B59,'Dados de PN'!$A:$B,2,0)))</f>
        <v>HOSE ASSEMBLY,NONMETALLIC</v>
      </c>
      <c r="D59" s="35" t="s">
        <v>31</v>
      </c>
      <c r="E59" s="42" t="s">
        <v>32</v>
      </c>
      <c r="F59" s="42" t="s">
        <v>34</v>
      </c>
      <c r="G59" s="42">
        <v>1.0</v>
      </c>
      <c r="H59" s="42">
        <v>1.5746456E7</v>
      </c>
      <c r="I59" s="43" t="s">
        <v>464</v>
      </c>
      <c r="J59" s="42" t="s">
        <v>37</v>
      </c>
      <c r="K59" s="46">
        <v>45931.0</v>
      </c>
      <c r="L59" s="35" t="s">
        <v>403</v>
      </c>
      <c r="M59" s="42" t="s">
        <v>61</v>
      </c>
      <c r="N59" s="132">
        <v>2.02567113026365E14</v>
      </c>
      <c r="O59" s="132" t="s">
        <v>465</v>
      </c>
      <c r="P59" s="68"/>
      <c r="Q59" s="71"/>
      <c r="R59" s="68"/>
      <c r="S59" s="69"/>
      <c r="T59" s="69"/>
      <c r="U59" s="55"/>
      <c r="V59" s="60"/>
      <c r="W59" s="60"/>
    </row>
    <row r="60">
      <c r="A60" s="33" t="s">
        <v>468</v>
      </c>
      <c r="B60" s="35" t="s">
        <v>313</v>
      </c>
      <c r="C60" s="35" t="str">
        <f>IF(B60="","",(VLOOKUP(B60,'Dados de PN'!$A:$B,2,0)))</f>
        <v>AIRSPEED INDICATOR</v>
      </c>
      <c r="D60" s="35" t="s">
        <v>315</v>
      </c>
      <c r="E60" s="42" t="s">
        <v>81</v>
      </c>
      <c r="F60" s="42" t="s">
        <v>34</v>
      </c>
      <c r="G60" s="42">
        <v>1.0</v>
      </c>
      <c r="H60" s="42">
        <v>1.5787463E7</v>
      </c>
      <c r="I60" s="43" t="s">
        <v>471</v>
      </c>
      <c r="J60" s="42" t="s">
        <v>37</v>
      </c>
      <c r="K60" s="46">
        <v>45937.0</v>
      </c>
      <c r="L60" s="35" t="s">
        <v>183</v>
      </c>
      <c r="M60" s="42" t="s">
        <v>61</v>
      </c>
      <c r="N60" s="49"/>
      <c r="O60" s="49"/>
      <c r="P60" s="98" t="s">
        <v>313</v>
      </c>
      <c r="Q60" s="99" t="s">
        <v>317</v>
      </c>
      <c r="R60" s="99" t="s">
        <v>318</v>
      </c>
      <c r="S60" s="69"/>
      <c r="T60" s="101">
        <v>45965.0</v>
      </c>
      <c r="U60" s="108" t="s">
        <v>472</v>
      </c>
      <c r="V60" s="60"/>
      <c r="W60" s="83" t="s">
        <v>83</v>
      </c>
    </row>
    <row r="61">
      <c r="A61" s="33" t="s">
        <v>474</v>
      </c>
      <c r="B61" s="35" t="s">
        <v>322</v>
      </c>
      <c r="C61" s="35" t="str">
        <f>IF(B61="","",(VLOOKUP(B61,'Dados de PN'!$A:$B,2,0)))</f>
        <v>SENSOR, FUEL LEVEL</v>
      </c>
      <c r="D61" s="35" t="s">
        <v>31</v>
      </c>
      <c r="E61" s="42" t="s">
        <v>32</v>
      </c>
      <c r="F61" s="42" t="s">
        <v>34</v>
      </c>
      <c r="G61" s="42">
        <v>1.0</v>
      </c>
      <c r="H61" s="42">
        <v>3.13250017009E11</v>
      </c>
      <c r="I61" s="43" t="s">
        <v>476</v>
      </c>
      <c r="J61" s="42" t="s">
        <v>37</v>
      </c>
      <c r="K61" s="46">
        <v>45938.0</v>
      </c>
      <c r="L61" s="35" t="s">
        <v>412</v>
      </c>
      <c r="M61" s="42" t="s">
        <v>51</v>
      </c>
      <c r="N61" s="49"/>
      <c r="O61" s="49"/>
      <c r="P61" s="60"/>
      <c r="Q61" s="49"/>
      <c r="R61" s="60"/>
      <c r="S61" s="60"/>
      <c r="T61" s="60"/>
      <c r="U61" s="55"/>
      <c r="V61" s="60"/>
      <c r="W61" s="60"/>
    </row>
    <row r="62">
      <c r="A62" s="33" t="s">
        <v>479</v>
      </c>
      <c r="B62" s="35" t="s">
        <v>325</v>
      </c>
      <c r="C62" s="35" t="str">
        <f>IF(B62="","",(VLOOKUP(B62,'Dados de PN'!$A:$B,2,0)))</f>
        <v>CABLE ASSY-RUDDER LEFT AFT</v>
      </c>
      <c r="D62" s="35" t="s">
        <v>31</v>
      </c>
      <c r="E62" s="42" t="s">
        <v>32</v>
      </c>
      <c r="F62" s="42" t="s">
        <v>34</v>
      </c>
      <c r="G62" s="42">
        <v>1.0</v>
      </c>
      <c r="H62" s="42">
        <v>1.578152E7</v>
      </c>
      <c r="I62" s="43" t="s">
        <v>480</v>
      </c>
      <c r="J62" s="42" t="s">
        <v>37</v>
      </c>
      <c r="K62" s="46">
        <v>45939.0</v>
      </c>
      <c r="L62" s="35" t="s">
        <v>60</v>
      </c>
      <c r="M62" s="42" t="s">
        <v>61</v>
      </c>
      <c r="N62" s="49"/>
      <c r="O62" s="49"/>
      <c r="P62" s="60"/>
      <c r="Q62" s="49"/>
      <c r="R62" s="60"/>
      <c r="S62" s="60"/>
      <c r="T62" s="60"/>
      <c r="U62" s="55"/>
      <c r="V62" s="60"/>
      <c r="W62" s="60"/>
    </row>
    <row r="63">
      <c r="A63" s="33" t="s">
        <v>483</v>
      </c>
      <c r="B63" s="35" t="s">
        <v>327</v>
      </c>
      <c r="C63" s="35" t="str">
        <f>IF(B63="","",(VLOOKUP(B63,'Dados de PN'!$A:$B,2,0)))</f>
        <v>SPACER</v>
      </c>
      <c r="D63" s="35" t="s">
        <v>31</v>
      </c>
      <c r="E63" s="42" t="s">
        <v>32</v>
      </c>
      <c r="F63" s="42" t="s">
        <v>164</v>
      </c>
      <c r="G63" s="42">
        <v>2.0</v>
      </c>
      <c r="H63" s="42">
        <v>1.5781491E7</v>
      </c>
      <c r="I63" s="43" t="s">
        <v>480</v>
      </c>
      <c r="J63" s="42" t="s">
        <v>37</v>
      </c>
      <c r="K63" s="46">
        <v>45939.0</v>
      </c>
      <c r="L63" s="35" t="s">
        <v>60</v>
      </c>
      <c r="M63" s="42" t="s">
        <v>61</v>
      </c>
      <c r="N63" s="49"/>
      <c r="O63" s="49"/>
      <c r="P63" s="60"/>
      <c r="Q63" s="49"/>
      <c r="R63" s="60"/>
      <c r="S63" s="60"/>
      <c r="T63" s="60"/>
      <c r="U63" s="55"/>
      <c r="V63" s="60"/>
      <c r="W63" s="60"/>
    </row>
    <row r="64">
      <c r="A64" s="33" t="s">
        <v>493</v>
      </c>
      <c r="B64" s="35" t="s">
        <v>327</v>
      </c>
      <c r="C64" s="35" t="str">
        <f>IF(B64="","",(VLOOKUP(B64,'Dados de PN'!$A:$B,2,0)))</f>
        <v>SPACER</v>
      </c>
      <c r="D64" s="35" t="s">
        <v>31</v>
      </c>
      <c r="E64" s="42" t="s">
        <v>32</v>
      </c>
      <c r="F64" s="42" t="s">
        <v>164</v>
      </c>
      <c r="G64" s="42">
        <v>2.0</v>
      </c>
      <c r="H64" s="42">
        <v>1.5781465E7</v>
      </c>
      <c r="I64" s="43" t="s">
        <v>480</v>
      </c>
      <c r="J64" s="42" t="s">
        <v>37</v>
      </c>
      <c r="K64" s="46">
        <v>45939.0</v>
      </c>
      <c r="L64" s="35" t="s">
        <v>183</v>
      </c>
      <c r="M64" s="42" t="s">
        <v>61</v>
      </c>
      <c r="N64" s="49"/>
      <c r="O64" s="49"/>
      <c r="P64" s="60"/>
      <c r="Q64" s="49"/>
      <c r="R64" s="60"/>
      <c r="S64" s="60"/>
      <c r="T64" s="60"/>
      <c r="U64" s="55"/>
      <c r="V64" s="60"/>
      <c r="W64" s="60"/>
    </row>
    <row r="65">
      <c r="A65" s="33" t="s">
        <v>502</v>
      </c>
      <c r="B65" s="35" t="s">
        <v>331</v>
      </c>
      <c r="C65" s="35" t="str">
        <f>IF(B65="","",(VLOOKUP(B65,'Dados de PN'!$A:$B,2,0)))</f>
        <v>PIN,LOCK</v>
      </c>
      <c r="D65" s="35" t="s">
        <v>31</v>
      </c>
      <c r="E65" s="42" t="s">
        <v>32</v>
      </c>
      <c r="F65" s="42" t="s">
        <v>196</v>
      </c>
      <c r="G65" s="42">
        <v>8.0</v>
      </c>
      <c r="H65" s="42">
        <v>1.5815693E7</v>
      </c>
      <c r="I65" s="43" t="s">
        <v>505</v>
      </c>
      <c r="J65" s="42" t="s">
        <v>37</v>
      </c>
      <c r="K65" s="134">
        <v>45940.0</v>
      </c>
      <c r="L65" s="35" t="s">
        <v>60</v>
      </c>
      <c r="M65" s="42" t="s">
        <v>61</v>
      </c>
      <c r="N65" s="49"/>
      <c r="O65" s="49"/>
      <c r="P65" s="60"/>
      <c r="Q65" s="49"/>
      <c r="R65" s="60"/>
      <c r="S65" s="60"/>
      <c r="T65" s="60"/>
      <c r="U65" s="55"/>
      <c r="V65" s="60"/>
      <c r="W65" s="60"/>
    </row>
    <row r="66">
      <c r="A66" s="33" t="s">
        <v>508</v>
      </c>
      <c r="B66" s="35" t="s">
        <v>335</v>
      </c>
      <c r="C66" s="35" t="str">
        <f>IF(B66="","",(VLOOKUP(B66,'Dados de PN'!$A:$B,2,0)))</f>
        <v>GROMMET</v>
      </c>
      <c r="D66" s="35" t="s">
        <v>31</v>
      </c>
      <c r="E66" s="42" t="s">
        <v>32</v>
      </c>
      <c r="F66" s="42" t="s">
        <v>513</v>
      </c>
      <c r="G66" s="120">
        <v>40.0</v>
      </c>
      <c r="H66" s="120">
        <v>3.86250012806E11</v>
      </c>
      <c r="I66" s="43" t="s">
        <v>421</v>
      </c>
      <c r="J66" s="42" t="s">
        <v>37</v>
      </c>
      <c r="K66" s="134">
        <v>45943.0</v>
      </c>
      <c r="L66" s="35" t="s">
        <v>422</v>
      </c>
      <c r="M66" s="42" t="s">
        <v>423</v>
      </c>
      <c r="N66" s="49"/>
      <c r="O66" s="49"/>
      <c r="P66" s="60"/>
      <c r="Q66" s="49"/>
      <c r="R66" s="60"/>
      <c r="S66" s="60"/>
      <c r="T66" s="60"/>
      <c r="U66" s="108" t="s">
        <v>516</v>
      </c>
      <c r="V66" s="83"/>
      <c r="W66" s="60"/>
    </row>
    <row r="67">
      <c r="A67" s="33" t="s">
        <v>517</v>
      </c>
      <c r="B67" s="35" t="s">
        <v>337</v>
      </c>
      <c r="C67" s="35" t="str">
        <f>IF(B67="","",(VLOOKUP(B67,'Dados de PN'!$A:$B,2,0)))</f>
        <v>IND DE COMANDO DE VOO</v>
      </c>
      <c r="D67" s="35" t="s">
        <v>31</v>
      </c>
      <c r="E67" s="42" t="s">
        <v>81</v>
      </c>
      <c r="F67" s="42" t="s">
        <v>34</v>
      </c>
      <c r="G67" s="42">
        <v>1.0</v>
      </c>
      <c r="H67" s="42">
        <v>1.5832582E7</v>
      </c>
      <c r="I67" s="43" t="s">
        <v>520</v>
      </c>
      <c r="J67" s="42" t="s">
        <v>37</v>
      </c>
      <c r="K67" s="134">
        <v>45943.0</v>
      </c>
      <c r="L67" s="35" t="s">
        <v>232</v>
      </c>
      <c r="M67" s="42" t="s">
        <v>61</v>
      </c>
      <c r="N67" s="49"/>
      <c r="O67" s="49"/>
      <c r="P67" s="60"/>
      <c r="Q67" s="49"/>
      <c r="R67" s="60"/>
      <c r="S67" s="60"/>
      <c r="T67" s="60"/>
      <c r="U67" s="55"/>
      <c r="V67" s="60"/>
      <c r="W67" s="60"/>
    </row>
    <row r="68">
      <c r="A68" s="33" t="s">
        <v>523</v>
      </c>
      <c r="B68" s="35" t="s">
        <v>341</v>
      </c>
      <c r="C68" s="35" t="str">
        <f>IF(B68="","",(VLOOKUP(B68,'Dados de PN'!$A:$B,2,0)))</f>
        <v>CONNECTOR,PLUG,ELECTRICAL</v>
      </c>
      <c r="D68" s="35" t="s">
        <v>31</v>
      </c>
      <c r="E68" s="42" t="s">
        <v>32</v>
      </c>
      <c r="F68" s="42" t="s">
        <v>164</v>
      </c>
      <c r="G68" s="42">
        <v>2.0</v>
      </c>
      <c r="H68" s="42">
        <v>1.5820993E7</v>
      </c>
      <c r="I68" s="43" t="s">
        <v>531</v>
      </c>
      <c r="J68" s="42" t="s">
        <v>37</v>
      </c>
      <c r="K68" s="134">
        <v>45943.0</v>
      </c>
      <c r="L68" s="35" t="s">
        <v>168</v>
      </c>
      <c r="M68" s="42" t="s">
        <v>169</v>
      </c>
      <c r="N68" s="49"/>
      <c r="O68" s="49"/>
      <c r="P68" s="60"/>
      <c r="Q68" s="49"/>
      <c r="R68" s="60"/>
      <c r="S68" s="60"/>
      <c r="T68" s="60"/>
      <c r="U68" s="55"/>
      <c r="V68" s="60"/>
      <c r="W68" s="60"/>
    </row>
    <row r="69">
      <c r="A69" s="33" t="s">
        <v>536</v>
      </c>
      <c r="B69" s="35" t="s">
        <v>344</v>
      </c>
      <c r="C69" s="35" t="str">
        <f>IF(B69="","",(VLOOKUP(B69,'Dados de PN'!$A:$B,2,0)))</f>
        <v>CILINDRO DE FREIO</v>
      </c>
      <c r="D69" s="35" t="s">
        <v>537</v>
      </c>
      <c r="E69" s="42" t="s">
        <v>54</v>
      </c>
      <c r="F69" s="42" t="s">
        <v>34</v>
      </c>
      <c r="G69" s="42">
        <v>1.0</v>
      </c>
      <c r="H69" s="42">
        <v>1.5983589E7</v>
      </c>
      <c r="I69" s="43" t="s">
        <v>538</v>
      </c>
      <c r="J69" s="42" t="s">
        <v>37</v>
      </c>
      <c r="K69" s="134">
        <v>45961.0</v>
      </c>
      <c r="L69" s="35" t="s">
        <v>133</v>
      </c>
      <c r="M69" s="42" t="s">
        <v>539</v>
      </c>
      <c r="N69" s="132">
        <v>2.02567113029541E14</v>
      </c>
      <c r="O69" s="132" t="s">
        <v>540</v>
      </c>
      <c r="P69" s="60"/>
      <c r="Q69" s="49"/>
      <c r="R69" s="60"/>
      <c r="S69" s="60"/>
      <c r="T69" s="60"/>
      <c r="U69" s="55"/>
      <c r="V69" s="60"/>
      <c r="W69" s="60"/>
    </row>
    <row r="70">
      <c r="A70" s="33" t="s">
        <v>541</v>
      </c>
      <c r="B70" s="35" t="s">
        <v>348</v>
      </c>
      <c r="C70" s="35" t="str">
        <f>IF(B70="","",(VLOOKUP(B70,'Dados de PN'!$A:$B,2,0)))</f>
        <v>CONNECTOR,RECEPTACLE,ELECTRICAL</v>
      </c>
      <c r="D70" s="35" t="s">
        <v>31</v>
      </c>
      <c r="E70" s="42" t="s">
        <v>32</v>
      </c>
      <c r="F70" s="42" t="s">
        <v>164</v>
      </c>
      <c r="G70" s="42">
        <v>2.0</v>
      </c>
      <c r="H70" s="42">
        <v>1.5996602E7</v>
      </c>
      <c r="I70" s="43" t="s">
        <v>542</v>
      </c>
      <c r="J70" s="42" t="s">
        <v>256</v>
      </c>
      <c r="K70" s="46">
        <v>45965.0</v>
      </c>
      <c r="L70" s="35" t="s">
        <v>543</v>
      </c>
      <c r="M70" s="42" t="s">
        <v>544</v>
      </c>
      <c r="N70" s="49"/>
      <c r="O70" s="49"/>
      <c r="P70" s="60"/>
      <c r="Q70" s="49"/>
      <c r="R70" s="60"/>
      <c r="S70" s="60"/>
      <c r="T70" s="60"/>
      <c r="U70" s="55"/>
      <c r="V70" s="60"/>
      <c r="W70" s="60"/>
    </row>
    <row r="71">
      <c r="A71" s="33" t="s">
        <v>546</v>
      </c>
      <c r="B71" s="35" t="s">
        <v>352</v>
      </c>
      <c r="C71" s="35" t="str">
        <f>IF(B71="","",(VLOOKUP(B71,'Dados de PN'!$A:$B,2,0)))</f>
        <v>CIRCUIT BREAKE</v>
      </c>
      <c r="D71" s="35" t="s">
        <v>31</v>
      </c>
      <c r="E71" s="42" t="s">
        <v>32</v>
      </c>
      <c r="F71" s="42" t="s">
        <v>34</v>
      </c>
      <c r="G71" s="42">
        <v>1.0</v>
      </c>
      <c r="H71" s="42">
        <v>6.90250002091E11</v>
      </c>
      <c r="I71" s="43" t="s">
        <v>550</v>
      </c>
      <c r="J71" s="42" t="s">
        <v>37</v>
      </c>
      <c r="K71" s="46">
        <v>45965.0</v>
      </c>
      <c r="L71" s="35" t="s">
        <v>543</v>
      </c>
      <c r="M71" s="42" t="s">
        <v>544</v>
      </c>
      <c r="N71" s="49"/>
      <c r="O71" s="49"/>
      <c r="P71" s="60"/>
      <c r="Q71" s="49"/>
      <c r="R71" s="60"/>
      <c r="S71" s="60"/>
      <c r="T71" s="60"/>
      <c r="U71" s="55"/>
      <c r="V71" s="60"/>
      <c r="W71" s="60"/>
    </row>
    <row r="72">
      <c r="A72" s="33" t="s">
        <v>551</v>
      </c>
      <c r="B72" s="35" t="s">
        <v>355</v>
      </c>
      <c r="C72" s="35" t="str">
        <f>IF(B72="","",(VLOOKUP(B72,'Dados de PN'!$A:$B,2,0)))</f>
        <v>HORIZ. GYRO-STADBY</v>
      </c>
      <c r="D72" s="35" t="s">
        <v>31</v>
      </c>
      <c r="E72" s="42" t="s">
        <v>81</v>
      </c>
      <c r="F72" s="42" t="s">
        <v>34</v>
      </c>
      <c r="G72" s="42">
        <v>1.0</v>
      </c>
      <c r="H72" s="42">
        <v>3.86250012861E11</v>
      </c>
      <c r="I72" s="43" t="s">
        <v>550</v>
      </c>
      <c r="J72" s="42" t="s">
        <v>37</v>
      </c>
      <c r="K72" s="46">
        <v>45965.0</v>
      </c>
      <c r="L72" s="35" t="s">
        <v>422</v>
      </c>
      <c r="M72" s="42" t="s">
        <v>423</v>
      </c>
      <c r="N72" s="49"/>
      <c r="O72" s="49"/>
      <c r="P72" s="60"/>
      <c r="Q72" s="49"/>
      <c r="R72" s="60"/>
      <c r="S72" s="60"/>
      <c r="T72" s="60"/>
      <c r="U72" s="55"/>
      <c r="V72" s="60"/>
      <c r="W72" s="60"/>
    </row>
    <row r="73">
      <c r="A73" s="33" t="s">
        <v>556</v>
      </c>
      <c r="B73" s="35" t="s">
        <v>358</v>
      </c>
      <c r="C73" s="35" t="str">
        <f>IF(B73="","",(VLOOKUP(B73,'Dados de PN'!$A:$B,2,0)))</f>
        <v>LOCKNUT,TUBE FITTING</v>
      </c>
      <c r="D73" s="35" t="s">
        <v>31</v>
      </c>
      <c r="E73" s="42" t="s">
        <v>32</v>
      </c>
      <c r="F73" s="42" t="s">
        <v>164</v>
      </c>
      <c r="G73" s="42">
        <v>2.0</v>
      </c>
      <c r="H73" s="42">
        <v>1.6026728E7</v>
      </c>
      <c r="I73" s="43" t="s">
        <v>557</v>
      </c>
      <c r="J73" s="42" t="s">
        <v>37</v>
      </c>
      <c r="K73" s="46">
        <v>45967.0</v>
      </c>
      <c r="L73" s="35" t="s">
        <v>168</v>
      </c>
      <c r="M73" s="42" t="s">
        <v>169</v>
      </c>
      <c r="N73" s="49"/>
      <c r="O73" s="49"/>
      <c r="P73" s="60"/>
      <c r="Q73" s="49"/>
      <c r="R73" s="60"/>
      <c r="S73" s="60"/>
      <c r="T73" s="60"/>
      <c r="U73" s="55"/>
      <c r="V73" s="60"/>
      <c r="W73" s="60"/>
    </row>
    <row r="74">
      <c r="A74" s="33" t="s">
        <v>559</v>
      </c>
      <c r="B74" s="35" t="s">
        <v>362</v>
      </c>
      <c r="C74" s="35" t="str">
        <f>IF(B74="","",(VLOOKUP(B74,'Dados de PN'!$A:$B,2,0)))</f>
        <v>NUT,SELF-LOCKING,SLOTTED,HEXAGON</v>
      </c>
      <c r="D74" s="35" t="s">
        <v>31</v>
      </c>
      <c r="E74" s="42" t="s">
        <v>32</v>
      </c>
      <c r="F74" s="42" t="s">
        <v>164</v>
      </c>
      <c r="G74" s="42">
        <v>2.0</v>
      </c>
      <c r="H74" s="42">
        <v>6.85250010171E11</v>
      </c>
      <c r="I74" s="43" t="s">
        <v>560</v>
      </c>
      <c r="J74" s="42" t="s">
        <v>37</v>
      </c>
      <c r="K74" s="46">
        <v>45967.0</v>
      </c>
      <c r="L74" s="35" t="s">
        <v>183</v>
      </c>
      <c r="M74" s="42" t="s">
        <v>61</v>
      </c>
      <c r="N74" s="49"/>
      <c r="O74" s="49"/>
      <c r="P74" s="60"/>
      <c r="Q74" s="49"/>
      <c r="R74" s="60"/>
      <c r="S74" s="60"/>
      <c r="T74" s="60"/>
      <c r="U74" s="55"/>
      <c r="V74" s="60"/>
      <c r="W74" s="60"/>
    </row>
    <row r="75">
      <c r="A75" s="33" t="s">
        <v>562</v>
      </c>
      <c r="B75" s="35" t="s">
        <v>364</v>
      </c>
      <c r="C75" s="35" t="str">
        <f>IF(B75="","",(VLOOKUP(B75,'Dados de PN'!$A:$B,2,0)))</f>
        <v>NUT,SELF-LOCKING,SLOTTED,HEXAGON</v>
      </c>
      <c r="D75" s="35" t="s">
        <v>31</v>
      </c>
      <c r="E75" s="42" t="s">
        <v>32</v>
      </c>
      <c r="F75" s="42" t="s">
        <v>164</v>
      </c>
      <c r="G75" s="42">
        <v>2.0</v>
      </c>
      <c r="H75" s="42">
        <v>1.6016631E7</v>
      </c>
      <c r="I75" s="43" t="s">
        <v>560</v>
      </c>
      <c r="J75" s="42" t="s">
        <v>37</v>
      </c>
      <c r="K75" s="46">
        <v>45967.0</v>
      </c>
      <c r="L75" s="35" t="s">
        <v>183</v>
      </c>
      <c r="M75" s="42" t="s">
        <v>61</v>
      </c>
      <c r="N75" s="49"/>
      <c r="O75" s="49"/>
      <c r="P75" s="60"/>
      <c r="Q75" s="49"/>
      <c r="R75" s="60"/>
      <c r="S75" s="60"/>
      <c r="T75" s="60"/>
      <c r="U75" s="55"/>
      <c r="V75" s="60"/>
      <c r="W75" s="60"/>
    </row>
    <row r="76">
      <c r="A76" s="33" t="s">
        <v>565</v>
      </c>
      <c r="B76" s="35" t="s">
        <v>366</v>
      </c>
      <c r="C76" s="35" t="str">
        <f>IF(B76="","",(VLOOKUP(B76,'Dados de PN'!$A:$B,2,0)))</f>
        <v>SWITCH-ELEC TR</v>
      </c>
      <c r="D76" s="35" t="s">
        <v>31</v>
      </c>
      <c r="E76" s="42" t="s">
        <v>32</v>
      </c>
      <c r="F76" s="42" t="s">
        <v>164</v>
      </c>
      <c r="G76" s="42">
        <v>2.0</v>
      </c>
      <c r="H76" s="42">
        <v>3.13250017133E11</v>
      </c>
      <c r="I76" s="43" t="s">
        <v>571</v>
      </c>
      <c r="J76" s="42" t="s">
        <v>37</v>
      </c>
      <c r="K76" s="46">
        <v>45967.0</v>
      </c>
      <c r="L76" s="35" t="s">
        <v>431</v>
      </c>
      <c r="M76" s="42" t="s">
        <v>51</v>
      </c>
      <c r="N76" s="49"/>
      <c r="O76" s="49"/>
      <c r="P76" s="60"/>
      <c r="Q76" s="49"/>
      <c r="R76" s="60"/>
      <c r="S76" s="60"/>
      <c r="T76" s="60"/>
      <c r="U76" s="55"/>
      <c r="V76" s="60"/>
      <c r="W76" s="60"/>
    </row>
    <row r="77">
      <c r="A77" s="33" t="s">
        <v>574</v>
      </c>
      <c r="B77" s="35" t="s">
        <v>369</v>
      </c>
      <c r="C77" s="35" t="str">
        <f>IF(B77="","",(VLOOKUP(B77,'Dados de PN'!$A:$B,2,0)))</f>
        <v>WHEEL HALF ASSY</v>
      </c>
      <c r="D77" s="35" t="s">
        <v>31</v>
      </c>
      <c r="E77" s="42" t="s">
        <v>81</v>
      </c>
      <c r="F77" s="42" t="s">
        <v>34</v>
      </c>
      <c r="G77" s="42">
        <v>1.0</v>
      </c>
      <c r="H77" s="35" t="s">
        <v>576</v>
      </c>
      <c r="I77" s="43" t="s">
        <v>577</v>
      </c>
      <c r="J77" s="42" t="s">
        <v>37</v>
      </c>
      <c r="K77" s="46">
        <v>45968.0</v>
      </c>
      <c r="L77" s="35" t="s">
        <v>372</v>
      </c>
      <c r="M77" s="42" t="s">
        <v>61</v>
      </c>
      <c r="N77" s="49"/>
      <c r="O77" s="49"/>
      <c r="P77" s="60"/>
      <c r="Q77" s="49"/>
      <c r="R77" s="60"/>
      <c r="S77" s="60"/>
      <c r="T77" s="60"/>
      <c r="U77" s="55"/>
      <c r="V77" s="60"/>
      <c r="W77" s="60"/>
    </row>
    <row r="78">
      <c r="A78" s="33" t="s">
        <v>578</v>
      </c>
      <c r="B78" s="35" t="s">
        <v>374</v>
      </c>
      <c r="C78" s="35" t="str">
        <f>IF(B78="","",(VLOOKUP(B78,'Dados de PN'!$A:$B,2,0)))</f>
        <v>WHEEL HALF ASSY</v>
      </c>
      <c r="D78" s="35" t="s">
        <v>31</v>
      </c>
      <c r="E78" s="42" t="s">
        <v>81</v>
      </c>
      <c r="F78" s="42" t="s">
        <v>340</v>
      </c>
      <c r="G78" s="42">
        <v>3.0</v>
      </c>
      <c r="H78" s="35" t="s">
        <v>581</v>
      </c>
      <c r="I78" s="43" t="s">
        <v>577</v>
      </c>
      <c r="J78" s="42" t="s">
        <v>37</v>
      </c>
      <c r="K78" s="46">
        <v>45968.0</v>
      </c>
      <c r="L78" s="35" t="s">
        <v>372</v>
      </c>
      <c r="M78" s="42" t="s">
        <v>61</v>
      </c>
      <c r="N78" s="49"/>
      <c r="O78" s="49"/>
      <c r="P78" s="60"/>
      <c r="Q78" s="49"/>
      <c r="R78" s="60"/>
      <c r="S78" s="60"/>
      <c r="T78" s="60"/>
      <c r="U78" s="55"/>
      <c r="V78" s="60"/>
      <c r="W78" s="60"/>
    </row>
    <row r="79">
      <c r="A79" s="33" t="s">
        <v>583</v>
      </c>
      <c r="B79" s="35" t="s">
        <v>378</v>
      </c>
      <c r="C79" s="35" t="str">
        <f>IF(B79="","",(VLOOKUP(B79,'Dados de PN'!$A:$B,2,0)))</f>
        <v>WHEEL HALF ASSY</v>
      </c>
      <c r="D79" s="35" t="s">
        <v>31</v>
      </c>
      <c r="E79" s="42" t="s">
        <v>81</v>
      </c>
      <c r="F79" s="42" t="s">
        <v>34</v>
      </c>
      <c r="G79" s="42">
        <v>1.0</v>
      </c>
      <c r="H79" s="35" t="s">
        <v>584</v>
      </c>
      <c r="I79" s="43" t="s">
        <v>577</v>
      </c>
      <c r="J79" s="42" t="s">
        <v>37</v>
      </c>
      <c r="K79" s="46">
        <v>45968.0</v>
      </c>
      <c r="L79" s="35" t="s">
        <v>372</v>
      </c>
      <c r="M79" s="42" t="s">
        <v>61</v>
      </c>
      <c r="N79" s="49"/>
      <c r="O79" s="49"/>
      <c r="P79" s="60"/>
      <c r="Q79" s="49"/>
      <c r="R79" s="60"/>
      <c r="S79" s="60"/>
      <c r="T79" s="60"/>
      <c r="U79" s="55"/>
      <c r="V79" s="60"/>
      <c r="W79" s="60"/>
    </row>
    <row r="80">
      <c r="A80" s="33" t="s">
        <v>589</v>
      </c>
      <c r="B80" s="35" t="s">
        <v>379</v>
      </c>
      <c r="C80" s="35" t="str">
        <f>IF(B80="","",(VLOOKUP(B80,'Dados de PN'!$A:$B,2,0)))</f>
        <v>WHEEL HALF ASSY</v>
      </c>
      <c r="D80" s="35" t="s">
        <v>31</v>
      </c>
      <c r="E80" s="42" t="s">
        <v>81</v>
      </c>
      <c r="F80" s="42" t="s">
        <v>34</v>
      </c>
      <c r="G80" s="42">
        <v>1.0</v>
      </c>
      <c r="H80" s="35" t="s">
        <v>591</v>
      </c>
      <c r="I80" s="43" t="s">
        <v>577</v>
      </c>
      <c r="J80" s="42" t="s">
        <v>37</v>
      </c>
      <c r="K80" s="46">
        <v>45968.0</v>
      </c>
      <c r="L80" s="35" t="s">
        <v>372</v>
      </c>
      <c r="M80" s="42" t="s">
        <v>61</v>
      </c>
      <c r="N80" s="49"/>
      <c r="O80" s="49"/>
      <c r="P80" s="60"/>
      <c r="Q80" s="49"/>
      <c r="R80" s="60"/>
      <c r="S80" s="60"/>
      <c r="T80" s="60"/>
      <c r="U80" s="55"/>
      <c r="V80" s="60"/>
      <c r="W80" s="60"/>
    </row>
    <row r="81">
      <c r="A81" s="33" t="s">
        <v>593</v>
      </c>
      <c r="B81" s="35" t="s">
        <v>383</v>
      </c>
      <c r="C81" s="35" t="str">
        <f>IF(B81="","",(VLOOKUP(B81,'Dados de PN'!$A:$B,2,0)))</f>
        <v>ANTENNA KIT-DME/TRANSPONDER FOR USE WITH A CARGO POD.</v>
      </c>
      <c r="D81" s="35" t="s">
        <v>31</v>
      </c>
      <c r="E81" s="42" t="s">
        <v>32</v>
      </c>
      <c r="F81" s="42" t="s">
        <v>34</v>
      </c>
      <c r="G81" s="42">
        <v>1.0</v>
      </c>
      <c r="H81" s="35" t="s">
        <v>594</v>
      </c>
      <c r="I81" s="43" t="s">
        <v>577</v>
      </c>
      <c r="J81" s="42" t="s">
        <v>37</v>
      </c>
      <c r="K81" s="46">
        <v>45968.0</v>
      </c>
      <c r="L81" s="35" t="s">
        <v>372</v>
      </c>
      <c r="M81" s="42" t="s">
        <v>61</v>
      </c>
      <c r="N81" s="49"/>
      <c r="O81" s="49"/>
      <c r="P81" s="60"/>
      <c r="Q81" s="49"/>
      <c r="R81" s="60"/>
      <c r="S81" s="60"/>
      <c r="T81" s="60"/>
      <c r="U81" s="55"/>
      <c r="V81" s="60"/>
      <c r="W81" s="60"/>
    </row>
    <row r="82">
      <c r="A82" s="33" t="s">
        <v>598</v>
      </c>
      <c r="B82" s="35" t="s">
        <v>386</v>
      </c>
      <c r="C82" s="35" t="str">
        <f>IF(B82="","",(VLOOKUP(B82,'Dados de PN'!$A:$B,2,0)))</f>
        <v>VALVE OIL DRAI</v>
      </c>
      <c r="D82" s="35" t="s">
        <v>31</v>
      </c>
      <c r="E82" s="42" t="s">
        <v>32</v>
      </c>
      <c r="F82" s="42" t="s">
        <v>34</v>
      </c>
      <c r="G82" s="42">
        <v>1.0</v>
      </c>
      <c r="H82" s="42">
        <v>1.605536E7</v>
      </c>
      <c r="I82" s="43" t="s">
        <v>600</v>
      </c>
      <c r="J82" s="42" t="s">
        <v>37</v>
      </c>
      <c r="K82" s="134">
        <v>45973.0</v>
      </c>
      <c r="L82" s="35" t="s">
        <v>604</v>
      </c>
      <c r="M82" s="42" t="s">
        <v>51</v>
      </c>
      <c r="N82" s="49"/>
      <c r="O82" s="49"/>
      <c r="P82" s="60"/>
      <c r="Q82" s="49"/>
      <c r="R82" s="60"/>
      <c r="S82" s="60"/>
      <c r="T82" s="60"/>
      <c r="U82" s="55"/>
      <c r="V82" s="60"/>
      <c r="W82" s="60"/>
    </row>
    <row r="83">
      <c r="A83" s="33" t="s">
        <v>605</v>
      </c>
      <c r="B83" s="35" t="s">
        <v>390</v>
      </c>
      <c r="C83" s="35" t="str">
        <f>IF(B83="","",(VLOOKUP(B83,'Dados de PN'!$A:$B,2,0)))</f>
        <v>SCREW,MACHINE</v>
      </c>
      <c r="D83" s="35" t="s">
        <v>31</v>
      </c>
      <c r="E83" s="42" t="s">
        <v>32</v>
      </c>
      <c r="F83" s="42" t="s">
        <v>34</v>
      </c>
      <c r="G83" s="42">
        <v>1.0</v>
      </c>
      <c r="H83" s="42">
        <v>1.6075059E7</v>
      </c>
      <c r="I83" s="43" t="s">
        <v>611</v>
      </c>
      <c r="J83" s="42" t="s">
        <v>37</v>
      </c>
      <c r="K83" s="134">
        <v>45974.0</v>
      </c>
      <c r="L83" s="35" t="s">
        <v>612</v>
      </c>
      <c r="M83" s="42" t="s">
        <v>549</v>
      </c>
      <c r="N83" s="49"/>
      <c r="O83" s="49"/>
      <c r="P83" s="60"/>
      <c r="Q83" s="49"/>
      <c r="R83" s="60"/>
      <c r="S83" s="60"/>
      <c r="T83" s="60"/>
      <c r="U83" s="55"/>
      <c r="V83" s="60"/>
      <c r="W83" s="60"/>
    </row>
    <row r="84">
      <c r="A84" s="33" t="s">
        <v>613</v>
      </c>
      <c r="B84" s="35" t="s">
        <v>394</v>
      </c>
      <c r="C84" s="35" t="str">
        <f>IF(B84="","",(VLOOKUP(B84,'Dados de PN'!$A:$B,2,0)))</f>
        <v>SCREW</v>
      </c>
      <c r="D84" s="35" t="s">
        <v>31</v>
      </c>
      <c r="E84" s="42" t="s">
        <v>32</v>
      </c>
      <c r="F84" s="42" t="s">
        <v>346</v>
      </c>
      <c r="G84" s="42">
        <v>10.0</v>
      </c>
      <c r="H84" s="42">
        <v>1.6026082E7</v>
      </c>
      <c r="I84" s="43" t="s">
        <v>614</v>
      </c>
      <c r="J84" s="42" t="s">
        <v>37</v>
      </c>
      <c r="K84" s="134">
        <v>45975.0</v>
      </c>
      <c r="L84" s="35" t="s">
        <v>152</v>
      </c>
      <c r="M84" s="42" t="s">
        <v>61</v>
      </c>
      <c r="N84" s="49"/>
      <c r="O84" s="49"/>
      <c r="P84" s="60"/>
      <c r="Q84" s="49"/>
      <c r="R84" s="60"/>
      <c r="S84" s="60"/>
      <c r="T84" s="60"/>
      <c r="U84" s="55"/>
      <c r="V84" s="60"/>
      <c r="W84" s="60"/>
    </row>
    <row r="85">
      <c r="A85" s="33" t="s">
        <v>617</v>
      </c>
      <c r="B85" s="35" t="s">
        <v>397</v>
      </c>
      <c r="C85" s="35" t="str">
        <f>IF(B85="","",(VLOOKUP(B85,'Dados de PN'!$A:$B,2,0)))</f>
        <v>SCREW MACHINE</v>
      </c>
      <c r="D85" s="35" t="s">
        <v>31</v>
      </c>
      <c r="E85" s="42" t="s">
        <v>32</v>
      </c>
      <c r="F85" s="42" t="s">
        <v>124</v>
      </c>
      <c r="G85" s="42">
        <v>50.0</v>
      </c>
      <c r="H85" s="42">
        <v>1.6089349E7</v>
      </c>
      <c r="I85" s="43" t="s">
        <v>614</v>
      </c>
      <c r="J85" s="42" t="s">
        <v>37</v>
      </c>
      <c r="K85" s="134">
        <v>45975.0</v>
      </c>
      <c r="L85" s="35" t="s">
        <v>152</v>
      </c>
      <c r="M85" s="42" t="s">
        <v>61</v>
      </c>
      <c r="N85" s="49"/>
      <c r="O85" s="49"/>
      <c r="P85" s="60"/>
      <c r="Q85" s="49"/>
      <c r="R85" s="60"/>
      <c r="S85" s="60"/>
      <c r="T85" s="60"/>
      <c r="U85" s="55"/>
      <c r="V85" s="60"/>
      <c r="W85" s="60"/>
    </row>
    <row r="86">
      <c r="A86" s="33" t="s">
        <v>622</v>
      </c>
      <c r="B86" s="35" t="s">
        <v>400</v>
      </c>
      <c r="C86" s="35" t="str">
        <f>IF(B86="","",(VLOOKUP(B86,'Dados de PN'!$A:$B,2,0)))</f>
        <v>SLAVING ACCESS,SPEC</v>
      </c>
      <c r="D86" s="35" t="s">
        <v>624</v>
      </c>
      <c r="E86" s="42" t="s">
        <v>81</v>
      </c>
      <c r="F86" s="42" t="s">
        <v>34</v>
      </c>
      <c r="G86" s="42">
        <v>1.0</v>
      </c>
      <c r="H86" s="42">
        <v>1.6134646E7</v>
      </c>
      <c r="I86" s="43" t="s">
        <v>625</v>
      </c>
      <c r="J86" s="42" t="s">
        <v>37</v>
      </c>
      <c r="K86" s="134">
        <v>45982.0</v>
      </c>
      <c r="L86" s="35" t="s">
        <v>403</v>
      </c>
      <c r="M86" s="42" t="s">
        <v>404</v>
      </c>
      <c r="N86" s="49"/>
      <c r="O86" s="49"/>
      <c r="P86" s="60"/>
      <c r="Q86" s="49"/>
      <c r="R86" s="60"/>
      <c r="S86" s="60"/>
      <c r="T86" s="60"/>
      <c r="U86" s="55"/>
      <c r="V86" s="60"/>
      <c r="W86" s="60"/>
    </row>
    <row r="87">
      <c r="A87" s="33" t="s">
        <v>628</v>
      </c>
      <c r="B87" s="35" t="s">
        <v>405</v>
      </c>
      <c r="C87" s="35" t="str">
        <f>IF(B87="","",(VLOOKUP(B87,'Dados de PN'!$A:$B,2,0)))</f>
        <v>CONTROL INDICATOR</v>
      </c>
      <c r="D87" s="35" t="s">
        <v>636</v>
      </c>
      <c r="E87" s="42" t="s">
        <v>81</v>
      </c>
      <c r="F87" s="42" t="s">
        <v>34</v>
      </c>
      <c r="G87" s="42">
        <v>1.0</v>
      </c>
      <c r="H87" s="42">
        <v>1.6134346E7</v>
      </c>
      <c r="I87" s="43" t="s">
        <v>625</v>
      </c>
      <c r="J87" s="42" t="s">
        <v>37</v>
      </c>
      <c r="K87" s="134">
        <v>45982.0</v>
      </c>
      <c r="L87" s="35" t="s">
        <v>403</v>
      </c>
      <c r="M87" s="42" t="s">
        <v>404</v>
      </c>
      <c r="N87" s="49"/>
      <c r="O87" s="49"/>
      <c r="P87" s="60"/>
      <c r="Q87" s="49"/>
      <c r="R87" s="60"/>
      <c r="S87" s="60"/>
      <c r="T87" s="60"/>
      <c r="U87" s="55"/>
      <c r="V87" s="60"/>
      <c r="W87" s="60"/>
    </row>
    <row r="88">
      <c r="A88" s="33" t="s">
        <v>640</v>
      </c>
      <c r="B88" s="35" t="s">
        <v>409</v>
      </c>
      <c r="C88" s="35" t="str">
        <f>IF(B88="","",(VLOOKUP(B88,'Dados de PN'!$A:$B,2,0)))</f>
        <v>AIRSPEED INDICATOR</v>
      </c>
      <c r="D88" s="35" t="s">
        <v>410</v>
      </c>
      <c r="E88" s="42" t="s">
        <v>81</v>
      </c>
      <c r="F88" s="42" t="s">
        <v>34</v>
      </c>
      <c r="G88" s="42">
        <v>1.0</v>
      </c>
      <c r="H88" s="42">
        <v>1.6146341E7</v>
      </c>
      <c r="I88" s="43" t="s">
        <v>644</v>
      </c>
      <c r="J88" s="42" t="s">
        <v>37</v>
      </c>
      <c r="K88" s="134">
        <v>45985.0</v>
      </c>
      <c r="L88" s="35" t="s">
        <v>168</v>
      </c>
      <c r="M88" s="42" t="s">
        <v>169</v>
      </c>
      <c r="N88" s="49"/>
      <c r="O88" s="49"/>
      <c r="P88" s="60"/>
      <c r="Q88" s="49"/>
      <c r="R88" s="60"/>
      <c r="S88" s="60"/>
      <c r="T88" s="60"/>
      <c r="U88" s="55"/>
      <c r="V88" s="60"/>
      <c r="W88" s="60"/>
    </row>
    <row r="89">
      <c r="A89" s="33" t="s">
        <v>649</v>
      </c>
      <c r="B89" s="35" t="s">
        <v>172</v>
      </c>
      <c r="C89" s="35" t="str">
        <f>IF(B89="","",(VLOOKUP(B89,'Dados de PN'!$A:$B,2,0)))</f>
        <v>SENSOR, FUEL LEVEL SHORT</v>
      </c>
      <c r="D89" s="35" t="s">
        <v>414</v>
      </c>
      <c r="E89" s="42" t="s">
        <v>32</v>
      </c>
      <c r="F89" s="42" t="s">
        <v>34</v>
      </c>
      <c r="G89" s="42">
        <v>1.0</v>
      </c>
      <c r="H89" s="42">
        <v>3.96250015798E11</v>
      </c>
      <c r="I89" s="43" t="s">
        <v>653</v>
      </c>
      <c r="J89" s="42" t="s">
        <v>37</v>
      </c>
      <c r="K89" s="134">
        <v>45985.0</v>
      </c>
      <c r="L89" s="35" t="s">
        <v>304</v>
      </c>
      <c r="M89" s="42" t="s">
        <v>76</v>
      </c>
      <c r="N89" s="49"/>
      <c r="O89" s="49"/>
      <c r="P89" s="60"/>
      <c r="Q89" s="49"/>
      <c r="R89" s="60"/>
      <c r="S89" s="60"/>
      <c r="T89" s="60"/>
      <c r="U89" s="55"/>
      <c r="V89" s="60"/>
      <c r="W89" s="60"/>
    </row>
    <row r="90">
      <c r="A90" s="33" t="s">
        <v>656</v>
      </c>
      <c r="B90" s="35" t="s">
        <v>400</v>
      </c>
      <c r="C90" s="35" t="str">
        <f>IF(B90="","",(VLOOKUP(B90,'Dados de PN'!$A:$B,2,0)))</f>
        <v>SLAVING ACCESS,SPEC</v>
      </c>
      <c r="D90" s="35" t="s">
        <v>657</v>
      </c>
      <c r="E90" s="42" t="s">
        <v>81</v>
      </c>
      <c r="F90" s="42" t="s">
        <v>34</v>
      </c>
      <c r="G90" s="42">
        <v>1.0</v>
      </c>
      <c r="H90" s="42">
        <v>1.615863E7</v>
      </c>
      <c r="I90" s="43" t="s">
        <v>644</v>
      </c>
      <c r="J90" s="42" t="s">
        <v>37</v>
      </c>
      <c r="K90" s="134">
        <v>45986.0</v>
      </c>
      <c r="L90" s="35" t="s">
        <v>168</v>
      </c>
      <c r="M90" s="42" t="s">
        <v>169</v>
      </c>
      <c r="N90" s="49"/>
      <c r="O90" s="49"/>
      <c r="P90" s="60"/>
      <c r="Q90" s="49"/>
      <c r="R90" s="60"/>
      <c r="S90" s="60"/>
      <c r="T90" s="60"/>
      <c r="U90" s="55"/>
      <c r="V90" s="60"/>
      <c r="W90" s="60"/>
    </row>
    <row r="91">
      <c r="A91" s="33" t="s">
        <v>662</v>
      </c>
      <c r="B91" s="139" t="s">
        <v>664</v>
      </c>
      <c r="C91" s="35" t="str">
        <f>IF(B91="","",(VLOOKUP(B91,'Dados de PN'!$A:$B,2,0)))</f>
        <v>CONTROL SERVO</v>
      </c>
      <c r="D91" s="140"/>
      <c r="E91" s="83" t="s">
        <v>81</v>
      </c>
      <c r="F91" s="42" t="s">
        <v>34</v>
      </c>
      <c r="G91" s="42">
        <v>1.0</v>
      </c>
      <c r="H91" s="42">
        <v>6.85250010243E11</v>
      </c>
      <c r="I91" s="132" t="s">
        <v>677</v>
      </c>
      <c r="J91" s="83" t="s">
        <v>37</v>
      </c>
      <c r="K91" s="134">
        <v>45992.0</v>
      </c>
      <c r="L91" s="139" t="s">
        <v>152</v>
      </c>
      <c r="M91" s="83" t="s">
        <v>61</v>
      </c>
      <c r="N91" s="49"/>
      <c r="O91" s="49"/>
      <c r="P91" s="60"/>
      <c r="Q91" s="49"/>
      <c r="R91" s="60"/>
      <c r="S91" s="60"/>
      <c r="T91" s="60"/>
      <c r="U91" s="108"/>
      <c r="V91" s="60"/>
      <c r="W91" s="60"/>
    </row>
    <row r="92">
      <c r="A92" s="33" t="s">
        <v>679</v>
      </c>
      <c r="B92" s="139" t="s">
        <v>491</v>
      </c>
      <c r="C92" s="35" t="str">
        <f>IF(B92="","",(VLOOKUP(B92,'Dados de PN'!$A:$B,2,0)))</f>
        <v>RECEIVER TRANSMITTER</v>
      </c>
      <c r="D92" s="140"/>
      <c r="E92" s="83" t="s">
        <v>81</v>
      </c>
      <c r="F92" s="42" t="s">
        <v>34</v>
      </c>
      <c r="G92" s="42">
        <v>1.0</v>
      </c>
      <c r="H92" s="42">
        <v>6.90250002095E11</v>
      </c>
      <c r="I92" s="132" t="s">
        <v>677</v>
      </c>
      <c r="J92" s="83" t="s">
        <v>37</v>
      </c>
      <c r="K92" s="134">
        <v>45992.0</v>
      </c>
      <c r="L92" s="139" t="s">
        <v>543</v>
      </c>
      <c r="M92" s="83" t="s">
        <v>544</v>
      </c>
      <c r="N92" s="49"/>
      <c r="O92" s="49"/>
      <c r="P92" s="60"/>
      <c r="Q92" s="49"/>
      <c r="R92" s="60"/>
      <c r="S92" s="60"/>
      <c r="T92" s="60"/>
      <c r="U92" s="108"/>
      <c r="V92" s="60"/>
      <c r="W92" s="60"/>
    </row>
    <row r="93">
      <c r="A93" s="33" t="s">
        <v>688</v>
      </c>
      <c r="B93" s="139" t="s">
        <v>429</v>
      </c>
      <c r="C93" s="35" t="str">
        <f>IF(B93="","",(VLOOKUP(B93,'Dados de PN'!$A:$B,2,0)))</f>
        <v>IND RDR 200 IN</v>
      </c>
      <c r="D93" s="139" t="s">
        <v>691</v>
      </c>
      <c r="E93" s="83" t="s">
        <v>81</v>
      </c>
      <c r="F93" s="42" t="s">
        <v>34</v>
      </c>
      <c r="G93" s="42">
        <v>1.0</v>
      </c>
      <c r="H93" s="42">
        <v>1.6243997E7</v>
      </c>
      <c r="I93" s="43" t="s">
        <v>695</v>
      </c>
      <c r="J93" s="42" t="s">
        <v>37</v>
      </c>
      <c r="K93" s="134">
        <v>45996.0</v>
      </c>
      <c r="L93" s="139" t="s">
        <v>168</v>
      </c>
      <c r="M93" s="83" t="s">
        <v>169</v>
      </c>
      <c r="N93" s="49"/>
      <c r="O93" s="132" t="s">
        <v>696</v>
      </c>
      <c r="P93" s="142" t="s">
        <v>429</v>
      </c>
      <c r="Q93" s="143" t="s">
        <v>432</v>
      </c>
      <c r="R93" s="143" t="s">
        <v>220</v>
      </c>
      <c r="S93" s="144"/>
      <c r="T93" s="145">
        <v>45979.0</v>
      </c>
      <c r="U93" s="108" t="s">
        <v>702</v>
      </c>
      <c r="V93" s="60"/>
      <c r="W93" s="83" t="s">
        <v>83</v>
      </c>
    </row>
    <row r="94">
      <c r="A94" s="33" t="s">
        <v>704</v>
      </c>
      <c r="B94" s="139" t="s">
        <v>435</v>
      </c>
      <c r="C94" s="35" t="str">
        <f>IF(B94="","",(VLOOKUP(B94,'Dados de PN'!$A:$B,2,0)))</f>
        <v>AIR COMPRESSOR</v>
      </c>
      <c r="D94" s="139" t="s">
        <v>706</v>
      </c>
      <c r="E94" s="83" t="s">
        <v>81</v>
      </c>
      <c r="F94" s="42" t="s">
        <v>34</v>
      </c>
      <c r="G94" s="42">
        <v>1.0</v>
      </c>
      <c r="H94" s="42">
        <v>1.6275401E7</v>
      </c>
      <c r="I94" s="132" t="s">
        <v>707</v>
      </c>
      <c r="J94" s="42" t="s">
        <v>37</v>
      </c>
      <c r="K94" s="134">
        <v>46002.0</v>
      </c>
      <c r="L94" s="139" t="s">
        <v>612</v>
      </c>
      <c r="M94" s="83" t="s">
        <v>549</v>
      </c>
      <c r="N94" s="49"/>
      <c r="O94" s="49"/>
      <c r="P94" s="130"/>
      <c r="Q94" s="146"/>
      <c r="R94" s="130"/>
      <c r="S94" s="144"/>
      <c r="T94" s="144"/>
      <c r="U94" s="55"/>
      <c r="V94" s="60"/>
      <c r="W94" s="60"/>
    </row>
    <row r="95">
      <c r="A95" s="33" t="s">
        <v>711</v>
      </c>
      <c r="B95" s="139" t="s">
        <v>438</v>
      </c>
      <c r="C95" s="35" t="str">
        <f>IF(B95="","",(VLOOKUP(B95,'Dados de PN'!$A:$B,2,0)))</f>
        <v>BOLT, MACHINE</v>
      </c>
      <c r="E95" s="83" t="s">
        <v>32</v>
      </c>
      <c r="F95" s="83" t="s">
        <v>34</v>
      </c>
      <c r="G95" s="42">
        <v>2.0</v>
      </c>
      <c r="H95" s="42">
        <v>3.86250012959E11</v>
      </c>
      <c r="I95" s="132" t="s">
        <v>715</v>
      </c>
      <c r="J95" s="42" t="s">
        <v>37</v>
      </c>
      <c r="K95" s="134">
        <v>46007.0</v>
      </c>
      <c r="L95" s="139" t="s">
        <v>422</v>
      </c>
      <c r="M95" s="83" t="s">
        <v>423</v>
      </c>
      <c r="N95" s="49"/>
      <c r="O95" s="49"/>
      <c r="P95" s="130"/>
      <c r="Q95" s="146"/>
      <c r="R95" s="130"/>
      <c r="S95" s="144"/>
      <c r="T95" s="144"/>
      <c r="U95" s="55"/>
      <c r="V95" s="60"/>
      <c r="W95" s="60"/>
    </row>
    <row r="96">
      <c r="A96" s="33" t="s">
        <v>719</v>
      </c>
      <c r="B96" s="139" t="s">
        <v>441</v>
      </c>
      <c r="C96" s="35" t="str">
        <f>IF(B96="","",(VLOOKUP(B96,'Dados de PN'!$A:$B,2,0)))</f>
        <v>SPRING ASSY GAS</v>
      </c>
      <c r="D96" s="139" t="s">
        <v>31</v>
      </c>
      <c r="E96" s="83" t="s">
        <v>32</v>
      </c>
      <c r="F96" s="42" t="s">
        <v>34</v>
      </c>
      <c r="G96" s="42">
        <v>1.0</v>
      </c>
      <c r="H96" s="42">
        <v>3.86250012963E11</v>
      </c>
      <c r="I96" s="132" t="s">
        <v>723</v>
      </c>
      <c r="J96" s="42" t="s">
        <v>37</v>
      </c>
      <c r="K96" s="134">
        <v>46007.0</v>
      </c>
      <c r="L96" s="139" t="s">
        <v>422</v>
      </c>
      <c r="M96" s="83" t="s">
        <v>423</v>
      </c>
      <c r="N96" s="49"/>
      <c r="O96" s="49"/>
      <c r="P96" s="130"/>
      <c r="Q96" s="146"/>
      <c r="R96" s="130"/>
      <c r="S96" s="144"/>
      <c r="T96" s="144"/>
      <c r="U96" s="55"/>
      <c r="V96" s="60"/>
      <c r="W96" s="60"/>
    </row>
    <row r="97">
      <c r="A97" s="33" t="s">
        <v>724</v>
      </c>
      <c r="B97" s="139" t="s">
        <v>444</v>
      </c>
      <c r="C97" s="35" t="str">
        <f>IF(B97="","",(VLOOKUP(B97,'Dados de PN'!$A:$B,2,0)))</f>
        <v>HDG KNOB</v>
      </c>
      <c r="D97" s="139" t="s">
        <v>31</v>
      </c>
      <c r="E97" s="83" t="s">
        <v>32</v>
      </c>
      <c r="F97" s="42" t="s">
        <v>34</v>
      </c>
      <c r="G97" s="42">
        <v>1.0</v>
      </c>
      <c r="H97" s="42">
        <v>1.6326465E7</v>
      </c>
      <c r="I97" s="132" t="s">
        <v>727</v>
      </c>
      <c r="J97" s="42" t="s">
        <v>37</v>
      </c>
      <c r="K97" s="134">
        <v>46008.0</v>
      </c>
      <c r="L97" s="139" t="s">
        <v>290</v>
      </c>
      <c r="M97" s="83" t="s">
        <v>169</v>
      </c>
      <c r="N97" s="49"/>
      <c r="O97" s="132" t="s">
        <v>696</v>
      </c>
      <c r="P97" s="130"/>
      <c r="Q97" s="146"/>
      <c r="R97" s="130"/>
      <c r="S97" s="144"/>
      <c r="T97" s="144"/>
      <c r="U97" s="55"/>
      <c r="V97" s="60"/>
      <c r="W97" s="60"/>
    </row>
    <row r="98">
      <c r="A98" s="33" t="s">
        <v>732</v>
      </c>
      <c r="B98" s="139" t="s">
        <v>447</v>
      </c>
      <c r="C98" s="35" t="str">
        <f>IF(B98="","",(VLOOKUP(B98,'Dados de PN'!$A:$B,2,0)))</f>
        <v>NIPPLE,TUBE</v>
      </c>
      <c r="D98" s="139" t="s">
        <v>31</v>
      </c>
      <c r="E98" s="83" t="s">
        <v>32</v>
      </c>
      <c r="F98" s="42" t="s">
        <v>736</v>
      </c>
      <c r="G98" s="42">
        <v>1.0</v>
      </c>
      <c r="H98" s="42">
        <v>3.13250017311E11</v>
      </c>
      <c r="I98" s="132" t="s">
        <v>737</v>
      </c>
      <c r="J98" s="42" t="s">
        <v>37</v>
      </c>
      <c r="K98" s="134">
        <v>46029.0</v>
      </c>
      <c r="L98" s="139" t="s">
        <v>38</v>
      </c>
      <c r="M98" s="83" t="s">
        <v>51</v>
      </c>
      <c r="N98" s="49"/>
      <c r="O98" s="49"/>
      <c r="P98" s="148" t="s">
        <v>447</v>
      </c>
      <c r="Q98" s="146"/>
      <c r="R98" s="143" t="s">
        <v>449</v>
      </c>
      <c r="S98" s="144"/>
      <c r="T98" s="145">
        <v>46030.0</v>
      </c>
      <c r="U98" s="108" t="s">
        <v>741</v>
      </c>
      <c r="V98" s="60"/>
      <c r="W98" s="83" t="s">
        <v>83</v>
      </c>
    </row>
    <row r="99">
      <c r="A99" s="33" t="s">
        <v>743</v>
      </c>
      <c r="B99" s="139" t="s">
        <v>451</v>
      </c>
      <c r="C99" s="35" t="str">
        <f>IF(B99="","",(VLOOKUP(B99,'Dados de PN'!$A:$B,2,0)))</f>
        <v>CONJUNTO DE MOTOR E ATUADOR DE FLAP</v>
      </c>
      <c r="D99" s="139" t="s">
        <v>31</v>
      </c>
      <c r="E99" s="83" t="s">
        <v>81</v>
      </c>
      <c r="F99" s="42" t="s">
        <v>34</v>
      </c>
      <c r="G99" s="42">
        <v>1.0</v>
      </c>
      <c r="H99" s="42" t="s">
        <v>745</v>
      </c>
      <c r="I99" s="132" t="s">
        <v>746</v>
      </c>
      <c r="J99" s="42" t="s">
        <v>37</v>
      </c>
      <c r="K99" s="134">
        <v>46029.0</v>
      </c>
      <c r="L99" s="139" t="s">
        <v>50</v>
      </c>
      <c r="M99" s="83" t="s">
        <v>51</v>
      </c>
      <c r="N99" s="49"/>
      <c r="O99" s="49"/>
      <c r="P99" s="130"/>
      <c r="Q99" s="146"/>
      <c r="R99" s="130"/>
      <c r="S99" s="144"/>
      <c r="T99" s="144"/>
      <c r="U99" s="55"/>
      <c r="V99" s="60"/>
      <c r="W99" s="60"/>
    </row>
    <row r="100">
      <c r="A100" s="33" t="s">
        <v>748</v>
      </c>
      <c r="B100" s="139" t="s">
        <v>453</v>
      </c>
      <c r="C100" s="35" t="str">
        <f>IF(B100="","",(VLOOKUP(B100,'Dados de PN'!$A:$B,2,0)))</f>
        <v>BOMBA DE COMBUSTÍVEL</v>
      </c>
      <c r="D100" s="139" t="s">
        <v>31</v>
      </c>
      <c r="E100" s="83" t="s">
        <v>81</v>
      </c>
      <c r="F100" s="42" t="s">
        <v>34</v>
      </c>
      <c r="G100" s="42">
        <v>1.0</v>
      </c>
      <c r="H100" s="42">
        <v>1.642849E7</v>
      </c>
      <c r="I100" s="132" t="s">
        <v>750</v>
      </c>
      <c r="J100" s="42" t="s">
        <v>37</v>
      </c>
      <c r="K100" s="134">
        <v>46034.0</v>
      </c>
      <c r="L100" s="139" t="s">
        <v>290</v>
      </c>
      <c r="M100" s="83" t="s">
        <v>169</v>
      </c>
      <c r="N100" s="49"/>
      <c r="O100" s="49"/>
      <c r="P100" s="130"/>
      <c r="Q100" s="146"/>
      <c r="R100" s="130"/>
      <c r="S100" s="144"/>
      <c r="T100" s="144"/>
      <c r="U100" s="55"/>
      <c r="V100" s="60"/>
      <c r="W100" s="60"/>
    </row>
    <row r="101">
      <c r="A101" s="33" t="s">
        <v>754</v>
      </c>
      <c r="B101" s="139" t="s">
        <v>458</v>
      </c>
      <c r="C101" s="35" t="str">
        <f>IF(B101="","",(VLOOKUP(B101,'Dados de PN'!$A:$B,2,0)))</f>
        <v>DISPLAY UNIT GDU</v>
      </c>
      <c r="D101" s="139" t="s">
        <v>31</v>
      </c>
      <c r="E101" s="83" t="s">
        <v>81</v>
      </c>
      <c r="F101" s="42" t="s">
        <v>758</v>
      </c>
      <c r="G101" s="42">
        <v>1.0</v>
      </c>
      <c r="H101" s="42">
        <v>1.6428515E7</v>
      </c>
      <c r="I101" s="132" t="s">
        <v>760</v>
      </c>
      <c r="J101" s="42" t="s">
        <v>37</v>
      </c>
      <c r="K101" s="134">
        <v>46034.0</v>
      </c>
      <c r="L101" s="139" t="s">
        <v>133</v>
      </c>
      <c r="M101" s="83" t="s">
        <v>76</v>
      </c>
      <c r="N101" s="49"/>
      <c r="O101" s="49"/>
      <c r="P101" s="66"/>
      <c r="Q101" s="149"/>
      <c r="R101" s="130"/>
      <c r="S101" s="144"/>
      <c r="T101" s="144"/>
      <c r="U101" s="55"/>
      <c r="V101" s="60"/>
      <c r="W101" s="60"/>
    </row>
    <row r="102">
      <c r="A102" s="33" t="s">
        <v>768</v>
      </c>
      <c r="B102" s="139" t="s">
        <v>460</v>
      </c>
      <c r="C102" s="35" t="str">
        <f>IF(B102="","",(VLOOKUP(B102,'Dados de PN'!$A:$B,2,0)))</f>
        <v>HOSE,AIR DUCT</v>
      </c>
      <c r="D102" s="139"/>
      <c r="E102" s="83" t="s">
        <v>32</v>
      </c>
      <c r="F102" s="42" t="s">
        <v>34</v>
      </c>
      <c r="G102" s="42">
        <v>1.0</v>
      </c>
      <c r="H102" s="42">
        <v>1.6436319E7</v>
      </c>
      <c r="I102" s="132" t="s">
        <v>770</v>
      </c>
      <c r="J102" s="42" t="s">
        <v>37</v>
      </c>
      <c r="K102" s="134">
        <v>46035.0</v>
      </c>
      <c r="L102" s="139" t="s">
        <v>290</v>
      </c>
      <c r="M102" s="83" t="s">
        <v>169</v>
      </c>
      <c r="N102" s="49"/>
      <c r="O102" s="49"/>
      <c r="P102" s="130"/>
      <c r="Q102" s="146"/>
      <c r="R102" s="130"/>
      <c r="S102" s="144"/>
      <c r="T102" s="144"/>
      <c r="U102" s="55"/>
      <c r="V102" s="60"/>
      <c r="W102" s="60"/>
    </row>
    <row r="103">
      <c r="A103" s="33" t="s">
        <v>771</v>
      </c>
      <c r="B103" s="139" t="s">
        <v>772</v>
      </c>
      <c r="C103" s="35" t="str">
        <f>IF(B103="","",(VLOOKUP(B103,'Dados de PN'!$A:$B,2,0)))</f>
        <v>LAMP, INCANDESCENT</v>
      </c>
      <c r="D103" s="139"/>
      <c r="E103" s="83" t="s">
        <v>32</v>
      </c>
      <c r="F103" s="42" t="s">
        <v>34</v>
      </c>
      <c r="G103" s="42">
        <v>1.0</v>
      </c>
      <c r="H103" s="42">
        <v>6.9026E11</v>
      </c>
      <c r="I103" s="132" t="s">
        <v>776</v>
      </c>
      <c r="J103" s="42" t="s">
        <v>37</v>
      </c>
      <c r="K103" s="134">
        <v>46036.0</v>
      </c>
      <c r="L103" s="139">
        <v>2727.0</v>
      </c>
      <c r="M103" s="83" t="s">
        <v>544</v>
      </c>
      <c r="N103" s="49"/>
      <c r="O103" s="49"/>
      <c r="P103" s="130"/>
      <c r="Q103" s="146"/>
      <c r="R103" s="130"/>
      <c r="S103" s="144"/>
      <c r="T103" s="144"/>
      <c r="U103" s="55"/>
      <c r="V103" s="60"/>
      <c r="W103" s="60"/>
    </row>
    <row r="104">
      <c r="A104" s="33" t="s">
        <v>777</v>
      </c>
      <c r="B104" s="139" t="s">
        <v>466</v>
      </c>
      <c r="C104" s="35" t="str">
        <f>IF(B104="","",(VLOOKUP(B104,'Dados de PN'!$A:$B,2,0)))</f>
        <v>VENT BLOWER ASSY</v>
      </c>
      <c r="D104" s="139"/>
      <c r="E104" s="83" t="s">
        <v>32</v>
      </c>
      <c r="F104" s="42" t="s">
        <v>34</v>
      </c>
      <c r="G104" s="42">
        <v>1.0</v>
      </c>
      <c r="H104" s="42">
        <v>6.9026E11</v>
      </c>
      <c r="I104" s="132" t="s">
        <v>776</v>
      </c>
      <c r="J104" s="42" t="s">
        <v>37</v>
      </c>
      <c r="K104" s="134">
        <v>46036.0</v>
      </c>
      <c r="L104" s="139">
        <v>2727.0</v>
      </c>
      <c r="M104" s="83" t="s">
        <v>544</v>
      </c>
      <c r="N104" s="49"/>
      <c r="O104" s="49"/>
      <c r="P104" s="130"/>
      <c r="Q104" s="146"/>
      <c r="R104" s="130"/>
      <c r="S104" s="144"/>
      <c r="T104" s="144"/>
      <c r="U104" s="55"/>
      <c r="V104" s="60"/>
      <c r="W104" s="60"/>
    </row>
    <row r="105">
      <c r="A105" s="33" t="s">
        <v>782</v>
      </c>
      <c r="B105" s="139" t="s">
        <v>469</v>
      </c>
      <c r="C105" s="35" t="str">
        <f>IF(B105="","",(VLOOKUP(B105,'Dados de PN'!$A:$B,2,0)))</f>
        <v>SWITCH, REMOTE</v>
      </c>
      <c r="D105" s="139"/>
      <c r="E105" s="83" t="s">
        <v>32</v>
      </c>
      <c r="F105" s="42" t="s">
        <v>34</v>
      </c>
      <c r="G105" s="42">
        <v>1.0</v>
      </c>
      <c r="H105" s="42">
        <v>3.9626E11</v>
      </c>
      <c r="I105" s="132" t="s">
        <v>785</v>
      </c>
      <c r="J105" s="42" t="s">
        <v>37</v>
      </c>
      <c r="K105" s="134">
        <v>46036.0</v>
      </c>
      <c r="L105" s="139">
        <v>2733.0</v>
      </c>
      <c r="M105" s="83" t="s">
        <v>76</v>
      </c>
      <c r="N105" s="49"/>
      <c r="O105" s="49"/>
      <c r="P105" s="130"/>
      <c r="Q105" s="146"/>
      <c r="R105" s="130"/>
      <c r="S105" s="144"/>
      <c r="T105" s="144"/>
      <c r="U105" s="55"/>
      <c r="V105" s="60"/>
      <c r="W105" s="60"/>
    </row>
    <row r="106">
      <c r="A106" s="33" t="s">
        <v>786</v>
      </c>
      <c r="B106" s="139" t="s">
        <v>473</v>
      </c>
      <c r="C106" s="35" t="str">
        <f>IF(B106="","",(VLOOKUP(B106,'Dados de PN'!$A:$B,2,0)))</f>
        <v>SWITCH-ELEC TR</v>
      </c>
      <c r="D106" s="139"/>
      <c r="E106" s="83" t="s">
        <v>32</v>
      </c>
      <c r="F106" s="42" t="s">
        <v>34</v>
      </c>
      <c r="G106" s="42">
        <v>1.0</v>
      </c>
      <c r="H106" s="42" t="s">
        <v>475</v>
      </c>
      <c r="I106" s="132" t="s">
        <v>789</v>
      </c>
      <c r="J106" s="42" t="s">
        <v>37</v>
      </c>
      <c r="K106" s="134">
        <v>46036.0</v>
      </c>
      <c r="L106" s="139" t="s">
        <v>604</v>
      </c>
      <c r="M106" s="83" t="s">
        <v>51</v>
      </c>
      <c r="N106" s="49"/>
      <c r="O106" s="49"/>
      <c r="P106" s="130"/>
      <c r="Q106" s="146"/>
      <c r="R106" s="130"/>
      <c r="S106" s="144"/>
      <c r="T106" s="144"/>
      <c r="U106" s="55"/>
      <c r="V106" s="60"/>
      <c r="W106" s="60"/>
    </row>
    <row r="107">
      <c r="A107" s="33" t="s">
        <v>790</v>
      </c>
      <c r="B107" s="139" t="s">
        <v>161</v>
      </c>
      <c r="C107" s="35" t="str">
        <f>IF(B107="","",(VLOOKUP(B107,'Dados de PN'!$A:$B,2,0)))</f>
        <v>CABLE ASSY-FLAP INDICATOR</v>
      </c>
      <c r="D107" s="139"/>
      <c r="E107" s="83" t="s">
        <v>32</v>
      </c>
      <c r="F107" s="42" t="s">
        <v>34</v>
      </c>
      <c r="G107" s="42">
        <v>1.0</v>
      </c>
      <c r="H107" s="42">
        <v>1.6455693E7</v>
      </c>
      <c r="I107" s="132" t="s">
        <v>789</v>
      </c>
      <c r="J107" s="42" t="s">
        <v>37</v>
      </c>
      <c r="K107" s="134">
        <v>46036.0</v>
      </c>
      <c r="L107" s="139" t="s">
        <v>604</v>
      </c>
      <c r="M107" s="83" t="s">
        <v>51</v>
      </c>
      <c r="N107" s="49"/>
      <c r="O107" s="49"/>
      <c r="P107" s="130"/>
      <c r="Q107" s="146"/>
      <c r="R107" s="130"/>
      <c r="S107" s="144"/>
      <c r="T107" s="144"/>
      <c r="U107" s="55"/>
      <c r="V107" s="60"/>
      <c r="W107" s="60"/>
    </row>
    <row r="108">
      <c r="A108" s="33" t="s">
        <v>795</v>
      </c>
      <c r="B108" s="139" t="s">
        <v>477</v>
      </c>
      <c r="C108" s="35" t="str">
        <f>IF(B108="","",(VLOOKUP(B108,'Dados de PN'!$A:$B,2,0)))</f>
        <v>RETAINER,PACKING</v>
      </c>
      <c r="D108" s="139"/>
      <c r="E108" s="83" t="s">
        <v>32</v>
      </c>
      <c r="F108" s="42" t="s">
        <v>34</v>
      </c>
      <c r="G108" s="42">
        <v>1.0</v>
      </c>
      <c r="H108" s="42">
        <v>1.6463749E7</v>
      </c>
      <c r="I108" s="132" t="s">
        <v>727</v>
      </c>
      <c r="J108" s="42" t="s">
        <v>37</v>
      </c>
      <c r="K108" s="134">
        <v>46036.0</v>
      </c>
      <c r="L108" s="139" t="s">
        <v>290</v>
      </c>
      <c r="M108" s="83" t="s">
        <v>169</v>
      </c>
      <c r="N108" s="49"/>
      <c r="O108" s="49"/>
      <c r="P108" s="130"/>
      <c r="Q108" s="146"/>
      <c r="R108" s="130"/>
      <c r="S108" s="144"/>
      <c r="T108" s="144"/>
      <c r="U108" s="55"/>
      <c r="V108" s="60"/>
      <c r="W108" s="60"/>
    </row>
    <row r="109">
      <c r="A109" s="33" t="s">
        <v>798</v>
      </c>
      <c r="B109" s="139" t="s">
        <v>477</v>
      </c>
      <c r="C109" s="35" t="str">
        <f>IF(B109="","",(VLOOKUP(B109,'Dados de PN'!$A:$B,2,0)))</f>
        <v>RETAINER,PACKING</v>
      </c>
      <c r="D109" s="139"/>
      <c r="E109" s="83" t="s">
        <v>32</v>
      </c>
      <c r="F109" s="42" t="s">
        <v>34</v>
      </c>
      <c r="G109" s="42">
        <v>1.0</v>
      </c>
      <c r="H109" s="42">
        <v>1.6479594E7</v>
      </c>
      <c r="I109" s="132" t="s">
        <v>802</v>
      </c>
      <c r="J109" s="42" t="s">
        <v>37</v>
      </c>
      <c r="K109" s="134">
        <v>46043.0</v>
      </c>
      <c r="L109" s="139" t="s">
        <v>304</v>
      </c>
      <c r="M109" s="83" t="s">
        <v>76</v>
      </c>
      <c r="N109" s="49"/>
      <c r="O109" s="49"/>
      <c r="P109" s="130"/>
      <c r="Q109" s="146"/>
      <c r="R109" s="130"/>
      <c r="S109" s="144"/>
      <c r="T109" s="144"/>
      <c r="U109" s="55"/>
      <c r="V109" s="60"/>
      <c r="W109" s="60"/>
    </row>
    <row r="110">
      <c r="A110" s="33" t="s">
        <v>804</v>
      </c>
      <c r="B110" s="139" t="s">
        <v>481</v>
      </c>
      <c r="C110" s="35" t="str">
        <f>IF(B110="","",(VLOOKUP(B110,'Dados de PN'!$A:$B,2,0)))</f>
        <v>INDICATOR - OIL TEMP</v>
      </c>
      <c r="D110" s="139"/>
      <c r="E110" s="83" t="s">
        <v>81</v>
      </c>
      <c r="F110" s="42" t="s">
        <v>758</v>
      </c>
      <c r="G110" s="42">
        <v>1.0</v>
      </c>
      <c r="H110" s="42">
        <v>3.29260018825E11</v>
      </c>
      <c r="I110" s="132" t="s">
        <v>805</v>
      </c>
      <c r="J110" s="42" t="s">
        <v>37</v>
      </c>
      <c r="K110" s="134">
        <v>46043.0</v>
      </c>
      <c r="L110" s="139" t="s">
        <v>290</v>
      </c>
      <c r="M110" s="83" t="s">
        <v>169</v>
      </c>
      <c r="N110" s="49"/>
      <c r="O110" s="49"/>
      <c r="P110" s="130"/>
      <c r="Q110" s="146"/>
      <c r="R110" s="130"/>
      <c r="S110" s="144"/>
      <c r="T110" s="144"/>
      <c r="U110" s="55"/>
      <c r="V110" s="60"/>
      <c r="W110" s="60"/>
    </row>
    <row r="111">
      <c r="A111" s="33" t="s">
        <v>808</v>
      </c>
      <c r="B111" s="139" t="s">
        <v>484</v>
      </c>
      <c r="C111" s="35" t="str">
        <f>IF(B111="","",(VLOOKUP(B111,'Dados de PN'!$A:$B,2,0)))</f>
        <v>INDICATOR FUEL</v>
      </c>
      <c r="D111" s="139"/>
      <c r="E111" s="83" t="s">
        <v>81</v>
      </c>
      <c r="F111" s="42" t="s">
        <v>758</v>
      </c>
      <c r="G111" s="42">
        <v>1.0</v>
      </c>
      <c r="H111" s="42">
        <v>3.29260018826E11</v>
      </c>
      <c r="I111" s="132" t="s">
        <v>811</v>
      </c>
      <c r="J111" s="42" t="s">
        <v>37</v>
      </c>
      <c r="K111" s="134">
        <v>46043.0</v>
      </c>
      <c r="L111" s="139" t="s">
        <v>290</v>
      </c>
      <c r="M111" s="83" t="s">
        <v>169</v>
      </c>
      <c r="N111" s="49"/>
      <c r="O111" s="49"/>
      <c r="P111" s="148" t="s">
        <v>484</v>
      </c>
      <c r="Q111" s="143" t="s">
        <v>486</v>
      </c>
      <c r="R111" s="143" t="s">
        <v>487</v>
      </c>
      <c r="S111" s="144"/>
      <c r="T111" s="150">
        <v>45805.0</v>
      </c>
      <c r="U111" s="108" t="s">
        <v>815</v>
      </c>
      <c r="V111" s="83"/>
      <c r="W111" s="60"/>
    </row>
    <row r="112">
      <c r="A112" s="33" t="s">
        <v>817</v>
      </c>
      <c r="B112" s="139" t="s">
        <v>489</v>
      </c>
      <c r="C112" s="35" t="str">
        <f>IF(B112="","",(VLOOKUP(B112,'Dados de PN'!$A:$B,2,0)))</f>
        <v>TRANSCEIVER</v>
      </c>
      <c r="D112" s="139"/>
      <c r="E112" s="83" t="s">
        <v>81</v>
      </c>
      <c r="F112" s="42" t="s">
        <v>758</v>
      </c>
      <c r="G112" s="42">
        <v>1.0</v>
      </c>
      <c r="H112" s="42">
        <v>1.6494618E7</v>
      </c>
      <c r="I112" s="132" t="s">
        <v>820</v>
      </c>
      <c r="J112" s="42" t="s">
        <v>37</v>
      </c>
      <c r="K112" s="134">
        <v>46043.0</v>
      </c>
      <c r="L112" s="139" t="s">
        <v>152</v>
      </c>
      <c r="M112" s="83" t="s">
        <v>61</v>
      </c>
      <c r="N112" s="49"/>
      <c r="O112" s="49"/>
      <c r="P112" s="148" t="s">
        <v>491</v>
      </c>
      <c r="Q112" s="143" t="s">
        <v>492</v>
      </c>
      <c r="R112" s="148" t="s">
        <v>494</v>
      </c>
      <c r="S112" s="144"/>
      <c r="T112" s="145">
        <v>45959.0</v>
      </c>
      <c r="U112" s="108" t="s">
        <v>821</v>
      </c>
      <c r="V112" s="83"/>
      <c r="W112" s="83" t="s">
        <v>83</v>
      </c>
    </row>
    <row r="113">
      <c r="A113" s="33" t="s">
        <v>822</v>
      </c>
      <c r="B113" s="139" t="s">
        <v>495</v>
      </c>
      <c r="C113" s="35" t="str">
        <f>IF(B113="","",(VLOOKUP(B113,'Dados de PN'!$A:$B,2,0)))</f>
        <v>CONTROL UNIT ASSY-GENERATOR</v>
      </c>
      <c r="D113" s="139"/>
      <c r="E113" s="83" t="s">
        <v>81</v>
      </c>
      <c r="F113" s="42" t="s">
        <v>34</v>
      </c>
      <c r="G113" s="42">
        <v>1.0</v>
      </c>
      <c r="H113" s="42" t="s">
        <v>828</v>
      </c>
      <c r="I113" s="132" t="s">
        <v>820</v>
      </c>
      <c r="J113" s="42" t="s">
        <v>37</v>
      </c>
      <c r="K113" s="134">
        <v>46044.0</v>
      </c>
      <c r="L113" s="139">
        <v>2719.0</v>
      </c>
      <c r="M113" s="83" t="s">
        <v>61</v>
      </c>
      <c r="N113" s="49"/>
      <c r="O113" s="49"/>
      <c r="P113" s="148" t="s">
        <v>497</v>
      </c>
      <c r="Q113" s="143" t="s">
        <v>498</v>
      </c>
      <c r="R113" s="143" t="s">
        <v>499</v>
      </c>
      <c r="S113" s="144"/>
      <c r="T113" s="145">
        <v>46052.0</v>
      </c>
      <c r="U113" s="108" t="s">
        <v>830</v>
      </c>
      <c r="V113" s="83"/>
      <c r="W113" s="60"/>
      <c r="X113" s="60"/>
      <c r="Y113" s="60"/>
      <c r="Z113" s="60"/>
      <c r="AA113" s="60"/>
      <c r="AB113" s="60"/>
      <c r="AC113" s="60"/>
      <c r="AD113" s="60"/>
    </row>
    <row r="114">
      <c r="A114" s="33" t="s">
        <v>832</v>
      </c>
      <c r="B114" s="139" t="s">
        <v>500</v>
      </c>
      <c r="C114" s="35" t="str">
        <f>IF(B114="","",(VLOOKUP(B114,'Dados de PN'!$A:$B,2,0)))</f>
        <v>CABLE ASSY</v>
      </c>
      <c r="D114" s="139" t="s">
        <v>31</v>
      </c>
      <c r="E114" s="83" t="s">
        <v>32</v>
      </c>
      <c r="F114" s="42" t="s">
        <v>34</v>
      </c>
      <c r="G114" s="42">
        <v>1.0</v>
      </c>
      <c r="H114" s="42">
        <v>1.6525969E7</v>
      </c>
      <c r="I114" s="132" t="s">
        <v>542</v>
      </c>
      <c r="J114" s="42" t="s">
        <v>37</v>
      </c>
      <c r="K114" s="134">
        <v>46049.0</v>
      </c>
      <c r="L114" s="139" t="s">
        <v>543</v>
      </c>
      <c r="M114" s="83" t="s">
        <v>544</v>
      </c>
      <c r="N114" s="49"/>
      <c r="O114" s="49"/>
      <c r="P114" s="130"/>
      <c r="Q114" s="146"/>
      <c r="R114" s="130"/>
      <c r="S114" s="144"/>
      <c r="T114" s="144"/>
      <c r="U114" s="55"/>
      <c r="V114" s="60"/>
      <c r="W114" s="60"/>
      <c r="X114" s="60"/>
      <c r="Y114" s="60"/>
      <c r="Z114" s="60"/>
      <c r="AA114" s="60"/>
      <c r="AB114" s="60"/>
      <c r="AC114" s="60"/>
      <c r="AD114" s="60"/>
    </row>
    <row r="115">
      <c r="A115" s="33" t="s">
        <v>836</v>
      </c>
      <c r="B115" s="139" t="s">
        <v>503</v>
      </c>
      <c r="C115" s="35" t="str">
        <f>IF(B115="","",(VLOOKUP(B115,'Dados de PN'!$A:$B,2,0)))</f>
        <v>CONTROL ASSY</v>
      </c>
      <c r="D115" s="139" t="s">
        <v>31</v>
      </c>
      <c r="E115" s="83" t="s">
        <v>32</v>
      </c>
      <c r="F115" s="42" t="s">
        <v>34</v>
      </c>
      <c r="G115" s="42">
        <v>1.0</v>
      </c>
      <c r="H115" s="42">
        <v>1.6525969E7</v>
      </c>
      <c r="I115" s="132" t="s">
        <v>838</v>
      </c>
      <c r="J115" s="42" t="s">
        <v>37</v>
      </c>
      <c r="K115" s="134">
        <v>46049.0</v>
      </c>
      <c r="L115" s="35" t="s">
        <v>422</v>
      </c>
      <c r="M115" s="42" t="s">
        <v>423</v>
      </c>
      <c r="N115" s="49"/>
      <c r="O115" s="49"/>
      <c r="P115" s="66"/>
      <c r="Q115" s="149"/>
      <c r="R115" s="66"/>
      <c r="S115" s="144"/>
      <c r="T115" s="144"/>
      <c r="U115" s="55"/>
      <c r="V115" s="60"/>
      <c r="W115" s="60"/>
      <c r="X115" s="60"/>
      <c r="Y115" s="60"/>
      <c r="Z115" s="60"/>
      <c r="AA115" s="60"/>
      <c r="AB115" s="60"/>
      <c r="AC115" s="60"/>
      <c r="AD115" s="60"/>
    </row>
    <row r="116">
      <c r="A116" s="33" t="s">
        <v>841</v>
      </c>
      <c r="B116" s="139" t="s">
        <v>506</v>
      </c>
      <c r="C116" s="35" t="str">
        <f>IF(B116="","",(VLOOKUP(B116,'Dados de PN'!$A:$B,2,0)))</f>
        <v>TUBE-DRAIN</v>
      </c>
      <c r="D116" s="139" t="s">
        <v>31</v>
      </c>
      <c r="E116" s="83" t="s">
        <v>32</v>
      </c>
      <c r="F116" s="42" t="s">
        <v>34</v>
      </c>
      <c r="G116" s="42">
        <v>1.0</v>
      </c>
      <c r="H116" s="139" t="s">
        <v>842</v>
      </c>
      <c r="I116" s="132" t="s">
        <v>843</v>
      </c>
      <c r="J116" s="42" t="s">
        <v>37</v>
      </c>
      <c r="K116" s="134">
        <v>46050.0</v>
      </c>
      <c r="L116" s="35" t="s">
        <v>422</v>
      </c>
      <c r="M116" s="42" t="s">
        <v>423</v>
      </c>
      <c r="N116" s="49"/>
      <c r="O116" s="49"/>
      <c r="P116" s="66"/>
      <c r="Q116" s="149"/>
      <c r="R116" s="66"/>
      <c r="S116" s="144"/>
      <c r="T116" s="144"/>
      <c r="U116" s="55"/>
      <c r="V116" s="60"/>
      <c r="W116" s="60"/>
      <c r="X116" s="60"/>
      <c r="Y116" s="60"/>
      <c r="Z116" s="60"/>
      <c r="AA116" s="60"/>
      <c r="AB116" s="60"/>
      <c r="AC116" s="60"/>
      <c r="AD116" s="60"/>
    </row>
    <row r="117">
      <c r="A117" s="33" t="s">
        <v>847</v>
      </c>
      <c r="B117" s="139" t="s">
        <v>509</v>
      </c>
      <c r="C117" s="35" t="str">
        <f>IF(B117="","",(VLOOKUP(B117,'Dados de PN'!$A:$B,2,0)))</f>
        <v>BOLT U</v>
      </c>
      <c r="D117" s="139" t="s">
        <v>31</v>
      </c>
      <c r="E117" s="83" t="s">
        <v>32</v>
      </c>
      <c r="F117" s="42" t="s">
        <v>164</v>
      </c>
      <c r="G117" s="42">
        <v>2.0</v>
      </c>
      <c r="H117" s="139" t="s">
        <v>851</v>
      </c>
      <c r="I117" s="132" t="s">
        <v>843</v>
      </c>
      <c r="J117" s="42" t="s">
        <v>37</v>
      </c>
      <c r="K117" s="134">
        <v>46050.0</v>
      </c>
      <c r="L117" s="35" t="s">
        <v>422</v>
      </c>
      <c r="M117" s="42" t="s">
        <v>423</v>
      </c>
      <c r="N117" s="49"/>
      <c r="O117" s="49"/>
      <c r="P117" s="148" t="s">
        <v>509</v>
      </c>
      <c r="Q117" s="143" t="s">
        <v>511</v>
      </c>
      <c r="R117" s="143" t="s">
        <v>512</v>
      </c>
      <c r="S117" s="144"/>
      <c r="T117" s="145">
        <v>46048.0</v>
      </c>
      <c r="U117" s="108" t="s">
        <v>852</v>
      </c>
      <c r="V117" s="60"/>
      <c r="W117" s="60"/>
      <c r="X117" s="60"/>
      <c r="Y117" s="60"/>
      <c r="Z117" s="60"/>
      <c r="AA117" s="60"/>
      <c r="AB117" s="60"/>
      <c r="AC117" s="60"/>
      <c r="AD117" s="60"/>
    </row>
    <row r="118">
      <c r="A118" s="33" t="s">
        <v>856</v>
      </c>
      <c r="B118" s="139" t="s">
        <v>514</v>
      </c>
      <c r="C118" s="35" t="str">
        <f>IF(B118="","",(VLOOKUP(B118,'Dados de PN'!$A:$B,2,0)))</f>
        <v>SPRING</v>
      </c>
      <c r="D118" s="139" t="s">
        <v>31</v>
      </c>
      <c r="E118" s="83" t="s">
        <v>32</v>
      </c>
      <c r="F118" s="42" t="s">
        <v>164</v>
      </c>
      <c r="G118" s="42">
        <v>2.0</v>
      </c>
      <c r="H118" s="139" t="s">
        <v>858</v>
      </c>
      <c r="I118" s="132" t="s">
        <v>843</v>
      </c>
      <c r="J118" s="42" t="s">
        <v>37</v>
      </c>
      <c r="K118" s="134">
        <v>46050.0</v>
      </c>
      <c r="L118" s="35" t="s">
        <v>422</v>
      </c>
      <c r="M118" s="42" t="s">
        <v>423</v>
      </c>
      <c r="N118" s="49"/>
      <c r="O118" s="49"/>
      <c r="P118" s="60"/>
      <c r="Q118" s="49"/>
      <c r="R118" s="60"/>
      <c r="S118" s="60"/>
      <c r="T118" s="60"/>
      <c r="U118" s="55"/>
      <c r="V118" s="60"/>
      <c r="W118" s="60"/>
      <c r="X118" s="60"/>
      <c r="Y118" s="60"/>
      <c r="Z118" s="60"/>
      <c r="AA118" s="60"/>
      <c r="AB118" s="60"/>
      <c r="AC118" s="60"/>
      <c r="AD118" s="60"/>
    </row>
    <row r="119">
      <c r="A119" s="33" t="s">
        <v>864</v>
      </c>
      <c r="B119" s="139" t="s">
        <v>518</v>
      </c>
      <c r="C119" s="35" t="str">
        <f>IF(B119="","",(VLOOKUP(B119,'Dados de PN'!$A:$B,2,0)))</f>
        <v>CABLE NIPPLE,ELECTRICAL</v>
      </c>
      <c r="D119" s="139" t="s">
        <v>31</v>
      </c>
      <c r="E119" s="83" t="s">
        <v>32</v>
      </c>
      <c r="F119" s="83" t="s">
        <v>346</v>
      </c>
      <c r="G119" s="42">
        <v>10.0</v>
      </c>
      <c r="H119" s="42">
        <v>3.86260013052E11</v>
      </c>
      <c r="I119" s="132" t="s">
        <v>866</v>
      </c>
      <c r="J119" s="83" t="s">
        <v>37</v>
      </c>
      <c r="K119" s="134">
        <v>46063.0</v>
      </c>
      <c r="L119" s="35" t="s">
        <v>422</v>
      </c>
      <c r="M119" s="42" t="s">
        <v>423</v>
      </c>
      <c r="N119" s="132">
        <v>2.02667113005149E14</v>
      </c>
      <c r="O119" s="49"/>
      <c r="P119" s="60"/>
      <c r="Q119" s="49"/>
      <c r="R119" s="60"/>
      <c r="S119" s="60"/>
      <c r="T119" s="60"/>
      <c r="U119" s="55"/>
      <c r="V119" s="60"/>
      <c r="W119" s="60"/>
      <c r="X119" s="60"/>
      <c r="Y119" s="60"/>
      <c r="Z119" s="60"/>
      <c r="AA119" s="60"/>
      <c r="AB119" s="60"/>
      <c r="AC119" s="60"/>
      <c r="AD119" s="60"/>
    </row>
    <row r="120">
      <c r="A120" s="33" t="s">
        <v>869</v>
      </c>
      <c r="B120" s="139" t="s">
        <v>521</v>
      </c>
      <c r="C120" s="35" t="str">
        <f>IF(B120="","",(VLOOKUP(B120,'Dados de PN'!$A:$B,2,0)))</f>
        <v>MOTOR,DIRECT CURRENT</v>
      </c>
      <c r="D120" s="139" t="s">
        <v>31</v>
      </c>
      <c r="E120" s="83" t="s">
        <v>32</v>
      </c>
      <c r="F120" s="83" t="s">
        <v>34</v>
      </c>
      <c r="G120" s="42">
        <v>1.0</v>
      </c>
      <c r="H120" s="42">
        <v>3.1325001755E11</v>
      </c>
      <c r="I120" s="132" t="s">
        <v>871</v>
      </c>
      <c r="J120" s="83" t="s">
        <v>37</v>
      </c>
      <c r="K120" s="134">
        <v>46028.0</v>
      </c>
      <c r="L120" s="139" t="s">
        <v>263</v>
      </c>
      <c r="M120" s="83" t="s">
        <v>51</v>
      </c>
      <c r="N120" s="49"/>
      <c r="O120" s="49"/>
      <c r="P120" s="60"/>
      <c r="Q120" s="49"/>
      <c r="R120" s="60"/>
      <c r="S120" s="60"/>
      <c r="T120" s="60"/>
      <c r="U120" s="55"/>
      <c r="V120" s="60"/>
      <c r="W120" s="60"/>
      <c r="X120" s="60"/>
      <c r="Y120" s="60"/>
      <c r="Z120" s="60"/>
      <c r="AA120" s="60"/>
      <c r="AB120" s="60"/>
      <c r="AC120" s="60"/>
      <c r="AD120" s="60"/>
    </row>
    <row r="121">
      <c r="A121" s="33" t="s">
        <v>875</v>
      </c>
      <c r="B121" s="139" t="s">
        <v>524</v>
      </c>
      <c r="C121" s="35" t="str">
        <f>IF(B121="","",(VLOOKUP(B121,'Dados de PN'!$A:$B,2,0)))</f>
        <v>OIL COOLER-LARGE</v>
      </c>
      <c r="D121" s="139" t="s">
        <v>876</v>
      </c>
      <c r="E121" s="83" t="s">
        <v>81</v>
      </c>
      <c r="F121" s="83" t="s">
        <v>34</v>
      </c>
      <c r="G121" s="42">
        <v>1.0</v>
      </c>
      <c r="H121" s="42">
        <v>1.6693774E7</v>
      </c>
      <c r="I121" s="132" t="s">
        <v>879</v>
      </c>
      <c r="J121" s="83" t="s">
        <v>37</v>
      </c>
      <c r="K121" s="134">
        <v>46065.0</v>
      </c>
      <c r="L121" s="139" t="s">
        <v>183</v>
      </c>
      <c r="M121" s="83" t="s">
        <v>61</v>
      </c>
      <c r="N121" s="49"/>
      <c r="O121" s="49"/>
      <c r="P121" s="60"/>
      <c r="Q121" s="49"/>
      <c r="R121" s="60"/>
      <c r="S121" s="60"/>
      <c r="T121" s="60"/>
      <c r="U121" s="55"/>
      <c r="V121" s="60"/>
      <c r="W121" s="60"/>
      <c r="X121" s="60"/>
      <c r="Y121" s="60"/>
      <c r="Z121" s="60"/>
      <c r="AA121" s="60"/>
      <c r="AB121" s="60"/>
      <c r="AC121" s="60"/>
      <c r="AD121" s="60"/>
    </row>
    <row r="122">
      <c r="A122" s="33" t="s">
        <v>881</v>
      </c>
      <c r="B122" s="151" t="s">
        <v>527</v>
      </c>
      <c r="C122" s="35" t="str">
        <f>IF(B122="","",(VLOOKUP(B122,'Dados de PN'!$A:$B,2,0)))</f>
        <v>GOVERNOR,OVERSPEED</v>
      </c>
      <c r="D122" s="139" t="s">
        <v>529</v>
      </c>
      <c r="E122" s="83" t="s">
        <v>81</v>
      </c>
      <c r="F122" s="83" t="s">
        <v>34</v>
      </c>
      <c r="G122" s="42">
        <v>1.0</v>
      </c>
      <c r="H122" s="42">
        <v>1.6693775E7</v>
      </c>
      <c r="I122" s="132" t="s">
        <v>879</v>
      </c>
      <c r="J122" s="83" t="s">
        <v>37</v>
      </c>
      <c r="K122" s="134">
        <v>46065.0</v>
      </c>
      <c r="L122" s="139" t="s">
        <v>183</v>
      </c>
      <c r="M122" s="83" t="s">
        <v>61</v>
      </c>
      <c r="N122" s="49"/>
      <c r="O122" s="49"/>
      <c r="P122" s="60" t="s">
        <v>527</v>
      </c>
      <c r="Q122" s="49" t="s">
        <v>532</v>
      </c>
      <c r="R122" s="152" t="s">
        <v>533</v>
      </c>
      <c r="S122" s="60"/>
      <c r="T122" s="60"/>
      <c r="U122" s="55"/>
      <c r="V122" s="153"/>
      <c r="W122" s="60"/>
      <c r="X122" s="60"/>
      <c r="Y122" s="60"/>
      <c r="Z122" s="60"/>
      <c r="AA122" s="154"/>
      <c r="AB122" s="154"/>
      <c r="AC122" s="154"/>
      <c r="AD122" s="154"/>
    </row>
    <row r="123">
      <c r="A123" s="33" t="s">
        <v>892</v>
      </c>
      <c r="B123" s="139" t="s">
        <v>534</v>
      </c>
      <c r="C123" s="35" t="str">
        <f>IF(B123="","",(VLOOKUP(B123,'Dados de PN'!$A:$B,2,0)))</f>
        <v>VALVE,SAFETY RELIEF</v>
      </c>
      <c r="D123" s="139" t="s">
        <v>31</v>
      </c>
      <c r="E123" s="83" t="s">
        <v>32</v>
      </c>
      <c r="F123" s="83" t="s">
        <v>34</v>
      </c>
      <c r="G123" s="42">
        <v>1.0</v>
      </c>
      <c r="H123" s="42">
        <v>6.8526001085E11</v>
      </c>
      <c r="I123" s="132" t="s">
        <v>895</v>
      </c>
      <c r="J123" s="83" t="s">
        <v>37</v>
      </c>
      <c r="K123" s="134">
        <v>46065.0</v>
      </c>
      <c r="L123" s="139" t="s">
        <v>60</v>
      </c>
      <c r="M123" s="83" t="s">
        <v>61</v>
      </c>
      <c r="N123" s="49"/>
      <c r="O123" s="49"/>
      <c r="P123" s="60"/>
      <c r="Q123" s="49"/>
      <c r="R123" s="60"/>
      <c r="S123" s="60"/>
      <c r="T123" s="60"/>
      <c r="U123" s="55"/>
      <c r="V123" s="60"/>
      <c r="W123" s="60"/>
      <c r="X123" s="60"/>
      <c r="Y123" s="60"/>
      <c r="Z123" s="60"/>
      <c r="AA123" s="60"/>
      <c r="AB123" s="60"/>
      <c r="AC123" s="60"/>
      <c r="AD123" s="60"/>
    </row>
    <row r="124">
      <c r="A124" s="33" t="s">
        <v>897</v>
      </c>
      <c r="B124" s="139" t="s">
        <v>534</v>
      </c>
      <c r="C124" s="35" t="str">
        <f>IF(B124="","",(VLOOKUP(B124,'Dados de PN'!$A:$B,2,0)))</f>
        <v>VALVE,SAFETY RELIEF</v>
      </c>
      <c r="D124" s="139" t="s">
        <v>31</v>
      </c>
      <c r="E124" s="83" t="s">
        <v>32</v>
      </c>
      <c r="F124" s="83" t="s">
        <v>34</v>
      </c>
      <c r="G124" s="42">
        <v>1.0</v>
      </c>
      <c r="H124" s="42">
        <v>6.85260010851E11</v>
      </c>
      <c r="I124" s="132" t="s">
        <v>899</v>
      </c>
      <c r="J124" s="83" t="s">
        <v>37</v>
      </c>
      <c r="K124" s="134">
        <v>46065.0</v>
      </c>
      <c r="L124" s="139" t="s">
        <v>183</v>
      </c>
      <c r="M124" s="83" t="s">
        <v>61</v>
      </c>
      <c r="N124" s="49"/>
      <c r="O124" s="49"/>
      <c r="P124" s="60"/>
      <c r="Q124" s="49"/>
      <c r="R124" s="60"/>
      <c r="S124" s="60"/>
      <c r="T124" s="60"/>
      <c r="U124" s="55"/>
      <c r="V124" s="60"/>
      <c r="W124" s="60"/>
      <c r="X124" s="60"/>
      <c r="Y124" s="60"/>
      <c r="Z124" s="60"/>
      <c r="AA124" s="60"/>
      <c r="AB124" s="60"/>
      <c r="AC124" s="60"/>
      <c r="AD124" s="60"/>
    </row>
    <row r="125">
      <c r="A125" s="33" t="s">
        <v>904</v>
      </c>
      <c r="B125" s="139" t="s">
        <v>905</v>
      </c>
      <c r="C125" s="35" t="str">
        <f>IF(B125="","",(VLOOKUP(B125,'Dados de PN'!$A:$B,2,0)))</f>
        <v>GYRO HORIZON</v>
      </c>
      <c r="D125" s="139" t="s">
        <v>907</v>
      </c>
      <c r="E125" s="83" t="s">
        <v>81</v>
      </c>
      <c r="F125" s="83" t="s">
        <v>34</v>
      </c>
      <c r="G125" s="42">
        <v>1.0</v>
      </c>
      <c r="H125" s="42">
        <v>1.6694288E7</v>
      </c>
      <c r="I125" s="43" t="s">
        <v>908</v>
      </c>
      <c r="J125" s="83" t="s">
        <v>37</v>
      </c>
      <c r="K125" s="46">
        <v>46066.0</v>
      </c>
      <c r="L125" s="139" t="s">
        <v>168</v>
      </c>
      <c r="M125" s="83" t="s">
        <v>169</v>
      </c>
      <c r="N125" s="49"/>
      <c r="O125" s="49"/>
      <c r="P125" s="60"/>
      <c r="Q125" s="49"/>
      <c r="R125" s="60"/>
      <c r="S125" s="60"/>
      <c r="T125" s="60"/>
      <c r="U125" s="55"/>
      <c r="V125" s="60"/>
      <c r="W125" s="60"/>
      <c r="X125" s="60"/>
      <c r="Y125" s="60"/>
      <c r="Z125" s="60"/>
      <c r="AA125" s="60"/>
      <c r="AB125" s="60"/>
      <c r="AC125" s="60"/>
      <c r="AD125" s="60"/>
    </row>
    <row r="126">
      <c r="A126" s="33" t="s">
        <v>913</v>
      </c>
      <c r="B126" s="139" t="s">
        <v>547</v>
      </c>
      <c r="C126" s="35" t="str">
        <f>IF(B126="","",(VLOOKUP(B126,'Dados de PN'!$A:$B,2,0)))</f>
        <v>THERMOSTAT</v>
      </c>
      <c r="D126" s="139"/>
      <c r="E126" s="83" t="s">
        <v>32</v>
      </c>
      <c r="F126" s="83" t="s">
        <v>34</v>
      </c>
      <c r="G126" s="42">
        <v>1.0</v>
      </c>
      <c r="H126" s="42">
        <v>3.84260009358E11</v>
      </c>
      <c r="I126" s="132" t="s">
        <v>917</v>
      </c>
      <c r="J126" s="83" t="s">
        <v>37</v>
      </c>
      <c r="K126" s="46">
        <v>46073.0</v>
      </c>
      <c r="L126" s="139" t="s">
        <v>612</v>
      </c>
      <c r="M126" s="83" t="s">
        <v>549</v>
      </c>
      <c r="N126" s="49"/>
      <c r="O126" s="49"/>
      <c r="P126" s="60"/>
      <c r="Q126" s="49"/>
      <c r="R126" s="60"/>
      <c r="S126" s="60"/>
      <c r="T126" s="60"/>
      <c r="U126" s="55"/>
      <c r="V126" s="60"/>
      <c r="W126" s="60"/>
      <c r="X126" s="60"/>
      <c r="Y126" s="60"/>
      <c r="Z126" s="60"/>
      <c r="AA126" s="60"/>
      <c r="AB126" s="60"/>
      <c r="AC126" s="60"/>
      <c r="AD126" s="60"/>
    </row>
    <row r="127">
      <c r="A127" s="33" t="s">
        <v>918</v>
      </c>
      <c r="B127" s="35" t="s">
        <v>369</v>
      </c>
      <c r="C127" s="35" t="str">
        <f>IF(B127="","",(VLOOKUP(B127,'Dados de PN'!$A:$B,2,0)))</f>
        <v>WHEEL HALF ASSY</v>
      </c>
      <c r="D127" s="139"/>
      <c r="E127" s="83" t="s">
        <v>81</v>
      </c>
      <c r="F127" s="83" t="s">
        <v>34</v>
      </c>
      <c r="G127" s="42">
        <v>1.0</v>
      </c>
      <c r="H127" s="35" t="s">
        <v>922</v>
      </c>
      <c r="I127" s="132" t="s">
        <v>923</v>
      </c>
      <c r="J127" s="83" t="s">
        <v>37</v>
      </c>
      <c r="K127" s="46">
        <v>46073.0</v>
      </c>
      <c r="L127" s="139" t="s">
        <v>168</v>
      </c>
      <c r="M127" s="83" t="s">
        <v>169</v>
      </c>
      <c r="N127" s="49"/>
      <c r="O127" s="49"/>
      <c r="P127" s="157" t="s">
        <v>369</v>
      </c>
      <c r="Q127" s="132" t="s">
        <v>926</v>
      </c>
      <c r="R127" s="83" t="s">
        <v>554</v>
      </c>
      <c r="S127" s="60"/>
      <c r="T127" s="159">
        <v>45889.0</v>
      </c>
      <c r="U127" s="108" t="s">
        <v>930</v>
      </c>
      <c r="V127" s="60"/>
      <c r="W127" s="60"/>
      <c r="X127" s="60"/>
      <c r="Y127" s="60"/>
      <c r="Z127" s="60"/>
      <c r="AA127" s="60"/>
      <c r="AB127" s="60"/>
      <c r="AC127" s="60"/>
      <c r="AD127" s="60"/>
    </row>
    <row r="128">
      <c r="A128" s="33" t="s">
        <v>931</v>
      </c>
      <c r="B128" s="35" t="s">
        <v>374</v>
      </c>
      <c r="C128" s="35" t="str">
        <f>IF(B128="","",(VLOOKUP(B128,'Dados de PN'!$A:$B,2,0)))</f>
        <v>WHEEL HALF ASSY</v>
      </c>
      <c r="D128" s="139"/>
      <c r="E128" s="83" t="s">
        <v>81</v>
      </c>
      <c r="F128" s="83" t="s">
        <v>34</v>
      </c>
      <c r="G128" s="42">
        <v>1.0</v>
      </c>
      <c r="H128" s="35" t="s">
        <v>934</v>
      </c>
      <c r="I128" s="132" t="s">
        <v>923</v>
      </c>
      <c r="J128" s="83" t="s">
        <v>37</v>
      </c>
      <c r="K128" s="46">
        <v>46073.0</v>
      </c>
      <c r="L128" s="139" t="s">
        <v>168</v>
      </c>
      <c r="M128" s="83" t="s">
        <v>169</v>
      </c>
      <c r="N128" s="49"/>
      <c r="O128" s="49"/>
      <c r="P128" s="60"/>
      <c r="Q128" s="49"/>
      <c r="R128" s="60"/>
      <c r="S128" s="60"/>
      <c r="T128" s="60"/>
      <c r="U128" s="55"/>
      <c r="V128" s="60"/>
      <c r="W128" s="60"/>
      <c r="X128" s="60"/>
      <c r="Y128" s="60"/>
      <c r="Z128" s="60"/>
      <c r="AA128" s="60"/>
      <c r="AB128" s="60"/>
      <c r="AC128" s="60"/>
      <c r="AD128" s="60"/>
    </row>
    <row r="129">
      <c r="A129" s="33" t="s">
        <v>937</v>
      </c>
      <c r="B129" s="35" t="s">
        <v>257</v>
      </c>
      <c r="C129" s="35" t="str">
        <f>IF(B129="","",(VLOOKUP(B129,'Dados de PN'!$A:$B,2,0)))</f>
        <v>INNER TUBE,PNEUMATIC TIRE,AIRCRAFT</v>
      </c>
      <c r="D129" s="139"/>
      <c r="E129" s="83" t="s">
        <v>32</v>
      </c>
      <c r="F129" s="83" t="s">
        <v>34</v>
      </c>
      <c r="G129" s="42">
        <v>1.0</v>
      </c>
      <c r="H129" s="35" t="s">
        <v>938</v>
      </c>
      <c r="I129" s="132" t="s">
        <v>923</v>
      </c>
      <c r="J129" s="83" t="s">
        <v>37</v>
      </c>
      <c r="K129" s="46">
        <v>46073.0</v>
      </c>
      <c r="L129" s="139" t="s">
        <v>168</v>
      </c>
      <c r="M129" s="83" t="s">
        <v>169</v>
      </c>
      <c r="N129" s="49"/>
      <c r="O129" s="49"/>
      <c r="P129" s="60"/>
      <c r="Q129" s="49"/>
      <c r="R129" s="60"/>
      <c r="S129" s="60"/>
      <c r="T129" s="60"/>
      <c r="U129" s="55"/>
      <c r="V129" s="60"/>
      <c r="W129" s="60"/>
      <c r="X129" s="60"/>
      <c r="Y129" s="60"/>
      <c r="Z129" s="60"/>
      <c r="AA129" s="60"/>
      <c r="AB129" s="60"/>
      <c r="AC129" s="60"/>
      <c r="AD129" s="60"/>
    </row>
    <row r="130">
      <c r="A130" s="33" t="s">
        <v>942</v>
      </c>
      <c r="B130" s="35" t="s">
        <v>240</v>
      </c>
      <c r="C130" s="35" t="str">
        <f>IF(B130="","",(VLOOKUP(B130,'Dados de PN'!$A:$B,2,0)))</f>
        <v>PNEU PRINCIPAL 8.50-10 08PR TT FCIII MLG</v>
      </c>
      <c r="D130" s="139"/>
      <c r="E130" s="83" t="s">
        <v>32</v>
      </c>
      <c r="F130" s="83" t="s">
        <v>34</v>
      </c>
      <c r="G130" s="42">
        <v>1.0</v>
      </c>
      <c r="H130" s="35" t="s">
        <v>944</v>
      </c>
      <c r="I130" s="132" t="s">
        <v>923</v>
      </c>
      <c r="J130" s="83" t="s">
        <v>37</v>
      </c>
      <c r="K130" s="46">
        <v>46073.0</v>
      </c>
      <c r="L130" s="139" t="s">
        <v>168</v>
      </c>
      <c r="M130" s="83" t="s">
        <v>169</v>
      </c>
      <c r="N130" s="49"/>
      <c r="O130" s="49"/>
      <c r="P130" s="60"/>
      <c r="Q130" s="49"/>
      <c r="R130" s="60"/>
      <c r="S130" s="60"/>
      <c r="T130" s="60"/>
      <c r="U130" s="55"/>
      <c r="V130" s="60"/>
      <c r="W130" s="60"/>
      <c r="X130" s="60"/>
      <c r="Y130" s="60"/>
      <c r="Z130" s="60"/>
      <c r="AA130" s="60"/>
      <c r="AB130" s="60"/>
      <c r="AC130" s="60"/>
      <c r="AD130" s="60"/>
    </row>
    <row r="131">
      <c r="A131" s="33" t="s">
        <v>946</v>
      </c>
      <c r="B131" s="35" t="s">
        <v>563</v>
      </c>
      <c r="C131" s="35" t="str">
        <f>IF(B131="","",(VLOOKUP(B131,'Dados de PN'!$A:$B,2,0)))</f>
        <v>NUT,PLAIN,HEXAGON</v>
      </c>
      <c r="D131" s="139"/>
      <c r="E131" s="83" t="s">
        <v>32</v>
      </c>
      <c r="F131" s="83" t="s">
        <v>794</v>
      </c>
      <c r="G131" s="42">
        <v>6.0</v>
      </c>
      <c r="H131" s="35" t="s">
        <v>948</v>
      </c>
      <c r="I131" s="132" t="s">
        <v>923</v>
      </c>
      <c r="J131" s="83" t="s">
        <v>37</v>
      </c>
      <c r="K131" s="46">
        <v>46073.0</v>
      </c>
      <c r="L131" s="139" t="s">
        <v>168</v>
      </c>
      <c r="M131" s="83" t="s">
        <v>169</v>
      </c>
      <c r="N131" s="49"/>
      <c r="O131" s="49"/>
      <c r="P131" s="60"/>
      <c r="Q131" s="49"/>
      <c r="R131" s="60"/>
      <c r="S131" s="60"/>
      <c r="T131" s="60"/>
      <c r="U131" s="55"/>
      <c r="V131" s="60"/>
      <c r="W131" s="60"/>
      <c r="X131" s="60"/>
      <c r="Y131" s="60"/>
      <c r="Z131" s="60"/>
      <c r="AA131" s="60"/>
      <c r="AB131" s="60"/>
      <c r="AC131" s="60"/>
      <c r="AD131" s="60"/>
    </row>
    <row r="132">
      <c r="A132" s="33" t="s">
        <v>949</v>
      </c>
      <c r="B132" s="139" t="s">
        <v>566</v>
      </c>
      <c r="C132" s="35" t="str">
        <f>IF(B132="","",(VLOOKUP(B132,'Dados de PN'!$A:$B,2,0)))</f>
        <v>SUCTION GAGE</v>
      </c>
      <c r="D132" s="139" t="s">
        <v>568</v>
      </c>
      <c r="E132" s="83" t="s">
        <v>32</v>
      </c>
      <c r="F132" s="83" t="s">
        <v>34</v>
      </c>
      <c r="G132" s="42">
        <v>1.0</v>
      </c>
      <c r="H132" s="42">
        <v>1.6783067E7</v>
      </c>
      <c r="I132" s="132" t="s">
        <v>952</v>
      </c>
      <c r="J132" s="83" t="s">
        <v>37</v>
      </c>
      <c r="K132" s="46">
        <v>46077.0</v>
      </c>
      <c r="L132" s="139" t="s">
        <v>953</v>
      </c>
      <c r="M132" s="83" t="s">
        <v>570</v>
      </c>
      <c r="N132" s="49"/>
      <c r="O132" s="49"/>
      <c r="P132" s="60"/>
      <c r="Q132" s="49"/>
      <c r="R132" s="60"/>
      <c r="S132" s="60"/>
      <c r="T132" s="60"/>
      <c r="U132" s="55"/>
      <c r="V132" s="60"/>
      <c r="W132" s="60"/>
      <c r="X132" s="60"/>
      <c r="Y132" s="60"/>
      <c r="Z132" s="60"/>
      <c r="AA132" s="60"/>
      <c r="AB132" s="60"/>
      <c r="AC132" s="60"/>
      <c r="AD132" s="60"/>
    </row>
    <row r="133">
      <c r="A133" s="33" t="s">
        <v>957</v>
      </c>
      <c r="B133" s="139" t="s">
        <v>572</v>
      </c>
      <c r="C133" s="35" t="str">
        <f>IF(B133="","",(VLOOKUP(B133,'Dados de PN'!$A:$B,2,0)))</f>
        <v>PIN,STRAIGHT,HEADED</v>
      </c>
      <c r="D133" s="139"/>
      <c r="E133" s="83" t="s">
        <v>32</v>
      </c>
      <c r="F133" s="83" t="s">
        <v>34</v>
      </c>
      <c r="G133" s="42">
        <v>1.0</v>
      </c>
      <c r="H133" s="42">
        <v>3.13260017745E11</v>
      </c>
      <c r="I133" s="132" t="s">
        <v>959</v>
      </c>
      <c r="J133" s="83" t="s">
        <v>37</v>
      </c>
      <c r="K133" s="46">
        <v>46079.0</v>
      </c>
      <c r="L133" s="139" t="s">
        <v>961</v>
      </c>
      <c r="M133" s="83" t="s">
        <v>51</v>
      </c>
      <c r="N133" s="49"/>
      <c r="O133" s="49"/>
      <c r="P133" s="60"/>
      <c r="Q133" s="49"/>
      <c r="R133" s="60"/>
      <c r="S133" s="60"/>
      <c r="T133" s="60"/>
      <c r="U133" s="55"/>
      <c r="V133" s="60"/>
      <c r="W133" s="60"/>
      <c r="X133" s="60"/>
      <c r="Y133" s="60"/>
      <c r="Z133" s="60"/>
      <c r="AA133" s="60"/>
      <c r="AB133" s="60"/>
      <c r="AC133" s="60"/>
      <c r="AD133" s="60"/>
    </row>
    <row r="134">
      <c r="A134" s="33" t="s">
        <v>962</v>
      </c>
      <c r="B134" s="139" t="s">
        <v>378</v>
      </c>
      <c r="C134" s="35" t="str">
        <f>IF(B134="","",(VLOOKUP(B134,'Dados de PN'!$A:$B,2,0)))</f>
        <v>WHEEL HALF ASSY</v>
      </c>
      <c r="D134" s="139"/>
      <c r="E134" s="83" t="s">
        <v>81</v>
      </c>
      <c r="F134" s="83" t="s">
        <v>34</v>
      </c>
      <c r="G134" s="42">
        <v>1.0</v>
      </c>
      <c r="H134" s="35" t="s">
        <v>965</v>
      </c>
      <c r="I134" s="132" t="s">
        <v>652</v>
      </c>
      <c r="J134" s="83" t="s">
        <v>37</v>
      </c>
      <c r="K134" s="46">
        <v>46080.0</v>
      </c>
      <c r="L134" s="139" t="s">
        <v>612</v>
      </c>
      <c r="M134" s="83" t="s">
        <v>549</v>
      </c>
      <c r="N134" s="49"/>
      <c r="O134" s="49"/>
      <c r="P134" s="60"/>
      <c r="Q134" s="49"/>
      <c r="R134" s="60"/>
      <c r="S134" s="60"/>
      <c r="T134" s="60"/>
      <c r="U134" s="55"/>
      <c r="V134" s="60"/>
      <c r="W134" s="60"/>
      <c r="X134" s="60"/>
      <c r="Y134" s="60"/>
      <c r="Z134" s="60"/>
      <c r="AA134" s="60"/>
      <c r="AB134" s="60"/>
      <c r="AC134" s="60"/>
      <c r="AD134" s="60"/>
    </row>
    <row r="135">
      <c r="A135" s="33" t="s">
        <v>968</v>
      </c>
      <c r="B135" s="139" t="s">
        <v>379</v>
      </c>
      <c r="C135" s="35" t="str">
        <f>IF(B135="","",(VLOOKUP(B135,'Dados de PN'!$A:$B,2,0)))</f>
        <v>WHEEL HALF ASSY</v>
      </c>
      <c r="D135" s="139"/>
      <c r="E135" s="83" t="s">
        <v>81</v>
      </c>
      <c r="F135" s="83" t="s">
        <v>34</v>
      </c>
      <c r="G135" s="42">
        <v>1.0</v>
      </c>
      <c r="H135" s="42">
        <v>1.6843795E7</v>
      </c>
      <c r="I135" s="163" t="s">
        <v>652</v>
      </c>
      <c r="J135" s="152" t="s">
        <v>37</v>
      </c>
      <c r="K135" s="164">
        <v>46080.0</v>
      </c>
      <c r="L135" s="140" t="s">
        <v>612</v>
      </c>
      <c r="M135" s="60" t="s">
        <v>549</v>
      </c>
      <c r="N135" s="49"/>
      <c r="O135" s="49"/>
      <c r="P135" s="60"/>
      <c r="Q135" s="49"/>
      <c r="R135" s="60"/>
      <c r="S135" s="60"/>
      <c r="T135" s="60"/>
      <c r="U135" s="55"/>
      <c r="V135" s="60"/>
      <c r="W135" s="60"/>
      <c r="X135" s="60"/>
      <c r="Y135" s="60"/>
      <c r="Z135" s="60"/>
      <c r="AA135" s="60"/>
      <c r="AB135" s="60"/>
      <c r="AC135" s="60"/>
      <c r="AD135" s="60"/>
    </row>
    <row r="136">
      <c r="A136" s="33" t="s">
        <v>970</v>
      </c>
      <c r="B136" s="139" t="s">
        <v>582</v>
      </c>
      <c r="C136" s="35" t="str">
        <f>IF(B136="","",(VLOOKUP(B136,'Dados de PN'!$A:$B,2,0)))</f>
        <v>HOSE ASSY</v>
      </c>
      <c r="D136" s="139"/>
      <c r="E136" s="83" t="s">
        <v>32</v>
      </c>
      <c r="F136" s="83" t="s">
        <v>34</v>
      </c>
      <c r="G136" s="42">
        <v>1.0</v>
      </c>
      <c r="H136" s="35" t="s">
        <v>971</v>
      </c>
      <c r="I136" s="163" t="s">
        <v>652</v>
      </c>
      <c r="J136" s="152" t="s">
        <v>37</v>
      </c>
      <c r="K136" s="164">
        <v>46080.0</v>
      </c>
      <c r="L136" s="140" t="s">
        <v>612</v>
      </c>
      <c r="M136" s="60" t="s">
        <v>549</v>
      </c>
      <c r="N136" s="49"/>
      <c r="O136" s="49"/>
      <c r="P136" s="60"/>
      <c r="Q136" s="49"/>
      <c r="R136" s="60"/>
      <c r="S136" s="60"/>
      <c r="T136" s="60"/>
      <c r="U136" s="55"/>
      <c r="V136" s="60"/>
      <c r="W136" s="60"/>
      <c r="X136" s="60"/>
      <c r="Y136" s="60"/>
      <c r="Z136" s="60"/>
      <c r="AA136" s="60"/>
      <c r="AB136" s="60"/>
      <c r="AC136" s="60"/>
      <c r="AD136" s="60"/>
    </row>
    <row r="137">
      <c r="A137" s="33" t="s">
        <v>972</v>
      </c>
      <c r="B137" s="139" t="s">
        <v>585</v>
      </c>
      <c r="C137" s="35" t="str">
        <f>IF(B137="","",(VLOOKUP(B137,'Dados de PN'!$A:$B,2,0)))</f>
        <v>CLAMP,LOOP</v>
      </c>
      <c r="D137" s="139"/>
      <c r="E137" s="83" t="s">
        <v>32</v>
      </c>
      <c r="F137" s="83" t="s">
        <v>346</v>
      </c>
      <c r="G137" s="42">
        <v>10.0</v>
      </c>
      <c r="H137" s="42">
        <v>1.6844147E7</v>
      </c>
      <c r="I137" s="132" t="s">
        <v>973</v>
      </c>
      <c r="J137" s="152" t="s">
        <v>37</v>
      </c>
      <c r="K137" s="164">
        <v>46080.0</v>
      </c>
      <c r="L137" s="139" t="s">
        <v>588</v>
      </c>
      <c r="M137" s="83" t="s">
        <v>61</v>
      </c>
      <c r="N137" s="49"/>
      <c r="O137" s="49"/>
      <c r="P137" s="60"/>
      <c r="Q137" s="49"/>
      <c r="R137" s="60"/>
      <c r="S137" s="60"/>
      <c r="T137" s="60"/>
      <c r="U137" s="55"/>
      <c r="V137" s="60"/>
      <c r="W137" s="60"/>
      <c r="X137" s="60"/>
      <c r="Y137" s="60"/>
      <c r="Z137" s="60"/>
      <c r="AA137" s="60"/>
      <c r="AB137" s="60"/>
      <c r="AC137" s="60"/>
      <c r="AD137" s="60"/>
    </row>
    <row r="138">
      <c r="A138" s="33" t="s">
        <v>975</v>
      </c>
      <c r="B138" s="139" t="s">
        <v>590</v>
      </c>
      <c r="C138" s="35" t="str">
        <f>IF(B138="","",(VLOOKUP(B138,'Dados de PN'!$A:$B,2,0)))</f>
        <v>PIN,SPRING</v>
      </c>
      <c r="D138" s="139"/>
      <c r="E138" s="83" t="s">
        <v>32</v>
      </c>
      <c r="F138" s="42" t="s">
        <v>164</v>
      </c>
      <c r="G138" s="42">
        <v>2.0</v>
      </c>
      <c r="H138" s="35" t="s">
        <v>976</v>
      </c>
      <c r="I138" s="132" t="s">
        <v>973</v>
      </c>
      <c r="J138" s="152" t="s">
        <v>37</v>
      </c>
      <c r="K138" s="164">
        <v>46080.0</v>
      </c>
      <c r="L138" s="139" t="s">
        <v>588</v>
      </c>
      <c r="M138" s="83" t="s">
        <v>61</v>
      </c>
      <c r="N138" s="49"/>
      <c r="O138" s="49"/>
      <c r="P138" s="60"/>
      <c r="Q138" s="49"/>
      <c r="R138" s="60"/>
      <c r="S138" s="60"/>
      <c r="T138" s="60"/>
      <c r="U138" s="55"/>
      <c r="V138" s="60"/>
      <c r="W138" s="60"/>
      <c r="X138" s="60"/>
      <c r="Y138" s="60"/>
      <c r="Z138" s="60"/>
      <c r="AA138" s="60"/>
      <c r="AB138" s="60"/>
      <c r="AC138" s="60"/>
      <c r="AD138" s="60"/>
    </row>
    <row r="139">
      <c r="A139" s="33" t="s">
        <v>977</v>
      </c>
      <c r="B139" s="139" t="s">
        <v>572</v>
      </c>
      <c r="C139" s="35" t="str">
        <f>IF(B139="","",(VLOOKUP(B139,'Dados de PN'!$A:$B,2,0)))</f>
        <v>PIN,STRAIGHT,HEADED</v>
      </c>
      <c r="D139" s="139"/>
      <c r="E139" s="83" t="s">
        <v>32</v>
      </c>
      <c r="F139" s="83" t="s">
        <v>34</v>
      </c>
      <c r="G139" s="42">
        <v>1.0</v>
      </c>
      <c r="H139" s="42">
        <v>3.13260017745E11</v>
      </c>
      <c r="I139" s="132" t="s">
        <v>959</v>
      </c>
      <c r="J139" s="152" t="s">
        <v>37</v>
      </c>
      <c r="K139" s="46">
        <v>46078.0</v>
      </c>
      <c r="L139" s="139" t="s">
        <v>961</v>
      </c>
      <c r="M139" s="83" t="s">
        <v>51</v>
      </c>
      <c r="N139" s="132">
        <v>2.02667113005464E14</v>
      </c>
      <c r="O139" s="49"/>
      <c r="P139" s="60"/>
      <c r="Q139" s="49"/>
      <c r="R139" s="60"/>
      <c r="S139" s="60"/>
      <c r="T139" s="60"/>
      <c r="U139" s="108" t="s">
        <v>979</v>
      </c>
      <c r="V139" s="60"/>
      <c r="W139" s="60"/>
      <c r="X139" s="60"/>
      <c r="Y139" s="60"/>
      <c r="Z139" s="60"/>
      <c r="AA139" s="60"/>
      <c r="AB139" s="60"/>
      <c r="AC139" s="60"/>
      <c r="AD139" s="60"/>
    </row>
    <row r="140">
      <c r="A140" s="33" t="s">
        <v>595</v>
      </c>
      <c r="B140" s="139" t="s">
        <v>596</v>
      </c>
      <c r="C140" s="35" t="str">
        <f>IF(B140="","",(VLOOKUP(B140,'Dados de PN'!$A:$B,2,0)))</f>
        <v>VENT WINDOK ASSY</v>
      </c>
      <c r="D140" s="139"/>
      <c r="E140" s="83" t="s">
        <v>32</v>
      </c>
      <c r="F140" s="42" t="s">
        <v>34</v>
      </c>
      <c r="G140" s="42">
        <v>1.0</v>
      </c>
      <c r="H140" s="42">
        <v>1.6907743E7</v>
      </c>
      <c r="I140" s="132" t="s">
        <v>599</v>
      </c>
      <c r="J140" s="152" t="s">
        <v>37</v>
      </c>
      <c r="K140" s="46">
        <v>46092.0</v>
      </c>
      <c r="L140" s="139" t="s">
        <v>133</v>
      </c>
      <c r="M140" s="83" t="s">
        <v>76</v>
      </c>
      <c r="N140" s="49"/>
      <c r="O140" s="49"/>
      <c r="P140" s="60"/>
      <c r="Q140" s="49"/>
      <c r="R140" s="60"/>
      <c r="S140" s="60"/>
      <c r="T140" s="60"/>
      <c r="U140" s="108"/>
      <c r="V140" s="60"/>
      <c r="W140" s="60"/>
      <c r="X140" s="60"/>
      <c r="Y140" s="60"/>
      <c r="Z140" s="60"/>
      <c r="AA140" s="60"/>
      <c r="AB140" s="60"/>
      <c r="AC140" s="60"/>
      <c r="AD140" s="60"/>
    </row>
    <row r="141">
      <c r="A141" s="33" t="s">
        <v>601</v>
      </c>
      <c r="B141" s="139" t="s">
        <v>602</v>
      </c>
      <c r="C141" s="35" t="str">
        <f>IF(B141="","",(VLOOKUP(B141,'Dados de PN'!$A:$B,2,0)))</f>
        <v>SEAL</v>
      </c>
      <c r="D141" s="139"/>
      <c r="E141" s="83" t="s">
        <v>32</v>
      </c>
      <c r="F141" s="83" t="s">
        <v>34</v>
      </c>
      <c r="G141" s="42">
        <v>1.0</v>
      </c>
      <c r="H141" s="42">
        <v>1.690776E7</v>
      </c>
      <c r="I141" s="132" t="s">
        <v>599</v>
      </c>
      <c r="J141" s="152" t="s">
        <v>37</v>
      </c>
      <c r="K141" s="46">
        <v>46092.0</v>
      </c>
      <c r="L141" s="139" t="s">
        <v>133</v>
      </c>
      <c r="M141" s="83" t="s">
        <v>76</v>
      </c>
      <c r="N141" s="49"/>
      <c r="O141" s="49"/>
      <c r="P141" s="60"/>
      <c r="Q141" s="49"/>
      <c r="R141" s="60"/>
      <c r="S141" s="60"/>
      <c r="T141" s="60"/>
      <c r="U141" s="108"/>
      <c r="V141" s="60"/>
      <c r="W141" s="60"/>
      <c r="X141" s="60"/>
      <c r="Y141" s="60"/>
      <c r="Z141" s="60"/>
      <c r="AA141" s="60"/>
      <c r="AB141" s="60"/>
      <c r="AC141" s="60"/>
      <c r="AD141" s="60"/>
    </row>
    <row r="142">
      <c r="A142" s="33" t="s">
        <v>606</v>
      </c>
      <c r="B142" s="139" t="s">
        <v>607</v>
      </c>
      <c r="C142" s="35" t="str">
        <f>IF(B142="","",(VLOOKUP(B142,'Dados de PN'!$A:$B,2,0)))</f>
        <v>DUCT-FLEX</v>
      </c>
      <c r="D142" s="139"/>
      <c r="E142" s="83" t="s">
        <v>32</v>
      </c>
      <c r="F142" s="83" t="s">
        <v>34</v>
      </c>
      <c r="G142" s="42">
        <v>1.0</v>
      </c>
      <c r="H142" s="42">
        <v>1.690778E7</v>
      </c>
      <c r="I142" s="132" t="s">
        <v>599</v>
      </c>
      <c r="J142" s="152" t="s">
        <v>37</v>
      </c>
      <c r="K142" s="46">
        <v>46092.0</v>
      </c>
      <c r="L142" s="139" t="s">
        <v>133</v>
      </c>
      <c r="M142" s="83" t="s">
        <v>76</v>
      </c>
      <c r="N142" s="49"/>
      <c r="O142" s="49"/>
      <c r="P142" s="60"/>
      <c r="Q142" s="49"/>
      <c r="R142" s="60"/>
      <c r="S142" s="60"/>
      <c r="T142" s="60"/>
      <c r="U142" s="55"/>
      <c r="V142" s="60"/>
      <c r="W142" s="60"/>
      <c r="X142" s="60"/>
      <c r="Y142" s="60"/>
      <c r="Z142" s="60"/>
      <c r="AA142" s="60"/>
      <c r="AB142" s="60"/>
      <c r="AC142" s="60"/>
      <c r="AD142" s="60"/>
    </row>
    <row r="143">
      <c r="A143" s="33" t="s">
        <v>609</v>
      </c>
      <c r="B143" s="139" t="s">
        <v>610</v>
      </c>
      <c r="C143" s="35" t="str">
        <f>IF(B143="","",(VLOOKUP(B143,'Dados de PN'!$A:$B,2,0)))</f>
        <v>RING AY-ENGINE MOUNT</v>
      </c>
      <c r="D143" s="139" t="s">
        <v>615</v>
      </c>
      <c r="E143" s="83" t="s">
        <v>81</v>
      </c>
      <c r="F143" s="83" t="s">
        <v>34</v>
      </c>
      <c r="G143" s="42">
        <v>1.0</v>
      </c>
      <c r="H143" s="42">
        <v>1.6920585E7</v>
      </c>
      <c r="I143" s="132" t="s">
        <v>616</v>
      </c>
      <c r="J143" s="152" t="s">
        <v>37</v>
      </c>
      <c r="K143" s="46">
        <v>46092.0</v>
      </c>
      <c r="L143" s="139" t="s">
        <v>133</v>
      </c>
      <c r="M143" s="83" t="s">
        <v>76</v>
      </c>
      <c r="N143" s="49"/>
      <c r="O143" s="49"/>
      <c r="P143" s="60"/>
      <c r="Q143" s="49"/>
      <c r="R143" s="60"/>
      <c r="S143" s="60"/>
      <c r="T143" s="60"/>
      <c r="U143" s="55"/>
      <c r="V143" s="60"/>
      <c r="W143" s="60"/>
      <c r="X143" s="60"/>
      <c r="Y143" s="60"/>
      <c r="Z143" s="60"/>
      <c r="AA143" s="60"/>
      <c r="AB143" s="60"/>
      <c r="AC143" s="60"/>
      <c r="AD143" s="60"/>
    </row>
    <row r="144">
      <c r="A144" s="33" t="s">
        <v>618</v>
      </c>
      <c r="B144" s="139" t="s">
        <v>111</v>
      </c>
      <c r="C144" s="35" t="str">
        <f>IF(B144="","",(VLOOKUP(B144,'Dados de PN'!$A:$B,2,0)))</f>
        <v>HOSE ASSY</v>
      </c>
      <c r="D144" s="139"/>
      <c r="E144" s="83" t="s">
        <v>32</v>
      </c>
      <c r="F144" s="83" t="s">
        <v>34</v>
      </c>
      <c r="G144" s="42">
        <v>1.0</v>
      </c>
      <c r="H144" s="42" t="s">
        <v>619</v>
      </c>
      <c r="I144" s="132" t="s">
        <v>620</v>
      </c>
      <c r="J144" s="152" t="s">
        <v>37</v>
      </c>
      <c r="K144" s="46">
        <v>46090.0</v>
      </c>
      <c r="L144" s="139">
        <v>2709.0</v>
      </c>
      <c r="M144" s="83" t="s">
        <v>169</v>
      </c>
      <c r="N144" s="49"/>
      <c r="O144" s="49"/>
      <c r="P144" s="60"/>
      <c r="Q144" s="49"/>
      <c r="R144" s="60"/>
      <c r="S144" s="60"/>
      <c r="T144" s="60"/>
      <c r="U144" s="108"/>
      <c r="V144" s="60"/>
      <c r="W144" s="60"/>
      <c r="X144" s="60"/>
      <c r="Y144" s="60"/>
      <c r="Z144" s="60"/>
      <c r="AA144" s="60"/>
      <c r="AB144" s="60"/>
      <c r="AC144" s="60"/>
      <c r="AD144" s="60"/>
    </row>
    <row r="145">
      <c r="A145" s="33" t="s">
        <v>621</v>
      </c>
      <c r="B145" s="139" t="s">
        <v>378</v>
      </c>
      <c r="C145" s="35" t="str">
        <f>IF(B145="","",(VLOOKUP(B145,'Dados de PN'!$A:$B,2,0)))</f>
        <v>WHEEL HALF ASSY</v>
      </c>
      <c r="D145" s="139"/>
      <c r="E145" s="83" t="s">
        <v>81</v>
      </c>
      <c r="F145" s="83" t="s">
        <v>34</v>
      </c>
      <c r="G145" s="42">
        <v>1.0</v>
      </c>
      <c r="H145" s="42" t="s">
        <v>626</v>
      </c>
      <c r="I145" s="132" t="s">
        <v>627</v>
      </c>
      <c r="J145" s="152" t="s">
        <v>37</v>
      </c>
      <c r="K145" s="46">
        <v>46094.0</v>
      </c>
      <c r="L145" s="139" t="s">
        <v>422</v>
      </c>
      <c r="M145" s="83" t="s">
        <v>423</v>
      </c>
      <c r="N145" s="49"/>
      <c r="O145" s="49"/>
      <c r="P145" s="60"/>
      <c r="Q145" s="49"/>
      <c r="R145" s="60"/>
      <c r="S145" s="60"/>
      <c r="T145" s="60"/>
      <c r="U145" s="108"/>
      <c r="V145" s="60"/>
      <c r="W145" s="60"/>
      <c r="X145" s="60"/>
      <c r="Y145" s="60"/>
      <c r="Z145" s="60"/>
      <c r="AA145" s="60"/>
      <c r="AB145" s="60"/>
      <c r="AC145" s="60"/>
      <c r="AD145" s="60"/>
    </row>
    <row r="146">
      <c r="A146" s="33" t="s">
        <v>629</v>
      </c>
      <c r="B146" s="139" t="s">
        <v>379</v>
      </c>
      <c r="C146" s="35" t="str">
        <f>IF(B146="","",(VLOOKUP(B146,'Dados de PN'!$A:$B,2,0)))</f>
        <v>WHEEL HALF ASSY</v>
      </c>
      <c r="D146" s="139"/>
      <c r="E146" s="83" t="s">
        <v>81</v>
      </c>
      <c r="F146" s="83" t="s">
        <v>34</v>
      </c>
      <c r="G146" s="42">
        <v>1.0</v>
      </c>
      <c r="H146" s="42" t="s">
        <v>631</v>
      </c>
      <c r="I146" s="132" t="s">
        <v>627</v>
      </c>
      <c r="J146" s="152" t="s">
        <v>37</v>
      </c>
      <c r="K146" s="46">
        <v>46094.0</v>
      </c>
      <c r="L146" s="139" t="s">
        <v>422</v>
      </c>
      <c r="M146" s="83" t="s">
        <v>423</v>
      </c>
      <c r="N146" s="49"/>
      <c r="O146" s="49"/>
      <c r="P146" s="60"/>
      <c r="Q146" s="49"/>
      <c r="R146" s="60"/>
      <c r="S146" s="60"/>
      <c r="T146" s="60"/>
      <c r="U146" s="108"/>
      <c r="V146" s="60"/>
      <c r="W146" s="60"/>
      <c r="X146" s="60"/>
      <c r="Y146" s="60"/>
      <c r="Z146" s="60"/>
      <c r="AA146" s="60"/>
      <c r="AB146" s="60"/>
      <c r="AC146" s="60"/>
      <c r="AD146" s="60"/>
    </row>
    <row r="147">
      <c r="A147" s="33" t="s">
        <v>632</v>
      </c>
      <c r="B147" s="139" t="s">
        <v>633</v>
      </c>
      <c r="C147" s="35" t="str">
        <f>IF(B147="","",(VLOOKUP(B147,'Dados de PN'!$A:$B,2,0)))</f>
        <v>AXLE-MAIN GEAR</v>
      </c>
      <c r="D147" s="139"/>
      <c r="E147" s="83" t="s">
        <v>81</v>
      </c>
      <c r="F147" s="83" t="s">
        <v>164</v>
      </c>
      <c r="G147" s="42">
        <v>2.0</v>
      </c>
      <c r="H147" s="42" t="s">
        <v>635</v>
      </c>
      <c r="I147" s="132" t="s">
        <v>627</v>
      </c>
      <c r="J147" s="152" t="s">
        <v>37</v>
      </c>
      <c r="K147" s="46">
        <v>46094.0</v>
      </c>
      <c r="L147" s="139" t="s">
        <v>422</v>
      </c>
      <c r="M147" s="83" t="s">
        <v>423</v>
      </c>
      <c r="N147" s="49"/>
      <c r="O147" s="49"/>
      <c r="P147" s="60"/>
      <c r="Q147" s="49"/>
      <c r="R147" s="60"/>
      <c r="S147" s="60"/>
      <c r="T147" s="60"/>
      <c r="U147" s="108"/>
      <c r="V147" s="60"/>
      <c r="W147" s="60"/>
      <c r="X147" s="60"/>
      <c r="Y147" s="60"/>
      <c r="Z147" s="60"/>
      <c r="AA147" s="60"/>
      <c r="AB147" s="60"/>
      <c r="AC147" s="60"/>
      <c r="AD147" s="60"/>
    </row>
    <row r="148">
      <c r="A148" s="33" t="s">
        <v>637</v>
      </c>
      <c r="B148" s="139" t="s">
        <v>484</v>
      </c>
      <c r="C148" s="35" t="str">
        <f>IF(B148="","",(VLOOKUP(B148,'Dados de PN'!$A:$B,2,0)))</f>
        <v>INDICATOR FUEL</v>
      </c>
      <c r="D148" s="139"/>
      <c r="E148" s="83" t="s">
        <v>81</v>
      </c>
      <c r="F148" s="83" t="s">
        <v>164</v>
      </c>
      <c r="G148" s="42">
        <v>2.0</v>
      </c>
      <c r="H148" s="42">
        <v>1.6908363E7</v>
      </c>
      <c r="I148" s="132" t="s">
        <v>639</v>
      </c>
      <c r="J148" s="172" t="s">
        <v>37</v>
      </c>
      <c r="K148" s="46">
        <v>46097.0</v>
      </c>
      <c r="L148" s="139" t="s">
        <v>290</v>
      </c>
      <c r="M148" s="83" t="s">
        <v>169</v>
      </c>
      <c r="N148" s="49"/>
      <c r="O148" s="49"/>
      <c r="P148" s="60"/>
      <c r="Q148" s="49"/>
      <c r="R148" s="60"/>
      <c r="S148" s="60"/>
      <c r="T148" s="60"/>
      <c r="U148" s="55"/>
      <c r="V148" s="60"/>
      <c r="W148" s="60"/>
      <c r="X148" s="60"/>
      <c r="Y148" s="60"/>
      <c r="Z148" s="60"/>
      <c r="AA148" s="60"/>
      <c r="AB148" s="60"/>
      <c r="AC148" s="60"/>
      <c r="AD148" s="60"/>
    </row>
    <row r="149">
      <c r="A149" s="33" t="s">
        <v>641</v>
      </c>
      <c r="B149" s="139" t="s">
        <v>489</v>
      </c>
      <c r="C149" s="35" t="str">
        <f>IF(B149="","",(VLOOKUP(B149,'Dados de PN'!$A:$B,2,0)))</f>
        <v>TRANSCEIVER</v>
      </c>
      <c r="D149" s="139"/>
      <c r="E149" s="83" t="s">
        <v>81</v>
      </c>
      <c r="F149" s="83" t="s">
        <v>34</v>
      </c>
      <c r="G149" s="42">
        <v>1.0</v>
      </c>
      <c r="H149" s="42">
        <v>1.6953491E7</v>
      </c>
      <c r="I149" s="132" t="s">
        <v>643</v>
      </c>
      <c r="J149" s="172" t="s">
        <v>37</v>
      </c>
      <c r="K149" s="46">
        <v>46097.0</v>
      </c>
      <c r="L149" s="139" t="s">
        <v>290</v>
      </c>
      <c r="M149" s="83" t="s">
        <v>169</v>
      </c>
      <c r="N149" s="49"/>
      <c r="O149" s="49"/>
      <c r="P149" s="60"/>
      <c r="Q149" s="49"/>
      <c r="R149" s="60"/>
      <c r="S149" s="60"/>
      <c r="T149" s="60"/>
      <c r="U149" s="55"/>
      <c r="V149" s="60"/>
      <c r="W149" s="60"/>
      <c r="X149" s="60"/>
      <c r="Y149" s="60"/>
      <c r="Z149" s="60"/>
      <c r="AA149" s="60"/>
      <c r="AB149" s="60"/>
      <c r="AC149" s="60"/>
      <c r="AD149" s="60"/>
    </row>
    <row r="150">
      <c r="A150" s="33" t="s">
        <v>645</v>
      </c>
      <c r="B150" s="139" t="s">
        <v>646</v>
      </c>
      <c r="C150" s="35" t="str">
        <f>IF(B150="","",(VLOOKUP(B150,'Dados de PN'!$A:$B,2,0)))</f>
        <v>KNOB</v>
      </c>
      <c r="D150" s="139"/>
      <c r="E150" s="83" t="s">
        <v>32</v>
      </c>
      <c r="F150" s="83" t="s">
        <v>34</v>
      </c>
      <c r="G150" s="42">
        <v>1.0</v>
      </c>
      <c r="H150" s="42">
        <v>1.6959989E7</v>
      </c>
      <c r="I150" s="132" t="s">
        <v>648</v>
      </c>
      <c r="J150" s="152" t="s">
        <v>37</v>
      </c>
      <c r="K150" s="46">
        <v>46098.0</v>
      </c>
      <c r="L150" s="139" t="s">
        <v>133</v>
      </c>
      <c r="M150" s="83" t="s">
        <v>76</v>
      </c>
      <c r="N150" s="49"/>
      <c r="O150" s="49"/>
      <c r="P150" s="60"/>
      <c r="Q150" s="49"/>
      <c r="R150" s="60"/>
      <c r="S150" s="60"/>
      <c r="T150" s="60"/>
      <c r="U150" s="55"/>
      <c r="V150" s="60"/>
      <c r="W150" s="60"/>
      <c r="X150" s="60"/>
      <c r="Y150" s="60"/>
      <c r="Z150" s="60"/>
      <c r="AA150" s="60"/>
      <c r="AB150" s="60"/>
      <c r="AC150" s="60"/>
      <c r="AD150" s="60"/>
    </row>
    <row r="151">
      <c r="A151" s="33" t="s">
        <v>650</v>
      </c>
      <c r="B151" s="173" t="s">
        <v>378</v>
      </c>
      <c r="C151" s="35" t="str">
        <f>IF(B151="","",(VLOOKUP(B151,'Dados de PN'!$A:$B,2,0)))</f>
        <v>WHEEL HALF ASSY</v>
      </c>
      <c r="D151" s="139"/>
      <c r="E151" s="83" t="s">
        <v>81</v>
      </c>
      <c r="F151" s="83" t="s">
        <v>164</v>
      </c>
      <c r="G151" s="42">
        <v>2.0</v>
      </c>
      <c r="H151" s="139" t="s">
        <v>651</v>
      </c>
      <c r="I151" s="132" t="s">
        <v>652</v>
      </c>
      <c r="J151" s="152" t="s">
        <v>37</v>
      </c>
      <c r="K151" s="46">
        <v>46100.0</v>
      </c>
      <c r="L151" s="139" t="s">
        <v>588</v>
      </c>
      <c r="M151" s="83" t="s">
        <v>61</v>
      </c>
      <c r="N151" s="49"/>
      <c r="O151" s="49"/>
      <c r="P151" s="60"/>
      <c r="Q151" s="49"/>
      <c r="R151" s="60"/>
      <c r="S151" s="60"/>
      <c r="T151" s="60"/>
      <c r="U151" s="55"/>
      <c r="V151" s="60"/>
      <c r="W151" s="60"/>
      <c r="X151" s="60"/>
      <c r="Y151" s="60"/>
      <c r="Z151" s="60"/>
      <c r="AA151" s="60"/>
      <c r="AB151" s="60"/>
      <c r="AC151" s="60"/>
      <c r="AD151" s="60"/>
    </row>
    <row r="152">
      <c r="A152" s="33" t="s">
        <v>654</v>
      </c>
      <c r="B152" s="173" t="s">
        <v>379</v>
      </c>
      <c r="C152" s="35" t="str">
        <f>IF(B152="","",(VLOOKUP(B152,'Dados de PN'!$A:$B,2,0)))</f>
        <v>WHEEL HALF ASSY</v>
      </c>
      <c r="D152" s="139"/>
      <c r="E152" s="83" t="s">
        <v>81</v>
      </c>
      <c r="F152" s="83" t="s">
        <v>164</v>
      </c>
      <c r="G152" s="42">
        <v>2.0</v>
      </c>
      <c r="H152" s="139" t="s">
        <v>655</v>
      </c>
      <c r="I152" s="132" t="s">
        <v>652</v>
      </c>
      <c r="J152" s="152" t="s">
        <v>37</v>
      </c>
      <c r="K152" s="46">
        <v>46100.0</v>
      </c>
      <c r="L152" s="139" t="s">
        <v>588</v>
      </c>
      <c r="M152" s="83" t="s">
        <v>61</v>
      </c>
      <c r="N152" s="49"/>
      <c r="O152" s="49"/>
      <c r="P152" s="60"/>
      <c r="Q152" s="49"/>
      <c r="R152" s="60"/>
      <c r="S152" s="60"/>
      <c r="T152" s="60"/>
      <c r="U152" s="55"/>
      <c r="V152" s="60"/>
      <c r="W152" s="60"/>
      <c r="X152" s="60"/>
      <c r="Y152" s="60"/>
      <c r="Z152" s="60"/>
      <c r="AA152" s="60"/>
      <c r="AB152" s="60"/>
      <c r="AC152" s="60"/>
      <c r="AD152" s="60"/>
    </row>
    <row r="153">
      <c r="A153" s="33" t="s">
        <v>658</v>
      </c>
      <c r="B153" s="173" t="s">
        <v>659</v>
      </c>
      <c r="C153" s="35" t="str">
        <f>IF(B153="","",(VLOOKUP(B153,'Dados de PN'!$A:$B,2,0)))</f>
        <v>EXTINGUISHER,FIRE</v>
      </c>
      <c r="D153" s="139"/>
      <c r="E153" s="83" t="s">
        <v>54</v>
      </c>
      <c r="F153" s="83" t="s">
        <v>34</v>
      </c>
      <c r="G153" s="42">
        <v>1.0</v>
      </c>
      <c r="H153" s="139" t="s">
        <v>661</v>
      </c>
      <c r="I153" s="132" t="s">
        <v>652</v>
      </c>
      <c r="J153" s="152" t="s">
        <v>37</v>
      </c>
      <c r="K153" s="46">
        <v>46100.0</v>
      </c>
      <c r="L153" s="140" t="s">
        <v>612</v>
      </c>
      <c r="M153" s="60" t="s">
        <v>549</v>
      </c>
      <c r="N153" s="49"/>
      <c r="O153" s="49"/>
      <c r="P153" s="60"/>
      <c r="Q153" s="49"/>
      <c r="R153" s="60"/>
      <c r="S153" s="60"/>
      <c r="T153" s="60"/>
      <c r="U153" s="55"/>
      <c r="V153" s="60"/>
      <c r="W153" s="60"/>
      <c r="X153" s="60"/>
      <c r="Y153" s="60"/>
      <c r="Z153" s="60"/>
      <c r="AA153" s="60"/>
      <c r="AB153" s="60"/>
      <c r="AC153" s="60"/>
      <c r="AD153" s="60"/>
    </row>
    <row r="154">
      <c r="A154" s="33" t="s">
        <v>663</v>
      </c>
      <c r="B154" s="139" t="s">
        <v>665</v>
      </c>
      <c r="C154" s="35" t="str">
        <f>IF(B154="","",(VLOOKUP(B154,'Dados de PN'!$A:$B,2,0)))</f>
        <v>CONTROL INDICATOR</v>
      </c>
      <c r="D154" s="139"/>
      <c r="E154" s="83" t="s">
        <v>81</v>
      </c>
      <c r="F154" s="83" t="s">
        <v>34</v>
      </c>
      <c r="G154" s="42">
        <v>1.0</v>
      </c>
      <c r="H154" s="139" t="s">
        <v>667</v>
      </c>
      <c r="I154" s="132" t="s">
        <v>668</v>
      </c>
      <c r="J154" s="152" t="s">
        <v>37</v>
      </c>
      <c r="K154" s="46">
        <v>46101.0</v>
      </c>
      <c r="L154" s="175" t="s">
        <v>403</v>
      </c>
      <c r="M154" s="83" t="s">
        <v>404</v>
      </c>
      <c r="N154" s="49"/>
      <c r="O154" s="49"/>
      <c r="P154" s="60"/>
      <c r="Q154" s="49"/>
      <c r="R154" s="60"/>
      <c r="S154" s="60"/>
      <c r="T154" s="60"/>
      <c r="U154" s="55"/>
      <c r="V154" s="60"/>
      <c r="W154" s="60"/>
      <c r="X154" s="60"/>
      <c r="Y154" s="60"/>
      <c r="Z154" s="60"/>
      <c r="AA154" s="60"/>
      <c r="AB154" s="60"/>
      <c r="AC154" s="60"/>
      <c r="AD154" s="60"/>
    </row>
    <row r="155">
      <c r="A155" s="33" t="s">
        <v>669</v>
      </c>
      <c r="B155" s="139" t="s">
        <v>670</v>
      </c>
      <c r="C155" s="35" t="str">
        <f>IF(B155="","",(VLOOKUP(B155,'Dados de PN'!$A:$B,2,0)))</f>
        <v>AUDIO CONTROL PANEL</v>
      </c>
      <c r="D155" s="139"/>
      <c r="E155" s="83" t="s">
        <v>81</v>
      </c>
      <c r="F155" s="83" t="s">
        <v>34</v>
      </c>
      <c r="G155" s="42">
        <v>1.0</v>
      </c>
      <c r="H155" s="139" t="s">
        <v>672</v>
      </c>
      <c r="I155" s="176" t="s">
        <v>668</v>
      </c>
      <c r="J155" s="152" t="s">
        <v>37</v>
      </c>
      <c r="K155" s="46">
        <v>46101.0</v>
      </c>
      <c r="L155" s="175" t="s">
        <v>403</v>
      </c>
      <c r="M155" s="83" t="s">
        <v>404</v>
      </c>
      <c r="N155" s="49"/>
      <c r="O155" s="49"/>
      <c r="P155" s="60"/>
      <c r="Q155" s="49"/>
      <c r="R155" s="60"/>
      <c r="S155" s="60"/>
      <c r="T155" s="60"/>
      <c r="U155" s="55"/>
      <c r="V155" s="60"/>
      <c r="W155" s="60"/>
      <c r="X155" s="60"/>
      <c r="Y155" s="60"/>
      <c r="Z155" s="60"/>
      <c r="AA155" s="60"/>
      <c r="AB155" s="60"/>
      <c r="AC155" s="60"/>
      <c r="AD155" s="60"/>
    </row>
    <row r="156">
      <c r="A156" s="33" t="s">
        <v>673</v>
      </c>
      <c r="B156" s="139" t="s">
        <v>674</v>
      </c>
      <c r="C156" s="35" t="str">
        <f>IF(B156="","",(VLOOKUP(B156,'Dados de PN'!$A:$B,2,0)))</f>
        <v>SERVO MOUNT</v>
      </c>
      <c r="D156" s="139"/>
      <c r="E156" s="83" t="s">
        <v>81</v>
      </c>
      <c r="F156" s="83" t="s">
        <v>34</v>
      </c>
      <c r="G156" s="42">
        <v>1.0</v>
      </c>
      <c r="H156" s="139" t="s">
        <v>676</v>
      </c>
      <c r="I156" s="132" t="s">
        <v>668</v>
      </c>
      <c r="J156" s="152" t="s">
        <v>37</v>
      </c>
      <c r="K156" s="46">
        <v>46101.0</v>
      </c>
      <c r="L156" s="175" t="s">
        <v>403</v>
      </c>
      <c r="M156" s="83" t="s">
        <v>404</v>
      </c>
      <c r="N156" s="49"/>
      <c r="O156" s="49"/>
      <c r="P156" s="60"/>
      <c r="Q156" s="49"/>
      <c r="R156" s="60"/>
      <c r="S156" s="60"/>
      <c r="T156" s="60"/>
      <c r="U156" s="55"/>
      <c r="V156" s="60"/>
      <c r="W156" s="60"/>
      <c r="X156" s="60"/>
      <c r="Y156" s="60"/>
      <c r="Z156" s="60"/>
      <c r="AA156" s="60"/>
      <c r="AB156" s="60"/>
      <c r="AC156" s="60"/>
      <c r="AD156" s="60"/>
    </row>
    <row r="157">
      <c r="A157" s="33" t="s">
        <v>678</v>
      </c>
      <c r="B157" s="139" t="s">
        <v>473</v>
      </c>
      <c r="C157" s="35" t="str">
        <f>IF(B157="","",(VLOOKUP(B157,'Dados de PN'!$A:$B,2,0)))</f>
        <v>SWITCH-ELEC TR</v>
      </c>
      <c r="D157" s="139"/>
      <c r="E157" s="83" t="s">
        <v>32</v>
      </c>
      <c r="F157" s="83" t="s">
        <v>34</v>
      </c>
      <c r="G157" s="42">
        <v>1.0</v>
      </c>
      <c r="H157" s="42" t="s">
        <v>680</v>
      </c>
      <c r="I157" s="132" t="s">
        <v>681</v>
      </c>
      <c r="J157" s="152" t="s">
        <v>37</v>
      </c>
      <c r="K157" s="46">
        <v>46101.0</v>
      </c>
      <c r="L157" s="139" t="s">
        <v>75</v>
      </c>
      <c r="M157" s="83" t="s">
        <v>76</v>
      </c>
      <c r="N157" s="49"/>
      <c r="O157" s="49"/>
      <c r="P157" s="60"/>
      <c r="Q157" s="49"/>
      <c r="R157" s="60"/>
      <c r="S157" s="60"/>
      <c r="T157" s="60"/>
      <c r="U157" s="55"/>
      <c r="V157" s="60"/>
      <c r="W157" s="60"/>
      <c r="X157" s="60"/>
      <c r="Y157" s="60"/>
      <c r="Z157" s="60"/>
      <c r="AA157" s="60"/>
      <c r="AB157" s="60"/>
      <c r="AC157" s="60"/>
      <c r="AD157" s="60"/>
    </row>
    <row r="158">
      <c r="A158" s="33" t="s">
        <v>682</v>
      </c>
      <c r="B158" s="139" t="s">
        <v>683</v>
      </c>
      <c r="C158" s="35" t="str">
        <f>IF(B158="","",(VLOOKUP(B158,'Dados de PN'!$A:$B,2,0)))</f>
        <v>NUT,PLAIN,HEXAGON</v>
      </c>
      <c r="D158" s="139"/>
      <c r="E158" s="83" t="s">
        <v>32</v>
      </c>
      <c r="F158" s="83" t="s">
        <v>164</v>
      </c>
      <c r="G158" s="42">
        <v>2.0</v>
      </c>
      <c r="H158" s="35" t="s">
        <v>684</v>
      </c>
      <c r="I158" s="132" t="s">
        <v>685</v>
      </c>
      <c r="J158" s="152" t="s">
        <v>37</v>
      </c>
      <c r="K158" s="46">
        <v>46101.0</v>
      </c>
      <c r="L158" s="139" t="s">
        <v>60</v>
      </c>
      <c r="M158" s="83" t="s">
        <v>61</v>
      </c>
      <c r="N158" s="49"/>
      <c r="O158" s="49"/>
      <c r="P158" s="60"/>
      <c r="Q158" s="49"/>
      <c r="R158" s="60"/>
      <c r="S158" s="60"/>
      <c r="T158" s="60"/>
      <c r="U158" s="55"/>
      <c r="V158" s="60"/>
      <c r="W158" s="60"/>
      <c r="X158" s="60"/>
      <c r="Y158" s="60"/>
      <c r="Z158" s="60"/>
      <c r="AA158" s="60"/>
      <c r="AB158" s="60"/>
      <c r="AC158" s="60"/>
      <c r="AD158" s="60"/>
    </row>
    <row r="159">
      <c r="A159" s="33" t="s">
        <v>686</v>
      </c>
      <c r="B159" s="139" t="s">
        <v>687</v>
      </c>
      <c r="C159" s="35" t="str">
        <f>IF(B159="","",(VLOOKUP(B159,'Dados de PN'!$A:$B,2,0)))</f>
        <v>TUBE ASSY LH</v>
      </c>
      <c r="D159" s="139"/>
      <c r="E159" s="83" t="s">
        <v>32</v>
      </c>
      <c r="F159" s="83" t="s">
        <v>164</v>
      </c>
      <c r="G159" s="42">
        <v>2.0</v>
      </c>
      <c r="H159" s="35" t="s">
        <v>690</v>
      </c>
      <c r="I159" s="132" t="s">
        <v>685</v>
      </c>
      <c r="J159" s="152" t="s">
        <v>37</v>
      </c>
      <c r="K159" s="46">
        <v>46101.0</v>
      </c>
      <c r="L159" s="139" t="s">
        <v>60</v>
      </c>
      <c r="M159" s="83" t="s">
        <v>61</v>
      </c>
      <c r="N159" s="49"/>
      <c r="O159" s="49"/>
      <c r="P159" s="60"/>
      <c r="Q159" s="49"/>
      <c r="R159" s="60"/>
      <c r="S159" s="60"/>
      <c r="T159" s="60"/>
      <c r="U159" s="55"/>
      <c r="V159" s="60"/>
      <c r="W159" s="60"/>
      <c r="X159" s="60"/>
      <c r="Y159" s="60"/>
      <c r="Z159" s="60"/>
      <c r="AA159" s="60"/>
      <c r="AB159" s="60"/>
      <c r="AC159" s="60"/>
      <c r="AD159" s="60"/>
    </row>
    <row r="160">
      <c r="A160" s="33" t="s">
        <v>692</v>
      </c>
      <c r="B160" s="139" t="s">
        <v>693</v>
      </c>
      <c r="C160" s="35" t="str">
        <f>IF(B160="","",(VLOOKUP(B160,'Dados de PN'!$A:$B,2,0)))</f>
        <v>066-3046-07</v>
      </c>
      <c r="D160" s="139"/>
      <c r="E160" s="83" t="s">
        <v>32</v>
      </c>
      <c r="F160" s="83" t="s">
        <v>34</v>
      </c>
      <c r="G160" s="42">
        <v>1.0</v>
      </c>
      <c r="H160" s="35" t="s">
        <v>694</v>
      </c>
      <c r="I160" s="132" t="s">
        <v>685</v>
      </c>
      <c r="J160" s="152" t="s">
        <v>37</v>
      </c>
      <c r="K160" s="46">
        <v>46101.0</v>
      </c>
      <c r="L160" s="139" t="s">
        <v>60</v>
      </c>
      <c r="M160" s="83" t="s">
        <v>61</v>
      </c>
      <c r="N160" s="49"/>
      <c r="O160" s="49"/>
      <c r="P160" s="60"/>
      <c r="Q160" s="49"/>
      <c r="R160" s="60"/>
      <c r="S160" s="60"/>
      <c r="T160" s="60"/>
      <c r="U160" s="55"/>
      <c r="V160" s="60"/>
      <c r="W160" s="60"/>
      <c r="X160" s="60"/>
      <c r="Y160" s="60"/>
      <c r="Z160" s="60"/>
      <c r="AA160" s="60"/>
      <c r="AB160" s="60"/>
      <c r="AC160" s="60"/>
      <c r="AD160" s="60"/>
    </row>
    <row r="161">
      <c r="A161" s="33" t="s">
        <v>697</v>
      </c>
      <c r="B161" s="139" t="s">
        <v>698</v>
      </c>
      <c r="C161" s="35" t="str">
        <f>IF(B161="","",(VLOOKUP(B161,'Dados de PN'!$A:$B,2,0)))</f>
        <v>TRANSMITTER</v>
      </c>
      <c r="D161" s="139"/>
      <c r="E161" s="83" t="s">
        <v>81</v>
      </c>
      <c r="F161" s="83" t="s">
        <v>34</v>
      </c>
      <c r="G161" s="42">
        <v>1.0</v>
      </c>
      <c r="H161" s="35" t="s">
        <v>700</v>
      </c>
      <c r="I161" s="132" t="s">
        <v>701</v>
      </c>
      <c r="J161" s="152" t="s">
        <v>37</v>
      </c>
      <c r="K161" s="46">
        <v>46101.0</v>
      </c>
      <c r="L161" s="139" t="s">
        <v>183</v>
      </c>
      <c r="M161" s="83" t="s">
        <v>61</v>
      </c>
      <c r="N161" s="49"/>
      <c r="O161" s="49"/>
      <c r="P161" s="60"/>
      <c r="Q161" s="49"/>
      <c r="R161" s="60"/>
      <c r="S161" s="60"/>
      <c r="T161" s="60"/>
      <c r="U161" s="55"/>
      <c r="V161" s="60"/>
      <c r="W161" s="60"/>
      <c r="X161" s="60"/>
      <c r="Y161" s="60"/>
      <c r="Z161" s="60"/>
      <c r="AA161" s="60"/>
      <c r="AB161" s="60"/>
      <c r="AC161" s="60"/>
      <c r="AD161" s="60"/>
    </row>
    <row r="162">
      <c r="A162" s="33" t="s">
        <v>708</v>
      </c>
      <c r="B162" s="139" t="s">
        <v>610</v>
      </c>
      <c r="C162" s="35" t="str">
        <f>IF(B162="","",(VLOOKUP(B162,'Dados de PN'!$A:$B,2,0)))</f>
        <v>RING AY-ENGINE MOUNT</v>
      </c>
      <c r="D162" s="139"/>
      <c r="E162" s="83" t="s">
        <v>81</v>
      </c>
      <c r="F162" s="83" t="s">
        <v>34</v>
      </c>
      <c r="G162" s="42">
        <v>1.0</v>
      </c>
      <c r="H162" s="42">
        <v>1.713128E7</v>
      </c>
      <c r="I162" s="132" t="s">
        <v>705</v>
      </c>
      <c r="J162" s="152" t="s">
        <v>37</v>
      </c>
      <c r="K162" s="46">
        <v>46113.0</v>
      </c>
      <c r="L162" s="139" t="s">
        <v>304</v>
      </c>
      <c r="M162" s="83" t="s">
        <v>76</v>
      </c>
      <c r="N162" s="49"/>
      <c r="O162" s="49"/>
      <c r="P162" s="60"/>
      <c r="Q162" s="49"/>
      <c r="R162" s="60"/>
      <c r="S162" s="60"/>
      <c r="T162" s="60"/>
      <c r="U162" s="55"/>
      <c r="V162" s="60"/>
      <c r="W162" s="60"/>
      <c r="X162" s="60"/>
      <c r="Y162" s="60"/>
      <c r="Z162" s="60"/>
      <c r="AA162" s="60"/>
      <c r="AB162" s="60"/>
      <c r="AC162" s="60"/>
      <c r="AD162" s="60"/>
    </row>
    <row r="163">
      <c r="A163" s="33" t="s">
        <v>712</v>
      </c>
      <c r="B163" s="139" t="s">
        <v>400</v>
      </c>
      <c r="C163" s="35" t="str">
        <f>IF(B163="","",(VLOOKUP(B163,'Dados de PN'!$A:$B,2,0)))</f>
        <v>SLAVING ACCESS,SPEC</v>
      </c>
      <c r="D163" s="139"/>
      <c r="E163" s="83" t="s">
        <v>81</v>
      </c>
      <c r="F163" s="83" t="s">
        <v>34</v>
      </c>
      <c r="G163" s="42">
        <v>1.0</v>
      </c>
      <c r="H163" s="42">
        <v>6.8526001145E11</v>
      </c>
      <c r="I163" s="132" t="s">
        <v>810</v>
      </c>
      <c r="J163" s="152" t="s">
        <v>37</v>
      </c>
      <c r="K163" s="46">
        <v>46119.0</v>
      </c>
      <c r="L163" s="139" t="s">
        <v>183</v>
      </c>
      <c r="M163" s="83" t="s">
        <v>61</v>
      </c>
      <c r="N163" s="49"/>
      <c r="O163" s="49"/>
      <c r="P163" s="60"/>
      <c r="Q163" s="49"/>
      <c r="R163" s="60"/>
      <c r="S163" s="60"/>
      <c r="T163" s="60"/>
      <c r="U163" s="55"/>
      <c r="V163" s="60"/>
      <c r="W163" s="60"/>
      <c r="X163" s="60"/>
      <c r="Y163" s="60"/>
      <c r="Z163" s="60"/>
      <c r="AA163" s="60"/>
      <c r="AB163" s="60"/>
      <c r="AC163" s="60"/>
      <c r="AD163" s="60"/>
    </row>
    <row r="164">
      <c r="A164" s="33" t="s">
        <v>716</v>
      </c>
      <c r="B164" s="139" t="s">
        <v>845</v>
      </c>
      <c r="C164" s="35" t="str">
        <f>IF(B164="","",(VLOOKUP(B164,'Dados de PN'!$A:$B,2,0)))</f>
        <v>INDICATOR TRUE</v>
      </c>
      <c r="D164" s="139"/>
      <c r="E164" s="83" t="s">
        <v>81</v>
      </c>
      <c r="F164" s="83" t="s">
        <v>34</v>
      </c>
      <c r="G164" s="42">
        <v>1.0</v>
      </c>
      <c r="H164" s="42">
        <v>6.85260011448E11</v>
      </c>
      <c r="I164" s="132" t="s">
        <v>810</v>
      </c>
      <c r="J164" s="152" t="s">
        <v>37</v>
      </c>
      <c r="K164" s="46">
        <v>46119.0</v>
      </c>
      <c r="L164" s="139" t="s">
        <v>60</v>
      </c>
      <c r="M164" s="83" t="s">
        <v>61</v>
      </c>
      <c r="N164" s="49"/>
      <c r="O164" s="49"/>
      <c r="P164" s="60"/>
      <c r="Q164" s="49"/>
      <c r="R164" s="60"/>
      <c r="S164" s="60"/>
      <c r="T164" s="60"/>
      <c r="U164" s="55"/>
      <c r="V164" s="60"/>
      <c r="W164" s="60"/>
      <c r="X164" s="60"/>
      <c r="Y164" s="60"/>
      <c r="Z164" s="60"/>
      <c r="AA164" s="60"/>
      <c r="AB164" s="60"/>
      <c r="AC164" s="60"/>
      <c r="AD164" s="60"/>
    </row>
    <row r="165">
      <c r="A165" s="33" t="s">
        <v>720</v>
      </c>
      <c r="B165" s="139" t="s">
        <v>860</v>
      </c>
      <c r="C165" s="35" t="str">
        <f>IF(B165="","",(VLOOKUP(B165,'Dados de PN'!$A:$B,2,0)))</f>
        <v>ALTERNATOR CONTROL UNIT ASSY</v>
      </c>
      <c r="D165" s="139"/>
      <c r="E165" s="83" t="s">
        <v>54</v>
      </c>
      <c r="F165" s="83" t="s">
        <v>34</v>
      </c>
      <c r="G165" s="42">
        <v>1.0</v>
      </c>
      <c r="H165" s="42">
        <v>6.85260011449E11</v>
      </c>
      <c r="I165" s="132" t="s">
        <v>810</v>
      </c>
      <c r="J165" s="152" t="s">
        <v>37</v>
      </c>
      <c r="K165" s="46">
        <v>46119.0</v>
      </c>
      <c r="L165" s="139" t="s">
        <v>183</v>
      </c>
      <c r="M165" s="83" t="s">
        <v>61</v>
      </c>
      <c r="N165" s="49"/>
      <c r="O165" s="49"/>
      <c r="P165" s="60"/>
      <c r="Q165" s="49"/>
      <c r="R165" s="60"/>
      <c r="S165" s="60"/>
      <c r="T165" s="60"/>
      <c r="U165" s="55"/>
      <c r="V165" s="60"/>
      <c r="W165" s="60"/>
      <c r="X165" s="60"/>
      <c r="Y165" s="60"/>
      <c r="Z165" s="60"/>
      <c r="AA165" s="60"/>
      <c r="AB165" s="60"/>
      <c r="AC165" s="60"/>
      <c r="AD165" s="60"/>
    </row>
    <row r="166">
      <c r="A166" s="33" t="s">
        <v>725</v>
      </c>
      <c r="B166" s="139" t="s">
        <v>400</v>
      </c>
      <c r="C166" s="35" t="str">
        <f>IF(B166="","",(VLOOKUP(B166,'Dados de PN'!$A:$B,2,0)))</f>
        <v>SLAVING ACCESS,SPEC</v>
      </c>
      <c r="D166" s="139"/>
      <c r="E166" s="83" t="s">
        <v>81</v>
      </c>
      <c r="F166" s="83" t="s">
        <v>34</v>
      </c>
      <c r="G166" s="42">
        <v>1.0</v>
      </c>
      <c r="H166" s="42">
        <v>6.85260011452E11</v>
      </c>
      <c r="I166" s="132" t="s">
        <v>810</v>
      </c>
      <c r="J166" s="152" t="s">
        <v>37</v>
      </c>
      <c r="K166" s="46">
        <v>46119.0</v>
      </c>
      <c r="L166" s="139" t="s">
        <v>60</v>
      </c>
      <c r="M166" s="83" t="s">
        <v>61</v>
      </c>
      <c r="N166" s="49"/>
      <c r="O166" s="49"/>
      <c r="P166" s="60"/>
      <c r="Q166" s="49"/>
      <c r="R166" s="60"/>
      <c r="S166" s="60"/>
      <c r="T166" s="60"/>
      <c r="U166" s="55"/>
      <c r="V166" s="60"/>
      <c r="W166" s="60"/>
      <c r="X166" s="60"/>
      <c r="Y166" s="60"/>
      <c r="Z166" s="60"/>
      <c r="AA166" s="60"/>
      <c r="AB166" s="60"/>
      <c r="AC166" s="60"/>
      <c r="AD166" s="60"/>
    </row>
    <row r="167">
      <c r="A167" s="33" t="s">
        <v>728</v>
      </c>
      <c r="B167" s="139" t="s">
        <v>983</v>
      </c>
      <c r="C167" s="35" t="str">
        <f>IF(B167="","",(VLOOKUP(B167,'Dados de PN'!$A:$B,2,0)))</f>
        <v>TURN AND BANK</v>
      </c>
      <c r="D167" s="139"/>
      <c r="E167" s="83" t="s">
        <v>81</v>
      </c>
      <c r="F167" s="83" t="s">
        <v>34</v>
      </c>
      <c r="G167" s="42">
        <v>1.0</v>
      </c>
      <c r="H167" s="42">
        <v>6.85260011453E11</v>
      </c>
      <c r="I167" s="132" t="s">
        <v>810</v>
      </c>
      <c r="J167" s="152" t="s">
        <v>37</v>
      </c>
      <c r="K167" s="46">
        <v>46119.0</v>
      </c>
      <c r="L167" s="139" t="s">
        <v>60</v>
      </c>
      <c r="M167" s="83" t="s">
        <v>61</v>
      </c>
      <c r="N167" s="49"/>
      <c r="O167" s="49"/>
      <c r="P167" s="60"/>
      <c r="Q167" s="49"/>
      <c r="R167" s="60"/>
      <c r="S167" s="60"/>
      <c r="T167" s="60"/>
      <c r="U167" s="55"/>
      <c r="V167" s="60"/>
      <c r="W167" s="60"/>
      <c r="X167" s="60"/>
      <c r="Y167" s="60"/>
      <c r="Z167" s="60"/>
      <c r="AA167" s="60"/>
      <c r="AB167" s="60"/>
      <c r="AC167" s="60"/>
      <c r="AD167" s="60"/>
    </row>
    <row r="168">
      <c r="A168" s="33" t="s">
        <v>733</v>
      </c>
      <c r="B168" s="139" t="s">
        <v>984</v>
      </c>
      <c r="C168" s="35" t="str">
        <f>IF(B168="","",(VLOOKUP(B168,'Dados de PN'!$A:$B,2,0)))</f>
        <v>ENGINE MOUNT WELD ASSEMBLY</v>
      </c>
      <c r="D168" s="139" t="s">
        <v>985</v>
      </c>
      <c r="E168" s="83" t="s">
        <v>54</v>
      </c>
      <c r="F168" s="139" t="s">
        <v>34</v>
      </c>
      <c r="G168" s="42">
        <v>1.0</v>
      </c>
      <c r="H168" s="42">
        <v>1.7153041E7</v>
      </c>
      <c r="I168" s="132" t="s">
        <v>710</v>
      </c>
      <c r="J168" s="152" t="s">
        <v>37</v>
      </c>
      <c r="K168" s="46">
        <v>46120.0</v>
      </c>
      <c r="L168" s="139" t="s">
        <v>953</v>
      </c>
      <c r="M168" s="83" t="s">
        <v>570</v>
      </c>
      <c r="N168" s="49"/>
      <c r="O168" s="49"/>
      <c r="P168" s="60"/>
      <c r="Q168" s="49"/>
      <c r="R168" s="60"/>
      <c r="S168" s="60"/>
      <c r="T168" s="60"/>
      <c r="U168" s="55"/>
      <c r="V168" s="60"/>
      <c r="W168" s="60"/>
      <c r="X168" s="60"/>
      <c r="Y168" s="60"/>
      <c r="Z168" s="60"/>
      <c r="AA168" s="60"/>
      <c r="AB168" s="60"/>
      <c r="AC168" s="60"/>
      <c r="AD168" s="60"/>
    </row>
    <row r="169">
      <c r="A169" s="33" t="s">
        <v>738</v>
      </c>
      <c r="B169" s="139" t="s">
        <v>610</v>
      </c>
      <c r="C169" s="35" t="str">
        <f>IF(B169="","",(VLOOKUP(B169,'Dados de PN'!$A:$B,2,0)))</f>
        <v>RING AY-ENGINE MOUNT</v>
      </c>
      <c r="D169" s="139" t="s">
        <v>986</v>
      </c>
      <c r="E169" s="83" t="s">
        <v>54</v>
      </c>
      <c r="F169" s="139" t="s">
        <v>34</v>
      </c>
      <c r="G169" s="42">
        <v>1.0</v>
      </c>
      <c r="H169" s="42">
        <v>1.7153048E7</v>
      </c>
      <c r="I169" s="132" t="s">
        <v>710</v>
      </c>
      <c r="J169" s="152" t="s">
        <v>37</v>
      </c>
      <c r="K169" s="46">
        <v>46120.0</v>
      </c>
      <c r="L169" s="139" t="s">
        <v>953</v>
      </c>
      <c r="M169" s="83" t="s">
        <v>570</v>
      </c>
      <c r="N169" s="49"/>
      <c r="O169" s="49"/>
      <c r="P169" s="60"/>
      <c r="Q169" s="49"/>
      <c r="R169" s="60"/>
      <c r="S169" s="60"/>
      <c r="T169" s="60"/>
      <c r="U169" s="55"/>
      <c r="V169" s="60"/>
      <c r="W169" s="60"/>
      <c r="X169" s="60"/>
      <c r="Y169" s="60"/>
      <c r="Z169" s="60"/>
      <c r="AA169" s="60"/>
      <c r="AB169" s="60"/>
      <c r="AC169" s="60"/>
      <c r="AD169" s="60"/>
    </row>
    <row r="170">
      <c r="A170" s="33" t="s">
        <v>742</v>
      </c>
      <c r="B170" s="139" t="s">
        <v>181</v>
      </c>
      <c r="C170" s="35" t="str">
        <f>IF(B170="","",(VLOOKUP(B170,'Dados de PN'!$A:$B,2,0)))</f>
        <v>BOLT</v>
      </c>
      <c r="D170" s="139"/>
      <c r="E170" s="83" t="s">
        <v>32</v>
      </c>
      <c r="F170" s="83" t="s">
        <v>164</v>
      </c>
      <c r="G170" s="42">
        <v>2.0</v>
      </c>
      <c r="H170" s="42">
        <v>1.7155047E7</v>
      </c>
      <c r="I170" s="132" t="s">
        <v>710</v>
      </c>
      <c r="J170" s="152" t="s">
        <v>37</v>
      </c>
      <c r="K170" s="46">
        <v>46120.0</v>
      </c>
      <c r="L170" s="139" t="s">
        <v>953</v>
      </c>
      <c r="M170" s="83" t="s">
        <v>570</v>
      </c>
      <c r="N170" s="49"/>
      <c r="O170" s="49"/>
      <c r="P170" s="60"/>
      <c r="Q170" s="49"/>
      <c r="R170" s="60"/>
      <c r="S170" s="60"/>
      <c r="T170" s="60"/>
      <c r="U170" s="55"/>
      <c r="V170" s="60"/>
      <c r="W170" s="60"/>
      <c r="X170" s="60"/>
      <c r="Y170" s="60"/>
      <c r="Z170" s="60"/>
      <c r="AA170" s="60"/>
      <c r="AB170" s="60"/>
      <c r="AC170" s="60"/>
      <c r="AD170" s="60"/>
    </row>
    <row r="171">
      <c r="A171" s="33" t="s">
        <v>744</v>
      </c>
      <c r="B171" s="139" t="s">
        <v>713</v>
      </c>
      <c r="C171" s="35" t="str">
        <f>IF(B171="","",(VLOOKUP(B171,'Dados de PN'!$A:$B,2,0)))</f>
        <v>NUT, SELF-LOCKING, HEXAGON</v>
      </c>
      <c r="D171" s="139"/>
      <c r="E171" s="83" t="s">
        <v>32</v>
      </c>
      <c r="F171" s="83" t="s">
        <v>164</v>
      </c>
      <c r="G171" s="42">
        <v>2.0</v>
      </c>
      <c r="H171" s="42">
        <v>1.7154695E7</v>
      </c>
      <c r="I171" s="132" t="s">
        <v>710</v>
      </c>
      <c r="J171" s="152" t="s">
        <v>37</v>
      </c>
      <c r="K171" s="46">
        <v>46120.0</v>
      </c>
      <c r="L171" s="139" t="s">
        <v>953</v>
      </c>
      <c r="M171" s="83" t="s">
        <v>570</v>
      </c>
      <c r="N171" s="49"/>
      <c r="O171" s="49"/>
      <c r="P171" s="60"/>
      <c r="Q171" s="49"/>
      <c r="R171" s="60"/>
      <c r="S171" s="60"/>
      <c r="T171" s="60"/>
      <c r="U171" s="55"/>
      <c r="V171" s="60"/>
      <c r="W171" s="60"/>
      <c r="X171" s="60"/>
      <c r="Y171" s="60"/>
      <c r="Z171" s="60"/>
      <c r="AA171" s="60"/>
      <c r="AB171" s="60"/>
      <c r="AC171" s="60"/>
      <c r="AD171" s="60"/>
    </row>
    <row r="172">
      <c r="A172" s="33" t="s">
        <v>747</v>
      </c>
      <c r="B172" s="139" t="s">
        <v>717</v>
      </c>
      <c r="C172" s="35" t="str">
        <f>IF(B172="","",(VLOOKUP(B172,'Dados de PN'!$A:$B,2,0)))</f>
        <v>WASHER, FLAT</v>
      </c>
      <c r="D172" s="139"/>
      <c r="E172" s="83" t="s">
        <v>32</v>
      </c>
      <c r="F172" s="83" t="s">
        <v>164</v>
      </c>
      <c r="G172" s="42">
        <v>2.0</v>
      </c>
      <c r="H172" s="42">
        <v>1.7154706E7</v>
      </c>
      <c r="I172" s="132" t="s">
        <v>710</v>
      </c>
      <c r="J172" s="152" t="s">
        <v>37</v>
      </c>
      <c r="K172" s="46">
        <v>46120.0</v>
      </c>
      <c r="L172" s="139" t="s">
        <v>953</v>
      </c>
      <c r="M172" s="83" t="s">
        <v>570</v>
      </c>
      <c r="N172" s="49"/>
      <c r="O172" s="49"/>
      <c r="P172" s="60"/>
      <c r="Q172" s="49"/>
      <c r="R172" s="60"/>
      <c r="S172" s="60"/>
      <c r="T172" s="60"/>
      <c r="U172" s="55"/>
      <c r="V172" s="60"/>
      <c r="W172" s="60"/>
      <c r="X172" s="60"/>
      <c r="Y172" s="60"/>
      <c r="Z172" s="60"/>
      <c r="AA172" s="60"/>
      <c r="AB172" s="60"/>
      <c r="AC172" s="60"/>
      <c r="AD172" s="60"/>
    </row>
    <row r="173">
      <c r="A173" s="33" t="s">
        <v>751</v>
      </c>
      <c r="B173" s="139" t="s">
        <v>721</v>
      </c>
      <c r="C173" s="35" t="str">
        <f>IF(B173="","",(VLOOKUP(B173,'Dados de PN'!$A:$B,2,0)))</f>
        <v>WASHER, RECESSED</v>
      </c>
      <c r="D173" s="139"/>
      <c r="E173" s="83" t="s">
        <v>32</v>
      </c>
      <c r="F173" s="139" t="s">
        <v>252</v>
      </c>
      <c r="G173" s="42">
        <v>4.0</v>
      </c>
      <c r="H173" s="42">
        <v>1.715475E7</v>
      </c>
      <c r="I173" s="132" t="s">
        <v>710</v>
      </c>
      <c r="J173" s="152" t="s">
        <v>37</v>
      </c>
      <c r="K173" s="46">
        <v>46120.0</v>
      </c>
      <c r="L173" s="139" t="s">
        <v>953</v>
      </c>
      <c r="M173" s="83" t="s">
        <v>570</v>
      </c>
      <c r="N173" s="49"/>
      <c r="O173" s="49"/>
      <c r="P173" s="60"/>
      <c r="Q173" s="49"/>
      <c r="R173" s="60"/>
      <c r="S173" s="60"/>
      <c r="T173" s="60"/>
      <c r="U173" s="55"/>
      <c r="V173" s="60"/>
      <c r="W173" s="60"/>
      <c r="X173" s="60"/>
      <c r="Y173" s="60"/>
      <c r="Z173" s="60"/>
      <c r="AA173" s="60"/>
      <c r="AB173" s="60"/>
      <c r="AC173" s="60"/>
      <c r="AD173" s="60"/>
    </row>
    <row r="174">
      <c r="A174" s="33" t="s">
        <v>755</v>
      </c>
      <c r="B174" s="139" t="s">
        <v>726</v>
      </c>
      <c r="C174" s="35" t="str">
        <f>IF(B174="","",(VLOOKUP(B174,'Dados de PN'!$A:$B,2,0)))</f>
        <v>BOLT, MACHINE</v>
      </c>
      <c r="D174" s="139"/>
      <c r="E174" s="83" t="s">
        <v>32</v>
      </c>
      <c r="F174" s="139" t="s">
        <v>34</v>
      </c>
      <c r="G174" s="42">
        <v>1.0</v>
      </c>
      <c r="H174" s="42">
        <v>1.7154753E7</v>
      </c>
      <c r="I174" s="132" t="s">
        <v>710</v>
      </c>
      <c r="J174" s="152" t="s">
        <v>37</v>
      </c>
      <c r="K174" s="46">
        <v>46120.0</v>
      </c>
      <c r="L174" s="139" t="s">
        <v>953</v>
      </c>
      <c r="M174" s="83" t="s">
        <v>570</v>
      </c>
      <c r="N174" s="49"/>
      <c r="O174" s="49"/>
      <c r="P174" s="60"/>
      <c r="Q174" s="49"/>
      <c r="R174" s="60"/>
      <c r="S174" s="60"/>
      <c r="T174" s="60"/>
      <c r="U174" s="55"/>
      <c r="V174" s="60"/>
      <c r="W174" s="60"/>
      <c r="X174" s="60"/>
      <c r="Y174" s="60"/>
      <c r="Z174" s="60"/>
      <c r="AA174" s="60"/>
      <c r="AB174" s="60"/>
      <c r="AC174" s="60"/>
      <c r="AD174" s="60"/>
    </row>
    <row r="175">
      <c r="A175" s="33" t="s">
        <v>761</v>
      </c>
      <c r="B175" s="139" t="s">
        <v>729</v>
      </c>
      <c r="C175" s="35" t="str">
        <f>IF(B175="","",(VLOOKUP(B175,'Dados de PN'!$A:$B,2,0)))</f>
        <v>WASHER, FLAT</v>
      </c>
      <c r="D175" s="139"/>
      <c r="E175" s="83" t="s">
        <v>32</v>
      </c>
      <c r="F175" s="83" t="s">
        <v>164</v>
      </c>
      <c r="G175" s="42">
        <v>2.0</v>
      </c>
      <c r="H175" s="42">
        <v>1.7154695E7</v>
      </c>
      <c r="I175" s="132" t="s">
        <v>710</v>
      </c>
      <c r="J175" s="152" t="s">
        <v>37</v>
      </c>
      <c r="K175" s="46">
        <v>46120.0</v>
      </c>
      <c r="L175" s="139" t="s">
        <v>953</v>
      </c>
      <c r="M175" s="83" t="s">
        <v>570</v>
      </c>
      <c r="N175" s="49"/>
      <c r="O175" s="49"/>
      <c r="P175" s="60"/>
      <c r="Q175" s="49"/>
      <c r="R175" s="60"/>
      <c r="S175" s="60"/>
      <c r="T175" s="60"/>
      <c r="U175" s="55"/>
      <c r="V175" s="60"/>
      <c r="W175" s="60"/>
      <c r="X175" s="60"/>
      <c r="Y175" s="60"/>
      <c r="Z175" s="60"/>
      <c r="AA175" s="60"/>
      <c r="AB175" s="60"/>
      <c r="AC175" s="60"/>
      <c r="AD175" s="60"/>
    </row>
    <row r="176">
      <c r="A176" s="33" t="s">
        <v>764</v>
      </c>
      <c r="B176" s="139" t="s">
        <v>734</v>
      </c>
      <c r="C176" s="35" t="str">
        <f>IF(B176="","",(VLOOKUP(B176,'Dados de PN'!$A:$B,2,0)))</f>
        <v>WASHER</v>
      </c>
      <c r="D176" s="139"/>
      <c r="E176" s="83" t="s">
        <v>32</v>
      </c>
      <c r="F176" s="139" t="s">
        <v>34</v>
      </c>
      <c r="G176" s="42">
        <v>1.0</v>
      </c>
      <c r="H176" s="42">
        <v>1.715499E7</v>
      </c>
      <c r="I176" s="132" t="s">
        <v>710</v>
      </c>
      <c r="J176" s="152" t="s">
        <v>37</v>
      </c>
      <c r="K176" s="46">
        <v>46120.0</v>
      </c>
      <c r="L176" s="139" t="s">
        <v>953</v>
      </c>
      <c r="M176" s="83" t="s">
        <v>570</v>
      </c>
      <c r="N176" s="49"/>
      <c r="O176" s="49"/>
      <c r="P176" s="60"/>
      <c r="Q176" s="49"/>
      <c r="R176" s="60"/>
      <c r="S176" s="60"/>
      <c r="T176" s="60"/>
      <c r="U176" s="55"/>
      <c r="V176" s="60"/>
      <c r="W176" s="60"/>
      <c r="X176" s="60"/>
      <c r="Y176" s="60"/>
      <c r="Z176" s="60"/>
      <c r="AA176" s="60"/>
      <c r="AB176" s="60"/>
      <c r="AC176" s="60"/>
      <c r="AD176" s="60"/>
    </row>
    <row r="177">
      <c r="A177" s="33" t="s">
        <v>769</v>
      </c>
      <c r="B177" s="139" t="s">
        <v>739</v>
      </c>
      <c r="C177" s="35" t="str">
        <f>IF(B177="","",(VLOOKUP(B177,'Dados de PN'!$A:$B,2,0)))</f>
        <v>NUT, SELF-LOCKING</v>
      </c>
      <c r="D177" s="139"/>
      <c r="E177" s="83" t="s">
        <v>32</v>
      </c>
      <c r="F177" s="139" t="s">
        <v>34</v>
      </c>
      <c r="G177" s="42">
        <v>1.0</v>
      </c>
      <c r="H177" s="42">
        <v>1.7154998E7</v>
      </c>
      <c r="I177" s="132" t="s">
        <v>710</v>
      </c>
      <c r="J177" s="152" t="s">
        <v>37</v>
      </c>
      <c r="K177" s="46">
        <v>46120.0</v>
      </c>
      <c r="L177" s="139" t="s">
        <v>953</v>
      </c>
      <c r="M177" s="83" t="s">
        <v>570</v>
      </c>
      <c r="N177" s="49"/>
      <c r="O177" s="49"/>
      <c r="P177" s="60"/>
      <c r="Q177" s="49"/>
      <c r="R177" s="60"/>
      <c r="S177" s="60"/>
      <c r="T177" s="60"/>
      <c r="U177" s="55"/>
      <c r="V177" s="60"/>
      <c r="W177" s="60"/>
      <c r="X177" s="60"/>
      <c r="Y177" s="60"/>
      <c r="Z177" s="60"/>
      <c r="AA177" s="60"/>
      <c r="AB177" s="60"/>
      <c r="AC177" s="60"/>
      <c r="AD177" s="60"/>
    </row>
    <row r="178">
      <c r="A178" s="33" t="s">
        <v>773</v>
      </c>
      <c r="B178" s="139" t="s">
        <v>185</v>
      </c>
      <c r="C178" s="35" t="str">
        <f>IF(B178="","",(VLOOKUP(B178,'Dados de PN'!$A:$B,2,0)))</f>
        <v>BOLT,INTERNAL WRENCHING</v>
      </c>
      <c r="D178" s="139"/>
      <c r="E178" s="83" t="s">
        <v>32</v>
      </c>
      <c r="F178" s="83" t="s">
        <v>164</v>
      </c>
      <c r="G178" s="42">
        <v>2.0</v>
      </c>
      <c r="H178" s="42">
        <v>1.7155038E7</v>
      </c>
      <c r="I178" s="132" t="s">
        <v>710</v>
      </c>
      <c r="J178" s="152" t="s">
        <v>37</v>
      </c>
      <c r="K178" s="46">
        <v>46120.0</v>
      </c>
      <c r="L178" s="139" t="s">
        <v>953</v>
      </c>
      <c r="M178" s="83" t="s">
        <v>570</v>
      </c>
      <c r="N178" s="49"/>
      <c r="O178" s="49"/>
      <c r="P178" s="60"/>
      <c r="Q178" s="49"/>
      <c r="R178" s="60"/>
      <c r="S178" s="60"/>
      <c r="T178" s="60"/>
      <c r="U178" s="55"/>
      <c r="V178" s="60"/>
      <c r="W178" s="60"/>
      <c r="X178" s="60"/>
      <c r="Y178" s="60"/>
      <c r="Z178" s="60"/>
      <c r="AA178" s="60"/>
      <c r="AB178" s="60"/>
      <c r="AC178" s="60"/>
      <c r="AD178" s="60"/>
    </row>
    <row r="179">
      <c r="A179" s="33" t="s">
        <v>778</v>
      </c>
      <c r="B179" s="139" t="s">
        <v>659</v>
      </c>
      <c r="C179" s="35" t="str">
        <f>IF(B179="","",(VLOOKUP(B179,'Dados de PN'!$A:$B,2,0)))</f>
        <v>EXTINGUISHER,FIRE</v>
      </c>
      <c r="D179" s="139"/>
      <c r="E179" s="83" t="s">
        <v>54</v>
      </c>
      <c r="F179" s="83" t="s">
        <v>34</v>
      </c>
      <c r="G179" s="42">
        <v>1.0</v>
      </c>
      <c r="H179" s="42">
        <v>1.7183414E7</v>
      </c>
      <c r="I179" s="132" t="s">
        <v>652</v>
      </c>
      <c r="J179" s="83" t="s">
        <v>37</v>
      </c>
      <c r="K179" s="46">
        <v>46121.0</v>
      </c>
      <c r="L179" s="139" t="s">
        <v>422</v>
      </c>
      <c r="M179" s="83" t="s">
        <v>423</v>
      </c>
      <c r="N179" s="49"/>
      <c r="O179" s="49"/>
      <c r="P179" s="60"/>
      <c r="Q179" s="49"/>
      <c r="R179" s="60"/>
      <c r="S179" s="60"/>
      <c r="T179" s="60"/>
      <c r="U179" s="55"/>
      <c r="V179" s="60"/>
      <c r="W179" s="60"/>
      <c r="X179" s="60"/>
      <c r="Y179" s="60"/>
      <c r="Z179" s="60"/>
      <c r="AA179" s="60"/>
      <c r="AB179" s="60"/>
      <c r="AC179" s="60"/>
      <c r="AD179" s="60"/>
    </row>
    <row r="180">
      <c r="A180" s="33" t="s">
        <v>780</v>
      </c>
      <c r="B180" s="35" t="s">
        <v>235</v>
      </c>
      <c r="C180" s="35" t="str">
        <f>IF(B180="","",(VLOOKUP(B180,'Dados de PN'!$A:$B,2,0)))</f>
        <v>CONTROL,DIRECTIONAL,AUTOMATIC PILOT</v>
      </c>
      <c r="D180" s="139"/>
      <c r="E180" s="83" t="s">
        <v>81</v>
      </c>
      <c r="F180" s="83" t="s">
        <v>34</v>
      </c>
      <c r="G180" s="42">
        <v>1.0</v>
      </c>
      <c r="H180" s="139" t="s">
        <v>987</v>
      </c>
      <c r="I180" s="132" t="s">
        <v>749</v>
      </c>
      <c r="J180" s="83" t="s">
        <v>37</v>
      </c>
      <c r="K180" s="46">
        <v>46121.0</v>
      </c>
      <c r="L180" s="139" t="s">
        <v>988</v>
      </c>
      <c r="M180" s="83" t="s">
        <v>61</v>
      </c>
      <c r="N180" s="49"/>
      <c r="O180" s="49"/>
      <c r="P180" s="60"/>
      <c r="Q180" s="49"/>
      <c r="R180" s="60"/>
      <c r="S180" s="60"/>
      <c r="T180" s="60"/>
      <c r="U180" s="55"/>
      <c r="V180" s="60"/>
      <c r="W180" s="60"/>
      <c r="X180" s="60"/>
      <c r="Y180" s="60"/>
      <c r="Z180" s="60"/>
      <c r="AA180" s="60"/>
      <c r="AB180" s="60"/>
      <c r="AC180" s="60"/>
      <c r="AD180" s="60"/>
    </row>
    <row r="181">
      <c r="A181" s="33" t="s">
        <v>783</v>
      </c>
      <c r="B181" s="35" t="s">
        <v>752</v>
      </c>
      <c r="C181" s="35" t="str">
        <f>IF(B181="","",(VLOOKUP(B181,'Dados de PN'!$A:$B,2,0)))</f>
        <v>PLATE</v>
      </c>
      <c r="D181" s="139"/>
      <c r="E181" s="83" t="s">
        <v>81</v>
      </c>
      <c r="F181" s="83" t="s">
        <v>34</v>
      </c>
      <c r="G181" s="42">
        <v>1.0</v>
      </c>
      <c r="H181" s="139" t="s">
        <v>989</v>
      </c>
      <c r="I181" s="132" t="s">
        <v>749</v>
      </c>
      <c r="J181" s="83" t="s">
        <v>37</v>
      </c>
      <c r="K181" s="46">
        <v>46121.0</v>
      </c>
      <c r="L181" s="139" t="s">
        <v>183</v>
      </c>
      <c r="M181" s="83" t="s">
        <v>61</v>
      </c>
      <c r="N181" s="49"/>
      <c r="O181" s="49"/>
      <c r="P181" s="60"/>
      <c r="Q181" s="49"/>
      <c r="R181" s="60"/>
      <c r="S181" s="60"/>
      <c r="T181" s="60"/>
      <c r="U181" s="55"/>
      <c r="V181" s="60"/>
      <c r="W181" s="60"/>
      <c r="X181" s="60"/>
      <c r="Y181" s="60"/>
      <c r="Z181" s="60"/>
      <c r="AA181" s="60"/>
      <c r="AB181" s="60"/>
      <c r="AC181" s="60"/>
      <c r="AD181" s="60"/>
    </row>
    <row r="182">
      <c r="A182" s="33" t="s">
        <v>787</v>
      </c>
      <c r="B182" s="35" t="s">
        <v>756</v>
      </c>
      <c r="C182" s="35" t="str">
        <f>IF(B182="","",(VLOOKUP(B182,'Dados de PN'!$A:$B,2,0)))</f>
        <v>INDICADOR RMI</v>
      </c>
      <c r="D182" s="139"/>
      <c r="E182" s="83" t="s">
        <v>81</v>
      </c>
      <c r="F182" s="83" t="s">
        <v>164</v>
      </c>
      <c r="G182" s="42">
        <v>2.0</v>
      </c>
      <c r="H182" s="139" t="s">
        <v>990</v>
      </c>
      <c r="I182" s="132" t="s">
        <v>749</v>
      </c>
      <c r="J182" s="83" t="s">
        <v>37</v>
      </c>
      <c r="K182" s="46">
        <v>46121.0</v>
      </c>
      <c r="L182" s="139" t="s">
        <v>759</v>
      </c>
      <c r="M182" s="83" t="s">
        <v>61</v>
      </c>
      <c r="N182" s="49"/>
      <c r="O182" s="49"/>
      <c r="P182" s="60"/>
      <c r="Q182" s="49"/>
      <c r="R182" s="60"/>
      <c r="S182" s="60"/>
      <c r="T182" s="60"/>
      <c r="U182" s="55"/>
      <c r="V182" s="60"/>
      <c r="W182" s="60"/>
      <c r="X182" s="60"/>
      <c r="Y182" s="60"/>
      <c r="Z182" s="60"/>
      <c r="AA182" s="60"/>
      <c r="AB182" s="60"/>
      <c r="AC182" s="60"/>
      <c r="AD182" s="60"/>
    </row>
    <row r="183">
      <c r="A183" s="33" t="s">
        <v>791</v>
      </c>
      <c r="B183" s="35" t="s">
        <v>762</v>
      </c>
      <c r="C183" s="35" t="str">
        <f>IF(B183="","",(VLOOKUP(B183,'Dados de PN'!$A:$B,2,0)))</f>
        <v>ANTENA</v>
      </c>
      <c r="D183" s="139"/>
      <c r="E183" s="83" t="s">
        <v>81</v>
      </c>
      <c r="F183" s="83" t="s">
        <v>34</v>
      </c>
      <c r="G183" s="42">
        <v>1.0</v>
      </c>
      <c r="H183" s="139" t="s">
        <v>991</v>
      </c>
      <c r="I183" s="132" t="s">
        <v>749</v>
      </c>
      <c r="J183" s="83" t="s">
        <v>37</v>
      </c>
      <c r="K183" s="46">
        <v>46121.0</v>
      </c>
      <c r="L183" s="139" t="s">
        <v>183</v>
      </c>
      <c r="M183" s="83" t="s">
        <v>61</v>
      </c>
      <c r="N183" s="49"/>
      <c r="O183" s="49"/>
      <c r="P183" s="60"/>
      <c r="Q183" s="49"/>
      <c r="R183" s="60"/>
      <c r="S183" s="60"/>
      <c r="T183" s="60"/>
      <c r="U183" s="55"/>
      <c r="V183" s="60"/>
      <c r="W183" s="60"/>
      <c r="X183" s="60"/>
      <c r="Y183" s="60"/>
      <c r="Z183" s="60"/>
      <c r="AA183" s="60"/>
      <c r="AB183" s="60"/>
      <c r="AC183" s="60"/>
      <c r="AD183" s="60"/>
    </row>
    <row r="184">
      <c r="A184" s="33" t="s">
        <v>796</v>
      </c>
      <c r="B184" s="139" t="s">
        <v>765</v>
      </c>
      <c r="C184" s="35" t="str">
        <f>IF(B184="","",(VLOOKUP(B184,'Dados de PN'!$A:$B,2,0)))</f>
        <v>LINE ASSY-INSTRUMENT TO TEE</v>
      </c>
      <c r="D184" s="139"/>
      <c r="E184" s="83" t="s">
        <v>32</v>
      </c>
      <c r="F184" s="83" t="s">
        <v>34</v>
      </c>
      <c r="G184" s="42">
        <v>1.0</v>
      </c>
      <c r="H184" s="139" t="s">
        <v>992</v>
      </c>
      <c r="I184" s="132" t="s">
        <v>767</v>
      </c>
      <c r="J184" s="83" t="s">
        <v>37</v>
      </c>
      <c r="K184" s="46">
        <v>46122.0</v>
      </c>
      <c r="L184" s="139" t="s">
        <v>290</v>
      </c>
      <c r="M184" s="83" t="s">
        <v>169</v>
      </c>
      <c r="N184" s="49"/>
      <c r="O184" s="49"/>
      <c r="P184" s="60"/>
      <c r="Q184" s="49"/>
      <c r="R184" s="60"/>
      <c r="S184" s="60"/>
      <c r="T184" s="60"/>
      <c r="U184" s="55"/>
      <c r="V184" s="60"/>
      <c r="W184" s="60"/>
      <c r="X184" s="60"/>
      <c r="Y184" s="60"/>
      <c r="Z184" s="60"/>
      <c r="AA184" s="60"/>
      <c r="AB184" s="60"/>
      <c r="AC184" s="60"/>
      <c r="AD184" s="60"/>
    </row>
    <row r="185">
      <c r="A185" s="33" t="s">
        <v>799</v>
      </c>
      <c r="B185" s="139" t="s">
        <v>765</v>
      </c>
      <c r="C185" s="35" t="str">
        <f>IF(B185="","",(VLOOKUP(B185,'Dados de PN'!$A:$B,2,0)))</f>
        <v>LINE ASSY-INSTRUMENT TO TEE</v>
      </c>
      <c r="D185" s="139"/>
      <c r="E185" s="83" t="s">
        <v>32</v>
      </c>
      <c r="F185" s="83" t="s">
        <v>34</v>
      </c>
      <c r="G185" s="42">
        <v>1.0</v>
      </c>
      <c r="H185" s="139" t="s">
        <v>993</v>
      </c>
      <c r="I185" s="132" t="s">
        <v>767</v>
      </c>
      <c r="J185" s="83" t="s">
        <v>37</v>
      </c>
      <c r="K185" s="46">
        <v>46122.0</v>
      </c>
      <c r="L185" s="139" t="s">
        <v>290</v>
      </c>
      <c r="M185" s="83" t="s">
        <v>169</v>
      </c>
      <c r="N185" s="49"/>
      <c r="O185" s="49"/>
      <c r="P185" s="60"/>
      <c r="Q185" s="49"/>
      <c r="R185" s="60"/>
      <c r="S185" s="60"/>
      <c r="T185" s="60"/>
      <c r="U185" s="55"/>
      <c r="V185" s="60"/>
      <c r="W185" s="60"/>
      <c r="X185" s="60"/>
      <c r="Y185" s="60"/>
      <c r="Z185" s="60"/>
      <c r="AA185" s="60"/>
      <c r="AB185" s="60"/>
      <c r="AC185" s="60"/>
      <c r="AD185" s="60"/>
    </row>
    <row r="186">
      <c r="A186" s="33" t="s">
        <v>803</v>
      </c>
      <c r="B186" s="139" t="s">
        <v>774</v>
      </c>
      <c r="C186" s="35" t="str">
        <f>IF(B186="","",(VLOOKUP(B186,'Dados de PN'!$A:$B,2,0)))</f>
        <v>PORCA FLUTUANTE</v>
      </c>
      <c r="D186" s="139"/>
      <c r="E186" s="83" t="s">
        <v>32</v>
      </c>
      <c r="F186" s="83" t="s">
        <v>124</v>
      </c>
      <c r="G186" s="42">
        <v>50.0</v>
      </c>
      <c r="H186" s="139" t="s">
        <v>994</v>
      </c>
      <c r="I186" s="132" t="s">
        <v>767</v>
      </c>
      <c r="J186" s="83" t="s">
        <v>37</v>
      </c>
      <c r="K186" s="46">
        <v>46122.0</v>
      </c>
      <c r="L186" s="139" t="s">
        <v>290</v>
      </c>
      <c r="M186" s="83" t="s">
        <v>169</v>
      </c>
      <c r="N186" s="49"/>
      <c r="O186" s="49"/>
      <c r="P186" s="60"/>
      <c r="Q186" s="49"/>
      <c r="R186" s="60"/>
      <c r="S186" s="60"/>
      <c r="T186" s="60"/>
      <c r="U186" s="55"/>
      <c r="V186" s="60"/>
      <c r="W186" s="60"/>
      <c r="X186" s="60"/>
      <c r="Y186" s="60"/>
      <c r="Z186" s="60"/>
      <c r="AA186" s="60"/>
      <c r="AB186" s="60"/>
      <c r="AC186" s="60"/>
      <c r="AD186" s="60"/>
    </row>
    <row r="187">
      <c r="A187" s="33" t="s">
        <v>806</v>
      </c>
      <c r="B187" s="139" t="s">
        <v>779</v>
      </c>
      <c r="C187" s="35" t="str">
        <f>IF(B187="","",(VLOOKUP(B187,'Dados de PN'!$A:$B,2,0)))</f>
        <v>BOLT</v>
      </c>
      <c r="D187" s="139"/>
      <c r="E187" s="83" t="s">
        <v>32</v>
      </c>
      <c r="F187" s="83" t="s">
        <v>34</v>
      </c>
      <c r="G187" s="42">
        <v>1.0</v>
      </c>
      <c r="H187" s="42">
        <v>1.7187137E7</v>
      </c>
      <c r="I187" s="132" t="s">
        <v>767</v>
      </c>
      <c r="J187" s="83" t="s">
        <v>37</v>
      </c>
      <c r="K187" s="46">
        <v>46122.0</v>
      </c>
      <c r="L187" s="139" t="s">
        <v>953</v>
      </c>
      <c r="M187" s="83" t="s">
        <v>570</v>
      </c>
      <c r="N187" s="49"/>
      <c r="O187" s="49"/>
      <c r="P187" s="60"/>
      <c r="Q187" s="49"/>
      <c r="R187" s="60"/>
      <c r="S187" s="60"/>
      <c r="T187" s="60"/>
      <c r="U187" s="55"/>
      <c r="V187" s="60"/>
      <c r="W187" s="60"/>
      <c r="X187" s="60"/>
      <c r="Y187" s="60"/>
      <c r="Z187" s="60"/>
      <c r="AA187" s="60"/>
      <c r="AB187" s="60"/>
      <c r="AC187" s="60"/>
      <c r="AD187" s="60"/>
    </row>
    <row r="188">
      <c r="A188" s="33" t="s">
        <v>812</v>
      </c>
      <c r="B188" s="139" t="s">
        <v>781</v>
      </c>
      <c r="C188" s="35" t="str">
        <f>IF(B188="","",(VLOOKUP(B188,'Dados de PN'!$A:$B,2,0)))</f>
        <v>BOLT,INTERNAL WRENCHING</v>
      </c>
      <c r="D188" s="139"/>
      <c r="E188" s="83" t="s">
        <v>32</v>
      </c>
      <c r="F188" s="83" t="s">
        <v>164</v>
      </c>
      <c r="G188" s="42">
        <v>2.0</v>
      </c>
      <c r="H188" s="42">
        <v>1.7187145E7</v>
      </c>
      <c r="I188" s="132" t="s">
        <v>767</v>
      </c>
      <c r="J188" s="83" t="s">
        <v>37</v>
      </c>
      <c r="K188" s="46">
        <v>46122.0</v>
      </c>
      <c r="L188" s="139" t="s">
        <v>953</v>
      </c>
      <c r="M188" s="83" t="s">
        <v>570</v>
      </c>
      <c r="N188" s="49"/>
      <c r="O188" s="49"/>
      <c r="P188" s="60"/>
      <c r="Q188" s="49"/>
      <c r="R188" s="60"/>
      <c r="S188" s="60"/>
      <c r="T188" s="60"/>
      <c r="U188" s="55"/>
      <c r="V188" s="60"/>
      <c r="W188" s="60"/>
      <c r="X188" s="60"/>
      <c r="Y188" s="60"/>
      <c r="Z188" s="60"/>
      <c r="AA188" s="60"/>
      <c r="AB188" s="60"/>
      <c r="AC188" s="60"/>
      <c r="AD188" s="60"/>
    </row>
    <row r="189">
      <c r="A189" s="33" t="s">
        <v>816</v>
      </c>
      <c r="B189" s="139" t="s">
        <v>784</v>
      </c>
      <c r="C189" s="35" t="str">
        <f>IF(B189="","",(VLOOKUP(B189,'Dados de PN'!$A:$B,2,0)))</f>
        <v>NUT,SELF-LOCKING,HEXAGON</v>
      </c>
      <c r="D189" s="139"/>
      <c r="E189" s="83" t="s">
        <v>32</v>
      </c>
      <c r="F189" s="139" t="s">
        <v>252</v>
      </c>
      <c r="G189" s="42">
        <v>4.0</v>
      </c>
      <c r="H189" s="42">
        <v>1.7187148E7</v>
      </c>
      <c r="I189" s="132" t="s">
        <v>767</v>
      </c>
      <c r="J189" s="83" t="s">
        <v>37</v>
      </c>
      <c r="K189" s="46">
        <v>46122.0</v>
      </c>
      <c r="L189" s="139" t="s">
        <v>953</v>
      </c>
      <c r="M189" s="83" t="s">
        <v>570</v>
      </c>
      <c r="N189" s="49"/>
      <c r="O189" s="49"/>
      <c r="P189" s="60"/>
      <c r="Q189" s="49"/>
      <c r="R189" s="60"/>
      <c r="S189" s="60"/>
      <c r="T189" s="60"/>
      <c r="U189" s="55"/>
      <c r="V189" s="60"/>
      <c r="W189" s="60"/>
      <c r="X189" s="60"/>
      <c r="Y189" s="60"/>
      <c r="Z189" s="60"/>
      <c r="AA189" s="60"/>
      <c r="AB189" s="60"/>
      <c r="AC189" s="60"/>
      <c r="AD189" s="60"/>
    </row>
    <row r="190">
      <c r="A190" s="33" t="s">
        <v>823</v>
      </c>
      <c r="B190" s="139" t="s">
        <v>788</v>
      </c>
      <c r="C190" s="35" t="str">
        <f>IF(B190="","",(VLOOKUP(B190,'Dados de PN'!$A:$B,2,0)))</f>
        <v>BOLT,INTERNAL WRENCHING</v>
      </c>
      <c r="D190" s="139"/>
      <c r="E190" s="83" t="s">
        <v>32</v>
      </c>
      <c r="F190" s="83" t="s">
        <v>34</v>
      </c>
      <c r="G190" s="42">
        <v>1.0</v>
      </c>
      <c r="H190" s="42">
        <v>1.7187154E7</v>
      </c>
      <c r="I190" s="132" t="s">
        <v>767</v>
      </c>
      <c r="J190" s="83" t="s">
        <v>37</v>
      </c>
      <c r="K190" s="46">
        <v>46122.0</v>
      </c>
      <c r="L190" s="139" t="s">
        <v>953</v>
      </c>
      <c r="M190" s="83" t="s">
        <v>570</v>
      </c>
      <c r="N190" s="49"/>
      <c r="O190" s="49"/>
      <c r="P190" s="60"/>
      <c r="Q190" s="49"/>
      <c r="R190" s="60"/>
      <c r="S190" s="60"/>
      <c r="T190" s="60"/>
      <c r="U190" s="55"/>
      <c r="V190" s="60"/>
      <c r="W190" s="60"/>
      <c r="X190" s="60"/>
      <c r="Y190" s="60"/>
      <c r="Z190" s="60"/>
      <c r="AA190" s="60"/>
      <c r="AB190" s="60"/>
      <c r="AC190" s="60"/>
      <c r="AD190" s="60"/>
    </row>
    <row r="191">
      <c r="A191" s="33" t="s">
        <v>829</v>
      </c>
      <c r="B191" s="139" t="s">
        <v>792</v>
      </c>
      <c r="C191" s="35" t="str">
        <f>IF(B191="","",(VLOOKUP(B191,'Dados de PN'!$A:$B,2,0)))</f>
        <v>ENGINE MOUNT</v>
      </c>
      <c r="D191" s="139"/>
      <c r="E191" s="83" t="s">
        <v>32</v>
      </c>
      <c r="F191" s="83" t="s">
        <v>794</v>
      </c>
      <c r="G191" s="42">
        <v>6.0</v>
      </c>
      <c r="H191" s="42">
        <v>1.7187163E7</v>
      </c>
      <c r="I191" s="132" t="s">
        <v>767</v>
      </c>
      <c r="J191" s="83" t="s">
        <v>37</v>
      </c>
      <c r="K191" s="46">
        <v>46122.0</v>
      </c>
      <c r="L191" s="139" t="s">
        <v>953</v>
      </c>
      <c r="M191" s="83" t="s">
        <v>570</v>
      </c>
      <c r="N191" s="49"/>
      <c r="O191" s="49"/>
      <c r="P191" s="60"/>
      <c r="Q191" s="49"/>
      <c r="R191" s="60"/>
      <c r="S191" s="60"/>
      <c r="T191" s="60"/>
      <c r="U191" s="55"/>
      <c r="V191" s="60"/>
      <c r="W191" s="60"/>
      <c r="X191" s="60"/>
      <c r="Y191" s="60"/>
      <c r="Z191" s="60"/>
      <c r="AA191" s="60"/>
      <c r="AB191" s="60"/>
      <c r="AC191" s="60"/>
      <c r="AD191" s="60"/>
    </row>
    <row r="192">
      <c r="A192" s="33" t="s">
        <v>833</v>
      </c>
      <c r="B192" s="139" t="s">
        <v>797</v>
      </c>
      <c r="C192" s="35" t="str">
        <f>IF(B192="","",(VLOOKUP(B192,'Dados de PN'!$A:$B,2,0)))</f>
        <v>BOLT</v>
      </c>
      <c r="D192" s="139"/>
      <c r="E192" s="83" t="s">
        <v>32</v>
      </c>
      <c r="F192" s="83" t="s">
        <v>34</v>
      </c>
      <c r="G192" s="42">
        <v>1.0</v>
      </c>
      <c r="H192" s="42">
        <v>1.7187176E7</v>
      </c>
      <c r="I192" s="132" t="s">
        <v>767</v>
      </c>
      <c r="J192" s="83" t="s">
        <v>37</v>
      </c>
      <c r="K192" s="46">
        <v>46122.0</v>
      </c>
      <c r="L192" s="139" t="s">
        <v>953</v>
      </c>
      <c r="M192" s="83" t="s">
        <v>570</v>
      </c>
      <c r="N192" s="49"/>
      <c r="O192" s="49"/>
      <c r="P192" s="60"/>
      <c r="Q192" s="49"/>
      <c r="R192" s="60"/>
      <c r="S192" s="60"/>
      <c r="T192" s="60"/>
      <c r="U192" s="55"/>
      <c r="V192" s="60"/>
      <c r="W192" s="60"/>
      <c r="X192" s="60"/>
      <c r="Y192" s="60"/>
      <c r="Z192" s="60"/>
      <c r="AA192" s="60"/>
      <c r="AB192" s="60"/>
      <c r="AC192" s="60"/>
      <c r="AD192" s="60"/>
    </row>
    <row r="193">
      <c r="A193" s="33" t="s">
        <v>834</v>
      </c>
      <c r="B193" s="139" t="s">
        <v>800</v>
      </c>
      <c r="C193" s="35" t="str">
        <f>IF(B193="","",(VLOOKUP(B193,'Dados de PN'!$A:$B,2,0)))</f>
        <v>NUT,PLAIN,CASTELLATED,HEXAGON</v>
      </c>
      <c r="D193" s="139"/>
      <c r="E193" s="83" t="s">
        <v>32</v>
      </c>
      <c r="F193" s="83" t="s">
        <v>340</v>
      </c>
      <c r="G193" s="42">
        <v>3.0</v>
      </c>
      <c r="H193" s="42">
        <v>1.7187179E7</v>
      </c>
      <c r="I193" s="132" t="s">
        <v>767</v>
      </c>
      <c r="J193" s="83" t="s">
        <v>37</v>
      </c>
      <c r="K193" s="46">
        <v>46122.0</v>
      </c>
      <c r="L193" s="139" t="s">
        <v>953</v>
      </c>
      <c r="M193" s="83" t="s">
        <v>570</v>
      </c>
      <c r="N193" s="49"/>
      <c r="O193" s="49"/>
      <c r="P193" s="60"/>
      <c r="Q193" s="49"/>
      <c r="R193" s="60"/>
      <c r="S193" s="60"/>
      <c r="T193" s="60"/>
      <c r="U193" s="55"/>
      <c r="V193" s="60"/>
      <c r="W193" s="60"/>
      <c r="X193" s="60"/>
      <c r="Y193" s="60"/>
      <c r="Z193" s="60"/>
      <c r="AA193" s="60"/>
      <c r="AB193" s="60"/>
      <c r="AC193" s="60"/>
      <c r="AD193" s="60"/>
    </row>
    <row r="194">
      <c r="A194" s="33" t="s">
        <v>839</v>
      </c>
      <c r="B194" s="139" t="s">
        <v>800</v>
      </c>
      <c r="C194" s="35" t="str">
        <f>IF(B194="","",(VLOOKUP(B194,'Dados de PN'!$A:$B,2,0)))</f>
        <v>NUT,PLAIN,CASTELLATED,HEXAGON</v>
      </c>
      <c r="D194" s="139"/>
      <c r="E194" s="83" t="s">
        <v>32</v>
      </c>
      <c r="F194" s="83" t="s">
        <v>340</v>
      </c>
      <c r="G194" s="42">
        <v>3.0</v>
      </c>
      <c r="H194" s="42">
        <v>1.7191995E7</v>
      </c>
      <c r="I194" s="132" t="s">
        <v>767</v>
      </c>
      <c r="J194" s="83" t="s">
        <v>37</v>
      </c>
      <c r="K194" s="46">
        <v>46122.0</v>
      </c>
      <c r="L194" s="139" t="s">
        <v>953</v>
      </c>
      <c r="M194" s="83" t="s">
        <v>570</v>
      </c>
      <c r="N194" s="49"/>
      <c r="O194" s="49"/>
      <c r="P194" s="60"/>
      <c r="Q194" s="49"/>
      <c r="R194" s="60"/>
      <c r="S194" s="60"/>
      <c r="T194" s="60"/>
      <c r="U194" s="55"/>
      <c r="V194" s="60"/>
      <c r="W194" s="60"/>
      <c r="X194" s="60"/>
      <c r="Y194" s="60"/>
      <c r="Z194" s="60"/>
      <c r="AA194" s="60"/>
      <c r="AB194" s="60"/>
      <c r="AC194" s="60"/>
      <c r="AD194" s="60"/>
    </row>
    <row r="195">
      <c r="A195" s="33" t="s">
        <v>844</v>
      </c>
      <c r="B195" s="139" t="s">
        <v>807</v>
      </c>
      <c r="C195" s="35" t="str">
        <f>IF(B195="","",(VLOOKUP(B195,'Dados de PN'!$A:$B,2,0)))</f>
        <v>HOSE ASSY TEE</v>
      </c>
      <c r="D195" s="139"/>
      <c r="E195" s="83" t="s">
        <v>32</v>
      </c>
      <c r="F195" s="83" t="s">
        <v>34</v>
      </c>
      <c r="G195" s="42">
        <v>1.0</v>
      </c>
      <c r="H195" s="42">
        <v>3.13260018206E11</v>
      </c>
      <c r="I195" s="132" t="s">
        <v>810</v>
      </c>
      <c r="J195" s="83" t="s">
        <v>37</v>
      </c>
      <c r="K195" s="46">
        <v>46126.0</v>
      </c>
      <c r="L195" s="139" t="s">
        <v>412</v>
      </c>
      <c r="M195" s="83" t="s">
        <v>51</v>
      </c>
      <c r="N195" s="49"/>
      <c r="O195" s="49"/>
      <c r="P195" s="60"/>
      <c r="Q195" s="49"/>
      <c r="R195" s="60"/>
      <c r="S195" s="60"/>
      <c r="T195" s="60"/>
      <c r="U195" s="55"/>
      <c r="V195" s="60"/>
      <c r="W195" s="60"/>
      <c r="X195" s="60"/>
      <c r="Y195" s="60"/>
      <c r="Z195" s="60"/>
      <c r="AA195" s="60"/>
      <c r="AB195" s="60"/>
      <c r="AC195" s="60"/>
      <c r="AD195" s="60"/>
    </row>
    <row r="196">
      <c r="A196" s="33" t="s">
        <v>848</v>
      </c>
      <c r="B196" s="139" t="s">
        <v>491</v>
      </c>
      <c r="C196" s="35" t="str">
        <f>IF(B196="","",(VLOOKUP(B196,'Dados de PN'!$A:$B,2,0)))</f>
        <v>RECEIVER TRANSMITTER</v>
      </c>
      <c r="D196" s="139" t="s">
        <v>995</v>
      </c>
      <c r="E196" s="83" t="s">
        <v>81</v>
      </c>
      <c r="F196" s="83" t="s">
        <v>34</v>
      </c>
      <c r="G196" s="42"/>
      <c r="H196" s="42">
        <v>1.7244405E7</v>
      </c>
      <c r="I196" s="132" t="s">
        <v>814</v>
      </c>
      <c r="J196" s="83" t="s">
        <v>37</v>
      </c>
      <c r="K196" s="46">
        <v>46128.0</v>
      </c>
      <c r="L196" s="139" t="s">
        <v>403</v>
      </c>
      <c r="M196" s="83" t="s">
        <v>404</v>
      </c>
      <c r="N196" s="49"/>
      <c r="O196" s="49"/>
      <c r="P196" s="60"/>
      <c r="Q196" s="49"/>
      <c r="R196" s="60"/>
      <c r="S196" s="60"/>
      <c r="T196" s="60"/>
      <c r="U196" s="55"/>
      <c r="V196" s="60"/>
      <c r="W196" s="60"/>
      <c r="X196" s="60"/>
      <c r="Y196" s="60"/>
      <c r="Z196" s="60"/>
      <c r="AA196" s="60"/>
      <c r="AB196" s="60"/>
      <c r="AC196" s="60"/>
      <c r="AD196" s="60"/>
    </row>
    <row r="197">
      <c r="A197" s="33" t="s">
        <v>853</v>
      </c>
      <c r="B197" s="139" t="s">
        <v>489</v>
      </c>
      <c r="C197" s="35" t="str">
        <f>IF(B197="","",(VLOOKUP(B197,'Dados de PN'!$A:$B,2,0)))</f>
        <v>TRANSCEIVER</v>
      </c>
      <c r="D197" s="139" t="s">
        <v>996</v>
      </c>
      <c r="E197" s="83" t="s">
        <v>81</v>
      </c>
      <c r="F197" s="83" t="s">
        <v>34</v>
      </c>
      <c r="G197" s="78"/>
      <c r="H197" s="42">
        <v>3.29260019063E11</v>
      </c>
      <c r="I197" s="132" t="s">
        <v>819</v>
      </c>
      <c r="J197" s="83" t="s">
        <v>37</v>
      </c>
      <c r="K197" s="46">
        <v>46128.0</v>
      </c>
      <c r="L197" s="139" t="s">
        <v>290</v>
      </c>
      <c r="M197" s="83" t="s">
        <v>169</v>
      </c>
      <c r="N197" s="49"/>
      <c r="O197" s="49"/>
      <c r="P197" s="60"/>
      <c r="Q197" s="49"/>
      <c r="R197" s="60"/>
      <c r="S197" s="60"/>
      <c r="T197" s="60"/>
      <c r="U197" s="55"/>
      <c r="V197" s="60"/>
      <c r="W197" s="60"/>
      <c r="X197" s="60"/>
      <c r="Y197" s="60"/>
      <c r="Z197" s="60"/>
      <c r="AA197" s="60"/>
      <c r="AB197" s="60"/>
      <c r="AC197" s="60"/>
      <c r="AD197" s="60"/>
    </row>
    <row r="198">
      <c r="A198" s="33" t="s">
        <v>859</v>
      </c>
      <c r="B198" s="139" t="s">
        <v>824</v>
      </c>
      <c r="C198" s="35" t="str">
        <f>IF(B198="","",(VLOOKUP(B198,'Dados de PN'!$A:$B,2,0)))</f>
        <v>PIN,COTTER</v>
      </c>
      <c r="D198" s="139"/>
      <c r="E198" s="83" t="s">
        <v>32</v>
      </c>
      <c r="F198" s="83" t="s">
        <v>826</v>
      </c>
      <c r="G198" s="78"/>
      <c r="H198" s="42">
        <v>1.7261012E7</v>
      </c>
      <c r="I198" s="132" t="s">
        <v>827</v>
      </c>
      <c r="J198" s="83" t="s">
        <v>256</v>
      </c>
      <c r="K198" s="46">
        <v>46128.0</v>
      </c>
      <c r="L198" s="139" t="s">
        <v>133</v>
      </c>
      <c r="M198" s="83" t="s">
        <v>76</v>
      </c>
      <c r="N198" s="49"/>
      <c r="O198" s="49"/>
      <c r="P198" s="60"/>
      <c r="Q198" s="49"/>
      <c r="R198" s="60"/>
      <c r="S198" s="60"/>
      <c r="T198" s="60"/>
      <c r="U198" s="55"/>
      <c r="V198" s="60"/>
      <c r="W198" s="60"/>
      <c r="X198" s="60"/>
      <c r="Y198" s="60"/>
      <c r="Z198" s="60"/>
      <c r="AA198" s="60"/>
      <c r="AB198" s="60"/>
      <c r="AC198" s="60"/>
      <c r="AD198" s="60"/>
    </row>
    <row r="199">
      <c r="A199" s="33" t="s">
        <v>865</v>
      </c>
      <c r="B199" s="139" t="s">
        <v>997</v>
      </c>
      <c r="C199" s="35" t="str">
        <f>IF(B199="","",(VLOOKUP(B199,'Dados de PN'!$A:$B,2,0)))</f>
        <v>SPACER</v>
      </c>
      <c r="D199" s="139"/>
      <c r="E199" s="83" t="s">
        <v>32</v>
      </c>
      <c r="F199" s="83" t="s">
        <v>164</v>
      </c>
      <c r="G199" s="78"/>
      <c r="H199" s="42">
        <v>1.7276994E7</v>
      </c>
      <c r="I199" s="132" t="s">
        <v>831</v>
      </c>
      <c r="J199" s="83" t="s">
        <v>74</v>
      </c>
      <c r="K199" s="46">
        <v>46129.0</v>
      </c>
      <c r="L199" s="139" t="s">
        <v>133</v>
      </c>
      <c r="M199" s="83" t="s">
        <v>76</v>
      </c>
      <c r="N199" s="49"/>
      <c r="O199" s="49"/>
      <c r="P199" s="60"/>
      <c r="Q199" s="49"/>
      <c r="R199" s="60"/>
      <c r="S199" s="60"/>
      <c r="T199" s="60"/>
      <c r="U199" s="55"/>
      <c r="V199" s="60"/>
      <c r="W199" s="60"/>
      <c r="X199" s="60"/>
      <c r="Y199" s="60"/>
      <c r="Z199" s="60"/>
      <c r="AA199" s="60"/>
      <c r="AB199" s="60"/>
      <c r="AC199" s="60"/>
      <c r="AD199" s="60"/>
    </row>
    <row r="200">
      <c r="A200" s="33" t="s">
        <v>868</v>
      </c>
      <c r="B200" s="139" t="s">
        <v>310</v>
      </c>
      <c r="C200" s="35" t="str">
        <f>IF(B200="","",(VLOOKUP(B200,'Dados de PN'!$A:$B,2,0)))</f>
        <v>HOSE ASSEMBLY,NONMETALLIC</v>
      </c>
      <c r="D200" s="139"/>
      <c r="E200" s="83" t="s">
        <v>32</v>
      </c>
      <c r="F200" s="83" t="s">
        <v>164</v>
      </c>
      <c r="G200" s="78"/>
      <c r="H200" s="42">
        <v>1.7254045E7</v>
      </c>
      <c r="I200" s="132" t="s">
        <v>749</v>
      </c>
      <c r="J200" s="83" t="s">
        <v>37</v>
      </c>
      <c r="K200" s="46">
        <v>46135.0</v>
      </c>
      <c r="L200" s="139" t="s">
        <v>320</v>
      </c>
      <c r="M200" s="83" t="s">
        <v>61</v>
      </c>
      <c r="N200" s="49"/>
      <c r="O200" s="49"/>
      <c r="P200" s="60"/>
      <c r="Q200" s="49"/>
      <c r="R200" s="60"/>
      <c r="S200" s="60"/>
      <c r="T200" s="60"/>
      <c r="U200" s="55"/>
      <c r="V200" s="60"/>
      <c r="W200" s="60"/>
      <c r="X200" s="60"/>
      <c r="Y200" s="60"/>
      <c r="Z200" s="60"/>
      <c r="AA200" s="60"/>
      <c r="AB200" s="60"/>
      <c r="AC200" s="60"/>
      <c r="AD200" s="60"/>
    </row>
    <row r="201">
      <c r="A201" s="33" t="s">
        <v>872</v>
      </c>
      <c r="B201" s="139" t="s">
        <v>835</v>
      </c>
      <c r="C201" s="35" t="str">
        <f>IF(B201="","",(VLOOKUP(B201,'Dados de PN'!$A:$B,2,0)))</f>
        <v>NUT,PLAIN,HEXAGON</v>
      </c>
      <c r="D201" s="139"/>
      <c r="E201" s="83" t="s">
        <v>32</v>
      </c>
      <c r="F201" s="139" t="s">
        <v>252</v>
      </c>
      <c r="G201" s="78"/>
      <c r="H201" s="42">
        <v>1.7331826E7</v>
      </c>
      <c r="I201" s="132" t="s">
        <v>837</v>
      </c>
      <c r="J201" s="83" t="s">
        <v>37</v>
      </c>
      <c r="K201" s="46">
        <v>46139.0</v>
      </c>
      <c r="L201" s="139" t="s">
        <v>543</v>
      </c>
      <c r="M201" s="83" t="s">
        <v>544</v>
      </c>
      <c r="N201" s="49"/>
      <c r="O201" s="49"/>
      <c r="P201" s="60"/>
      <c r="Q201" s="49"/>
      <c r="R201" s="60"/>
      <c r="S201" s="60"/>
      <c r="T201" s="60"/>
      <c r="U201" s="55"/>
      <c r="V201" s="60"/>
      <c r="W201" s="60"/>
      <c r="X201" s="60"/>
      <c r="Y201" s="60"/>
      <c r="Z201" s="60"/>
      <c r="AA201" s="60"/>
      <c r="AB201" s="60"/>
      <c r="AC201" s="60"/>
      <c r="AD201" s="60"/>
    </row>
    <row r="202">
      <c r="A202" s="33" t="s">
        <v>877</v>
      </c>
      <c r="B202" s="139" t="s">
        <v>840</v>
      </c>
      <c r="C202" s="35" t="str">
        <f>IF(B202="","",(VLOOKUP(B202,'Dados de PN'!$A:$B,2,0)))</f>
        <v>ANEL-O</v>
      </c>
      <c r="D202" s="139"/>
      <c r="E202" s="83" t="s">
        <v>32</v>
      </c>
      <c r="F202" s="83" t="s">
        <v>164</v>
      </c>
      <c r="G202" s="78"/>
      <c r="H202" s="42">
        <v>1.7331914E7</v>
      </c>
      <c r="I202" s="132" t="s">
        <v>837</v>
      </c>
      <c r="J202" s="83" t="s">
        <v>37</v>
      </c>
      <c r="K202" s="46">
        <v>46139.0</v>
      </c>
      <c r="L202" s="139" t="s">
        <v>543</v>
      </c>
      <c r="M202" s="83" t="s">
        <v>544</v>
      </c>
      <c r="N202" s="49"/>
      <c r="O202" s="49"/>
      <c r="P202" s="60"/>
      <c r="Q202" s="49"/>
      <c r="R202" s="60"/>
      <c r="S202" s="60"/>
      <c r="T202" s="60"/>
      <c r="U202" s="55"/>
      <c r="V202" s="60"/>
      <c r="W202" s="60"/>
      <c r="X202" s="60"/>
      <c r="Y202" s="60"/>
      <c r="Z202" s="60"/>
      <c r="AA202" s="60"/>
      <c r="AB202" s="60"/>
      <c r="AC202" s="60"/>
      <c r="AD202" s="60"/>
    </row>
    <row r="203">
      <c r="A203" s="33" t="s">
        <v>882</v>
      </c>
      <c r="B203" s="139" t="s">
        <v>845</v>
      </c>
      <c r="C203" s="35" t="str">
        <f>IF(B203="","",(VLOOKUP(B203,'Dados de PN'!$A:$B,2,0)))</f>
        <v>INDICATOR TRUE</v>
      </c>
      <c r="D203" s="139"/>
      <c r="E203" s="83" t="s">
        <v>81</v>
      </c>
      <c r="F203" s="83" t="s">
        <v>34</v>
      </c>
      <c r="G203" s="78"/>
      <c r="H203" s="139" t="s">
        <v>998</v>
      </c>
      <c r="I203" s="132" t="s">
        <v>819</v>
      </c>
      <c r="J203" s="83" t="s">
        <v>37</v>
      </c>
      <c r="K203" s="46">
        <v>46139.0</v>
      </c>
      <c r="L203" s="139" t="s">
        <v>988</v>
      </c>
      <c r="M203" s="83" t="s">
        <v>169</v>
      </c>
      <c r="N203" s="49"/>
      <c r="O203" s="49"/>
      <c r="P203" s="60"/>
      <c r="Q203" s="49"/>
      <c r="R203" s="60"/>
      <c r="S203" s="60"/>
      <c r="T203" s="60"/>
      <c r="U203" s="55"/>
      <c r="V203" s="60"/>
      <c r="W203" s="60"/>
      <c r="X203" s="60"/>
      <c r="Y203" s="60"/>
      <c r="Z203" s="60"/>
      <c r="AA203" s="60"/>
      <c r="AB203" s="60"/>
      <c r="AC203" s="60"/>
      <c r="AD203" s="60"/>
    </row>
    <row r="204">
      <c r="A204" s="33" t="s">
        <v>886</v>
      </c>
      <c r="B204" s="139" t="s">
        <v>849</v>
      </c>
      <c r="C204" s="35" t="str">
        <f>IF(B204="","",(VLOOKUP(B204,'Dados de PN'!$A:$B,2,0)))</f>
        <v>FUEL TOTALIZER</v>
      </c>
      <c r="D204" s="139"/>
      <c r="E204" s="83" t="s">
        <v>81</v>
      </c>
      <c r="F204" s="83" t="s">
        <v>34</v>
      </c>
      <c r="G204" s="78"/>
      <c r="H204" s="139" t="s">
        <v>999</v>
      </c>
      <c r="I204" s="132" t="s">
        <v>819</v>
      </c>
      <c r="J204" s="83" t="s">
        <v>37</v>
      </c>
      <c r="K204" s="46">
        <v>46139.0</v>
      </c>
      <c r="L204" s="139" t="s">
        <v>988</v>
      </c>
      <c r="M204" s="83" t="s">
        <v>169</v>
      </c>
      <c r="N204" s="49"/>
      <c r="O204" s="49"/>
      <c r="P204" s="60"/>
      <c r="Q204" s="49"/>
      <c r="R204" s="60"/>
      <c r="S204" s="60"/>
      <c r="T204" s="60"/>
      <c r="U204" s="55"/>
      <c r="V204" s="60"/>
      <c r="W204" s="60"/>
      <c r="X204" s="60"/>
      <c r="Y204" s="60"/>
      <c r="Z204" s="60"/>
      <c r="AA204" s="60"/>
      <c r="AB204" s="60"/>
      <c r="AC204" s="60"/>
      <c r="AD204" s="60"/>
    </row>
    <row r="205">
      <c r="A205" s="33" t="s">
        <v>890</v>
      </c>
      <c r="B205" s="139" t="s">
        <v>854</v>
      </c>
      <c r="C205" s="35" t="str">
        <f>IF(B205="","",(VLOOKUP(B205,'Dados de PN'!$A:$B,2,0)))</f>
        <v>NOSE GEAR STRUT ASSY - TALL FORK</v>
      </c>
      <c r="D205" s="139" t="s">
        <v>1000</v>
      </c>
      <c r="E205" s="83" t="s">
        <v>81</v>
      </c>
      <c r="F205" s="83" t="s">
        <v>34</v>
      </c>
      <c r="G205" s="78"/>
      <c r="H205" s="42">
        <v>1.7354192E7</v>
      </c>
      <c r="I205" s="132" t="s">
        <v>857</v>
      </c>
      <c r="J205" s="83" t="s">
        <v>37</v>
      </c>
      <c r="K205" s="46">
        <v>46139.0</v>
      </c>
      <c r="L205" s="139" t="s">
        <v>60</v>
      </c>
      <c r="M205" s="83" t="s">
        <v>61</v>
      </c>
      <c r="N205" s="49"/>
      <c r="O205" s="49"/>
      <c r="P205" s="60"/>
      <c r="Q205" s="49"/>
      <c r="R205" s="60"/>
      <c r="S205" s="60"/>
      <c r="T205" s="60"/>
      <c r="U205" s="55"/>
      <c r="V205" s="60"/>
      <c r="W205" s="60"/>
      <c r="X205" s="60"/>
      <c r="Y205" s="60"/>
      <c r="Z205" s="60"/>
      <c r="AA205" s="60"/>
      <c r="AB205" s="60"/>
      <c r="AC205" s="60"/>
      <c r="AD205" s="60"/>
    </row>
    <row r="206">
      <c r="A206" s="33" t="s">
        <v>893</v>
      </c>
      <c r="B206" s="139" t="s">
        <v>860</v>
      </c>
      <c r="C206" s="35" t="str">
        <f>IF(B206="","",(VLOOKUP(B206,'Dados de PN'!$A:$B,2,0)))</f>
        <v>ALTERNATOR CONTROL UNIT ASSY</v>
      </c>
      <c r="D206" s="139" t="s">
        <v>1001</v>
      </c>
      <c r="E206" s="83" t="s">
        <v>54</v>
      </c>
      <c r="F206" s="139" t="s">
        <v>862</v>
      </c>
      <c r="G206" s="78"/>
      <c r="H206" s="35" t="s">
        <v>1002</v>
      </c>
      <c r="I206" s="132" t="s">
        <v>863</v>
      </c>
      <c r="J206" s="83" t="s">
        <v>37</v>
      </c>
      <c r="K206" s="46">
        <v>46141.0</v>
      </c>
      <c r="L206" s="139" t="s">
        <v>60</v>
      </c>
      <c r="M206" s="83" t="s">
        <v>61</v>
      </c>
      <c r="N206" s="49"/>
      <c r="O206" s="49"/>
      <c r="P206" s="60"/>
      <c r="Q206" s="49"/>
      <c r="R206" s="60"/>
      <c r="S206" s="60"/>
      <c r="T206" s="60"/>
      <c r="U206" s="55"/>
      <c r="V206" s="60"/>
      <c r="W206" s="60"/>
      <c r="X206" s="60"/>
      <c r="Y206" s="60"/>
      <c r="Z206" s="60"/>
      <c r="AA206" s="60"/>
      <c r="AB206" s="60"/>
      <c r="AC206" s="60"/>
      <c r="AD206" s="60"/>
    </row>
    <row r="207">
      <c r="A207" s="33" t="s">
        <v>896</v>
      </c>
      <c r="B207" s="139" t="s">
        <v>429</v>
      </c>
      <c r="C207" s="35" t="str">
        <f>IF(B207="","",(VLOOKUP(B207,'Dados de PN'!$A:$B,2,0)))</f>
        <v>IND RDR 200 IN</v>
      </c>
      <c r="D207" s="139"/>
      <c r="E207" s="83" t="s">
        <v>81</v>
      </c>
      <c r="F207" s="139" t="s">
        <v>862</v>
      </c>
      <c r="G207" s="78"/>
      <c r="H207" s="35" t="s">
        <v>1003</v>
      </c>
      <c r="I207" s="132" t="s">
        <v>867</v>
      </c>
      <c r="J207" s="83" t="s">
        <v>37</v>
      </c>
      <c r="K207" s="46">
        <v>46141.0</v>
      </c>
      <c r="L207" s="139" t="s">
        <v>60</v>
      </c>
      <c r="M207" s="83" t="s">
        <v>61</v>
      </c>
      <c r="N207" s="49"/>
      <c r="O207" s="49"/>
      <c r="P207" s="60"/>
      <c r="Q207" s="49"/>
      <c r="R207" s="60"/>
      <c r="S207" s="60"/>
      <c r="T207" s="60"/>
      <c r="U207" s="55"/>
      <c r="V207" s="60"/>
      <c r="W207" s="60"/>
      <c r="X207" s="60"/>
      <c r="Y207" s="60"/>
      <c r="Z207" s="60"/>
      <c r="AA207" s="60"/>
      <c r="AB207" s="60"/>
      <c r="AC207" s="60"/>
      <c r="AD207" s="60"/>
    </row>
    <row r="208">
      <c r="A208" s="33" t="s">
        <v>900</v>
      </c>
      <c r="B208" s="139" t="s">
        <v>1004</v>
      </c>
      <c r="C208" s="35" t="str">
        <f>IF(B208="","",(VLOOKUP(B208,'Dados de PN'!$A:$B,2,0)))</f>
        <v>PACKING,PREFORMED</v>
      </c>
      <c r="D208" s="139"/>
      <c r="E208" s="83" t="s">
        <v>32</v>
      </c>
      <c r="F208" s="139" t="s">
        <v>862</v>
      </c>
      <c r="G208" s="78"/>
      <c r="H208" s="35" t="s">
        <v>1005</v>
      </c>
      <c r="I208" s="132" t="s">
        <v>867</v>
      </c>
      <c r="J208" s="83" t="s">
        <v>37</v>
      </c>
      <c r="K208" s="46">
        <v>46141.0</v>
      </c>
      <c r="L208" s="139" t="s">
        <v>60</v>
      </c>
      <c r="M208" s="83" t="s">
        <v>61</v>
      </c>
      <c r="N208" s="49"/>
      <c r="O208" s="49"/>
      <c r="P208" s="60"/>
      <c r="Q208" s="49"/>
      <c r="R208" s="60"/>
      <c r="S208" s="60"/>
      <c r="T208" s="60"/>
      <c r="U208" s="55"/>
      <c r="V208" s="60"/>
      <c r="W208" s="60"/>
      <c r="X208" s="60"/>
      <c r="Y208" s="60"/>
      <c r="Z208" s="60"/>
      <c r="AA208" s="60"/>
      <c r="AB208" s="60"/>
      <c r="AC208" s="60"/>
      <c r="AD208" s="60"/>
    </row>
    <row r="209">
      <c r="A209" s="33" t="s">
        <v>909</v>
      </c>
      <c r="B209" s="139" t="s">
        <v>873</v>
      </c>
      <c r="C209" s="35" t="str">
        <f>IF(B209="","",(VLOOKUP(B209,'Dados de PN'!$A:$B,2,0)))</f>
        <v>WASHER</v>
      </c>
      <c r="D209" s="139"/>
      <c r="E209" s="83" t="s">
        <v>32</v>
      </c>
      <c r="F209" s="139" t="s">
        <v>874</v>
      </c>
      <c r="G209" s="78"/>
      <c r="H209" s="35" t="s">
        <v>1006</v>
      </c>
      <c r="I209" s="132" t="s">
        <v>867</v>
      </c>
      <c r="J209" s="83" t="s">
        <v>37</v>
      </c>
      <c r="K209" s="46">
        <v>46141.0</v>
      </c>
      <c r="L209" s="139" t="s">
        <v>60</v>
      </c>
      <c r="M209" s="83" t="s">
        <v>61</v>
      </c>
      <c r="N209" s="49"/>
      <c r="O209" s="49"/>
      <c r="P209" s="60"/>
      <c r="Q209" s="49"/>
      <c r="R209" s="60"/>
      <c r="S209" s="60"/>
      <c r="T209" s="60"/>
      <c r="U209" s="55"/>
      <c r="V209" s="60"/>
      <c r="W209" s="60"/>
      <c r="X209" s="60"/>
      <c r="Y209" s="60"/>
      <c r="Z209" s="60"/>
      <c r="AA209" s="60"/>
      <c r="AB209" s="60"/>
      <c r="AC209" s="60"/>
      <c r="AD209" s="60"/>
    </row>
    <row r="210">
      <c r="A210" s="33" t="s">
        <v>914</v>
      </c>
      <c r="B210" s="139" t="s">
        <v>878</v>
      </c>
      <c r="C210" s="35" t="str">
        <f>IF(B210="","",(VLOOKUP(B210,'Dados de PN'!$A:$B,2,0)))</f>
        <v>CLEVIS,ROD END</v>
      </c>
      <c r="D210" s="139"/>
      <c r="E210" s="83" t="s">
        <v>32</v>
      </c>
      <c r="F210" s="139" t="s">
        <v>874</v>
      </c>
      <c r="G210" s="78"/>
      <c r="H210" s="35" t="s">
        <v>1007</v>
      </c>
      <c r="I210" s="132" t="s">
        <v>867</v>
      </c>
      <c r="J210" s="83" t="s">
        <v>37</v>
      </c>
      <c r="K210" s="46">
        <v>46141.0</v>
      </c>
      <c r="L210" s="139" t="s">
        <v>60</v>
      </c>
      <c r="M210" s="83" t="s">
        <v>61</v>
      </c>
      <c r="N210" s="49"/>
      <c r="O210" s="49"/>
      <c r="P210" s="60"/>
      <c r="Q210" s="49"/>
      <c r="R210" s="60"/>
      <c r="S210" s="60"/>
      <c r="T210" s="60"/>
      <c r="U210" s="55"/>
      <c r="V210" s="60"/>
      <c r="W210" s="60"/>
      <c r="X210" s="60"/>
      <c r="Y210" s="60"/>
      <c r="Z210" s="60"/>
      <c r="AA210" s="60"/>
      <c r="AB210" s="60"/>
      <c r="AC210" s="60"/>
      <c r="AD210" s="60"/>
    </row>
    <row r="211">
      <c r="A211" s="33" t="s">
        <v>919</v>
      </c>
      <c r="B211" s="139" t="s">
        <v>883</v>
      </c>
      <c r="C211" s="35" t="str">
        <f>IF(B211="","",(VLOOKUP(B211,'Dados de PN'!$A:$B,2,0)))</f>
        <v>SCREW,TAPPING</v>
      </c>
      <c r="D211" s="139"/>
      <c r="E211" s="83" t="s">
        <v>32</v>
      </c>
      <c r="F211" s="139" t="s">
        <v>885</v>
      </c>
      <c r="G211" s="78"/>
      <c r="H211" s="35" t="s">
        <v>1008</v>
      </c>
      <c r="I211" s="132" t="s">
        <v>867</v>
      </c>
      <c r="J211" s="83" t="s">
        <v>37</v>
      </c>
      <c r="K211" s="46">
        <v>46141.0</v>
      </c>
      <c r="L211" s="139" t="s">
        <v>60</v>
      </c>
      <c r="M211" s="83" t="s">
        <v>61</v>
      </c>
      <c r="N211" s="49"/>
      <c r="O211" s="49"/>
      <c r="P211" s="60"/>
      <c r="Q211" s="49"/>
      <c r="R211" s="60"/>
      <c r="S211" s="60"/>
      <c r="T211" s="60"/>
      <c r="U211" s="55"/>
      <c r="V211" s="60"/>
      <c r="W211" s="60"/>
      <c r="X211" s="60"/>
      <c r="Y211" s="60"/>
      <c r="Z211" s="60"/>
      <c r="AA211" s="60"/>
      <c r="AB211" s="60"/>
      <c r="AC211" s="60"/>
      <c r="AD211" s="60"/>
    </row>
    <row r="212">
      <c r="A212" s="33" t="s">
        <v>924</v>
      </c>
      <c r="B212" s="139" t="s">
        <v>887</v>
      </c>
      <c r="C212" s="35" t="str">
        <f>IF(B212="","",(VLOOKUP(B212,'Dados de PN'!$A:$B,2,0)))</f>
        <v>SEAL,DOOR EMERGENCY EXIT</v>
      </c>
      <c r="D212" s="139"/>
      <c r="E212" s="83" t="s">
        <v>32</v>
      </c>
      <c r="F212" s="139" t="s">
        <v>874</v>
      </c>
      <c r="G212" s="78"/>
      <c r="H212" s="35" t="s">
        <v>1009</v>
      </c>
      <c r="I212" s="132" t="s">
        <v>889</v>
      </c>
      <c r="J212" s="83" t="s">
        <v>37</v>
      </c>
      <c r="K212" s="46">
        <v>46141.0</v>
      </c>
      <c r="L212" s="139" t="s">
        <v>60</v>
      </c>
      <c r="M212" s="83" t="s">
        <v>61</v>
      </c>
      <c r="N212" s="49"/>
      <c r="O212" s="49"/>
      <c r="P212" s="60"/>
      <c r="Q212" s="49"/>
      <c r="R212" s="60"/>
      <c r="S212" s="60"/>
      <c r="T212" s="60"/>
      <c r="U212" s="55"/>
      <c r="V212" s="60"/>
      <c r="W212" s="60"/>
      <c r="X212" s="60"/>
      <c r="Y212" s="60"/>
      <c r="Z212" s="60"/>
      <c r="AA212" s="60"/>
      <c r="AB212" s="60"/>
      <c r="AC212" s="60"/>
      <c r="AD212" s="60"/>
    </row>
    <row r="213">
      <c r="A213" s="33" t="s">
        <v>928</v>
      </c>
      <c r="B213" s="139" t="s">
        <v>887</v>
      </c>
      <c r="C213" s="35" t="str">
        <f>IF(B213="","",(VLOOKUP(B213,'Dados de PN'!$A:$B,2,0)))</f>
        <v>SEAL,DOOR EMERGENCY EXIT</v>
      </c>
      <c r="D213" s="139"/>
      <c r="E213" s="83" t="s">
        <v>32</v>
      </c>
      <c r="F213" s="139" t="s">
        <v>758</v>
      </c>
      <c r="G213" s="78"/>
      <c r="H213" s="35" t="s">
        <v>1010</v>
      </c>
      <c r="I213" s="132" t="s">
        <v>891</v>
      </c>
      <c r="J213" s="83" t="s">
        <v>37</v>
      </c>
      <c r="K213" s="46">
        <v>46141.0</v>
      </c>
      <c r="L213" s="139" t="s">
        <v>60</v>
      </c>
      <c r="M213" s="83" t="s">
        <v>61</v>
      </c>
      <c r="N213" s="49"/>
      <c r="O213" s="49"/>
      <c r="P213" s="60"/>
      <c r="Q213" s="49"/>
      <c r="R213" s="60"/>
      <c r="S213" s="60"/>
      <c r="T213" s="60"/>
      <c r="U213" s="55"/>
      <c r="V213" s="60"/>
      <c r="W213" s="60"/>
      <c r="X213" s="60"/>
      <c r="Y213" s="60"/>
      <c r="Z213" s="60"/>
      <c r="AA213" s="60"/>
      <c r="AB213" s="60"/>
      <c r="AC213" s="60"/>
      <c r="AD213" s="60"/>
    </row>
    <row r="214">
      <c r="A214" s="33" t="s">
        <v>932</v>
      </c>
      <c r="B214" s="139" t="s">
        <v>887</v>
      </c>
      <c r="C214" s="35" t="str">
        <f>IF(B214="","",(VLOOKUP(B214,'Dados de PN'!$A:$B,2,0)))</f>
        <v>SEAL,DOOR EMERGENCY EXIT</v>
      </c>
      <c r="D214" s="139"/>
      <c r="E214" s="83" t="s">
        <v>32</v>
      </c>
      <c r="F214" s="139" t="s">
        <v>758</v>
      </c>
      <c r="G214" s="78"/>
      <c r="H214" s="35" t="s">
        <v>1011</v>
      </c>
      <c r="I214" s="132" t="s">
        <v>894</v>
      </c>
      <c r="J214" s="83" t="s">
        <v>37</v>
      </c>
      <c r="K214" s="46">
        <v>46141.0</v>
      </c>
      <c r="L214" s="139" t="s">
        <v>60</v>
      </c>
      <c r="M214" s="83" t="s">
        <v>61</v>
      </c>
      <c r="N214" s="49"/>
      <c r="O214" s="49"/>
      <c r="P214" s="60"/>
      <c r="Q214" s="49"/>
      <c r="R214" s="60"/>
      <c r="S214" s="60"/>
      <c r="T214" s="60"/>
      <c r="U214" s="55"/>
      <c r="V214" s="60"/>
      <c r="W214" s="60"/>
      <c r="X214" s="60"/>
      <c r="Y214" s="60"/>
      <c r="Z214" s="60"/>
      <c r="AA214" s="60"/>
      <c r="AB214" s="60"/>
      <c r="AC214" s="60"/>
      <c r="AD214" s="60"/>
    </row>
    <row r="215">
      <c r="A215" s="33" t="s">
        <v>935</v>
      </c>
      <c r="B215" s="139" t="s">
        <v>122</v>
      </c>
      <c r="C215" s="35" t="str">
        <f>IF(B215="","",(VLOOKUP(B215,'Dados de PN'!$A:$B,2,0)))</f>
        <v>TRANSMISSION ASSY</v>
      </c>
      <c r="D215" s="139"/>
      <c r="E215" s="83" t="s">
        <v>32</v>
      </c>
      <c r="F215" s="139" t="s">
        <v>758</v>
      </c>
      <c r="G215" s="78"/>
      <c r="H215" s="42">
        <v>1.7377917E7</v>
      </c>
      <c r="I215" s="132" t="s">
        <v>898</v>
      </c>
      <c r="J215" s="83" t="s">
        <v>37</v>
      </c>
      <c r="K215" s="46">
        <v>46142.0</v>
      </c>
      <c r="L215" s="139" t="s">
        <v>263</v>
      </c>
      <c r="M215" s="83" t="s">
        <v>51</v>
      </c>
      <c r="N215" s="49"/>
      <c r="O215" s="49"/>
      <c r="P215" s="60"/>
      <c r="Q215" s="49"/>
      <c r="R215" s="60"/>
      <c r="S215" s="60"/>
      <c r="T215" s="60"/>
      <c r="U215" s="55"/>
      <c r="V215" s="60"/>
      <c r="W215" s="60"/>
      <c r="X215" s="60"/>
      <c r="Y215" s="60"/>
      <c r="Z215" s="60"/>
      <c r="AA215" s="60"/>
      <c r="AB215" s="60"/>
      <c r="AC215" s="60"/>
      <c r="AD215" s="60"/>
    </row>
    <row r="216">
      <c r="A216" s="33" t="s">
        <v>939</v>
      </c>
      <c r="B216" s="139" t="s">
        <v>901</v>
      </c>
      <c r="C216" s="35" t="str">
        <f>IF(B216="","",(VLOOKUP(B216,'Dados de PN'!$A:$B,2,0)))</f>
        <v>SELANT</v>
      </c>
      <c r="D216" s="139"/>
      <c r="E216" s="83" t="s">
        <v>32</v>
      </c>
      <c r="F216" s="83" t="s">
        <v>903</v>
      </c>
      <c r="G216" s="78"/>
      <c r="H216" s="42">
        <v>1.7401193E7</v>
      </c>
      <c r="I216" s="132" t="s">
        <v>906</v>
      </c>
      <c r="J216" s="83" t="s">
        <v>37</v>
      </c>
      <c r="K216" s="46">
        <v>46146.0</v>
      </c>
      <c r="L216" s="139" t="s">
        <v>133</v>
      </c>
      <c r="M216" s="83" t="s">
        <v>76</v>
      </c>
      <c r="N216" s="49"/>
      <c r="O216" s="49"/>
      <c r="P216" s="60"/>
      <c r="Q216" s="49"/>
      <c r="R216" s="60"/>
      <c r="S216" s="60"/>
      <c r="T216" s="60"/>
      <c r="U216" s="55"/>
      <c r="V216" s="60"/>
      <c r="W216" s="60"/>
      <c r="X216" s="60"/>
      <c r="Y216" s="60"/>
      <c r="Z216" s="60"/>
      <c r="AA216" s="60"/>
      <c r="AB216" s="60"/>
      <c r="AC216" s="60"/>
      <c r="AD216" s="60"/>
    </row>
    <row r="217">
      <c r="A217" s="33" t="s">
        <v>943</v>
      </c>
      <c r="B217" s="139" t="s">
        <v>910</v>
      </c>
      <c r="C217" s="35" t="str">
        <f>IF(B217="","",(VLOOKUP(B217,'Dados de PN'!$A:$B,2,0)))</f>
        <v>LATCH-BATTERY</v>
      </c>
      <c r="D217" s="139"/>
      <c r="E217" s="83" t="s">
        <v>32</v>
      </c>
      <c r="F217" s="139" t="s">
        <v>34</v>
      </c>
      <c r="G217" s="78"/>
      <c r="H217" s="42">
        <v>1.7333541E7</v>
      </c>
      <c r="I217" s="132" t="s">
        <v>912</v>
      </c>
      <c r="J217" s="83" t="s">
        <v>37</v>
      </c>
      <c r="K217" s="46">
        <v>46148.0</v>
      </c>
      <c r="L217" s="139" t="s">
        <v>988</v>
      </c>
      <c r="M217" s="83" t="s">
        <v>169</v>
      </c>
      <c r="N217" s="49"/>
      <c r="O217" s="49"/>
      <c r="P217" s="60"/>
      <c r="Q217" s="49"/>
      <c r="R217" s="60"/>
      <c r="S217" s="60"/>
      <c r="T217" s="60"/>
      <c r="U217" s="55"/>
      <c r="V217" s="60"/>
      <c r="W217" s="60"/>
      <c r="X217" s="60"/>
      <c r="Y217" s="60"/>
      <c r="Z217" s="60"/>
      <c r="AA217" s="60"/>
      <c r="AB217" s="60"/>
      <c r="AC217" s="60"/>
      <c r="AD217" s="60"/>
    </row>
    <row r="218">
      <c r="A218" s="33" t="s">
        <v>945</v>
      </c>
      <c r="B218" s="139" t="s">
        <v>915</v>
      </c>
      <c r="C218" s="35" t="str">
        <f>IF(B218="","",(VLOOKUP(B218,'Dados de PN'!$A:$B,2,0)))</f>
        <v>PORCA PLANA COM BORBOLETA</v>
      </c>
      <c r="D218" s="139"/>
      <c r="E218" s="83" t="s">
        <v>32</v>
      </c>
      <c r="F218" s="139" t="s">
        <v>252</v>
      </c>
      <c r="G218" s="78"/>
      <c r="H218" s="42">
        <v>1.742819E7</v>
      </c>
      <c r="I218" s="132" t="s">
        <v>912</v>
      </c>
      <c r="J218" s="83" t="s">
        <v>37</v>
      </c>
      <c r="K218" s="46">
        <v>46148.0</v>
      </c>
      <c r="L218" s="139" t="s">
        <v>988</v>
      </c>
      <c r="M218" s="83" t="s">
        <v>169</v>
      </c>
      <c r="N218" s="49"/>
      <c r="O218" s="49"/>
      <c r="P218" s="60"/>
      <c r="Q218" s="49"/>
      <c r="R218" s="60"/>
      <c r="S218" s="60"/>
      <c r="T218" s="60"/>
      <c r="U218" s="55"/>
      <c r="V218" s="60"/>
      <c r="W218" s="60"/>
      <c r="X218" s="60"/>
      <c r="Y218" s="60"/>
      <c r="Z218" s="60"/>
      <c r="AA218" s="60"/>
      <c r="AB218" s="60"/>
      <c r="AC218" s="60"/>
      <c r="AD218" s="60"/>
    </row>
    <row r="219">
      <c r="A219" s="33" t="s">
        <v>947</v>
      </c>
      <c r="B219" s="139" t="s">
        <v>920</v>
      </c>
      <c r="C219" s="35" t="str">
        <f>IF(B219="","",(VLOOKUP(B219,'Dados de PN'!$A:$B,2,0)))</f>
        <v>ANCHOR</v>
      </c>
      <c r="D219" s="139"/>
      <c r="E219" s="83" t="s">
        <v>32</v>
      </c>
      <c r="F219" s="139" t="s">
        <v>252</v>
      </c>
      <c r="G219" s="78"/>
      <c r="H219" s="42">
        <v>1.7384283E7</v>
      </c>
      <c r="I219" s="132" t="s">
        <v>912</v>
      </c>
      <c r="J219" s="83" t="s">
        <v>37</v>
      </c>
      <c r="K219" s="46">
        <v>46148.0</v>
      </c>
      <c r="L219" s="139" t="s">
        <v>988</v>
      </c>
      <c r="M219" s="83" t="s">
        <v>169</v>
      </c>
      <c r="N219" s="49"/>
      <c r="O219" s="49"/>
      <c r="P219" s="60"/>
      <c r="Q219" s="49"/>
      <c r="R219" s="60"/>
      <c r="S219" s="60"/>
      <c r="T219" s="60"/>
      <c r="U219" s="55"/>
      <c r="V219" s="60"/>
      <c r="W219" s="60"/>
      <c r="X219" s="60"/>
      <c r="Y219" s="60"/>
      <c r="Z219" s="60"/>
      <c r="AA219" s="60"/>
      <c r="AB219" s="60"/>
      <c r="AC219" s="60"/>
      <c r="AD219" s="60"/>
    </row>
    <row r="220">
      <c r="A220" s="33" t="s">
        <v>950</v>
      </c>
      <c r="B220" s="83" t="s">
        <v>925</v>
      </c>
      <c r="C220" s="35" t="str">
        <f>IF(B220="","",(VLOOKUP(B220,'Dados de PN'!$A:$B,2,0)))</f>
        <v>ANEL-O</v>
      </c>
      <c r="D220" s="139"/>
      <c r="E220" s="83" t="s">
        <v>32</v>
      </c>
      <c r="F220" s="140" t="s">
        <v>758</v>
      </c>
      <c r="G220" s="78"/>
      <c r="H220" s="35" t="s">
        <v>1012</v>
      </c>
      <c r="I220" s="132" t="s">
        <v>927</v>
      </c>
      <c r="J220" s="83" t="s">
        <v>37</v>
      </c>
      <c r="K220" s="46">
        <v>46148.0</v>
      </c>
      <c r="L220" s="139" t="s">
        <v>612</v>
      </c>
      <c r="M220" s="83" t="s">
        <v>423</v>
      </c>
      <c r="N220" s="49"/>
      <c r="O220" s="49"/>
      <c r="P220" s="60"/>
      <c r="Q220" s="49"/>
      <c r="R220" s="60"/>
      <c r="S220" s="60"/>
      <c r="T220" s="60"/>
      <c r="U220" s="55"/>
      <c r="V220" s="60"/>
      <c r="W220" s="60"/>
      <c r="X220" s="60"/>
      <c r="Y220" s="60"/>
      <c r="Z220" s="60"/>
      <c r="AA220" s="60"/>
      <c r="AB220" s="60"/>
      <c r="AC220" s="60"/>
      <c r="AD220" s="60"/>
    </row>
    <row r="221">
      <c r="A221" s="33" t="s">
        <v>954</v>
      </c>
      <c r="B221" s="83" t="s">
        <v>118</v>
      </c>
      <c r="C221" s="35" t="str">
        <f>IF(B221="","",(VLOOKUP(B221,'Dados de PN'!$A:$B,2,0)))</f>
        <v>NUT,SELF-LOCKING,HEXAGON</v>
      </c>
      <c r="D221" s="139"/>
      <c r="E221" s="83" t="s">
        <v>32</v>
      </c>
      <c r="F221" s="140" t="s">
        <v>929</v>
      </c>
      <c r="G221" s="78"/>
      <c r="H221" s="35" t="s">
        <v>1013</v>
      </c>
      <c r="I221" s="132" t="s">
        <v>927</v>
      </c>
      <c r="J221" s="83" t="s">
        <v>37</v>
      </c>
      <c r="K221" s="46">
        <v>46148.0</v>
      </c>
      <c r="L221" s="139" t="s">
        <v>612</v>
      </c>
      <c r="M221" s="83" t="s">
        <v>423</v>
      </c>
      <c r="N221" s="49"/>
      <c r="O221" s="49"/>
      <c r="P221" s="60"/>
      <c r="Q221" s="49"/>
      <c r="R221" s="60"/>
      <c r="S221" s="60"/>
      <c r="T221" s="60"/>
      <c r="U221" s="55"/>
      <c r="V221" s="60"/>
      <c r="W221" s="60"/>
      <c r="X221" s="60"/>
      <c r="Y221" s="60"/>
      <c r="Z221" s="60"/>
      <c r="AA221" s="60"/>
      <c r="AB221" s="60"/>
      <c r="AC221" s="60"/>
      <c r="AD221" s="60"/>
    </row>
    <row r="222">
      <c r="A222" s="33" t="s">
        <v>958</v>
      </c>
      <c r="B222" s="83" t="s">
        <v>784</v>
      </c>
      <c r="C222" s="35" t="str">
        <f>IF(B222="","",(VLOOKUP(B222,'Dados de PN'!$A:$B,2,0)))</f>
        <v>NUT,SELF-LOCKING,HEXAGON</v>
      </c>
      <c r="D222" s="139"/>
      <c r="E222" s="83" t="s">
        <v>32</v>
      </c>
      <c r="F222" s="140" t="s">
        <v>933</v>
      </c>
      <c r="G222" s="78"/>
      <c r="H222" s="35" t="s">
        <v>1014</v>
      </c>
      <c r="I222" s="132" t="s">
        <v>927</v>
      </c>
      <c r="J222" s="83" t="s">
        <v>37</v>
      </c>
      <c r="K222" s="46">
        <v>46148.0</v>
      </c>
      <c r="L222" s="139" t="s">
        <v>612</v>
      </c>
      <c r="M222" s="83" t="s">
        <v>423</v>
      </c>
      <c r="N222" s="49"/>
      <c r="O222" s="49"/>
      <c r="P222" s="60"/>
      <c r="Q222" s="49"/>
      <c r="R222" s="60"/>
      <c r="S222" s="60"/>
      <c r="T222" s="60"/>
      <c r="U222" s="55"/>
      <c r="V222" s="60"/>
      <c r="W222" s="60"/>
      <c r="X222" s="60"/>
      <c r="Y222" s="60"/>
      <c r="Z222" s="60"/>
      <c r="AA222" s="60"/>
      <c r="AB222" s="60"/>
      <c r="AC222" s="60"/>
      <c r="AD222" s="60"/>
    </row>
    <row r="223">
      <c r="A223" s="33" t="s">
        <v>963</v>
      </c>
      <c r="B223" s="83" t="s">
        <v>936</v>
      </c>
      <c r="C223" s="35" t="str">
        <f>IF(B223="","",(VLOOKUP(B223,'Dados de PN'!$A:$B,2,0)))</f>
        <v>ANEL-O</v>
      </c>
      <c r="D223" s="139"/>
      <c r="E223" s="83" t="s">
        <v>32</v>
      </c>
      <c r="F223" s="140" t="s">
        <v>758</v>
      </c>
      <c r="G223" s="78"/>
      <c r="H223" s="35" t="s">
        <v>1015</v>
      </c>
      <c r="I223" s="132" t="s">
        <v>927</v>
      </c>
      <c r="J223" s="83" t="s">
        <v>37</v>
      </c>
      <c r="K223" s="46">
        <v>46148.0</v>
      </c>
      <c r="L223" s="139" t="s">
        <v>612</v>
      </c>
      <c r="M223" s="83" t="s">
        <v>423</v>
      </c>
      <c r="N223" s="49"/>
      <c r="O223" s="49"/>
      <c r="P223" s="60"/>
      <c r="Q223" s="49"/>
      <c r="R223" s="60"/>
      <c r="S223" s="60"/>
      <c r="T223" s="60"/>
      <c r="U223" s="55"/>
      <c r="V223" s="60"/>
      <c r="W223" s="60"/>
      <c r="X223" s="60"/>
      <c r="Y223" s="60"/>
      <c r="Z223" s="60"/>
      <c r="AA223" s="60"/>
      <c r="AB223" s="60"/>
      <c r="AC223" s="60"/>
      <c r="AD223" s="60"/>
    </row>
    <row r="224">
      <c r="A224" s="33" t="s">
        <v>966</v>
      </c>
      <c r="B224" s="83" t="s">
        <v>940</v>
      </c>
      <c r="C224" s="35" t="str">
        <f>IF(B224="","",(VLOOKUP(B224,'Dados de PN'!$A:$B,2,0)))</f>
        <v>ANEL DE VEDAÇÃO</v>
      </c>
      <c r="D224" s="139"/>
      <c r="E224" s="83" t="s">
        <v>32</v>
      </c>
      <c r="F224" s="140" t="s">
        <v>758</v>
      </c>
      <c r="G224" s="78"/>
      <c r="H224" s="35" t="s">
        <v>1016</v>
      </c>
      <c r="I224" s="132" t="s">
        <v>927</v>
      </c>
      <c r="J224" s="83" t="s">
        <v>37</v>
      </c>
      <c r="K224" s="46">
        <v>46148.0</v>
      </c>
      <c r="L224" s="139" t="s">
        <v>612</v>
      </c>
      <c r="M224" s="83" t="s">
        <v>423</v>
      </c>
      <c r="N224" s="49"/>
      <c r="O224" s="49"/>
      <c r="P224" s="60"/>
      <c r="Q224" s="49"/>
      <c r="R224" s="60"/>
      <c r="S224" s="60"/>
      <c r="T224" s="60"/>
      <c r="U224" s="55"/>
      <c r="V224" s="60"/>
      <c r="W224" s="60"/>
      <c r="X224" s="60"/>
      <c r="Y224" s="60"/>
      <c r="Z224" s="60"/>
      <c r="AA224" s="60"/>
      <c r="AB224" s="60"/>
      <c r="AC224" s="60"/>
      <c r="AD224" s="60"/>
    </row>
    <row r="225">
      <c r="A225" s="33" t="s">
        <v>969</v>
      </c>
      <c r="B225" s="83" t="s">
        <v>721</v>
      </c>
      <c r="C225" s="35" t="str">
        <f>IF(B225="","",(VLOOKUP(B225,'Dados de PN'!$A:$B,2,0)))</f>
        <v>WASHER, RECESSED</v>
      </c>
      <c r="D225" s="139"/>
      <c r="E225" s="83" t="s">
        <v>32</v>
      </c>
      <c r="F225" s="140" t="s">
        <v>933</v>
      </c>
      <c r="G225" s="78"/>
      <c r="H225" s="35" t="s">
        <v>1017</v>
      </c>
      <c r="I225" s="132" t="s">
        <v>927</v>
      </c>
      <c r="J225" s="83" t="s">
        <v>37</v>
      </c>
      <c r="K225" s="46">
        <v>46148.0</v>
      </c>
      <c r="L225" s="139" t="s">
        <v>612</v>
      </c>
      <c r="M225" s="83" t="s">
        <v>423</v>
      </c>
      <c r="N225" s="49"/>
      <c r="O225" s="49"/>
      <c r="P225" s="60"/>
      <c r="Q225" s="49"/>
      <c r="R225" s="60"/>
      <c r="S225" s="60"/>
      <c r="T225" s="60"/>
      <c r="U225" s="55"/>
      <c r="V225" s="60"/>
      <c r="W225" s="60"/>
      <c r="X225" s="60"/>
      <c r="Y225" s="60"/>
      <c r="Z225" s="60"/>
      <c r="AA225" s="60"/>
      <c r="AB225" s="60"/>
      <c r="AC225" s="60"/>
      <c r="AD225" s="60"/>
    </row>
    <row r="226">
      <c r="A226" s="33" t="s">
        <v>1018</v>
      </c>
      <c r="B226" s="83" t="s">
        <v>788</v>
      </c>
      <c r="C226" s="35" t="str">
        <f>IF(B226="","",(VLOOKUP(B226,'Dados de PN'!$A:$B,2,0)))</f>
        <v>BOLT,INTERNAL WRENCHING</v>
      </c>
      <c r="D226" s="139"/>
      <c r="E226" s="83" t="s">
        <v>32</v>
      </c>
      <c r="F226" s="140" t="s">
        <v>758</v>
      </c>
      <c r="G226" s="78"/>
      <c r="H226" s="35" t="s">
        <v>1019</v>
      </c>
      <c r="I226" s="132" t="s">
        <v>927</v>
      </c>
      <c r="J226" s="83" t="s">
        <v>37</v>
      </c>
      <c r="K226" s="46">
        <v>46148.0</v>
      </c>
      <c r="L226" s="139" t="s">
        <v>612</v>
      </c>
      <c r="M226" s="83" t="s">
        <v>423</v>
      </c>
      <c r="N226" s="49"/>
      <c r="O226" s="49"/>
      <c r="P226" s="60"/>
      <c r="Q226" s="49"/>
      <c r="R226" s="60"/>
      <c r="S226" s="60"/>
      <c r="T226" s="60"/>
      <c r="U226" s="55"/>
      <c r="V226" s="60"/>
      <c r="W226" s="60"/>
      <c r="X226" s="60"/>
      <c r="Y226" s="60"/>
      <c r="Z226" s="60"/>
      <c r="AA226" s="60"/>
      <c r="AB226" s="60"/>
      <c r="AC226" s="60"/>
      <c r="AD226" s="60"/>
    </row>
    <row r="227">
      <c r="A227" s="33" t="s">
        <v>1020</v>
      </c>
      <c r="B227" s="83" t="s">
        <v>477</v>
      </c>
      <c r="C227" s="35" t="str">
        <f>IF(B227="","",(VLOOKUP(B227,'Dados de PN'!$A:$B,2,0)))</f>
        <v>RETAINER,PACKING</v>
      </c>
      <c r="D227" s="139"/>
      <c r="E227" s="83" t="s">
        <v>32</v>
      </c>
      <c r="F227" s="140" t="s">
        <v>758</v>
      </c>
      <c r="G227" s="78"/>
      <c r="H227" s="35" t="s">
        <v>1021</v>
      </c>
      <c r="I227" s="132" t="s">
        <v>927</v>
      </c>
      <c r="J227" s="83" t="s">
        <v>37</v>
      </c>
      <c r="K227" s="46">
        <v>46148.0</v>
      </c>
      <c r="L227" s="139" t="s">
        <v>612</v>
      </c>
      <c r="M227" s="83" t="s">
        <v>423</v>
      </c>
      <c r="N227" s="49"/>
      <c r="O227" s="49"/>
      <c r="P227" s="60"/>
      <c r="Q227" s="49"/>
      <c r="R227" s="60"/>
      <c r="S227" s="60"/>
      <c r="T227" s="60"/>
      <c r="U227" s="55"/>
      <c r="V227" s="60"/>
      <c r="W227" s="60"/>
      <c r="X227" s="60"/>
      <c r="Y227" s="60"/>
      <c r="Z227" s="60"/>
      <c r="AA227" s="60"/>
      <c r="AB227" s="60"/>
      <c r="AC227" s="60"/>
      <c r="AD227" s="60"/>
    </row>
    <row r="228">
      <c r="A228" s="33" t="s">
        <v>1022</v>
      </c>
      <c r="B228" s="83" t="s">
        <v>951</v>
      </c>
      <c r="C228" s="35" t="str">
        <f>IF(B228="","",(VLOOKUP(B228,'Dados de PN'!$A:$B,2,0)))</f>
        <v>ANEL-O</v>
      </c>
      <c r="D228" s="139"/>
      <c r="E228" s="83" t="s">
        <v>32</v>
      </c>
      <c r="F228" s="140" t="s">
        <v>758</v>
      </c>
      <c r="G228" s="78"/>
      <c r="H228" s="35" t="s">
        <v>1023</v>
      </c>
      <c r="I228" s="132" t="s">
        <v>927</v>
      </c>
      <c r="J228" s="83" t="s">
        <v>37</v>
      </c>
      <c r="K228" s="46">
        <v>46148.0</v>
      </c>
      <c r="L228" s="139" t="s">
        <v>612</v>
      </c>
      <c r="M228" s="83" t="s">
        <v>423</v>
      </c>
      <c r="N228" s="49"/>
      <c r="O228" s="49"/>
      <c r="P228" s="60"/>
      <c r="Q228" s="49"/>
      <c r="R228" s="60"/>
      <c r="S228" s="60"/>
      <c r="T228" s="60"/>
      <c r="U228" s="55"/>
      <c r="V228" s="60"/>
      <c r="W228" s="60"/>
      <c r="X228" s="60"/>
      <c r="Y228" s="60"/>
      <c r="Z228" s="60"/>
      <c r="AA228" s="60"/>
      <c r="AB228" s="60"/>
      <c r="AC228" s="60"/>
      <c r="AD228" s="60"/>
    </row>
    <row r="229">
      <c r="A229" s="33" t="s">
        <v>1001</v>
      </c>
      <c r="B229" s="83" t="s">
        <v>955</v>
      </c>
      <c r="C229" s="35" t="str">
        <f>IF(B229="","",(VLOOKUP(B229,'Dados de PN'!$A:$B,2,0)))</f>
        <v>O-RING</v>
      </c>
      <c r="D229" s="139"/>
      <c r="E229" s="83" t="s">
        <v>32</v>
      </c>
      <c r="F229" s="140" t="s">
        <v>758</v>
      </c>
      <c r="G229" s="78"/>
      <c r="H229" s="35" t="s">
        <v>1024</v>
      </c>
      <c r="I229" s="132" t="s">
        <v>927</v>
      </c>
      <c r="J229" s="83" t="s">
        <v>37</v>
      </c>
      <c r="K229" s="46">
        <v>46148.0</v>
      </c>
      <c r="L229" s="139" t="s">
        <v>612</v>
      </c>
      <c r="M229" s="83" t="s">
        <v>423</v>
      </c>
      <c r="N229" s="49"/>
      <c r="O229" s="49"/>
      <c r="P229" s="60"/>
      <c r="Q229" s="49"/>
      <c r="R229" s="60"/>
      <c r="S229" s="60"/>
      <c r="T229" s="60"/>
      <c r="U229" s="55"/>
      <c r="V229" s="60"/>
      <c r="W229" s="60"/>
      <c r="X229" s="60"/>
      <c r="Y229" s="60"/>
      <c r="Z229" s="60"/>
      <c r="AA229" s="60"/>
      <c r="AB229" s="60"/>
      <c r="AC229" s="60"/>
      <c r="AD229" s="60"/>
    </row>
    <row r="230">
      <c r="A230" s="33" t="s">
        <v>1025</v>
      </c>
      <c r="B230" s="83" t="s">
        <v>960</v>
      </c>
      <c r="C230" s="35" t="str">
        <f>IF(B230="","",(VLOOKUP(B230,'Dados de PN'!$A:$B,2,0)))</f>
        <v>ANEL-O</v>
      </c>
      <c r="D230" s="139"/>
      <c r="E230" s="83" t="s">
        <v>32</v>
      </c>
      <c r="F230" s="140" t="s">
        <v>758</v>
      </c>
      <c r="G230" s="78"/>
      <c r="H230" s="35" t="s">
        <v>1026</v>
      </c>
      <c r="I230" s="132" t="s">
        <v>927</v>
      </c>
      <c r="J230" s="83" t="s">
        <v>37</v>
      </c>
      <c r="K230" s="46">
        <v>46148.0</v>
      </c>
      <c r="L230" s="139" t="s">
        <v>612</v>
      </c>
      <c r="M230" s="83" t="s">
        <v>423</v>
      </c>
      <c r="N230" s="49"/>
      <c r="O230" s="49"/>
      <c r="P230" s="60"/>
      <c r="Q230" s="49"/>
      <c r="R230" s="60"/>
      <c r="S230" s="60"/>
      <c r="T230" s="60"/>
      <c r="U230" s="55"/>
      <c r="V230" s="60"/>
      <c r="W230" s="60"/>
      <c r="X230" s="60"/>
      <c r="Y230" s="60"/>
      <c r="Z230" s="60"/>
      <c r="AA230" s="60"/>
      <c r="AB230" s="60"/>
      <c r="AC230" s="60"/>
      <c r="AD230" s="60"/>
    </row>
    <row r="231">
      <c r="A231" s="33" t="s">
        <v>1027</v>
      </c>
      <c r="B231" s="83" t="s">
        <v>964</v>
      </c>
      <c r="C231" s="35" t="str">
        <f>IF(B231="","",(VLOOKUP(B231,'Dados de PN'!$A:$B,2,0)))</f>
        <v>WASHER,FLAT</v>
      </c>
      <c r="D231" s="139"/>
      <c r="E231" s="83" t="s">
        <v>32</v>
      </c>
      <c r="F231" s="140" t="s">
        <v>933</v>
      </c>
      <c r="G231" s="78"/>
      <c r="H231" s="35" t="s">
        <v>1028</v>
      </c>
      <c r="I231" s="132" t="s">
        <v>927</v>
      </c>
      <c r="J231" s="83" t="s">
        <v>37</v>
      </c>
      <c r="K231" s="46">
        <v>46148.0</v>
      </c>
      <c r="L231" s="139" t="s">
        <v>612</v>
      </c>
      <c r="M231" s="83" t="s">
        <v>423</v>
      </c>
      <c r="N231" s="49"/>
      <c r="O231" s="49"/>
      <c r="P231" s="60"/>
      <c r="Q231" s="49"/>
      <c r="R231" s="60"/>
      <c r="S231" s="60"/>
      <c r="T231" s="60"/>
      <c r="U231" s="55"/>
      <c r="V231" s="60"/>
      <c r="W231" s="60"/>
      <c r="X231" s="60"/>
      <c r="Y231" s="60"/>
      <c r="Z231" s="60"/>
      <c r="AA231" s="60"/>
      <c r="AB231" s="60"/>
      <c r="AC231" s="60"/>
      <c r="AD231" s="60"/>
    </row>
    <row r="232">
      <c r="A232" s="33" t="s">
        <v>1029</v>
      </c>
      <c r="B232" s="83" t="s">
        <v>781</v>
      </c>
      <c r="C232" s="35" t="str">
        <f>IF(B232="","",(VLOOKUP(B232,'Dados de PN'!$A:$B,2,0)))</f>
        <v>BOLT,INTERNAL WRENCHING</v>
      </c>
      <c r="D232" s="139"/>
      <c r="E232" s="83" t="s">
        <v>32</v>
      </c>
      <c r="F232" s="140" t="s">
        <v>967</v>
      </c>
      <c r="G232" s="78"/>
      <c r="H232" s="35" t="s">
        <v>1030</v>
      </c>
      <c r="I232" s="132" t="s">
        <v>927</v>
      </c>
      <c r="J232" s="83" t="s">
        <v>37</v>
      </c>
      <c r="K232" s="46">
        <v>46148.0</v>
      </c>
      <c r="L232" s="139" t="s">
        <v>612</v>
      </c>
      <c r="M232" s="83" t="s">
        <v>423</v>
      </c>
      <c r="N232" s="49"/>
      <c r="O232" s="49"/>
      <c r="P232" s="60"/>
      <c r="Q232" s="49"/>
      <c r="R232" s="60"/>
      <c r="S232" s="60"/>
      <c r="T232" s="60"/>
      <c r="U232" s="55"/>
      <c r="V232" s="60"/>
      <c r="W232" s="60"/>
      <c r="X232" s="60"/>
      <c r="Y232" s="60"/>
      <c r="Z232" s="60"/>
      <c r="AA232" s="60"/>
      <c r="AB232" s="60"/>
      <c r="AC232" s="60"/>
      <c r="AD232" s="60"/>
    </row>
    <row r="233">
      <c r="A233" s="33" t="s">
        <v>1031</v>
      </c>
      <c r="B233" s="83" t="s">
        <v>779</v>
      </c>
      <c r="C233" s="35" t="str">
        <f>IF(B233="","",(VLOOKUP(B233,'Dados de PN'!$A:$B,2,0)))</f>
        <v>BOLT</v>
      </c>
      <c r="D233" s="139"/>
      <c r="E233" s="83" t="s">
        <v>32</v>
      </c>
      <c r="F233" s="140" t="s">
        <v>758</v>
      </c>
      <c r="G233" s="78"/>
      <c r="H233" s="35" t="s">
        <v>1032</v>
      </c>
      <c r="I233" s="132" t="s">
        <v>927</v>
      </c>
      <c r="J233" s="83" t="s">
        <v>37</v>
      </c>
      <c r="K233" s="46">
        <v>46148.0</v>
      </c>
      <c r="L233" s="139" t="s">
        <v>612</v>
      </c>
      <c r="M233" s="83" t="s">
        <v>423</v>
      </c>
      <c r="N233" s="49"/>
      <c r="O233" s="49"/>
      <c r="P233" s="60"/>
      <c r="Q233" s="49"/>
      <c r="R233" s="60"/>
      <c r="S233" s="60"/>
      <c r="T233" s="60"/>
      <c r="U233" s="55"/>
      <c r="V233" s="60"/>
      <c r="W233" s="60"/>
      <c r="X233" s="60"/>
      <c r="Y233" s="60"/>
      <c r="Z233" s="60"/>
      <c r="AA233" s="60"/>
      <c r="AB233" s="60"/>
      <c r="AC233" s="60"/>
      <c r="AD233" s="60"/>
    </row>
    <row r="234">
      <c r="A234" s="33" t="s">
        <v>1033</v>
      </c>
      <c r="B234" s="83" t="s">
        <v>1034</v>
      </c>
      <c r="C234" s="35" t="str">
        <f>IF(B234="","",(VLOOKUP(B234,'Dados de PN'!$A:$B,2,0)))</f>
        <v>PHASING COUPLE</v>
      </c>
      <c r="D234" s="139"/>
      <c r="E234" s="83" t="s">
        <v>32</v>
      </c>
      <c r="F234" s="83" t="s">
        <v>862</v>
      </c>
      <c r="G234" s="78"/>
      <c r="H234" s="42">
        <v>1.7439905E7</v>
      </c>
      <c r="I234" s="132" t="s">
        <v>1035</v>
      </c>
      <c r="J234" s="83" t="s">
        <v>37</v>
      </c>
      <c r="K234" s="46">
        <v>46149.0</v>
      </c>
      <c r="L234" s="139" t="s">
        <v>1036</v>
      </c>
      <c r="M234" s="83" t="s">
        <v>61</v>
      </c>
      <c r="N234" s="49"/>
      <c r="O234" s="49"/>
      <c r="P234" s="60"/>
      <c r="Q234" s="49"/>
      <c r="R234" s="60"/>
      <c r="S234" s="60"/>
      <c r="T234" s="60"/>
      <c r="U234" s="55"/>
      <c r="V234" s="60"/>
      <c r="W234" s="60"/>
      <c r="X234" s="60"/>
      <c r="Y234" s="60"/>
      <c r="Z234" s="60"/>
      <c r="AA234" s="60"/>
      <c r="AB234" s="60"/>
      <c r="AC234" s="60"/>
      <c r="AD234" s="60"/>
    </row>
    <row r="235">
      <c r="A235" s="33" t="s">
        <v>1037</v>
      </c>
      <c r="B235" s="83" t="s">
        <v>1034</v>
      </c>
      <c r="C235" s="35" t="str">
        <f>IF(B235="","",(VLOOKUP(B235,'Dados de PN'!$A:$B,2,0)))</f>
        <v>PHASING COUPLE</v>
      </c>
      <c r="D235" s="139"/>
      <c r="E235" s="83" t="s">
        <v>32</v>
      </c>
      <c r="F235" s="83" t="s">
        <v>862</v>
      </c>
      <c r="G235" s="78"/>
      <c r="H235" s="42">
        <v>1.7440211E7</v>
      </c>
      <c r="I235" s="132" t="s">
        <v>1035</v>
      </c>
      <c r="J235" s="83" t="s">
        <v>37</v>
      </c>
      <c r="K235" s="46">
        <v>46149.0</v>
      </c>
      <c r="L235" s="139" t="s">
        <v>1036</v>
      </c>
      <c r="M235" s="83" t="s">
        <v>61</v>
      </c>
      <c r="N235" s="49"/>
      <c r="O235" s="49"/>
      <c r="P235" s="60"/>
      <c r="Q235" s="49"/>
      <c r="R235" s="60"/>
      <c r="S235" s="60"/>
      <c r="T235" s="60"/>
      <c r="U235" s="55"/>
      <c r="V235" s="60"/>
      <c r="W235" s="60"/>
      <c r="X235" s="60"/>
      <c r="Y235" s="60"/>
      <c r="Z235" s="60"/>
      <c r="AA235" s="60"/>
      <c r="AB235" s="60"/>
      <c r="AC235" s="60"/>
      <c r="AD235" s="60"/>
    </row>
    <row r="236">
      <c r="A236" s="33" t="s">
        <v>1038</v>
      </c>
      <c r="B236" s="83" t="s">
        <v>762</v>
      </c>
      <c r="C236" s="35" t="str">
        <f>IF(B236="","",(VLOOKUP(B236,'Dados de PN'!$A:$B,2,0)))</f>
        <v>ANTENA</v>
      </c>
      <c r="D236" s="139"/>
      <c r="E236" s="83" t="s">
        <v>32</v>
      </c>
      <c r="F236" s="83" t="s">
        <v>874</v>
      </c>
      <c r="G236" s="78"/>
      <c r="H236" s="42">
        <v>1.7440365E7</v>
      </c>
      <c r="I236" s="132" t="s">
        <v>1035</v>
      </c>
      <c r="J236" s="83" t="s">
        <v>37</v>
      </c>
      <c r="K236" s="46">
        <v>46149.0</v>
      </c>
      <c r="L236" s="139" t="s">
        <v>1036</v>
      </c>
      <c r="M236" s="83" t="s">
        <v>61</v>
      </c>
      <c r="N236" s="49"/>
      <c r="O236" s="49"/>
      <c r="P236" s="60"/>
      <c r="Q236" s="49"/>
      <c r="R236" s="60"/>
      <c r="S236" s="60"/>
      <c r="T236" s="60"/>
      <c r="U236" s="55"/>
      <c r="V236" s="60"/>
      <c r="W236" s="60"/>
      <c r="X236" s="60"/>
      <c r="Y236" s="60"/>
      <c r="Z236" s="60"/>
      <c r="AA236" s="60"/>
      <c r="AB236" s="60"/>
      <c r="AC236" s="60"/>
      <c r="AD236" s="60"/>
    </row>
    <row r="237">
      <c r="A237" s="33" t="s">
        <v>1039</v>
      </c>
      <c r="B237" s="83" t="s">
        <v>762</v>
      </c>
      <c r="C237" s="35" t="str">
        <f>IF(B237="","",(VLOOKUP(B237,'Dados de PN'!$A:$B,2,0)))</f>
        <v>ANTENA</v>
      </c>
      <c r="D237" s="139"/>
      <c r="E237" s="83" t="s">
        <v>32</v>
      </c>
      <c r="F237" s="83" t="s">
        <v>862</v>
      </c>
      <c r="G237" s="78"/>
      <c r="H237" s="42">
        <v>1.7440621E7</v>
      </c>
      <c r="I237" s="132" t="s">
        <v>1035</v>
      </c>
      <c r="J237" s="83" t="s">
        <v>37</v>
      </c>
      <c r="K237" s="46">
        <v>46149.0</v>
      </c>
      <c r="L237" s="139" t="s">
        <v>1036</v>
      </c>
      <c r="M237" s="83" t="s">
        <v>61</v>
      </c>
      <c r="N237" s="49"/>
      <c r="O237" s="49"/>
      <c r="P237" s="60"/>
      <c r="Q237" s="49"/>
      <c r="R237" s="60"/>
      <c r="S237" s="60"/>
      <c r="T237" s="60"/>
      <c r="U237" s="55"/>
      <c r="V237" s="60"/>
      <c r="W237" s="60"/>
      <c r="X237" s="60"/>
      <c r="Y237" s="60"/>
      <c r="Z237" s="60"/>
      <c r="AA237" s="60"/>
      <c r="AB237" s="60"/>
      <c r="AC237" s="60"/>
      <c r="AD237" s="60"/>
    </row>
    <row r="238">
      <c r="A238" s="33" t="s">
        <v>1040</v>
      </c>
      <c r="B238" s="83" t="s">
        <v>1041</v>
      </c>
      <c r="C238" s="35" t="str">
        <f>IF(B238="","",(VLOOKUP(B238,'Dados de PN'!$A:$B,2,0)))</f>
        <v>GASKET</v>
      </c>
      <c r="D238" s="139"/>
      <c r="E238" s="83" t="s">
        <v>32</v>
      </c>
      <c r="F238" s="83" t="s">
        <v>874</v>
      </c>
      <c r="G238" s="78"/>
      <c r="H238" s="42">
        <v>1.7440604E7</v>
      </c>
      <c r="I238" s="132" t="s">
        <v>1035</v>
      </c>
      <c r="J238" s="83" t="s">
        <v>37</v>
      </c>
      <c r="K238" s="46">
        <v>46149.0</v>
      </c>
      <c r="L238" s="139" t="s">
        <v>1036</v>
      </c>
      <c r="M238" s="83" t="s">
        <v>61</v>
      </c>
      <c r="N238" s="49"/>
      <c r="O238" s="49"/>
      <c r="P238" s="60"/>
      <c r="Q238" s="49"/>
      <c r="R238" s="60"/>
      <c r="S238" s="60"/>
      <c r="T238" s="60"/>
      <c r="U238" s="55"/>
      <c r="V238" s="60"/>
      <c r="W238" s="60"/>
      <c r="X238" s="60"/>
      <c r="Y238" s="60"/>
      <c r="Z238" s="60"/>
      <c r="AA238" s="60"/>
      <c r="AB238" s="60"/>
      <c r="AC238" s="60"/>
      <c r="AD238" s="60"/>
    </row>
    <row r="239">
      <c r="A239" s="33" t="s">
        <v>1042</v>
      </c>
      <c r="B239" s="83" t="s">
        <v>1041</v>
      </c>
      <c r="C239" s="35" t="str">
        <f>IF(B239="","",(VLOOKUP(B239,'Dados de PN'!$A:$B,2,0)))</f>
        <v>GASKET</v>
      </c>
      <c r="D239" s="139"/>
      <c r="E239" s="83" t="s">
        <v>32</v>
      </c>
      <c r="F239" s="83" t="s">
        <v>874</v>
      </c>
      <c r="G239" s="78"/>
      <c r="H239" s="42">
        <v>1.7440771E7</v>
      </c>
      <c r="I239" s="132" t="s">
        <v>1035</v>
      </c>
      <c r="J239" s="83" t="s">
        <v>37</v>
      </c>
      <c r="K239" s="46">
        <v>46149.0</v>
      </c>
      <c r="L239" s="139" t="s">
        <v>1036</v>
      </c>
      <c r="M239" s="83" t="s">
        <v>61</v>
      </c>
      <c r="N239" s="49"/>
      <c r="O239" s="49"/>
      <c r="P239" s="60"/>
      <c r="Q239" s="49"/>
      <c r="R239" s="60"/>
      <c r="S239" s="60"/>
      <c r="T239" s="60"/>
      <c r="U239" s="55"/>
      <c r="V239" s="60"/>
      <c r="W239" s="60"/>
      <c r="X239" s="60"/>
      <c r="Y239" s="60"/>
      <c r="Z239" s="60"/>
      <c r="AA239" s="60"/>
      <c r="AB239" s="60"/>
      <c r="AC239" s="60"/>
      <c r="AD239" s="60"/>
    </row>
    <row r="240">
      <c r="A240" s="33" t="s">
        <v>1043</v>
      </c>
      <c r="B240" s="83" t="s">
        <v>1044</v>
      </c>
      <c r="C240" s="35" t="str">
        <f>IF(B240="","",(VLOOKUP(B240,'Dados de PN'!$A:$B,2,0)))</f>
        <v>RECEIVER-TRANSMITTER,RADIO (KT71)</v>
      </c>
      <c r="D240" s="139"/>
      <c r="E240" s="83" t="s">
        <v>81</v>
      </c>
      <c r="F240" s="83" t="s">
        <v>862</v>
      </c>
      <c r="G240" s="42"/>
      <c r="H240" s="42">
        <v>1.7441308E7</v>
      </c>
      <c r="I240" s="132" t="s">
        <v>1035</v>
      </c>
      <c r="J240" s="83" t="s">
        <v>37</v>
      </c>
      <c r="K240" s="46">
        <v>46149.0</v>
      </c>
      <c r="L240" s="139" t="s">
        <v>1036</v>
      </c>
      <c r="M240" s="83" t="s">
        <v>61</v>
      </c>
      <c r="N240" s="49"/>
      <c r="O240" s="49"/>
      <c r="P240" s="60"/>
      <c r="Q240" s="49"/>
      <c r="R240" s="60"/>
      <c r="S240" s="60"/>
      <c r="T240" s="60"/>
      <c r="U240" s="55"/>
      <c r="V240" s="60"/>
      <c r="W240" s="60"/>
      <c r="X240" s="60"/>
      <c r="Y240" s="60"/>
      <c r="Z240" s="60"/>
      <c r="AA240" s="60"/>
      <c r="AB240" s="60"/>
      <c r="AC240" s="60"/>
      <c r="AD240" s="60"/>
    </row>
    <row r="241">
      <c r="A241" s="33" t="s">
        <v>1045</v>
      </c>
      <c r="B241" s="83" t="s">
        <v>1046</v>
      </c>
      <c r="C241" s="35" t="str">
        <f>IF(B241="","",(VLOOKUP(B241,'Dados de PN'!$A:$B,2,0)))</f>
        <v>SCREW,MACHINE</v>
      </c>
      <c r="D241" s="139"/>
      <c r="E241" s="83" t="s">
        <v>32</v>
      </c>
      <c r="F241" s="83" t="s">
        <v>1047</v>
      </c>
      <c r="G241" s="42"/>
      <c r="H241" s="42">
        <v>1.7440912E7</v>
      </c>
      <c r="I241" s="132" t="s">
        <v>1035</v>
      </c>
      <c r="J241" s="83" t="s">
        <v>37</v>
      </c>
      <c r="K241" s="46">
        <v>46149.0</v>
      </c>
      <c r="L241" s="139" t="s">
        <v>1036</v>
      </c>
      <c r="M241" s="83" t="s">
        <v>61</v>
      </c>
      <c r="N241" s="49"/>
      <c r="O241" s="49"/>
      <c r="P241" s="60"/>
      <c r="Q241" s="49"/>
      <c r="R241" s="60"/>
      <c r="S241" s="60"/>
      <c r="T241" s="60"/>
      <c r="U241" s="55"/>
      <c r="V241" s="60"/>
      <c r="W241" s="60"/>
      <c r="X241" s="60"/>
      <c r="Y241" s="60"/>
      <c r="Z241" s="60"/>
      <c r="AA241" s="60"/>
      <c r="AB241" s="60"/>
      <c r="AC241" s="60"/>
      <c r="AD241" s="60"/>
    </row>
    <row r="242">
      <c r="A242" s="33" t="s">
        <v>1048</v>
      </c>
      <c r="B242" s="83" t="s">
        <v>138</v>
      </c>
      <c r="C242" s="35" t="str">
        <f>IF(B242="","",(VLOOKUP(B242,'Dados de PN'!$A:$B,2,0)))</f>
        <v>COMPUTADOR DO PILOTO AUTOMÁTICO</v>
      </c>
      <c r="D242" s="139"/>
      <c r="E242" s="83" t="s">
        <v>81</v>
      </c>
      <c r="F242" s="83" t="s">
        <v>862</v>
      </c>
      <c r="G242" s="42"/>
      <c r="H242" s="42">
        <v>1.6069857E7</v>
      </c>
      <c r="I242" s="132" t="s">
        <v>1035</v>
      </c>
      <c r="J242" s="83" t="s">
        <v>37</v>
      </c>
      <c r="K242" s="46">
        <v>46149.0</v>
      </c>
      <c r="L242" s="139" t="s">
        <v>1036</v>
      </c>
      <c r="M242" s="83" t="s">
        <v>61</v>
      </c>
      <c r="N242" s="49"/>
      <c r="O242" s="49"/>
      <c r="P242" s="60"/>
      <c r="Q242" s="49"/>
      <c r="R242" s="60"/>
      <c r="S242" s="60"/>
      <c r="T242" s="60"/>
      <c r="U242" s="55"/>
      <c r="V242" s="60"/>
      <c r="W242" s="60"/>
      <c r="X242" s="60"/>
      <c r="Y242" s="60"/>
      <c r="Z242" s="60"/>
      <c r="AA242" s="60"/>
      <c r="AB242" s="60"/>
      <c r="AC242" s="60"/>
      <c r="AD242" s="60"/>
    </row>
    <row r="243">
      <c r="A243" s="33" t="s">
        <v>1049</v>
      </c>
      <c r="B243" s="83" t="s">
        <v>484</v>
      </c>
      <c r="C243" s="35" t="str">
        <f>IF(B243="","",(VLOOKUP(B243,'Dados de PN'!$A:$B,2,0)))</f>
        <v>INDICATOR FUEL</v>
      </c>
      <c r="D243" s="139"/>
      <c r="E243" s="83" t="s">
        <v>81</v>
      </c>
      <c r="F243" s="83" t="s">
        <v>862</v>
      </c>
      <c r="G243" s="42"/>
      <c r="H243" s="42">
        <v>1.6126104E7</v>
      </c>
      <c r="I243" s="132" t="s">
        <v>1035</v>
      </c>
      <c r="J243" s="83" t="s">
        <v>37</v>
      </c>
      <c r="K243" s="46">
        <v>46149.0</v>
      </c>
      <c r="L243" s="139" t="s">
        <v>1036</v>
      </c>
      <c r="M243" s="83" t="s">
        <v>61</v>
      </c>
      <c r="N243" s="49"/>
      <c r="O243" s="49"/>
      <c r="P243" s="60"/>
      <c r="Q243" s="49"/>
      <c r="R243" s="60"/>
      <c r="S243" s="60"/>
      <c r="T243" s="60"/>
      <c r="U243" s="55"/>
      <c r="V243" s="60"/>
      <c r="W243" s="60"/>
      <c r="X243" s="60"/>
      <c r="Y243" s="60"/>
      <c r="Z243" s="60"/>
      <c r="AA243" s="60"/>
      <c r="AB243" s="60"/>
      <c r="AC243" s="60"/>
      <c r="AD243" s="60"/>
    </row>
    <row r="244">
      <c r="A244" s="33" t="s">
        <v>1050</v>
      </c>
      <c r="B244" s="83" t="s">
        <v>1051</v>
      </c>
      <c r="C244" s="35" t="str">
        <f>IF(B244="","",(VLOOKUP(B244,'Dados de PN'!$A:$B,2,0)))</f>
        <v>GPS RECEIVER (STAND ALONE)</v>
      </c>
      <c r="D244" s="139"/>
      <c r="E244" s="83" t="s">
        <v>81</v>
      </c>
      <c r="F244" s="83" t="s">
        <v>862</v>
      </c>
      <c r="G244" s="42"/>
      <c r="H244" s="42">
        <v>1.6393897E7</v>
      </c>
      <c r="I244" s="132" t="s">
        <v>1035</v>
      </c>
      <c r="J244" s="83" t="s">
        <v>37</v>
      </c>
      <c r="K244" s="46">
        <v>46149.0</v>
      </c>
      <c r="L244" s="139" t="s">
        <v>1036</v>
      </c>
      <c r="M244" s="83" t="s">
        <v>61</v>
      </c>
      <c r="N244" s="49"/>
      <c r="O244" s="49"/>
      <c r="P244" s="60"/>
      <c r="Q244" s="49"/>
      <c r="R244" s="60"/>
      <c r="S244" s="60"/>
      <c r="T244" s="60"/>
      <c r="U244" s="55"/>
      <c r="V244" s="60"/>
      <c r="W244" s="60"/>
      <c r="X244" s="60"/>
      <c r="Y244" s="60"/>
      <c r="Z244" s="60"/>
      <c r="AA244" s="60"/>
      <c r="AB244" s="60"/>
      <c r="AC244" s="60"/>
      <c r="AD244" s="60"/>
    </row>
    <row r="245">
      <c r="A245" s="33" t="s">
        <v>1052</v>
      </c>
      <c r="B245" s="139" t="s">
        <v>1053</v>
      </c>
      <c r="C245" s="35" t="str">
        <f>IF(B245="","",(VLOOKUP(B245,'Dados de PN'!$A:$B,2,0)))</f>
        <v>ANEL-O</v>
      </c>
      <c r="D245" s="139"/>
      <c r="E245" s="83" t="s">
        <v>32</v>
      </c>
      <c r="F245" s="83" t="s">
        <v>862</v>
      </c>
      <c r="G245" s="42"/>
      <c r="H245" s="42">
        <v>1.7435536E7</v>
      </c>
      <c r="I245" s="132" t="s">
        <v>1035</v>
      </c>
      <c r="J245" s="83" t="s">
        <v>37</v>
      </c>
      <c r="K245" s="46">
        <v>46149.0</v>
      </c>
      <c r="L245" s="139" t="s">
        <v>1036</v>
      </c>
      <c r="M245" s="83" t="s">
        <v>61</v>
      </c>
      <c r="N245" s="49"/>
      <c r="O245" s="49"/>
      <c r="P245" s="60"/>
      <c r="Q245" s="49"/>
      <c r="R245" s="60"/>
      <c r="S245" s="60"/>
      <c r="T245" s="60"/>
      <c r="U245" s="55"/>
      <c r="V245" s="60"/>
      <c r="W245" s="60"/>
      <c r="X245" s="60"/>
      <c r="Y245" s="60"/>
      <c r="Z245" s="60"/>
      <c r="AA245" s="60"/>
      <c r="AB245" s="60"/>
      <c r="AC245" s="60"/>
      <c r="AD245" s="60"/>
    </row>
    <row r="246">
      <c r="A246" s="33" t="s">
        <v>1054</v>
      </c>
      <c r="B246" s="83" t="s">
        <v>925</v>
      </c>
      <c r="C246" s="35" t="str">
        <f>IF(B246="","",(VLOOKUP(B246,'Dados de PN'!$A:$B,2,0)))</f>
        <v>ANEL-O</v>
      </c>
      <c r="D246" s="139"/>
      <c r="E246" s="83" t="s">
        <v>32</v>
      </c>
      <c r="F246" s="83" t="s">
        <v>862</v>
      </c>
      <c r="G246" s="42"/>
      <c r="H246" s="42">
        <v>1.7435646E7</v>
      </c>
      <c r="I246" s="132" t="s">
        <v>1035</v>
      </c>
      <c r="J246" s="83" t="s">
        <v>37</v>
      </c>
      <c r="K246" s="46">
        <v>46149.0</v>
      </c>
      <c r="L246" s="139" t="s">
        <v>1036</v>
      </c>
      <c r="M246" s="83" t="s">
        <v>61</v>
      </c>
      <c r="N246" s="49"/>
      <c r="O246" s="49"/>
      <c r="P246" s="60"/>
      <c r="Q246" s="49"/>
      <c r="R246" s="60"/>
      <c r="S246" s="60"/>
      <c r="T246" s="60"/>
      <c r="U246" s="55"/>
      <c r="V246" s="60"/>
      <c r="W246" s="60"/>
      <c r="X246" s="60"/>
      <c r="Y246" s="60"/>
      <c r="Z246" s="60"/>
      <c r="AA246" s="60"/>
      <c r="AB246" s="60"/>
      <c r="AC246" s="60"/>
      <c r="AD246" s="60"/>
    </row>
    <row r="247">
      <c r="A247" s="33" t="s">
        <v>1055</v>
      </c>
      <c r="B247" s="83" t="s">
        <v>429</v>
      </c>
      <c r="C247" s="35" t="str">
        <f>IF(B247="","",(VLOOKUP(B247,'Dados de PN'!$A:$B,2,0)))</f>
        <v>IND RDR 200 IN</v>
      </c>
      <c r="D247" s="139"/>
      <c r="E247" s="83" t="s">
        <v>81</v>
      </c>
      <c r="F247" s="83" t="s">
        <v>862</v>
      </c>
      <c r="G247" s="42"/>
      <c r="H247" s="42">
        <v>1.7354649E7</v>
      </c>
      <c r="I247" s="132" t="s">
        <v>1035</v>
      </c>
      <c r="J247" s="83" t="s">
        <v>37</v>
      </c>
      <c r="K247" s="46">
        <v>46149.0</v>
      </c>
      <c r="L247" s="139" t="s">
        <v>1036</v>
      </c>
      <c r="M247" s="83" t="s">
        <v>61</v>
      </c>
      <c r="N247" s="49"/>
      <c r="O247" s="49"/>
      <c r="P247" s="60"/>
      <c r="Q247" s="49"/>
      <c r="R247" s="60"/>
      <c r="S247" s="60"/>
      <c r="T247" s="60"/>
      <c r="U247" s="55"/>
      <c r="V247" s="60"/>
      <c r="W247" s="60"/>
      <c r="X247" s="60"/>
      <c r="Y247" s="60"/>
      <c r="Z247" s="60"/>
      <c r="AA247" s="60"/>
      <c r="AB247" s="60"/>
      <c r="AC247" s="60"/>
      <c r="AD247" s="60"/>
    </row>
    <row r="248">
      <c r="A248" s="33" t="s">
        <v>1056</v>
      </c>
      <c r="B248" s="83" t="s">
        <v>1057</v>
      </c>
      <c r="C248" s="35" t="str">
        <f>IF(B248="","",(VLOOKUP(B248,'Dados de PN'!$A:$B,2,0)))</f>
        <v>HOSE ASSY-FUEL MOTIVE FLOW</v>
      </c>
      <c r="D248" s="139"/>
      <c r="E248" s="83" t="s">
        <v>32</v>
      </c>
      <c r="F248" s="83" t="s">
        <v>1058</v>
      </c>
      <c r="G248" s="42"/>
      <c r="H248" s="42">
        <v>1.7425684E7</v>
      </c>
      <c r="I248" s="132" t="s">
        <v>1035</v>
      </c>
      <c r="J248" s="83" t="s">
        <v>37</v>
      </c>
      <c r="K248" s="46">
        <v>46149.0</v>
      </c>
      <c r="L248" s="139" t="s">
        <v>1036</v>
      </c>
      <c r="M248" s="83" t="s">
        <v>61</v>
      </c>
      <c r="N248" s="49"/>
      <c r="O248" s="49"/>
      <c r="P248" s="60"/>
      <c r="Q248" s="49"/>
      <c r="R248" s="60"/>
      <c r="S248" s="60"/>
      <c r="T248" s="60"/>
      <c r="U248" s="55"/>
      <c r="V248" s="60"/>
      <c r="W248" s="60"/>
      <c r="X248" s="60"/>
      <c r="Y248" s="60"/>
      <c r="Z248" s="60"/>
      <c r="AA248" s="60"/>
      <c r="AB248" s="60"/>
      <c r="AC248" s="60"/>
      <c r="AD248" s="60"/>
    </row>
    <row r="249">
      <c r="A249" s="33" t="s">
        <v>1059</v>
      </c>
      <c r="B249" s="139" t="s">
        <v>1060</v>
      </c>
      <c r="C249" s="35" t="str">
        <f>IF(B249="","",(VLOOKUP(B249,'Dados de PN'!$A:$B,2,0)))</f>
        <v>CLEVIS</v>
      </c>
      <c r="D249" s="139"/>
      <c r="E249" s="83" t="s">
        <v>32</v>
      </c>
      <c r="F249" s="83" t="s">
        <v>34</v>
      </c>
      <c r="G249" s="42"/>
      <c r="H249" s="42">
        <v>1.7446824E7</v>
      </c>
      <c r="I249" s="132" t="s">
        <v>1061</v>
      </c>
      <c r="J249" s="83" t="s">
        <v>37</v>
      </c>
      <c r="K249" s="46">
        <v>46150.0</v>
      </c>
      <c r="L249" s="139" t="s">
        <v>543</v>
      </c>
      <c r="M249" s="83" t="s">
        <v>544</v>
      </c>
      <c r="N249" s="49"/>
      <c r="O249" s="49"/>
      <c r="P249" s="60"/>
      <c r="Q249" s="49"/>
      <c r="R249" s="60"/>
      <c r="S249" s="60"/>
      <c r="T249" s="60"/>
      <c r="U249" s="55"/>
      <c r="V249" s="60"/>
      <c r="W249" s="60"/>
      <c r="X249" s="60"/>
      <c r="Y249" s="60"/>
      <c r="Z249" s="60"/>
      <c r="AA249" s="60"/>
      <c r="AB249" s="60"/>
      <c r="AC249" s="60"/>
      <c r="AD249" s="60"/>
    </row>
    <row r="250">
      <c r="A250" s="33" t="s">
        <v>1062</v>
      </c>
      <c r="B250" s="83" t="s">
        <v>1063</v>
      </c>
      <c r="C250" s="35" t="str">
        <f>IF(B250="","",(VLOOKUP(B250,'Dados de PN'!$A:$B,2,0)))</f>
        <v>CABLE FIRE</v>
      </c>
      <c r="D250" s="139"/>
      <c r="E250" s="83" t="s">
        <v>32</v>
      </c>
      <c r="F250" s="83" t="s">
        <v>34</v>
      </c>
      <c r="G250" s="42"/>
      <c r="H250" s="42">
        <v>6.85260011861E11</v>
      </c>
      <c r="I250" s="132" t="s">
        <v>1064</v>
      </c>
      <c r="J250" s="83" t="s">
        <v>37</v>
      </c>
      <c r="K250" s="46">
        <v>46155.0</v>
      </c>
      <c r="L250" s="139" t="s">
        <v>60</v>
      </c>
      <c r="M250" s="83" t="s">
        <v>61</v>
      </c>
      <c r="N250" s="49"/>
      <c r="O250" s="49"/>
      <c r="P250" s="60"/>
      <c r="Q250" s="49"/>
      <c r="R250" s="60"/>
      <c r="S250" s="60"/>
      <c r="T250" s="60"/>
      <c r="U250" s="55"/>
      <c r="V250" s="60"/>
      <c r="W250" s="60"/>
      <c r="X250" s="60"/>
      <c r="Y250" s="60"/>
      <c r="Z250" s="60"/>
      <c r="AA250" s="60"/>
      <c r="AB250" s="60"/>
      <c r="AC250" s="60"/>
      <c r="AD250" s="60"/>
    </row>
    <row r="251">
      <c r="A251" s="33" t="s">
        <v>1065</v>
      </c>
      <c r="B251" s="139" t="s">
        <v>1066</v>
      </c>
      <c r="C251" s="35" t="str">
        <f>IF(B251="","",(VLOOKUP(B251,'Dados de PN'!$A:$B,2,0)))</f>
        <v>TRANSMITTER FUEL</v>
      </c>
      <c r="D251" s="139"/>
      <c r="E251" s="83" t="s">
        <v>32</v>
      </c>
      <c r="F251" s="83" t="s">
        <v>34</v>
      </c>
      <c r="G251" s="42"/>
      <c r="H251" s="42">
        <v>3.29260019114E11</v>
      </c>
      <c r="I251" s="132" t="s">
        <v>1067</v>
      </c>
      <c r="J251" s="83" t="s">
        <v>37</v>
      </c>
      <c r="K251" s="46">
        <v>46161.0</v>
      </c>
      <c r="L251" s="139" t="s">
        <v>988</v>
      </c>
      <c r="M251" s="83" t="s">
        <v>169</v>
      </c>
      <c r="N251" s="49"/>
      <c r="O251" s="49"/>
      <c r="P251" s="60"/>
      <c r="Q251" s="49"/>
      <c r="R251" s="60"/>
      <c r="S251" s="60"/>
      <c r="T251" s="60"/>
      <c r="U251" s="55"/>
      <c r="V251" s="60"/>
      <c r="W251" s="60"/>
      <c r="X251" s="60"/>
      <c r="Y251" s="60"/>
      <c r="Z251" s="60"/>
      <c r="AA251" s="60"/>
      <c r="AB251" s="60"/>
      <c r="AC251" s="60"/>
      <c r="AD251" s="60"/>
    </row>
    <row r="252">
      <c r="A252" s="33" t="s">
        <v>1068</v>
      </c>
      <c r="B252" s="139" t="s">
        <v>297</v>
      </c>
      <c r="C252" s="35" t="str">
        <f>IF(B252="","",(VLOOKUP(B252,'Dados de PN'!$A:$B,2,0)))</f>
        <v>TRUNION ASSY-RH-MAIN GEAR</v>
      </c>
      <c r="D252" s="139"/>
      <c r="E252" s="83" t="s">
        <v>54</v>
      </c>
      <c r="F252" s="83" t="s">
        <v>34</v>
      </c>
      <c r="G252" s="42"/>
      <c r="H252" s="42">
        <v>3.96260016406E11</v>
      </c>
      <c r="I252" s="132" t="s">
        <v>1069</v>
      </c>
      <c r="J252" s="83" t="s">
        <v>37</v>
      </c>
      <c r="K252" s="46">
        <v>46161.0</v>
      </c>
      <c r="L252" s="139" t="s">
        <v>75</v>
      </c>
      <c r="M252" s="83" t="s">
        <v>76</v>
      </c>
      <c r="N252" s="49"/>
      <c r="O252" s="49"/>
      <c r="P252" s="60"/>
      <c r="Q252" s="49"/>
      <c r="R252" s="60"/>
      <c r="S252" s="60"/>
      <c r="T252" s="60"/>
      <c r="U252" s="55"/>
      <c r="V252" s="60"/>
      <c r="W252" s="60"/>
      <c r="X252" s="60"/>
      <c r="Y252" s="60"/>
      <c r="Z252" s="60"/>
      <c r="AA252" s="60"/>
      <c r="AB252" s="60"/>
      <c r="AC252" s="60"/>
      <c r="AD252" s="60"/>
    </row>
    <row r="253">
      <c r="A253" s="33" t="s">
        <v>1070</v>
      </c>
      <c r="B253" s="139" t="s">
        <v>1071</v>
      </c>
      <c r="C253" s="35" t="str">
        <f>IF(B253="","",(VLOOKUP(B253,'Dados de PN'!$A:$B,2,0)))</f>
        <v>MANG</v>
      </c>
      <c r="D253" s="139"/>
      <c r="E253" s="83" t="s">
        <v>32</v>
      </c>
      <c r="F253" s="83" t="s">
        <v>34</v>
      </c>
      <c r="G253" s="42"/>
      <c r="H253" s="42">
        <v>6.90260002416E11</v>
      </c>
      <c r="I253" s="132" t="s">
        <v>1072</v>
      </c>
      <c r="J253" s="83" t="s">
        <v>37</v>
      </c>
      <c r="K253" s="46">
        <v>46162.0</v>
      </c>
      <c r="L253" s="139" t="s">
        <v>543</v>
      </c>
      <c r="M253" s="83" t="s">
        <v>544</v>
      </c>
      <c r="N253" s="49"/>
      <c r="O253" s="49"/>
      <c r="P253" s="60"/>
      <c r="Q253" s="49"/>
      <c r="R253" s="60"/>
      <c r="S253" s="60"/>
      <c r="T253" s="60"/>
      <c r="U253" s="55"/>
      <c r="V253" s="60"/>
      <c r="W253" s="60"/>
      <c r="X253" s="60"/>
      <c r="Y253" s="60"/>
      <c r="Z253" s="60"/>
      <c r="AA253" s="60"/>
      <c r="AB253" s="60"/>
      <c r="AC253" s="60"/>
      <c r="AD253" s="60"/>
    </row>
    <row r="254">
      <c r="A254" s="33" t="s">
        <v>1073</v>
      </c>
      <c r="B254" s="139" t="s">
        <v>1074</v>
      </c>
      <c r="C254" s="35" t="str">
        <f>IF(B254="","",(VLOOKUP(B254,'Dados de PN'!$A:$B,2,0)))</f>
        <v>SPRING ASSY-MAIN GEAR CENTER</v>
      </c>
      <c r="D254" s="139" t="s">
        <v>1075</v>
      </c>
      <c r="E254" s="83" t="s">
        <v>54</v>
      </c>
      <c r="F254" s="83" t="s">
        <v>34</v>
      </c>
      <c r="G254" s="42"/>
      <c r="H254" s="42">
        <v>1.7537154E7</v>
      </c>
      <c r="I254" s="132" t="s">
        <v>1076</v>
      </c>
      <c r="J254" s="83" t="s">
        <v>37</v>
      </c>
      <c r="K254" s="46">
        <v>46162.0</v>
      </c>
      <c r="L254" s="139" t="s">
        <v>75</v>
      </c>
      <c r="M254" s="83" t="s">
        <v>76</v>
      </c>
      <c r="N254" s="49"/>
      <c r="O254" s="49"/>
      <c r="P254" s="60"/>
      <c r="Q254" s="49"/>
      <c r="R254" s="60"/>
      <c r="S254" s="60"/>
      <c r="T254" s="60"/>
      <c r="U254" s="55"/>
      <c r="V254" s="60"/>
      <c r="W254" s="60"/>
      <c r="X254" s="60"/>
      <c r="Y254" s="60"/>
      <c r="Z254" s="60"/>
      <c r="AA254" s="60"/>
      <c r="AB254" s="60"/>
      <c r="AC254" s="60"/>
      <c r="AD254" s="60"/>
    </row>
    <row r="255">
      <c r="A255" s="33" t="s">
        <v>1077</v>
      </c>
      <c r="B255" s="139" t="s">
        <v>1078</v>
      </c>
      <c r="C255" s="35" t="str">
        <f>IF(B255="","",(VLOOKUP(B255,'Dados de PN'!$A:$B,2,0)))</f>
        <v>SWITCH</v>
      </c>
      <c r="D255" s="139"/>
      <c r="E255" s="83" t="s">
        <v>32</v>
      </c>
      <c r="F255" s="83" t="s">
        <v>34</v>
      </c>
      <c r="G255" s="42"/>
      <c r="H255" s="42">
        <v>1.7541759E7</v>
      </c>
      <c r="I255" s="132" t="s">
        <v>1079</v>
      </c>
      <c r="J255" s="83" t="s">
        <v>37</v>
      </c>
      <c r="K255" s="46">
        <v>46163.0</v>
      </c>
      <c r="L255" s="139" t="s">
        <v>403</v>
      </c>
      <c r="M255" s="83" t="s">
        <v>404</v>
      </c>
      <c r="N255" s="49"/>
      <c r="O255" s="49"/>
      <c r="P255" s="60"/>
      <c r="Q255" s="49"/>
      <c r="R255" s="60"/>
      <c r="S255" s="60"/>
      <c r="T255" s="60"/>
      <c r="U255" s="55"/>
      <c r="V255" s="60"/>
      <c r="W255" s="60"/>
      <c r="X255" s="60"/>
      <c r="Y255" s="60"/>
      <c r="Z255" s="60"/>
      <c r="AA255" s="60"/>
      <c r="AB255" s="60"/>
      <c r="AC255" s="60"/>
      <c r="AD255" s="60"/>
    </row>
    <row r="256">
      <c r="A256" s="33" t="s">
        <v>1080</v>
      </c>
      <c r="B256" s="139" t="s">
        <v>1078</v>
      </c>
      <c r="C256" s="35" t="str">
        <f>IF(B256="","",(VLOOKUP(B256,'Dados de PN'!$A:$B,2,0)))</f>
        <v>SWITCH</v>
      </c>
      <c r="D256" s="139"/>
      <c r="E256" s="83" t="s">
        <v>32</v>
      </c>
      <c r="F256" s="83" t="s">
        <v>34</v>
      </c>
      <c r="G256" s="42"/>
      <c r="H256" s="42">
        <v>1.7484041E7</v>
      </c>
      <c r="I256" s="132" t="s">
        <v>1079</v>
      </c>
      <c r="J256" s="83" t="s">
        <v>37</v>
      </c>
      <c r="K256" s="46">
        <v>46163.0</v>
      </c>
      <c r="L256" s="139" t="s">
        <v>403</v>
      </c>
      <c r="M256" s="83" t="s">
        <v>404</v>
      </c>
      <c r="N256" s="49"/>
      <c r="O256" s="49"/>
      <c r="P256" s="60"/>
      <c r="Q256" s="49"/>
      <c r="R256" s="60"/>
      <c r="S256" s="60"/>
      <c r="T256" s="60"/>
      <c r="U256" s="55"/>
      <c r="V256" s="60"/>
      <c r="W256" s="60"/>
      <c r="X256" s="60"/>
      <c r="Y256" s="60"/>
      <c r="Z256" s="60"/>
      <c r="AA256" s="60"/>
      <c r="AB256" s="60"/>
      <c r="AC256" s="60"/>
      <c r="AD256" s="60"/>
    </row>
    <row r="257">
      <c r="A257" s="33" t="s">
        <v>1081</v>
      </c>
      <c r="B257" s="139" t="s">
        <v>1082</v>
      </c>
      <c r="C257" s="35" t="str">
        <f>IF(B257="","",(VLOOKUP(B257,'Dados de PN'!$A:$B,2,0)))</f>
        <v>STARTER-GENERATOR</v>
      </c>
      <c r="D257" s="139" t="s">
        <v>1083</v>
      </c>
      <c r="E257" s="83" t="s">
        <v>81</v>
      </c>
      <c r="F257" s="83" t="s">
        <v>34</v>
      </c>
      <c r="G257" s="42"/>
      <c r="H257" s="42">
        <v>1.761209E7</v>
      </c>
      <c r="I257" s="132" t="s">
        <v>1084</v>
      </c>
      <c r="J257" s="83" t="s">
        <v>37</v>
      </c>
      <c r="K257" s="46">
        <v>46170.0</v>
      </c>
      <c r="L257" s="139" t="s">
        <v>422</v>
      </c>
      <c r="M257" s="83" t="s">
        <v>423</v>
      </c>
      <c r="N257" s="49"/>
      <c r="O257" s="49"/>
      <c r="P257" s="60"/>
      <c r="Q257" s="49"/>
      <c r="R257" s="60"/>
      <c r="S257" s="60"/>
      <c r="T257" s="60"/>
      <c r="U257" s="55"/>
      <c r="V257" s="60"/>
      <c r="W257" s="60"/>
      <c r="X257" s="60"/>
      <c r="Y257" s="60"/>
      <c r="Z257" s="60"/>
      <c r="AA257" s="60"/>
      <c r="AB257" s="60"/>
      <c r="AC257" s="60"/>
      <c r="AD257" s="60"/>
    </row>
    <row r="258">
      <c r="A258" s="33" t="s">
        <v>1085</v>
      </c>
      <c r="B258" s="139" t="s">
        <v>1086</v>
      </c>
      <c r="C258" s="35" t="str">
        <f>IF(B258="","",(VLOOKUP(B258,'Dados de PN'!$A:$B,2,0)))</f>
        <v>IND FUEL FLOW</v>
      </c>
      <c r="D258" s="139" t="s">
        <v>1087</v>
      </c>
      <c r="E258" s="83" t="s">
        <v>81</v>
      </c>
      <c r="F258" s="83" t="s">
        <v>1088</v>
      </c>
      <c r="G258" s="42"/>
      <c r="H258" s="42">
        <v>3.29260019124E11</v>
      </c>
      <c r="I258" s="132" t="s">
        <v>1089</v>
      </c>
      <c r="J258" s="83" t="s">
        <v>37</v>
      </c>
      <c r="K258" s="46">
        <v>46170.0</v>
      </c>
      <c r="L258" s="139" t="s">
        <v>988</v>
      </c>
      <c r="M258" s="83" t="s">
        <v>169</v>
      </c>
      <c r="N258" s="49"/>
      <c r="O258" s="49"/>
      <c r="P258" s="60"/>
      <c r="Q258" s="49"/>
      <c r="R258" s="60"/>
      <c r="S258" s="60"/>
      <c r="T258" s="60"/>
      <c r="U258" s="55"/>
      <c r="V258" s="60"/>
      <c r="W258" s="60"/>
      <c r="X258" s="60"/>
      <c r="Y258" s="60"/>
      <c r="Z258" s="60"/>
      <c r="AA258" s="60"/>
      <c r="AB258" s="60"/>
      <c r="AC258" s="60"/>
      <c r="AD258" s="60"/>
    </row>
    <row r="259">
      <c r="A259" s="33" t="s">
        <v>1090</v>
      </c>
      <c r="B259" s="132" t="s">
        <v>374</v>
      </c>
      <c r="C259" s="35" t="str">
        <f>IF(B259="","",(VLOOKUP(B259,'Dados de PN'!$A:$B,2,0)))</f>
        <v>WHEEL HALF ASSY</v>
      </c>
      <c r="D259" s="139" t="s">
        <v>1091</v>
      </c>
      <c r="E259" s="83" t="s">
        <v>81</v>
      </c>
      <c r="F259" s="83" t="s">
        <v>164</v>
      </c>
      <c r="G259" s="42"/>
      <c r="H259" s="42">
        <v>1.7617015E7</v>
      </c>
      <c r="I259" s="132" t="s">
        <v>1092</v>
      </c>
      <c r="J259" s="83" t="s">
        <v>37</v>
      </c>
      <c r="K259" s="46">
        <v>46171.0</v>
      </c>
      <c r="L259" s="139" t="s">
        <v>320</v>
      </c>
      <c r="M259" s="83" t="s">
        <v>61</v>
      </c>
      <c r="N259" s="49"/>
      <c r="O259" s="49"/>
      <c r="P259" s="60"/>
      <c r="Q259" s="49"/>
      <c r="R259" s="60"/>
      <c r="S259" s="60"/>
      <c r="T259" s="60"/>
      <c r="U259" s="55"/>
      <c r="V259" s="60"/>
      <c r="W259" s="60"/>
      <c r="X259" s="60"/>
      <c r="Y259" s="60"/>
      <c r="Z259" s="60"/>
      <c r="AA259" s="60"/>
      <c r="AB259" s="60"/>
      <c r="AC259" s="60"/>
      <c r="AD259" s="60"/>
    </row>
    <row r="260">
      <c r="A260" s="33" t="s">
        <v>1093</v>
      </c>
      <c r="B260" s="132" t="s">
        <v>1094</v>
      </c>
      <c r="C260" s="35" t="str">
        <f>IF(B260="","",(VLOOKUP(B260,'Dados de PN'!$A:$B,2,0)))</f>
        <v>STARTER GENERATOR</v>
      </c>
      <c r="D260" s="139" t="s">
        <v>1095</v>
      </c>
      <c r="E260" s="83" t="s">
        <v>81</v>
      </c>
      <c r="F260" s="83" t="s">
        <v>34</v>
      </c>
      <c r="G260" s="42"/>
      <c r="H260" s="42">
        <v>1.7617016E7</v>
      </c>
      <c r="I260" s="132" t="s">
        <v>1092</v>
      </c>
      <c r="J260" s="83" t="s">
        <v>37</v>
      </c>
      <c r="K260" s="46">
        <v>46171.0</v>
      </c>
      <c r="L260" s="139" t="s">
        <v>152</v>
      </c>
      <c r="M260" s="83" t="s">
        <v>61</v>
      </c>
      <c r="N260" s="49"/>
      <c r="O260" s="49"/>
      <c r="P260" s="60"/>
      <c r="Q260" s="49"/>
      <c r="R260" s="60"/>
      <c r="S260" s="60"/>
      <c r="T260" s="60"/>
      <c r="U260" s="55"/>
      <c r="V260" s="60"/>
      <c r="W260" s="60"/>
      <c r="X260" s="60"/>
      <c r="Y260" s="60"/>
      <c r="Z260" s="60"/>
      <c r="AA260" s="60"/>
      <c r="AB260" s="60"/>
      <c r="AC260" s="60"/>
      <c r="AD260" s="60"/>
    </row>
    <row r="261">
      <c r="A261" s="33" t="s">
        <v>1096</v>
      </c>
      <c r="B261" s="132" t="s">
        <v>633</v>
      </c>
      <c r="C261" s="35" t="str">
        <f>IF(B261="","",(VLOOKUP(B261,'Dados de PN'!$A:$B,2,0)))</f>
        <v>AXLE-MAIN GEAR</v>
      </c>
      <c r="D261" s="139" t="s">
        <v>1097</v>
      </c>
      <c r="E261" s="83" t="s">
        <v>54</v>
      </c>
      <c r="F261" s="83" t="s">
        <v>34</v>
      </c>
      <c r="G261" s="42"/>
      <c r="H261" s="42">
        <v>1.7617017E7</v>
      </c>
      <c r="I261" s="132" t="s">
        <v>1092</v>
      </c>
      <c r="J261" s="83" t="s">
        <v>37</v>
      </c>
      <c r="K261" s="46">
        <v>46171.0</v>
      </c>
      <c r="L261" s="139" t="s">
        <v>60</v>
      </c>
      <c r="M261" s="83" t="s">
        <v>61</v>
      </c>
      <c r="N261" s="49"/>
      <c r="O261" s="49"/>
      <c r="P261" s="60"/>
      <c r="Q261" s="49"/>
      <c r="R261" s="60"/>
      <c r="S261" s="60"/>
      <c r="T261" s="60"/>
      <c r="U261" s="55"/>
      <c r="V261" s="60"/>
      <c r="W261" s="60"/>
      <c r="X261" s="60"/>
      <c r="Y261" s="60"/>
      <c r="Z261" s="60"/>
      <c r="AA261" s="60"/>
      <c r="AB261" s="60"/>
      <c r="AC261" s="60"/>
      <c r="AD261" s="60"/>
    </row>
    <row r="262">
      <c r="A262" s="33" t="s">
        <v>1098</v>
      </c>
      <c r="B262" s="132" t="s">
        <v>1099</v>
      </c>
      <c r="C262" s="35" t="str">
        <f>IF(B262="","",(VLOOKUP(B262,'Dados de PN'!$A:$B,2,0)))</f>
        <v>BATTERY</v>
      </c>
      <c r="D262" s="139" t="s">
        <v>1100</v>
      </c>
      <c r="E262" s="83" t="s">
        <v>54</v>
      </c>
      <c r="F262" s="83" t="s">
        <v>34</v>
      </c>
      <c r="G262" s="42"/>
      <c r="H262" s="42">
        <v>1.7617018E7</v>
      </c>
      <c r="I262" s="132" t="s">
        <v>1092</v>
      </c>
      <c r="J262" s="83" t="s">
        <v>37</v>
      </c>
      <c r="K262" s="46">
        <v>46171.0</v>
      </c>
      <c r="L262" s="139" t="s">
        <v>183</v>
      </c>
      <c r="M262" s="83" t="s">
        <v>61</v>
      </c>
      <c r="N262" s="49"/>
      <c r="O262" s="49"/>
      <c r="P262" s="60"/>
      <c r="Q262" s="49"/>
      <c r="R262" s="60"/>
      <c r="S262" s="60"/>
      <c r="T262" s="60"/>
      <c r="U262" s="55"/>
      <c r="V262" s="60"/>
      <c r="W262" s="60"/>
      <c r="X262" s="60"/>
      <c r="Y262" s="60"/>
      <c r="Z262" s="60"/>
      <c r="AA262" s="60"/>
      <c r="AB262" s="60"/>
      <c r="AC262" s="60"/>
      <c r="AD262" s="60"/>
    </row>
    <row r="263">
      <c r="A263" s="33" t="s">
        <v>1101</v>
      </c>
      <c r="B263" s="132" t="s">
        <v>659</v>
      </c>
      <c r="C263" s="35" t="str">
        <f>IF(B263="","",(VLOOKUP(B263,'Dados de PN'!$A:$B,2,0)))</f>
        <v>EXTINGUISHER,FIRE</v>
      </c>
      <c r="D263" s="139" t="s">
        <v>1102</v>
      </c>
      <c r="E263" s="83" t="s">
        <v>81</v>
      </c>
      <c r="F263" s="83" t="s">
        <v>34</v>
      </c>
      <c r="G263" s="42"/>
      <c r="H263" s="42">
        <v>1.7617019E7</v>
      </c>
      <c r="I263" s="132" t="s">
        <v>1092</v>
      </c>
      <c r="J263" s="83" t="s">
        <v>37</v>
      </c>
      <c r="K263" s="46">
        <v>46171.0</v>
      </c>
      <c r="L263" s="139" t="s">
        <v>183</v>
      </c>
      <c r="M263" s="83" t="s">
        <v>61</v>
      </c>
      <c r="N263" s="49"/>
      <c r="O263" s="49"/>
      <c r="P263" s="60"/>
      <c r="Q263" s="49"/>
      <c r="R263" s="60"/>
      <c r="S263" s="60"/>
      <c r="T263" s="60"/>
      <c r="U263" s="55"/>
      <c r="V263" s="60"/>
      <c r="W263" s="60"/>
      <c r="X263" s="60"/>
      <c r="Y263" s="60"/>
      <c r="Z263" s="60"/>
      <c r="AA263" s="60"/>
      <c r="AB263" s="60"/>
      <c r="AC263" s="60"/>
      <c r="AD263" s="60"/>
    </row>
    <row r="264">
      <c r="A264" s="33" t="s">
        <v>1103</v>
      </c>
      <c r="B264" s="83" t="s">
        <v>147</v>
      </c>
      <c r="C264" s="35" t="str">
        <f>IF(B264="","",(VLOOKUP(B264,'Dados de PN'!$A:$B,2,0)))</f>
        <v>INDICATOR,HORIZONTAL SITUATION</v>
      </c>
      <c r="D264" s="139" t="s">
        <v>1104</v>
      </c>
      <c r="E264" s="83" t="s">
        <v>81</v>
      </c>
      <c r="F264" s="83" t="s">
        <v>34</v>
      </c>
      <c r="G264" s="42"/>
      <c r="H264" s="42">
        <v>3.96260016501E11</v>
      </c>
      <c r="I264" s="132" t="s">
        <v>1105</v>
      </c>
      <c r="J264" s="83" t="s">
        <v>37</v>
      </c>
      <c r="K264" s="46">
        <v>46174.0</v>
      </c>
      <c r="L264" s="139" t="s">
        <v>75</v>
      </c>
      <c r="M264" s="83" t="s">
        <v>76</v>
      </c>
      <c r="N264" s="49"/>
      <c r="O264" s="49"/>
      <c r="P264" s="60"/>
      <c r="Q264" s="49"/>
      <c r="R264" s="60"/>
      <c r="S264" s="60"/>
      <c r="T264" s="60"/>
      <c r="U264" s="55"/>
      <c r="V264" s="60"/>
      <c r="W264" s="60"/>
      <c r="X264" s="60"/>
      <c r="Y264" s="60"/>
      <c r="Z264" s="60"/>
      <c r="AA264" s="60"/>
      <c r="AB264" s="60"/>
      <c r="AC264" s="60"/>
      <c r="AD264" s="60"/>
    </row>
    <row r="265">
      <c r="A265" s="33" t="s">
        <v>1106</v>
      </c>
      <c r="B265" s="83" t="s">
        <v>1107</v>
      </c>
      <c r="C265" s="35" t="str">
        <f>IF(B265="","",(VLOOKUP(B265,'Dados de PN'!$A:$B,2,0)))</f>
        <v>CONNECTOR,ELECTRICAL</v>
      </c>
      <c r="D265" s="139"/>
      <c r="E265" s="83" t="s">
        <v>32</v>
      </c>
      <c r="F265" s="83" t="s">
        <v>164</v>
      </c>
      <c r="G265" s="42"/>
      <c r="H265" s="42">
        <v>3.96260016502E11</v>
      </c>
      <c r="I265" s="132" t="s">
        <v>1105</v>
      </c>
      <c r="J265" s="83" t="s">
        <v>37</v>
      </c>
      <c r="K265" s="46">
        <v>46174.0</v>
      </c>
      <c r="L265" s="139" t="s">
        <v>75</v>
      </c>
      <c r="M265" s="83" t="s">
        <v>76</v>
      </c>
      <c r="N265" s="49"/>
      <c r="O265" s="49"/>
      <c r="P265" s="60"/>
      <c r="Q265" s="49"/>
      <c r="R265" s="60"/>
      <c r="S265" s="60"/>
      <c r="T265" s="60"/>
      <c r="U265" s="55"/>
      <c r="V265" s="60"/>
      <c r="W265" s="60"/>
      <c r="X265" s="60"/>
      <c r="Y265" s="60"/>
      <c r="Z265" s="60"/>
      <c r="AA265" s="60"/>
      <c r="AB265" s="60"/>
      <c r="AC265" s="60"/>
      <c r="AD265" s="60"/>
    </row>
    <row r="266">
      <c r="A266" s="33" t="s">
        <v>1108</v>
      </c>
      <c r="B266" s="83" t="s">
        <v>602</v>
      </c>
      <c r="C266" s="35" t="str">
        <f>IF(B266="","",(VLOOKUP(B266,'Dados de PN'!$A:$B,2,0)))</f>
        <v>SEAL</v>
      </c>
      <c r="D266" s="139"/>
      <c r="E266" s="83" t="s">
        <v>32</v>
      </c>
      <c r="F266" s="83" t="s">
        <v>164</v>
      </c>
      <c r="G266" s="42"/>
      <c r="H266" s="42">
        <v>3.962600165E11</v>
      </c>
      <c r="I266" s="132" t="s">
        <v>1105</v>
      </c>
      <c r="J266" s="83" t="s">
        <v>37</v>
      </c>
      <c r="K266" s="46">
        <v>46174.0</v>
      </c>
      <c r="L266" s="139" t="s">
        <v>304</v>
      </c>
      <c r="M266" s="83" t="s">
        <v>76</v>
      </c>
      <c r="N266" s="49"/>
      <c r="O266" s="49"/>
      <c r="P266" s="60"/>
      <c r="Q266" s="49"/>
      <c r="R266" s="60"/>
      <c r="S266" s="60"/>
      <c r="T266" s="60"/>
      <c r="U266" s="55"/>
      <c r="V266" s="60"/>
      <c r="W266" s="60"/>
      <c r="X266" s="60"/>
      <c r="Y266" s="60"/>
      <c r="Z266" s="60"/>
      <c r="AA266" s="60"/>
      <c r="AB266" s="60"/>
      <c r="AC266" s="60"/>
      <c r="AD266" s="60"/>
    </row>
    <row r="267">
      <c r="A267" s="33" t="s">
        <v>1109</v>
      </c>
      <c r="B267" s="139"/>
      <c r="C267" s="42" t="str">
        <f>IF(B267="","",(VLOOKUP(B267,'Dados de PN'!$A:$B,2,0)))</f>
        <v/>
      </c>
      <c r="D267" s="139"/>
      <c r="E267" s="83"/>
      <c r="F267" s="83"/>
      <c r="G267" s="42"/>
      <c r="H267" s="42"/>
      <c r="I267" s="132"/>
      <c r="J267" s="83"/>
      <c r="K267" s="42"/>
      <c r="L267" s="140"/>
      <c r="M267" s="60"/>
      <c r="N267" s="49"/>
      <c r="O267" s="49"/>
      <c r="P267" s="60"/>
      <c r="Q267" s="49"/>
      <c r="R267" s="60"/>
      <c r="S267" s="60"/>
      <c r="T267" s="60"/>
      <c r="U267" s="55"/>
      <c r="V267" s="60"/>
      <c r="W267" s="60"/>
      <c r="X267" s="60"/>
      <c r="Y267" s="60"/>
      <c r="Z267" s="60"/>
      <c r="AA267" s="60"/>
      <c r="AB267" s="60"/>
      <c r="AC267" s="60"/>
      <c r="AD267" s="60"/>
    </row>
    <row r="268">
      <c r="A268" s="33" t="s">
        <v>1110</v>
      </c>
      <c r="B268" s="139"/>
      <c r="C268" s="42" t="str">
        <f>IF(B268="","",(VLOOKUP(B268,'Dados de PN'!$A:$B,2,0)))</f>
        <v/>
      </c>
      <c r="D268" s="139"/>
      <c r="E268" s="83"/>
      <c r="F268" s="83"/>
      <c r="G268" s="42"/>
      <c r="H268" s="42"/>
      <c r="I268" s="132"/>
      <c r="J268" s="83"/>
      <c r="K268" s="42"/>
      <c r="L268" s="140"/>
      <c r="M268" s="60"/>
      <c r="N268" s="49"/>
      <c r="O268" s="49"/>
      <c r="P268" s="60"/>
      <c r="Q268" s="49"/>
      <c r="R268" s="60"/>
      <c r="S268" s="60"/>
      <c r="T268" s="60"/>
      <c r="U268" s="55"/>
      <c r="V268" s="60"/>
      <c r="W268" s="60"/>
      <c r="X268" s="60"/>
      <c r="Y268" s="60"/>
      <c r="Z268" s="60"/>
      <c r="AA268" s="60"/>
      <c r="AB268" s="60"/>
      <c r="AC268" s="60"/>
      <c r="AD268" s="60"/>
    </row>
    <row r="269">
      <c r="A269" s="33" t="s">
        <v>1111</v>
      </c>
      <c r="B269" s="139"/>
      <c r="C269" s="42" t="str">
        <f>IF(B269="","",(VLOOKUP(B269,'Dados de PN'!$A:$B,2,0)))</f>
        <v/>
      </c>
      <c r="D269" s="139"/>
      <c r="E269" s="83"/>
      <c r="F269" s="83"/>
      <c r="G269" s="42"/>
      <c r="H269" s="42"/>
      <c r="I269" s="132"/>
      <c r="J269" s="83"/>
      <c r="K269" s="42"/>
      <c r="L269" s="140"/>
      <c r="M269" s="60"/>
      <c r="N269" s="49"/>
      <c r="O269" s="49"/>
      <c r="P269" s="60"/>
      <c r="Q269" s="49"/>
      <c r="R269" s="60"/>
      <c r="S269" s="60"/>
      <c r="T269" s="60"/>
      <c r="U269" s="55"/>
      <c r="V269" s="60"/>
      <c r="W269" s="60"/>
      <c r="X269" s="60"/>
      <c r="Y269" s="60"/>
      <c r="Z269" s="60"/>
      <c r="AA269" s="60"/>
      <c r="AB269" s="60"/>
      <c r="AC269" s="60"/>
      <c r="AD269" s="60"/>
    </row>
    <row r="270">
      <c r="A270" s="33" t="s">
        <v>1112</v>
      </c>
      <c r="B270" s="139"/>
      <c r="C270" s="42" t="str">
        <f>IF(B270="","",(VLOOKUP(B270,'Dados de PN'!$A:$B,2,0)))</f>
        <v/>
      </c>
      <c r="D270" s="139"/>
      <c r="E270" s="83"/>
      <c r="F270" s="83"/>
      <c r="G270" s="42"/>
      <c r="H270" s="42"/>
      <c r="I270" s="132"/>
      <c r="J270" s="83"/>
      <c r="K270" s="42"/>
      <c r="L270" s="140"/>
      <c r="M270" s="60"/>
      <c r="N270" s="49"/>
      <c r="O270" s="49"/>
      <c r="P270" s="60"/>
      <c r="Q270" s="49"/>
      <c r="R270" s="60"/>
      <c r="S270" s="60"/>
      <c r="T270" s="60"/>
      <c r="U270" s="55"/>
      <c r="V270" s="60"/>
      <c r="W270" s="60"/>
      <c r="X270" s="60"/>
      <c r="Y270" s="60"/>
      <c r="Z270" s="60"/>
      <c r="AA270" s="60"/>
      <c r="AB270" s="60"/>
      <c r="AC270" s="60"/>
      <c r="AD270" s="60"/>
    </row>
    <row r="271">
      <c r="A271" s="33" t="s">
        <v>1113</v>
      </c>
      <c r="B271" s="139"/>
      <c r="C271" s="42" t="str">
        <f>IF(B271="","",(VLOOKUP(B271,'Dados de PN'!$A:$B,2,0)))</f>
        <v/>
      </c>
      <c r="D271" s="139"/>
      <c r="E271" s="83"/>
      <c r="F271" s="83"/>
      <c r="G271" s="42"/>
      <c r="H271" s="42"/>
      <c r="I271" s="132"/>
      <c r="J271" s="83"/>
      <c r="K271" s="42"/>
      <c r="L271" s="140"/>
      <c r="M271" s="60"/>
      <c r="N271" s="49"/>
      <c r="O271" s="49"/>
      <c r="P271" s="60"/>
      <c r="Q271" s="49"/>
      <c r="R271" s="60"/>
      <c r="S271" s="60"/>
      <c r="T271" s="60"/>
      <c r="U271" s="55"/>
      <c r="V271" s="60"/>
      <c r="W271" s="60"/>
      <c r="X271" s="60"/>
      <c r="Y271" s="60"/>
      <c r="Z271" s="60"/>
      <c r="AA271" s="60"/>
      <c r="AB271" s="60"/>
      <c r="AC271" s="60"/>
      <c r="AD271" s="60"/>
    </row>
    <row r="272">
      <c r="A272" s="33" t="s">
        <v>1114</v>
      </c>
      <c r="B272" s="139"/>
      <c r="C272" s="42" t="str">
        <f>IF(B272="","",(VLOOKUP(B272,'Dados de PN'!$A:$B,2,0)))</f>
        <v/>
      </c>
      <c r="D272" s="139"/>
      <c r="E272" s="83"/>
      <c r="F272" s="83"/>
      <c r="G272" s="42"/>
      <c r="H272" s="42"/>
      <c r="I272" s="132"/>
      <c r="J272" s="83"/>
      <c r="K272" s="42"/>
      <c r="L272" s="140"/>
      <c r="M272" s="60"/>
      <c r="N272" s="49"/>
      <c r="O272" s="49"/>
      <c r="P272" s="60"/>
      <c r="Q272" s="49"/>
      <c r="R272" s="60"/>
      <c r="S272" s="60"/>
      <c r="T272" s="60"/>
      <c r="U272" s="55"/>
      <c r="V272" s="60"/>
      <c r="W272" s="60"/>
      <c r="X272" s="60"/>
      <c r="Y272" s="60"/>
      <c r="Z272" s="60"/>
      <c r="AA272" s="60"/>
      <c r="AB272" s="60"/>
      <c r="AC272" s="60"/>
      <c r="AD272" s="60"/>
    </row>
    <row r="273">
      <c r="A273" s="33" t="s">
        <v>1115</v>
      </c>
      <c r="B273" s="139"/>
      <c r="C273" s="42" t="str">
        <f>IF(B273="","",(VLOOKUP(B273,'Dados de PN'!$A:$B,2,0)))</f>
        <v/>
      </c>
      <c r="D273" s="139"/>
      <c r="E273" s="83"/>
      <c r="F273" s="83"/>
      <c r="G273" s="42"/>
      <c r="H273" s="42"/>
      <c r="I273" s="132"/>
      <c r="J273" s="83"/>
      <c r="K273" s="42"/>
      <c r="L273" s="140"/>
      <c r="M273" s="60"/>
      <c r="N273" s="49"/>
      <c r="O273" s="49"/>
      <c r="P273" s="60"/>
      <c r="Q273" s="49"/>
      <c r="R273" s="60"/>
      <c r="S273" s="60"/>
      <c r="T273" s="60"/>
      <c r="U273" s="55"/>
      <c r="V273" s="60"/>
      <c r="W273" s="60"/>
      <c r="X273" s="60"/>
      <c r="Y273" s="60"/>
      <c r="Z273" s="60"/>
      <c r="AA273" s="60"/>
      <c r="AB273" s="60"/>
      <c r="AC273" s="60"/>
      <c r="AD273" s="60"/>
    </row>
    <row r="274">
      <c r="A274" s="33" t="s">
        <v>1116</v>
      </c>
      <c r="B274" s="139"/>
      <c r="C274" s="42" t="str">
        <f>IF(B274="","",(VLOOKUP(B274,'Dados de PN'!$A:$B,2,0)))</f>
        <v/>
      </c>
      <c r="D274" s="139"/>
      <c r="E274" s="83"/>
      <c r="F274" s="83"/>
      <c r="G274" s="42"/>
      <c r="H274" s="42"/>
      <c r="I274" s="132"/>
      <c r="J274" s="83"/>
      <c r="K274" s="42"/>
      <c r="L274" s="140"/>
      <c r="M274" s="60"/>
      <c r="N274" s="49"/>
      <c r="O274" s="49"/>
      <c r="P274" s="60"/>
      <c r="Q274" s="49"/>
      <c r="R274" s="60"/>
      <c r="S274" s="60"/>
      <c r="T274" s="60"/>
      <c r="U274" s="55"/>
      <c r="V274" s="60"/>
      <c r="W274" s="60"/>
      <c r="X274" s="60"/>
      <c r="Y274" s="60"/>
      <c r="Z274" s="60"/>
      <c r="AA274" s="60"/>
      <c r="AB274" s="60"/>
      <c r="AC274" s="60"/>
      <c r="AD274" s="60"/>
    </row>
    <row r="275">
      <c r="A275" s="33" t="s">
        <v>1117</v>
      </c>
      <c r="B275" s="139"/>
      <c r="C275" s="42" t="str">
        <f>IF(B275="","",(VLOOKUP(B275,'Dados de PN'!$A:$B,2,0)))</f>
        <v/>
      </c>
      <c r="D275" s="139"/>
      <c r="E275" s="83"/>
      <c r="F275" s="83"/>
      <c r="G275" s="42"/>
      <c r="H275" s="42"/>
      <c r="I275" s="132"/>
      <c r="J275" s="83"/>
      <c r="K275" s="42"/>
      <c r="L275" s="140"/>
      <c r="M275" s="60"/>
      <c r="N275" s="49"/>
      <c r="O275" s="49"/>
      <c r="P275" s="60"/>
      <c r="Q275" s="49"/>
      <c r="R275" s="60"/>
      <c r="S275" s="60"/>
      <c r="T275" s="60"/>
      <c r="U275" s="55"/>
      <c r="V275" s="60"/>
      <c r="W275" s="60"/>
      <c r="X275" s="60"/>
      <c r="Y275" s="60"/>
      <c r="Z275" s="60"/>
      <c r="AA275" s="60"/>
      <c r="AB275" s="60"/>
      <c r="AC275" s="60"/>
      <c r="AD275" s="60"/>
    </row>
    <row r="276">
      <c r="A276" s="33" t="s">
        <v>1118</v>
      </c>
      <c r="B276" s="139"/>
      <c r="C276" s="42" t="str">
        <f>IF(B276="","",(VLOOKUP(B276,'Dados de PN'!$A:$B,2,0)))</f>
        <v/>
      </c>
      <c r="D276" s="139"/>
      <c r="E276" s="83"/>
      <c r="F276" s="83"/>
      <c r="G276" s="42"/>
      <c r="H276" s="42"/>
      <c r="I276" s="132"/>
      <c r="J276" s="83"/>
      <c r="K276" s="42"/>
      <c r="L276" s="140"/>
      <c r="M276" s="60"/>
      <c r="N276" s="49"/>
      <c r="O276" s="49"/>
      <c r="P276" s="60"/>
      <c r="Q276" s="49"/>
      <c r="R276" s="60"/>
      <c r="S276" s="60"/>
      <c r="T276" s="60"/>
      <c r="U276" s="55"/>
      <c r="V276" s="60"/>
      <c r="W276" s="60"/>
      <c r="X276" s="60"/>
      <c r="Y276" s="60"/>
      <c r="Z276" s="60"/>
      <c r="AA276" s="60"/>
      <c r="AB276" s="60"/>
      <c r="AC276" s="60"/>
      <c r="AD276" s="60"/>
    </row>
    <row r="277">
      <c r="A277" s="33" t="s">
        <v>1119</v>
      </c>
      <c r="B277" s="139"/>
      <c r="C277" s="42" t="str">
        <f>IF(B277="","",(VLOOKUP(B277,'Dados de PN'!$A:$B,2,0)))</f>
        <v/>
      </c>
      <c r="D277" s="139"/>
      <c r="E277" s="83"/>
      <c r="F277" s="83"/>
      <c r="G277" s="42"/>
      <c r="H277" s="42"/>
      <c r="I277" s="132"/>
      <c r="J277" s="83"/>
      <c r="K277" s="42"/>
      <c r="L277" s="140"/>
      <c r="M277" s="60"/>
      <c r="N277" s="49"/>
      <c r="O277" s="49"/>
      <c r="P277" s="60"/>
      <c r="Q277" s="49"/>
      <c r="R277" s="60"/>
      <c r="S277" s="60"/>
      <c r="T277" s="60"/>
      <c r="U277" s="55"/>
      <c r="V277" s="60"/>
      <c r="W277" s="60"/>
      <c r="X277" s="60"/>
      <c r="Y277" s="60"/>
      <c r="Z277" s="60"/>
      <c r="AA277" s="60"/>
      <c r="AB277" s="60"/>
      <c r="AC277" s="60"/>
      <c r="AD277" s="60"/>
    </row>
    <row r="278">
      <c r="A278" s="33" t="s">
        <v>1120</v>
      </c>
      <c r="B278" s="139"/>
      <c r="C278" s="42" t="str">
        <f>IF(B278="","",(VLOOKUP(B278,'Dados de PN'!$A:$B,2,0)))</f>
        <v/>
      </c>
      <c r="D278" s="139"/>
      <c r="E278" s="83"/>
      <c r="F278" s="83"/>
      <c r="G278" s="42"/>
      <c r="H278" s="42"/>
      <c r="I278" s="132"/>
      <c r="J278" s="83"/>
      <c r="K278" s="42"/>
      <c r="L278" s="139"/>
      <c r="M278" s="60"/>
      <c r="N278" s="49"/>
      <c r="O278" s="49"/>
      <c r="P278" s="60"/>
      <c r="Q278" s="49"/>
      <c r="R278" s="60"/>
      <c r="S278" s="60"/>
      <c r="T278" s="60"/>
      <c r="U278" s="55"/>
      <c r="V278" s="60"/>
      <c r="W278" s="60"/>
      <c r="X278" s="60"/>
      <c r="Y278" s="60"/>
      <c r="Z278" s="60"/>
      <c r="AA278" s="60"/>
      <c r="AB278" s="60"/>
      <c r="AC278" s="60"/>
      <c r="AD278" s="60"/>
    </row>
    <row r="279">
      <c r="A279" s="33" t="s">
        <v>1121</v>
      </c>
      <c r="B279" s="139"/>
      <c r="C279" s="42" t="str">
        <f>IF(B279="","",(VLOOKUP(B279,'Dados de PN'!$A:$B,2,0)))</f>
        <v/>
      </c>
      <c r="D279" s="139"/>
      <c r="E279" s="83"/>
      <c r="F279" s="83"/>
      <c r="G279" s="42"/>
      <c r="H279" s="42"/>
      <c r="I279" s="132"/>
      <c r="J279" s="83"/>
      <c r="K279" s="42"/>
      <c r="L279" s="139"/>
      <c r="M279" s="60"/>
      <c r="N279" s="49"/>
      <c r="O279" s="49"/>
      <c r="P279" s="60"/>
      <c r="Q279" s="49"/>
      <c r="R279" s="60"/>
      <c r="S279" s="60"/>
      <c r="T279" s="60"/>
      <c r="U279" s="55"/>
      <c r="V279" s="60"/>
      <c r="W279" s="60"/>
      <c r="X279" s="60"/>
      <c r="Y279" s="60"/>
      <c r="Z279" s="60"/>
      <c r="AA279" s="60"/>
      <c r="AB279" s="60"/>
      <c r="AC279" s="60"/>
      <c r="AD279" s="60"/>
    </row>
    <row r="280">
      <c r="A280" s="33" t="s">
        <v>1122</v>
      </c>
      <c r="B280" s="139"/>
      <c r="C280" s="42" t="str">
        <f>IF(B280="","",(VLOOKUP(B280,'Dados de PN'!$A:$B,2,0)))</f>
        <v/>
      </c>
      <c r="D280" s="139"/>
      <c r="E280" s="83"/>
      <c r="F280" s="83"/>
      <c r="G280" s="42"/>
      <c r="H280" s="42"/>
      <c r="I280" s="132"/>
      <c r="J280" s="83"/>
      <c r="K280" s="42"/>
      <c r="L280" s="139"/>
      <c r="M280" s="60"/>
      <c r="N280" s="49"/>
      <c r="O280" s="49"/>
      <c r="P280" s="60"/>
      <c r="Q280" s="49"/>
      <c r="R280" s="60"/>
      <c r="S280" s="60"/>
      <c r="T280" s="60"/>
      <c r="U280" s="55"/>
      <c r="V280" s="60"/>
      <c r="W280" s="60"/>
      <c r="X280" s="60"/>
      <c r="Y280" s="60"/>
      <c r="Z280" s="60"/>
      <c r="AA280" s="60"/>
      <c r="AB280" s="60"/>
      <c r="AC280" s="60"/>
      <c r="AD280" s="60"/>
    </row>
    <row r="281">
      <c r="A281" s="186" t="s">
        <v>1123</v>
      </c>
      <c r="B281" s="187"/>
      <c r="C281" s="188" t="str">
        <f>IF(B281="","",(VLOOKUP(B281,'Dados de PN'!$A:$B,2,0)))</f>
        <v/>
      </c>
      <c r="D281" s="187"/>
      <c r="E281" s="189"/>
      <c r="F281" s="189"/>
      <c r="G281" s="188"/>
      <c r="H281" s="188"/>
      <c r="I281" s="190"/>
      <c r="J281" s="189"/>
      <c r="K281" s="188"/>
      <c r="L281" s="191"/>
      <c r="M281" s="192"/>
      <c r="N281" s="193"/>
      <c r="O281" s="193"/>
      <c r="P281" s="192"/>
      <c r="Q281" s="193"/>
      <c r="R281" s="192"/>
      <c r="S281" s="192"/>
      <c r="T281" s="192"/>
      <c r="U281" s="194"/>
      <c r="V281" s="192"/>
      <c r="W281" s="192"/>
      <c r="X281" s="192"/>
      <c r="Y281" s="192"/>
      <c r="Z281" s="192"/>
      <c r="AA281" s="60"/>
      <c r="AB281" s="60"/>
      <c r="AC281" s="60"/>
      <c r="AD281" s="60"/>
    </row>
    <row r="282">
      <c r="A282" s="33" t="s">
        <v>1124</v>
      </c>
      <c r="B282" s="139"/>
      <c r="C282" s="42" t="str">
        <f>IF(B282="","",(VLOOKUP(B282,'Dados de PN'!$A:$B,2,0)))</f>
        <v/>
      </c>
      <c r="D282" s="139"/>
      <c r="E282" s="83"/>
      <c r="F282" s="83"/>
      <c r="G282" s="42"/>
      <c r="H282" s="42"/>
      <c r="I282" s="132"/>
      <c r="J282" s="83"/>
      <c r="K282" s="42"/>
      <c r="L282" s="140"/>
      <c r="M282" s="60"/>
      <c r="N282" s="49"/>
      <c r="O282" s="49"/>
      <c r="P282" s="60"/>
      <c r="Q282" s="49"/>
      <c r="R282" s="60"/>
      <c r="S282" s="60"/>
      <c r="T282" s="60"/>
      <c r="U282" s="55"/>
      <c r="V282" s="60"/>
      <c r="W282" s="60"/>
      <c r="X282" s="60"/>
      <c r="Y282" s="60"/>
      <c r="Z282" s="60"/>
      <c r="AA282" s="60"/>
      <c r="AB282" s="60"/>
      <c r="AC282" s="60"/>
      <c r="AD282" s="60"/>
    </row>
    <row r="283">
      <c r="A283" s="33" t="s">
        <v>1125</v>
      </c>
      <c r="B283" s="139"/>
      <c r="C283" s="42" t="str">
        <f>IF(B283="","",(VLOOKUP(B283,'Dados de PN'!$A:$B,2,0)))</f>
        <v/>
      </c>
      <c r="D283" s="139"/>
      <c r="E283" s="83"/>
      <c r="F283" s="83"/>
      <c r="G283" s="42"/>
      <c r="H283" s="42"/>
      <c r="I283" s="132"/>
      <c r="J283" s="83"/>
      <c r="K283" s="42"/>
      <c r="L283" s="140"/>
      <c r="M283" s="60"/>
      <c r="N283" s="49"/>
      <c r="O283" s="49"/>
      <c r="P283" s="60"/>
      <c r="Q283" s="49"/>
      <c r="R283" s="60"/>
      <c r="S283" s="60"/>
      <c r="T283" s="60"/>
      <c r="U283" s="55"/>
      <c r="V283" s="60"/>
      <c r="W283" s="60"/>
      <c r="X283" s="60"/>
      <c r="Y283" s="60"/>
      <c r="Z283" s="60"/>
      <c r="AA283" s="60"/>
      <c r="AB283" s="60"/>
      <c r="AC283" s="60"/>
      <c r="AD283" s="60"/>
    </row>
    <row r="284">
      <c r="A284" s="33" t="s">
        <v>1126</v>
      </c>
      <c r="B284" s="139"/>
      <c r="C284" s="42" t="str">
        <f>IF(B284="","",(VLOOKUP(B284,'Dados de PN'!$A:$B,2,0)))</f>
        <v/>
      </c>
      <c r="D284" s="139"/>
      <c r="E284" s="83"/>
      <c r="F284" s="83"/>
      <c r="G284" s="42"/>
      <c r="H284" s="42"/>
      <c r="I284" s="132"/>
      <c r="J284" s="83"/>
      <c r="K284" s="42"/>
      <c r="L284" s="140"/>
      <c r="M284" s="60"/>
      <c r="N284" s="49"/>
      <c r="O284" s="49"/>
      <c r="P284" s="60"/>
      <c r="Q284" s="49"/>
      <c r="R284" s="60"/>
      <c r="S284" s="60"/>
      <c r="T284" s="60"/>
      <c r="U284" s="55"/>
      <c r="V284" s="60"/>
      <c r="W284" s="60"/>
      <c r="X284" s="60"/>
      <c r="Y284" s="60"/>
      <c r="Z284" s="60"/>
      <c r="AA284" s="60"/>
      <c r="AB284" s="60"/>
      <c r="AC284" s="60"/>
      <c r="AD284" s="60"/>
    </row>
    <row r="285">
      <c r="A285" s="33" t="s">
        <v>1127</v>
      </c>
      <c r="B285" s="139"/>
      <c r="C285" s="42" t="str">
        <f>IF(B285="","",(VLOOKUP(B285,'Dados de PN'!$A:$B,2,0)))</f>
        <v/>
      </c>
      <c r="D285" s="139"/>
      <c r="E285" s="83"/>
      <c r="F285" s="83"/>
      <c r="G285" s="42"/>
      <c r="H285" s="42"/>
      <c r="I285" s="132"/>
      <c r="J285" s="83"/>
      <c r="K285" s="42"/>
      <c r="L285" s="140"/>
      <c r="M285" s="60"/>
      <c r="N285" s="49"/>
      <c r="O285" s="49"/>
      <c r="P285" s="60"/>
      <c r="Q285" s="49"/>
      <c r="R285" s="60"/>
      <c r="S285" s="60"/>
      <c r="T285" s="60"/>
      <c r="U285" s="55"/>
      <c r="V285" s="60"/>
      <c r="W285" s="60"/>
      <c r="X285" s="60"/>
      <c r="Y285" s="60"/>
      <c r="Z285" s="60"/>
      <c r="AA285" s="60"/>
      <c r="AB285" s="60"/>
      <c r="AC285" s="60"/>
      <c r="AD285" s="60"/>
    </row>
    <row r="286">
      <c r="A286" s="33" t="s">
        <v>1128</v>
      </c>
      <c r="B286" s="139"/>
      <c r="C286" s="42" t="str">
        <f>IF(B286="","",(VLOOKUP(B286,'Dados de PN'!$A:$B,2,0)))</f>
        <v/>
      </c>
      <c r="D286" s="139"/>
      <c r="E286" s="83"/>
      <c r="F286" s="83"/>
      <c r="G286" s="42"/>
      <c r="H286" s="42"/>
      <c r="I286" s="132"/>
      <c r="J286" s="83"/>
      <c r="K286" s="42"/>
      <c r="L286" s="140"/>
      <c r="M286" s="60"/>
      <c r="N286" s="49"/>
      <c r="O286" s="49"/>
      <c r="P286" s="60"/>
      <c r="Q286" s="49"/>
      <c r="R286" s="60"/>
      <c r="S286" s="60"/>
      <c r="T286" s="60"/>
      <c r="U286" s="55"/>
      <c r="V286" s="60"/>
      <c r="W286" s="60"/>
      <c r="X286" s="60"/>
      <c r="Y286" s="60"/>
      <c r="Z286" s="60"/>
      <c r="AA286" s="60"/>
      <c r="AB286" s="60"/>
      <c r="AC286" s="60"/>
      <c r="AD286" s="60"/>
    </row>
    <row r="287">
      <c r="A287" s="33" t="s">
        <v>1129</v>
      </c>
      <c r="B287" s="139"/>
      <c r="C287" s="42" t="str">
        <f>IF(B287="","",(VLOOKUP(B287,'Dados de PN'!$A:$B,2,0)))</f>
        <v/>
      </c>
      <c r="D287" s="139"/>
      <c r="E287" s="83"/>
      <c r="F287" s="83"/>
      <c r="G287" s="42"/>
      <c r="H287" s="42"/>
      <c r="I287" s="132"/>
      <c r="J287" s="83"/>
      <c r="K287" s="42"/>
      <c r="L287" s="140"/>
      <c r="M287" s="60"/>
      <c r="N287" s="49"/>
      <c r="O287" s="49"/>
      <c r="P287" s="60"/>
      <c r="Q287" s="49"/>
      <c r="R287" s="60"/>
      <c r="S287" s="60"/>
      <c r="T287" s="60"/>
      <c r="U287" s="55"/>
      <c r="V287" s="60"/>
      <c r="W287" s="60"/>
      <c r="X287" s="60"/>
      <c r="Y287" s="60"/>
      <c r="Z287" s="60"/>
      <c r="AA287" s="60"/>
      <c r="AB287" s="60"/>
      <c r="AC287" s="60"/>
      <c r="AD287" s="60"/>
    </row>
    <row r="288">
      <c r="A288" s="33" t="s">
        <v>1130</v>
      </c>
      <c r="B288" s="139"/>
      <c r="C288" s="42" t="str">
        <f>IF(B288="","",(VLOOKUP(B288,'Dados de PN'!$A:$B,2,0)))</f>
        <v/>
      </c>
      <c r="D288" s="139"/>
      <c r="E288" s="83"/>
      <c r="F288" s="83"/>
      <c r="G288" s="42"/>
      <c r="H288" s="42"/>
      <c r="I288" s="132"/>
      <c r="J288" s="83"/>
      <c r="K288" s="42"/>
      <c r="L288" s="140"/>
      <c r="M288" s="60"/>
      <c r="N288" s="49"/>
      <c r="O288" s="49"/>
      <c r="P288" s="60"/>
      <c r="Q288" s="49"/>
      <c r="R288" s="60"/>
      <c r="S288" s="60"/>
      <c r="T288" s="60"/>
      <c r="U288" s="55"/>
      <c r="V288" s="60"/>
      <c r="W288" s="60"/>
      <c r="X288" s="60"/>
      <c r="Y288" s="60"/>
      <c r="Z288" s="60"/>
      <c r="AA288" s="60"/>
      <c r="AB288" s="60"/>
      <c r="AC288" s="60"/>
      <c r="AD288" s="60"/>
    </row>
    <row r="289">
      <c r="A289" s="33" t="s">
        <v>1131</v>
      </c>
      <c r="B289" s="139"/>
      <c r="C289" s="42" t="str">
        <f>IF(B289="","",(VLOOKUP(B289,'Dados de PN'!$A:$B,2,0)))</f>
        <v/>
      </c>
      <c r="D289" s="139"/>
      <c r="E289" s="83"/>
      <c r="F289" s="83"/>
      <c r="G289" s="42"/>
      <c r="H289" s="42"/>
      <c r="I289" s="132"/>
      <c r="J289" s="83"/>
      <c r="K289" s="42"/>
      <c r="L289" s="140"/>
      <c r="M289" s="60"/>
      <c r="N289" s="49"/>
      <c r="O289" s="49"/>
      <c r="P289" s="60"/>
      <c r="Q289" s="49"/>
      <c r="R289" s="60"/>
      <c r="S289" s="60"/>
      <c r="T289" s="60"/>
      <c r="U289" s="55"/>
      <c r="V289" s="60"/>
      <c r="W289" s="60"/>
      <c r="X289" s="60"/>
      <c r="Y289" s="60"/>
      <c r="Z289" s="60"/>
      <c r="AA289" s="60"/>
      <c r="AB289" s="60"/>
      <c r="AC289" s="60"/>
      <c r="AD289" s="60"/>
    </row>
    <row r="290">
      <c r="A290" s="33" t="s">
        <v>1132</v>
      </c>
      <c r="B290" s="139"/>
      <c r="C290" s="42" t="str">
        <f>IF(B290="","",(VLOOKUP(B290,'Dados de PN'!$A:$B,2,0)))</f>
        <v/>
      </c>
      <c r="D290" s="139"/>
      <c r="E290" s="83"/>
      <c r="F290" s="83"/>
      <c r="G290" s="42"/>
      <c r="H290" s="42"/>
      <c r="I290" s="132"/>
      <c r="J290" s="83"/>
      <c r="K290" s="42"/>
      <c r="L290" s="140"/>
      <c r="M290" s="60"/>
      <c r="N290" s="49"/>
      <c r="O290" s="49"/>
      <c r="P290" s="60"/>
      <c r="Q290" s="49"/>
      <c r="R290" s="60"/>
      <c r="S290" s="60"/>
      <c r="T290" s="60"/>
      <c r="U290" s="55"/>
      <c r="V290" s="60"/>
      <c r="W290" s="60"/>
      <c r="X290" s="60"/>
      <c r="Y290" s="60"/>
      <c r="Z290" s="60"/>
      <c r="AA290" s="60"/>
      <c r="AB290" s="60"/>
      <c r="AC290" s="60"/>
      <c r="AD290" s="60"/>
    </row>
    <row r="291">
      <c r="A291" s="33" t="s">
        <v>1133</v>
      </c>
      <c r="B291" s="139"/>
      <c r="C291" s="42" t="str">
        <f>IF(B291="","",(VLOOKUP(B291,'Dados de PN'!$A:$B,2,0)))</f>
        <v/>
      </c>
      <c r="D291" s="139"/>
      <c r="E291" s="83"/>
      <c r="F291" s="83"/>
      <c r="G291" s="42"/>
      <c r="H291" s="42"/>
      <c r="I291" s="132"/>
      <c r="J291" s="83"/>
      <c r="K291" s="42"/>
      <c r="L291" s="140"/>
      <c r="M291" s="60"/>
      <c r="N291" s="49"/>
      <c r="O291" s="49"/>
      <c r="P291" s="60"/>
      <c r="Q291" s="49"/>
      <c r="R291" s="60"/>
      <c r="S291" s="60"/>
      <c r="T291" s="60"/>
      <c r="U291" s="55"/>
      <c r="V291" s="60"/>
      <c r="W291" s="60"/>
      <c r="X291" s="60"/>
      <c r="Y291" s="60"/>
      <c r="Z291" s="60"/>
      <c r="AA291" s="60"/>
      <c r="AB291" s="60"/>
      <c r="AC291" s="60"/>
      <c r="AD291" s="60"/>
    </row>
    <row r="292">
      <c r="A292" s="33" t="s">
        <v>1134</v>
      </c>
      <c r="B292" s="139"/>
      <c r="C292" s="42" t="str">
        <f>IF(B292="","",(VLOOKUP(B292,'Dados de PN'!$A:$B,2,0)))</f>
        <v/>
      </c>
      <c r="D292" s="139"/>
      <c r="E292" s="83"/>
      <c r="F292" s="83"/>
      <c r="G292" s="42"/>
      <c r="H292" s="42"/>
      <c r="I292" s="132"/>
      <c r="J292" s="83"/>
      <c r="K292" s="42"/>
      <c r="L292" s="140"/>
      <c r="M292" s="60"/>
      <c r="N292" s="49"/>
      <c r="O292" s="49"/>
      <c r="P292" s="60"/>
      <c r="Q292" s="49"/>
      <c r="R292" s="60"/>
      <c r="S292" s="60"/>
      <c r="T292" s="60"/>
      <c r="U292" s="55"/>
      <c r="V292" s="60"/>
      <c r="W292" s="60"/>
      <c r="X292" s="60"/>
      <c r="Y292" s="60"/>
      <c r="Z292" s="60"/>
      <c r="AA292" s="60"/>
      <c r="AB292" s="60"/>
      <c r="AC292" s="60"/>
      <c r="AD292" s="60"/>
    </row>
    <row r="293">
      <c r="A293" s="33" t="s">
        <v>1135</v>
      </c>
      <c r="B293" s="139"/>
      <c r="C293" s="42" t="str">
        <f>IF(B293="","",(VLOOKUP(B293,'Dados de PN'!$A:$B,2,0)))</f>
        <v/>
      </c>
      <c r="D293" s="139"/>
      <c r="E293" s="83"/>
      <c r="F293" s="83"/>
      <c r="G293" s="42"/>
      <c r="H293" s="42"/>
      <c r="I293" s="132"/>
      <c r="J293" s="83"/>
      <c r="K293" s="42"/>
      <c r="L293" s="140"/>
      <c r="M293" s="60"/>
      <c r="N293" s="49"/>
      <c r="O293" s="49"/>
      <c r="P293" s="60"/>
      <c r="Q293" s="49"/>
      <c r="R293" s="60"/>
      <c r="S293" s="60"/>
      <c r="T293" s="60"/>
      <c r="U293" s="55"/>
      <c r="V293" s="60"/>
      <c r="W293" s="60"/>
      <c r="X293" s="60"/>
      <c r="Y293" s="60"/>
      <c r="Z293" s="60"/>
      <c r="AA293" s="60"/>
      <c r="AB293" s="60"/>
      <c r="AC293" s="60"/>
      <c r="AD293" s="60"/>
    </row>
    <row r="294">
      <c r="A294" s="33" t="s">
        <v>1136</v>
      </c>
      <c r="B294" s="139"/>
      <c r="C294" s="42" t="str">
        <f>IF(B294="","",(VLOOKUP(B294,'Dados de PN'!$A:$B,2,0)))</f>
        <v/>
      </c>
      <c r="D294" s="139"/>
      <c r="E294" s="60"/>
      <c r="F294" s="60"/>
      <c r="G294" s="78"/>
      <c r="H294" s="78"/>
      <c r="I294" s="49"/>
      <c r="J294" s="60"/>
      <c r="K294" s="46"/>
      <c r="L294" s="140"/>
      <c r="M294" s="60"/>
      <c r="N294" s="49"/>
      <c r="O294" s="49"/>
      <c r="P294" s="60"/>
      <c r="Q294" s="49"/>
      <c r="R294" s="60"/>
      <c r="S294" s="60"/>
      <c r="T294" s="60"/>
      <c r="U294" s="55"/>
      <c r="V294" s="60"/>
      <c r="W294" s="60"/>
      <c r="X294" s="60"/>
      <c r="Y294" s="60"/>
      <c r="Z294" s="60"/>
      <c r="AA294" s="60"/>
      <c r="AB294" s="60"/>
      <c r="AC294" s="60"/>
      <c r="AD294" s="60"/>
    </row>
    <row r="295">
      <c r="A295" s="33" t="s">
        <v>1137</v>
      </c>
      <c r="B295" s="139"/>
      <c r="C295" s="42" t="str">
        <f>IF(B295="","",(VLOOKUP(B295,'Dados de PN'!$A:$B,2,0)))</f>
        <v/>
      </c>
      <c r="D295" s="139"/>
      <c r="E295" s="60"/>
      <c r="F295" s="60"/>
      <c r="G295" s="78"/>
      <c r="H295" s="78"/>
      <c r="I295" s="49"/>
      <c r="J295" s="60"/>
      <c r="K295" s="46"/>
      <c r="L295" s="140"/>
      <c r="M295" s="60"/>
      <c r="N295" s="49"/>
      <c r="O295" s="49"/>
      <c r="P295" s="60"/>
      <c r="Q295" s="49"/>
      <c r="R295" s="60"/>
      <c r="S295" s="60"/>
      <c r="T295" s="60"/>
      <c r="U295" s="55"/>
      <c r="V295" s="60"/>
      <c r="W295" s="60"/>
      <c r="X295" s="60"/>
      <c r="Y295" s="60"/>
      <c r="Z295" s="60"/>
      <c r="AA295" s="60"/>
      <c r="AB295" s="60"/>
      <c r="AC295" s="60"/>
      <c r="AD295" s="60"/>
    </row>
    <row r="296">
      <c r="A296" s="33" t="s">
        <v>1138</v>
      </c>
      <c r="B296" s="139"/>
      <c r="C296" s="42" t="str">
        <f>IF(B296="","",(VLOOKUP(B296,'Dados de PN'!$A:$B,2,0)))</f>
        <v/>
      </c>
      <c r="D296" s="139"/>
      <c r="E296" s="60"/>
      <c r="F296" s="60"/>
      <c r="G296" s="78"/>
      <c r="H296" s="78"/>
      <c r="I296" s="49"/>
      <c r="J296" s="60"/>
      <c r="K296" s="46"/>
      <c r="L296" s="140"/>
      <c r="M296" s="60"/>
      <c r="N296" s="49"/>
      <c r="O296" s="49"/>
      <c r="P296" s="60"/>
      <c r="Q296" s="49"/>
      <c r="R296" s="60"/>
      <c r="S296" s="60"/>
      <c r="T296" s="60"/>
      <c r="U296" s="55"/>
      <c r="V296" s="60"/>
      <c r="W296" s="60"/>
      <c r="X296" s="60"/>
      <c r="Y296" s="60"/>
      <c r="Z296" s="60"/>
      <c r="AA296" s="60"/>
      <c r="AB296" s="60"/>
      <c r="AC296" s="60"/>
      <c r="AD296" s="60"/>
    </row>
    <row r="297">
      <c r="A297" s="33" t="s">
        <v>1139</v>
      </c>
      <c r="B297" s="139"/>
      <c r="C297" s="42" t="str">
        <f>IF(B297="","",(VLOOKUP(B297,'Dados de PN'!$A:$B,2,0)))</f>
        <v/>
      </c>
      <c r="D297" s="139"/>
      <c r="E297" s="60"/>
      <c r="F297" s="60"/>
      <c r="G297" s="78"/>
      <c r="H297" s="78"/>
      <c r="I297" s="49"/>
      <c r="J297" s="60"/>
      <c r="K297" s="46"/>
      <c r="L297" s="140"/>
      <c r="M297" s="60"/>
      <c r="N297" s="49"/>
      <c r="O297" s="49"/>
      <c r="P297" s="60"/>
      <c r="Q297" s="49"/>
      <c r="R297" s="60"/>
      <c r="S297" s="60"/>
      <c r="T297" s="60"/>
      <c r="U297" s="55"/>
      <c r="V297" s="60"/>
      <c r="W297" s="60"/>
      <c r="X297" s="60"/>
      <c r="Y297" s="60"/>
      <c r="Z297" s="60"/>
      <c r="AA297" s="60"/>
      <c r="AB297" s="60"/>
      <c r="AC297" s="60"/>
      <c r="AD297" s="60"/>
    </row>
    <row r="298">
      <c r="A298" s="33" t="s">
        <v>1140</v>
      </c>
      <c r="B298" s="139"/>
      <c r="C298" s="42" t="str">
        <f>IF(B298="","",(VLOOKUP(B298,'Dados de PN'!$A:$B,2,0)))</f>
        <v/>
      </c>
      <c r="D298" s="139"/>
      <c r="E298" s="60"/>
      <c r="F298" s="60"/>
      <c r="G298" s="78"/>
      <c r="H298" s="78"/>
      <c r="I298" s="49"/>
      <c r="J298" s="60"/>
      <c r="K298" s="46"/>
      <c r="L298" s="140"/>
      <c r="M298" s="60"/>
      <c r="N298" s="49"/>
      <c r="O298" s="49"/>
      <c r="P298" s="60"/>
      <c r="Q298" s="49"/>
      <c r="R298" s="60"/>
      <c r="S298" s="60"/>
      <c r="T298" s="60"/>
      <c r="U298" s="55"/>
      <c r="V298" s="60"/>
      <c r="W298" s="60"/>
      <c r="X298" s="60"/>
      <c r="Y298" s="60"/>
      <c r="Z298" s="60"/>
      <c r="AA298" s="60"/>
      <c r="AB298" s="60"/>
      <c r="AC298" s="60"/>
      <c r="AD298" s="60"/>
    </row>
    <row r="299">
      <c r="A299" s="33" t="s">
        <v>1141</v>
      </c>
      <c r="B299" s="139"/>
      <c r="C299" s="42" t="str">
        <f>IF(B299="","",(VLOOKUP(B299,'Dados de PN'!$A:$B,2,0)))</f>
        <v/>
      </c>
      <c r="D299" s="139"/>
      <c r="E299" s="60"/>
      <c r="F299" s="60"/>
      <c r="G299" s="78"/>
      <c r="H299" s="78"/>
      <c r="I299" s="49"/>
      <c r="J299" s="60"/>
      <c r="K299" s="46"/>
      <c r="L299" s="140"/>
      <c r="M299" s="60"/>
      <c r="N299" s="49"/>
      <c r="O299" s="49"/>
      <c r="P299" s="60"/>
      <c r="Q299" s="49"/>
      <c r="R299" s="60"/>
      <c r="S299" s="60"/>
      <c r="T299" s="60"/>
      <c r="U299" s="55"/>
      <c r="V299" s="60"/>
      <c r="W299" s="60"/>
      <c r="X299" s="60"/>
      <c r="Y299" s="60"/>
      <c r="Z299" s="60"/>
      <c r="AA299" s="60"/>
      <c r="AB299" s="60"/>
      <c r="AC299" s="60"/>
      <c r="AD299" s="60"/>
    </row>
    <row r="300">
      <c r="A300" s="74"/>
      <c r="B300" s="74"/>
      <c r="D300" s="195"/>
      <c r="G300" s="196"/>
      <c r="H300" s="196"/>
      <c r="I300" s="197"/>
      <c r="L300" s="74"/>
      <c r="N300" s="197"/>
      <c r="O300" s="197"/>
      <c r="Q300" s="197"/>
      <c r="U300" s="198"/>
    </row>
    <row r="301">
      <c r="A301" s="74"/>
      <c r="B301" s="74"/>
      <c r="D301" s="195"/>
      <c r="G301" s="196"/>
      <c r="H301" s="196"/>
      <c r="I301" s="197"/>
      <c r="L301" s="74"/>
      <c r="N301" s="197"/>
      <c r="O301" s="197"/>
      <c r="Q301" s="197"/>
      <c r="U301" s="198"/>
    </row>
    <row r="302">
      <c r="A302" s="74"/>
      <c r="B302" s="74"/>
      <c r="D302" s="195"/>
      <c r="G302" s="196"/>
      <c r="H302" s="196"/>
      <c r="I302" s="197"/>
      <c r="L302" s="74"/>
      <c r="N302" s="197"/>
      <c r="O302" s="197"/>
      <c r="Q302" s="197"/>
      <c r="U302" s="198"/>
    </row>
    <row r="303">
      <c r="A303" s="74"/>
      <c r="B303" s="151"/>
      <c r="D303" s="195"/>
      <c r="G303" s="120"/>
      <c r="H303" s="120"/>
      <c r="I303" s="197"/>
      <c r="L303" s="74"/>
      <c r="N303" s="197"/>
      <c r="O303" s="197"/>
      <c r="Q303" s="197"/>
      <c r="U303" s="198"/>
    </row>
    <row r="304">
      <c r="A304" s="74"/>
      <c r="B304" s="151"/>
      <c r="D304" s="195"/>
      <c r="G304" s="120"/>
      <c r="H304" s="120"/>
      <c r="I304" s="197"/>
      <c r="L304" s="74"/>
      <c r="N304" s="197"/>
      <c r="O304" s="197"/>
      <c r="Q304" s="197"/>
      <c r="U304" s="198"/>
    </row>
    <row r="305">
      <c r="B305" s="74"/>
      <c r="D305" s="199"/>
      <c r="G305" s="120"/>
      <c r="H305" s="120"/>
      <c r="I305" s="197"/>
      <c r="L305" s="74"/>
      <c r="N305" s="197"/>
      <c r="O305" s="197"/>
      <c r="Q305" s="197"/>
      <c r="U305" s="198"/>
    </row>
    <row r="306">
      <c r="A306" s="74"/>
      <c r="B306" s="74"/>
      <c r="G306" s="120"/>
      <c r="H306" s="120"/>
      <c r="I306" s="197"/>
      <c r="L306" s="74"/>
      <c r="N306" s="197"/>
      <c r="O306" s="197"/>
      <c r="Q306" s="197"/>
      <c r="U306" s="198"/>
    </row>
    <row r="307">
      <c r="A307" s="74"/>
      <c r="B307" s="74"/>
      <c r="D307" s="74"/>
      <c r="G307" s="196"/>
      <c r="H307" s="196"/>
      <c r="I307" s="197"/>
      <c r="L307" s="74"/>
      <c r="N307" s="197"/>
      <c r="O307" s="197"/>
      <c r="Q307" s="197"/>
      <c r="U307" s="198"/>
    </row>
    <row r="308">
      <c r="A308" s="74"/>
      <c r="B308" s="74"/>
      <c r="D308" s="74"/>
      <c r="G308" s="196"/>
      <c r="H308" s="196"/>
      <c r="I308" s="197"/>
      <c r="L308" s="74"/>
      <c r="N308" s="197"/>
      <c r="O308" s="197"/>
      <c r="Q308" s="197"/>
      <c r="U308" s="198"/>
    </row>
    <row r="309">
      <c r="A309" s="74"/>
      <c r="B309" s="74"/>
      <c r="D309" s="74"/>
      <c r="G309" s="196"/>
      <c r="H309" s="196"/>
      <c r="I309" s="197"/>
      <c r="L309" s="74"/>
      <c r="N309" s="197"/>
      <c r="O309" s="197"/>
      <c r="Q309" s="197"/>
      <c r="U309" s="198"/>
    </row>
    <row r="310">
      <c r="A310" s="74"/>
      <c r="B310" s="74"/>
      <c r="D310" s="74"/>
      <c r="G310" s="196"/>
      <c r="H310" s="196"/>
      <c r="I310" s="197"/>
      <c r="L310" s="74"/>
      <c r="N310" s="197"/>
      <c r="O310" s="197"/>
      <c r="Q310" s="197"/>
      <c r="U310" s="198"/>
    </row>
    <row r="311">
      <c r="A311" s="74"/>
      <c r="B311" s="74"/>
      <c r="D311" s="74"/>
      <c r="G311" s="196"/>
      <c r="H311" s="196"/>
      <c r="I311" s="197"/>
      <c r="L311" s="74"/>
      <c r="N311" s="197"/>
      <c r="O311" s="197"/>
      <c r="Q311" s="197"/>
      <c r="U311" s="198"/>
    </row>
    <row r="312">
      <c r="A312" s="74"/>
      <c r="B312" s="74"/>
      <c r="D312" s="74"/>
      <c r="G312" s="196"/>
      <c r="H312" s="196"/>
      <c r="I312" s="197"/>
      <c r="L312" s="74"/>
      <c r="N312" s="197"/>
      <c r="O312" s="197"/>
      <c r="Q312" s="197"/>
      <c r="U312" s="198"/>
    </row>
    <row r="313">
      <c r="A313" s="74"/>
      <c r="B313" s="74"/>
      <c r="D313" s="74"/>
      <c r="G313" s="196"/>
      <c r="H313" s="196"/>
      <c r="I313" s="197"/>
      <c r="L313" s="74"/>
      <c r="N313" s="197"/>
      <c r="O313" s="197"/>
      <c r="Q313" s="197"/>
      <c r="U313" s="198"/>
    </row>
    <row r="314">
      <c r="A314" s="74"/>
      <c r="B314" s="74"/>
      <c r="D314" s="74"/>
      <c r="G314" s="196"/>
      <c r="H314" s="196"/>
      <c r="I314" s="197"/>
      <c r="L314" s="74"/>
      <c r="N314" s="197"/>
      <c r="O314" s="197"/>
      <c r="Q314" s="197"/>
      <c r="U314" s="198"/>
    </row>
    <row r="315">
      <c r="A315" s="74"/>
      <c r="B315" s="74"/>
      <c r="D315" s="74"/>
      <c r="G315" s="196"/>
      <c r="H315" s="196"/>
      <c r="I315" s="197"/>
      <c r="L315" s="74"/>
      <c r="N315" s="197"/>
      <c r="O315" s="197"/>
      <c r="Q315" s="197"/>
      <c r="U315" s="198"/>
    </row>
    <row r="316">
      <c r="A316" s="74"/>
      <c r="B316" s="74"/>
      <c r="D316" s="74"/>
      <c r="G316" s="196"/>
      <c r="H316" s="196"/>
      <c r="I316" s="197"/>
      <c r="L316" s="74"/>
      <c r="N316" s="197"/>
      <c r="O316" s="197"/>
      <c r="Q316" s="197"/>
      <c r="U316" s="198"/>
    </row>
    <row r="317">
      <c r="A317" s="74"/>
      <c r="B317" s="74"/>
      <c r="D317" s="74"/>
      <c r="G317" s="196"/>
      <c r="H317" s="196"/>
      <c r="I317" s="197"/>
      <c r="L317" s="74"/>
      <c r="N317" s="197"/>
      <c r="O317" s="197"/>
      <c r="Q317" s="197"/>
      <c r="U317" s="198"/>
    </row>
    <row r="318">
      <c r="A318" s="74"/>
      <c r="B318" s="74"/>
      <c r="D318" s="74"/>
      <c r="G318" s="196"/>
      <c r="H318" s="196"/>
      <c r="I318" s="197"/>
      <c r="L318" s="74"/>
      <c r="N318" s="197"/>
      <c r="O318" s="197"/>
      <c r="Q318" s="197"/>
      <c r="U318" s="198"/>
    </row>
    <row r="319">
      <c r="A319" s="74"/>
      <c r="B319" s="74"/>
      <c r="D319" s="74"/>
      <c r="G319" s="196"/>
      <c r="H319" s="196"/>
      <c r="I319" s="197"/>
      <c r="L319" s="74"/>
      <c r="N319" s="197"/>
      <c r="O319" s="197"/>
      <c r="Q319" s="197"/>
      <c r="U319" s="198"/>
    </row>
    <row r="320">
      <c r="A320" s="74"/>
      <c r="B320" s="74"/>
      <c r="D320" s="74"/>
      <c r="G320" s="196"/>
      <c r="H320" s="196"/>
      <c r="I320" s="197"/>
      <c r="L320" s="74"/>
      <c r="N320" s="197"/>
      <c r="O320" s="197"/>
      <c r="Q320" s="197"/>
      <c r="U320" s="198"/>
    </row>
    <row r="321">
      <c r="A321" s="74"/>
      <c r="B321" s="74"/>
      <c r="D321" s="74"/>
      <c r="G321" s="196"/>
      <c r="H321" s="196"/>
      <c r="I321" s="197"/>
      <c r="L321" s="74"/>
      <c r="N321" s="197"/>
      <c r="O321" s="197"/>
      <c r="Q321" s="197"/>
      <c r="U321" s="198"/>
    </row>
    <row r="322">
      <c r="A322" s="74"/>
      <c r="B322" s="74"/>
      <c r="D322" s="74"/>
      <c r="G322" s="196"/>
      <c r="H322" s="196"/>
      <c r="I322" s="197"/>
      <c r="L322" s="74"/>
      <c r="N322" s="197"/>
      <c r="O322" s="197"/>
      <c r="Q322" s="197"/>
      <c r="U322" s="198"/>
    </row>
    <row r="323">
      <c r="A323" s="74"/>
      <c r="B323" s="74"/>
      <c r="D323" s="74"/>
      <c r="G323" s="196"/>
      <c r="H323" s="196"/>
      <c r="I323" s="197"/>
      <c r="L323" s="74"/>
      <c r="N323" s="197"/>
      <c r="O323" s="197"/>
      <c r="Q323" s="197"/>
      <c r="U323" s="198"/>
    </row>
    <row r="324">
      <c r="A324" s="74"/>
      <c r="B324" s="74"/>
      <c r="D324" s="74"/>
      <c r="G324" s="196"/>
      <c r="H324" s="196"/>
      <c r="I324" s="197"/>
      <c r="L324" s="74"/>
      <c r="N324" s="197"/>
      <c r="O324" s="197"/>
      <c r="Q324" s="197"/>
      <c r="U324" s="198"/>
    </row>
    <row r="325">
      <c r="A325" s="74"/>
      <c r="B325" s="74"/>
      <c r="D325" s="74"/>
      <c r="G325" s="196"/>
      <c r="H325" s="196"/>
      <c r="I325" s="197"/>
      <c r="L325" s="74"/>
      <c r="N325" s="197"/>
      <c r="O325" s="197"/>
      <c r="Q325" s="197"/>
      <c r="U325" s="198"/>
    </row>
    <row r="326">
      <c r="A326" s="74"/>
      <c r="B326" s="74"/>
      <c r="D326" s="74"/>
      <c r="G326" s="196"/>
      <c r="H326" s="196"/>
      <c r="I326" s="197"/>
      <c r="L326" s="74"/>
      <c r="N326" s="197"/>
      <c r="O326" s="197"/>
      <c r="Q326" s="197"/>
      <c r="U326" s="198"/>
    </row>
    <row r="327">
      <c r="A327" s="74"/>
      <c r="B327" s="74"/>
      <c r="D327" s="74"/>
      <c r="G327" s="196"/>
      <c r="H327" s="196"/>
      <c r="I327" s="197"/>
      <c r="L327" s="74"/>
      <c r="N327" s="197"/>
      <c r="O327" s="197"/>
      <c r="Q327" s="197"/>
      <c r="U327" s="198"/>
    </row>
    <row r="328">
      <c r="A328" s="74"/>
      <c r="B328" s="74"/>
      <c r="D328" s="74"/>
      <c r="G328" s="196"/>
      <c r="H328" s="196"/>
      <c r="I328" s="197"/>
      <c r="L328" s="74"/>
      <c r="N328" s="197"/>
      <c r="O328" s="197"/>
      <c r="Q328" s="197"/>
      <c r="U328" s="198"/>
    </row>
    <row r="329">
      <c r="A329" s="74"/>
      <c r="B329" s="74"/>
      <c r="D329" s="74"/>
      <c r="G329" s="196"/>
      <c r="H329" s="196"/>
      <c r="I329" s="197"/>
      <c r="L329" s="74"/>
      <c r="N329" s="197"/>
      <c r="O329" s="197"/>
      <c r="Q329" s="197"/>
      <c r="U329" s="198"/>
    </row>
    <row r="330">
      <c r="A330" s="74"/>
      <c r="B330" s="74"/>
      <c r="D330" s="74"/>
      <c r="G330" s="196"/>
      <c r="H330" s="196"/>
      <c r="I330" s="197"/>
      <c r="L330" s="74"/>
      <c r="N330" s="197"/>
      <c r="O330" s="197"/>
      <c r="Q330" s="197"/>
      <c r="U330" s="198"/>
    </row>
    <row r="331">
      <c r="A331" s="74"/>
      <c r="B331" s="74"/>
      <c r="D331" s="74"/>
      <c r="G331" s="196"/>
      <c r="H331" s="196"/>
      <c r="I331" s="197"/>
      <c r="L331" s="74"/>
      <c r="N331" s="197"/>
      <c r="O331" s="197"/>
      <c r="Q331" s="197"/>
      <c r="U331" s="198"/>
    </row>
    <row r="332">
      <c r="A332" s="74"/>
      <c r="B332" s="74"/>
      <c r="D332" s="74"/>
      <c r="G332" s="196"/>
      <c r="H332" s="196"/>
      <c r="I332" s="197"/>
      <c r="L332" s="74"/>
      <c r="N332" s="197"/>
      <c r="O332" s="197"/>
      <c r="Q332" s="197"/>
      <c r="U332" s="198"/>
    </row>
    <row r="333">
      <c r="A333" s="74"/>
      <c r="B333" s="74"/>
      <c r="D333" s="74"/>
      <c r="G333" s="196"/>
      <c r="H333" s="196"/>
      <c r="I333" s="197"/>
      <c r="L333" s="74"/>
      <c r="N333" s="197"/>
      <c r="O333" s="197"/>
      <c r="Q333" s="197"/>
      <c r="U333" s="198"/>
    </row>
    <row r="334">
      <c r="A334" s="74"/>
      <c r="B334" s="74"/>
      <c r="D334" s="74"/>
      <c r="G334" s="196"/>
      <c r="H334" s="196"/>
      <c r="I334" s="197"/>
      <c r="L334" s="74"/>
      <c r="N334" s="197"/>
      <c r="O334" s="197"/>
      <c r="Q334" s="197"/>
      <c r="U334" s="198"/>
    </row>
    <row r="335">
      <c r="A335" s="74"/>
      <c r="B335" s="74"/>
      <c r="D335" s="74"/>
      <c r="G335" s="196"/>
      <c r="H335" s="196"/>
      <c r="I335" s="197"/>
      <c r="L335" s="74"/>
      <c r="N335" s="197"/>
      <c r="O335" s="197"/>
      <c r="Q335" s="197"/>
      <c r="U335" s="198"/>
    </row>
    <row r="336">
      <c r="A336" s="74"/>
      <c r="B336" s="74"/>
      <c r="D336" s="74"/>
      <c r="G336" s="196"/>
      <c r="H336" s="196"/>
      <c r="I336" s="197"/>
      <c r="L336" s="74"/>
      <c r="N336" s="197"/>
      <c r="O336" s="197"/>
      <c r="Q336" s="197"/>
      <c r="U336" s="198"/>
    </row>
    <row r="337">
      <c r="A337" s="74"/>
      <c r="B337" s="74"/>
      <c r="D337" s="74"/>
      <c r="G337" s="196"/>
      <c r="H337" s="196"/>
      <c r="I337" s="197"/>
      <c r="L337" s="74"/>
      <c r="N337" s="197"/>
      <c r="O337" s="197"/>
      <c r="Q337" s="197"/>
      <c r="U337" s="198"/>
    </row>
    <row r="338">
      <c r="A338" s="74"/>
      <c r="B338" s="74"/>
      <c r="D338" s="74"/>
      <c r="G338" s="196"/>
      <c r="H338" s="196"/>
      <c r="I338" s="197"/>
      <c r="L338" s="74"/>
      <c r="N338" s="197"/>
      <c r="O338" s="197"/>
      <c r="Q338" s="197"/>
      <c r="U338" s="198"/>
    </row>
    <row r="339">
      <c r="A339" s="74"/>
      <c r="B339" s="74"/>
      <c r="D339" s="74"/>
      <c r="G339" s="196"/>
      <c r="H339" s="196"/>
      <c r="I339" s="197"/>
      <c r="L339" s="74"/>
      <c r="N339" s="197"/>
      <c r="O339" s="197"/>
      <c r="Q339" s="197"/>
      <c r="U339" s="198"/>
    </row>
    <row r="340">
      <c r="A340" s="74"/>
      <c r="B340" s="74"/>
      <c r="D340" s="74"/>
      <c r="G340" s="196"/>
      <c r="H340" s="196"/>
      <c r="I340" s="197"/>
      <c r="L340" s="74"/>
      <c r="N340" s="197"/>
      <c r="O340" s="197"/>
      <c r="Q340" s="197"/>
      <c r="U340" s="198"/>
    </row>
    <row r="341">
      <c r="A341" s="74"/>
      <c r="B341" s="74"/>
      <c r="D341" s="74"/>
      <c r="G341" s="196"/>
      <c r="H341" s="196"/>
      <c r="I341" s="197"/>
      <c r="L341" s="74"/>
      <c r="N341" s="197"/>
      <c r="O341" s="197"/>
      <c r="Q341" s="197"/>
      <c r="U341" s="198"/>
    </row>
    <row r="342">
      <c r="A342" s="74"/>
      <c r="B342" s="74"/>
      <c r="D342" s="74"/>
      <c r="G342" s="196"/>
      <c r="H342" s="196"/>
      <c r="I342" s="197"/>
      <c r="L342" s="74"/>
      <c r="N342" s="197"/>
      <c r="O342" s="197"/>
      <c r="Q342" s="197"/>
      <c r="U342" s="198"/>
    </row>
    <row r="343">
      <c r="A343" s="74"/>
      <c r="B343" s="74"/>
      <c r="D343" s="74"/>
      <c r="G343" s="196"/>
      <c r="H343" s="196"/>
      <c r="I343" s="197"/>
      <c r="L343" s="74"/>
      <c r="N343" s="197"/>
      <c r="O343" s="197"/>
      <c r="Q343" s="197"/>
      <c r="U343" s="198"/>
    </row>
    <row r="344">
      <c r="A344" s="74"/>
      <c r="B344" s="74"/>
      <c r="D344" s="74"/>
      <c r="G344" s="196"/>
      <c r="H344" s="196"/>
      <c r="I344" s="197"/>
      <c r="L344" s="74"/>
      <c r="N344" s="197"/>
      <c r="O344" s="197"/>
      <c r="Q344" s="197"/>
      <c r="U344" s="198"/>
    </row>
    <row r="345">
      <c r="A345" s="74"/>
      <c r="B345" s="74"/>
      <c r="D345" s="74"/>
      <c r="G345" s="196"/>
      <c r="H345" s="196"/>
      <c r="I345" s="197"/>
      <c r="L345" s="74"/>
      <c r="N345" s="197"/>
      <c r="O345" s="197"/>
      <c r="Q345" s="197"/>
      <c r="U345" s="198"/>
    </row>
    <row r="346">
      <c r="A346" s="74"/>
      <c r="B346" s="74"/>
      <c r="D346" s="74"/>
      <c r="G346" s="196"/>
      <c r="H346" s="196"/>
      <c r="I346" s="197"/>
      <c r="L346" s="74"/>
      <c r="N346" s="197"/>
      <c r="O346" s="197"/>
      <c r="Q346" s="197"/>
      <c r="U346" s="198"/>
    </row>
    <row r="347">
      <c r="A347" s="74"/>
      <c r="B347" s="74"/>
      <c r="D347" s="74"/>
      <c r="G347" s="196"/>
      <c r="H347" s="196"/>
      <c r="I347" s="197"/>
      <c r="L347" s="74"/>
      <c r="N347" s="197"/>
      <c r="O347" s="197"/>
      <c r="Q347" s="197"/>
      <c r="U347" s="198"/>
    </row>
    <row r="348">
      <c r="A348" s="74"/>
      <c r="B348" s="74"/>
      <c r="D348" s="74"/>
      <c r="G348" s="196"/>
      <c r="H348" s="196"/>
      <c r="I348" s="197"/>
      <c r="L348" s="74"/>
      <c r="N348" s="197"/>
      <c r="O348" s="197"/>
      <c r="Q348" s="197"/>
      <c r="U348" s="198"/>
    </row>
    <row r="349">
      <c r="A349" s="74"/>
      <c r="B349" s="74"/>
      <c r="D349" s="74"/>
      <c r="G349" s="196"/>
      <c r="H349" s="196"/>
      <c r="I349" s="197"/>
      <c r="L349" s="74"/>
      <c r="N349" s="197"/>
      <c r="O349" s="197"/>
      <c r="Q349" s="197"/>
      <c r="U349" s="198"/>
    </row>
    <row r="350">
      <c r="A350" s="74"/>
      <c r="B350" s="74"/>
      <c r="D350" s="74"/>
      <c r="G350" s="196"/>
      <c r="H350" s="196"/>
      <c r="I350" s="197"/>
      <c r="L350" s="74"/>
      <c r="N350" s="197"/>
      <c r="O350" s="197"/>
      <c r="Q350" s="197"/>
      <c r="U350" s="198"/>
    </row>
    <row r="351">
      <c r="A351" s="74"/>
      <c r="B351" s="74"/>
      <c r="D351" s="74"/>
      <c r="G351" s="196"/>
      <c r="H351" s="196"/>
      <c r="I351" s="197"/>
      <c r="L351" s="74"/>
      <c r="N351" s="197"/>
      <c r="O351" s="197"/>
      <c r="Q351" s="197"/>
      <c r="U351" s="198"/>
    </row>
    <row r="352">
      <c r="A352" s="74"/>
      <c r="B352" s="74"/>
      <c r="D352" s="74"/>
      <c r="G352" s="196"/>
      <c r="H352" s="196"/>
      <c r="I352" s="197"/>
      <c r="L352" s="74"/>
      <c r="N352" s="197"/>
      <c r="O352" s="197"/>
      <c r="Q352" s="197"/>
      <c r="U352" s="198"/>
    </row>
    <row r="353">
      <c r="A353" s="74"/>
      <c r="B353" s="74"/>
      <c r="D353" s="74"/>
      <c r="G353" s="196"/>
      <c r="H353" s="196"/>
      <c r="I353" s="197"/>
      <c r="L353" s="74"/>
      <c r="N353" s="197"/>
      <c r="O353" s="197"/>
      <c r="Q353" s="197"/>
      <c r="U353" s="198"/>
    </row>
    <row r="354">
      <c r="A354" s="74"/>
      <c r="B354" s="74"/>
      <c r="D354" s="74"/>
      <c r="G354" s="196"/>
      <c r="H354" s="196"/>
      <c r="I354" s="197"/>
      <c r="L354" s="74"/>
      <c r="N354" s="197"/>
      <c r="O354" s="197"/>
      <c r="Q354" s="197"/>
      <c r="U354" s="198"/>
    </row>
    <row r="355">
      <c r="A355" s="74"/>
      <c r="B355" s="74"/>
      <c r="D355" s="74"/>
      <c r="G355" s="196"/>
      <c r="H355" s="196"/>
      <c r="I355" s="197"/>
      <c r="L355" s="74"/>
      <c r="N355" s="197"/>
      <c r="O355" s="197"/>
      <c r="Q355" s="197"/>
      <c r="U355" s="198"/>
    </row>
    <row r="356">
      <c r="A356" s="74"/>
      <c r="B356" s="74"/>
      <c r="D356" s="74"/>
      <c r="G356" s="196"/>
      <c r="H356" s="196"/>
      <c r="I356" s="197"/>
      <c r="L356" s="74"/>
      <c r="N356" s="197"/>
      <c r="O356" s="197"/>
      <c r="Q356" s="197"/>
      <c r="U356" s="198"/>
    </row>
    <row r="357">
      <c r="A357" s="74"/>
      <c r="B357" s="74"/>
      <c r="D357" s="74"/>
      <c r="G357" s="196"/>
      <c r="H357" s="196"/>
      <c r="I357" s="197"/>
      <c r="L357" s="74"/>
      <c r="N357" s="197"/>
      <c r="O357" s="197"/>
      <c r="Q357" s="197"/>
      <c r="U357" s="198"/>
    </row>
    <row r="358">
      <c r="A358" s="74"/>
      <c r="B358" s="74"/>
      <c r="D358" s="74"/>
      <c r="G358" s="196"/>
      <c r="H358" s="196"/>
      <c r="I358" s="197"/>
      <c r="L358" s="74"/>
      <c r="N358" s="197"/>
      <c r="O358" s="197"/>
      <c r="Q358" s="197"/>
      <c r="U358" s="198"/>
    </row>
    <row r="359">
      <c r="A359" s="74"/>
      <c r="B359" s="74"/>
      <c r="D359" s="74"/>
      <c r="G359" s="196"/>
      <c r="H359" s="196"/>
      <c r="I359" s="197"/>
      <c r="L359" s="74"/>
      <c r="N359" s="197"/>
      <c r="O359" s="197"/>
      <c r="Q359" s="197"/>
      <c r="U359" s="198"/>
    </row>
    <row r="360">
      <c r="A360" s="74"/>
      <c r="B360" s="74"/>
      <c r="D360" s="74"/>
      <c r="G360" s="196"/>
      <c r="H360" s="196"/>
      <c r="I360" s="197"/>
      <c r="L360" s="74"/>
      <c r="N360" s="197"/>
      <c r="O360" s="197"/>
      <c r="Q360" s="197"/>
      <c r="U360" s="198"/>
    </row>
    <row r="361">
      <c r="A361" s="74"/>
      <c r="B361" s="74"/>
      <c r="D361" s="74"/>
      <c r="G361" s="196"/>
      <c r="H361" s="196"/>
      <c r="I361" s="197"/>
      <c r="L361" s="74"/>
      <c r="N361" s="197"/>
      <c r="O361" s="197"/>
      <c r="Q361" s="197"/>
      <c r="U361" s="198"/>
    </row>
    <row r="362">
      <c r="A362" s="74"/>
      <c r="B362" s="74"/>
      <c r="D362" s="74"/>
      <c r="G362" s="196"/>
      <c r="H362" s="196"/>
      <c r="I362" s="197"/>
      <c r="L362" s="74"/>
      <c r="N362" s="197"/>
      <c r="O362" s="197"/>
      <c r="Q362" s="197"/>
      <c r="U362" s="198"/>
    </row>
    <row r="363">
      <c r="A363" s="74"/>
      <c r="B363" s="74"/>
      <c r="D363" s="74"/>
      <c r="G363" s="196"/>
      <c r="H363" s="196"/>
      <c r="I363" s="197"/>
      <c r="L363" s="74"/>
      <c r="N363" s="197"/>
      <c r="O363" s="197"/>
      <c r="Q363" s="197"/>
      <c r="U363" s="198"/>
    </row>
    <row r="364">
      <c r="A364" s="74"/>
      <c r="B364" s="74"/>
      <c r="D364" s="74"/>
      <c r="G364" s="196"/>
      <c r="H364" s="196"/>
      <c r="I364" s="197"/>
      <c r="L364" s="74"/>
      <c r="N364" s="197"/>
      <c r="O364" s="197"/>
      <c r="Q364" s="197"/>
      <c r="U364" s="198"/>
    </row>
    <row r="365">
      <c r="A365" s="74"/>
      <c r="B365" s="74"/>
      <c r="D365" s="74"/>
      <c r="G365" s="196"/>
      <c r="H365" s="196"/>
      <c r="I365" s="197"/>
      <c r="L365" s="74"/>
      <c r="N365" s="197"/>
      <c r="O365" s="197"/>
      <c r="Q365" s="197"/>
      <c r="U365" s="198"/>
    </row>
    <row r="366">
      <c r="A366" s="74"/>
      <c r="B366" s="74"/>
      <c r="D366" s="74"/>
      <c r="G366" s="196"/>
      <c r="H366" s="196"/>
      <c r="I366" s="197"/>
      <c r="L366" s="74"/>
      <c r="N366" s="197"/>
      <c r="O366" s="197"/>
      <c r="Q366" s="197"/>
      <c r="U366" s="198"/>
    </row>
    <row r="367">
      <c r="A367" s="74"/>
      <c r="B367" s="74"/>
      <c r="D367" s="74"/>
      <c r="G367" s="196"/>
      <c r="H367" s="196"/>
      <c r="I367" s="197"/>
      <c r="L367" s="74"/>
      <c r="N367" s="197"/>
      <c r="O367" s="197"/>
      <c r="Q367" s="197"/>
      <c r="U367" s="198"/>
    </row>
    <row r="368">
      <c r="A368" s="74"/>
      <c r="B368" s="74"/>
      <c r="D368" s="74"/>
      <c r="G368" s="196"/>
      <c r="H368" s="196"/>
      <c r="I368" s="197"/>
      <c r="L368" s="74"/>
      <c r="N368" s="197"/>
      <c r="O368" s="197"/>
      <c r="Q368" s="197"/>
      <c r="U368" s="198"/>
    </row>
    <row r="369">
      <c r="A369" s="74"/>
      <c r="B369" s="74"/>
      <c r="D369" s="74"/>
      <c r="G369" s="196"/>
      <c r="H369" s="196"/>
      <c r="I369" s="197"/>
      <c r="L369" s="74"/>
      <c r="N369" s="197"/>
      <c r="O369" s="197"/>
      <c r="Q369" s="197"/>
      <c r="U369" s="198"/>
    </row>
    <row r="370">
      <c r="A370" s="74"/>
      <c r="B370" s="74"/>
      <c r="D370" s="74"/>
      <c r="G370" s="196"/>
      <c r="H370" s="196"/>
      <c r="I370" s="197"/>
      <c r="L370" s="74"/>
      <c r="N370" s="197"/>
      <c r="O370" s="197"/>
      <c r="Q370" s="197"/>
      <c r="U370" s="198"/>
    </row>
    <row r="371">
      <c r="A371" s="74"/>
      <c r="B371" s="74"/>
      <c r="D371" s="74"/>
      <c r="G371" s="196"/>
      <c r="H371" s="196"/>
      <c r="I371" s="197"/>
      <c r="L371" s="74"/>
      <c r="N371" s="197"/>
      <c r="O371" s="197"/>
      <c r="Q371" s="197"/>
      <c r="U371" s="198"/>
    </row>
    <row r="372">
      <c r="A372" s="74"/>
      <c r="B372" s="74"/>
      <c r="D372" s="74"/>
      <c r="G372" s="196"/>
      <c r="H372" s="196"/>
      <c r="I372" s="197"/>
      <c r="L372" s="74"/>
      <c r="N372" s="197"/>
      <c r="O372" s="197"/>
      <c r="Q372" s="197"/>
      <c r="U372" s="198"/>
    </row>
    <row r="373">
      <c r="A373" s="74"/>
      <c r="B373" s="74"/>
      <c r="D373" s="74"/>
      <c r="G373" s="196"/>
      <c r="H373" s="196"/>
      <c r="I373" s="197"/>
      <c r="L373" s="74"/>
      <c r="N373" s="197"/>
      <c r="O373" s="197"/>
      <c r="Q373" s="197"/>
      <c r="U373" s="198"/>
    </row>
    <row r="374">
      <c r="A374" s="74"/>
      <c r="B374" s="74"/>
      <c r="D374" s="74"/>
      <c r="G374" s="196"/>
      <c r="H374" s="196"/>
      <c r="I374" s="197"/>
      <c r="L374" s="74"/>
      <c r="N374" s="197"/>
      <c r="O374" s="197"/>
      <c r="Q374" s="197"/>
      <c r="U374" s="198"/>
    </row>
    <row r="375">
      <c r="A375" s="74"/>
      <c r="B375" s="74"/>
      <c r="D375" s="74"/>
      <c r="G375" s="196"/>
      <c r="H375" s="196"/>
      <c r="I375" s="197"/>
      <c r="L375" s="74"/>
      <c r="N375" s="197"/>
      <c r="O375" s="197"/>
      <c r="Q375" s="197"/>
      <c r="U375" s="198"/>
    </row>
    <row r="376">
      <c r="A376" s="74"/>
      <c r="B376" s="74"/>
      <c r="D376" s="74"/>
      <c r="G376" s="196"/>
      <c r="H376" s="196"/>
      <c r="I376" s="197"/>
      <c r="L376" s="74"/>
      <c r="N376" s="197"/>
      <c r="O376" s="197"/>
      <c r="Q376" s="197"/>
      <c r="U376" s="198"/>
    </row>
    <row r="377">
      <c r="A377" s="74"/>
      <c r="B377" s="74"/>
      <c r="D377" s="74"/>
      <c r="G377" s="196"/>
      <c r="H377" s="196"/>
      <c r="I377" s="197"/>
      <c r="L377" s="74"/>
      <c r="N377" s="197"/>
      <c r="O377" s="197"/>
      <c r="Q377" s="197"/>
      <c r="U377" s="198"/>
    </row>
    <row r="378">
      <c r="A378" s="74"/>
      <c r="B378" s="74"/>
      <c r="D378" s="74"/>
      <c r="G378" s="196"/>
      <c r="H378" s="196"/>
      <c r="I378" s="197"/>
      <c r="L378" s="74"/>
      <c r="N378" s="197"/>
      <c r="O378" s="197"/>
      <c r="Q378" s="197"/>
      <c r="U378" s="198"/>
    </row>
    <row r="379">
      <c r="A379" s="74"/>
      <c r="B379" s="74"/>
      <c r="D379" s="74"/>
      <c r="G379" s="196"/>
      <c r="H379" s="196"/>
      <c r="I379" s="197"/>
      <c r="L379" s="74"/>
      <c r="N379" s="197"/>
      <c r="O379" s="197"/>
      <c r="Q379" s="197"/>
      <c r="U379" s="198"/>
    </row>
    <row r="380">
      <c r="A380" s="74"/>
      <c r="B380" s="74"/>
      <c r="D380" s="74"/>
      <c r="G380" s="196"/>
      <c r="H380" s="196"/>
      <c r="I380" s="197"/>
      <c r="L380" s="74"/>
      <c r="N380" s="197"/>
      <c r="O380" s="197"/>
      <c r="Q380" s="197"/>
      <c r="U380" s="198"/>
    </row>
    <row r="381">
      <c r="A381" s="74"/>
      <c r="B381" s="74"/>
      <c r="D381" s="74"/>
      <c r="G381" s="196"/>
      <c r="H381" s="196"/>
      <c r="I381" s="197"/>
      <c r="L381" s="74"/>
      <c r="N381" s="197"/>
      <c r="O381" s="197"/>
      <c r="Q381" s="197"/>
      <c r="U381" s="198"/>
    </row>
    <row r="382">
      <c r="A382" s="74"/>
      <c r="B382" s="74"/>
      <c r="D382" s="74"/>
      <c r="G382" s="196"/>
      <c r="H382" s="196"/>
      <c r="I382" s="197"/>
      <c r="L382" s="74"/>
      <c r="N382" s="197"/>
      <c r="O382" s="197"/>
      <c r="Q382" s="197"/>
      <c r="U382" s="198"/>
    </row>
    <row r="383">
      <c r="A383" s="74"/>
      <c r="B383" s="74"/>
      <c r="D383" s="74"/>
      <c r="G383" s="196"/>
      <c r="H383" s="196"/>
      <c r="I383" s="197"/>
      <c r="L383" s="74"/>
      <c r="N383" s="197"/>
      <c r="O383" s="197"/>
      <c r="Q383" s="197"/>
      <c r="U383" s="198"/>
    </row>
    <row r="384">
      <c r="A384" s="74"/>
      <c r="B384" s="74"/>
      <c r="D384" s="74"/>
      <c r="G384" s="196"/>
      <c r="H384" s="196"/>
      <c r="I384" s="197"/>
      <c r="L384" s="74"/>
      <c r="N384" s="197"/>
      <c r="O384" s="197"/>
      <c r="Q384" s="197"/>
      <c r="U384" s="198"/>
    </row>
    <row r="385">
      <c r="A385" s="74"/>
      <c r="B385" s="74"/>
      <c r="D385" s="74"/>
      <c r="G385" s="196"/>
      <c r="H385" s="196"/>
      <c r="I385" s="197"/>
      <c r="L385" s="74"/>
      <c r="N385" s="197"/>
      <c r="O385" s="197"/>
      <c r="Q385" s="197"/>
      <c r="U385" s="198"/>
    </row>
    <row r="386">
      <c r="A386" s="74"/>
      <c r="B386" s="74"/>
      <c r="D386" s="74"/>
      <c r="G386" s="196"/>
      <c r="H386" s="196"/>
      <c r="I386" s="197"/>
      <c r="L386" s="74"/>
      <c r="N386" s="197"/>
      <c r="O386" s="197"/>
      <c r="Q386" s="197"/>
      <c r="U386" s="198"/>
    </row>
    <row r="387">
      <c r="A387" s="74"/>
      <c r="B387" s="74"/>
      <c r="D387" s="74"/>
      <c r="G387" s="196"/>
      <c r="H387" s="196"/>
      <c r="I387" s="197"/>
      <c r="L387" s="74"/>
      <c r="N387" s="197"/>
      <c r="O387" s="197"/>
      <c r="Q387" s="197"/>
      <c r="U387" s="198"/>
    </row>
    <row r="388">
      <c r="A388" s="74"/>
      <c r="B388" s="74"/>
      <c r="D388" s="74"/>
      <c r="G388" s="196"/>
      <c r="H388" s="196"/>
      <c r="I388" s="197"/>
      <c r="L388" s="74"/>
      <c r="N388" s="197"/>
      <c r="O388" s="197"/>
      <c r="Q388" s="197"/>
      <c r="U388" s="198"/>
    </row>
    <row r="389">
      <c r="A389" s="74"/>
      <c r="B389" s="74"/>
      <c r="D389" s="74"/>
      <c r="G389" s="196"/>
      <c r="H389" s="196"/>
      <c r="I389" s="197"/>
      <c r="L389" s="74"/>
      <c r="N389" s="197"/>
      <c r="O389" s="197"/>
      <c r="Q389" s="197"/>
      <c r="U389" s="198"/>
    </row>
    <row r="390">
      <c r="A390" s="74"/>
      <c r="B390" s="74"/>
      <c r="D390" s="74"/>
      <c r="G390" s="196"/>
      <c r="H390" s="196"/>
      <c r="I390" s="197"/>
      <c r="L390" s="74"/>
      <c r="N390" s="197"/>
      <c r="O390" s="197"/>
      <c r="Q390" s="197"/>
      <c r="U390" s="198"/>
    </row>
    <row r="391">
      <c r="A391" s="74"/>
      <c r="B391" s="74"/>
      <c r="D391" s="74"/>
      <c r="G391" s="196"/>
      <c r="H391" s="196"/>
      <c r="I391" s="197"/>
      <c r="L391" s="74"/>
      <c r="N391" s="197"/>
      <c r="O391" s="197"/>
      <c r="Q391" s="197"/>
      <c r="U391" s="198"/>
    </row>
    <row r="392">
      <c r="A392" s="74"/>
      <c r="B392" s="74"/>
      <c r="D392" s="74"/>
      <c r="G392" s="196"/>
      <c r="H392" s="196"/>
      <c r="I392" s="197"/>
      <c r="L392" s="74"/>
      <c r="N392" s="197"/>
      <c r="O392" s="197"/>
      <c r="Q392" s="197"/>
      <c r="U392" s="198"/>
    </row>
    <row r="393">
      <c r="A393" s="74"/>
      <c r="B393" s="74"/>
      <c r="D393" s="74"/>
      <c r="G393" s="196"/>
      <c r="H393" s="196"/>
      <c r="I393" s="197"/>
      <c r="L393" s="74"/>
      <c r="N393" s="197"/>
      <c r="O393" s="197"/>
      <c r="Q393" s="197"/>
      <c r="U393" s="198"/>
    </row>
    <row r="394">
      <c r="A394" s="74"/>
      <c r="B394" s="74"/>
      <c r="D394" s="74"/>
      <c r="G394" s="196"/>
      <c r="H394" s="196"/>
      <c r="I394" s="197"/>
      <c r="L394" s="74"/>
      <c r="N394" s="197"/>
      <c r="O394" s="197"/>
      <c r="Q394" s="197"/>
      <c r="U394" s="198"/>
    </row>
    <row r="395">
      <c r="A395" s="74"/>
      <c r="B395" s="74"/>
      <c r="D395" s="74"/>
      <c r="G395" s="196"/>
      <c r="H395" s="196"/>
      <c r="I395" s="197"/>
      <c r="L395" s="74"/>
      <c r="N395" s="197"/>
      <c r="O395" s="197"/>
      <c r="Q395" s="197"/>
      <c r="U395" s="198"/>
    </row>
    <row r="396">
      <c r="A396" s="74"/>
      <c r="B396" s="74"/>
      <c r="D396" s="74"/>
      <c r="G396" s="196"/>
      <c r="H396" s="196"/>
      <c r="I396" s="197"/>
      <c r="L396" s="74"/>
      <c r="N396" s="197"/>
      <c r="O396" s="197"/>
      <c r="Q396" s="197"/>
      <c r="U396" s="198"/>
    </row>
    <row r="397">
      <c r="A397" s="74"/>
      <c r="B397" s="74"/>
      <c r="D397" s="74"/>
      <c r="G397" s="196"/>
      <c r="H397" s="196"/>
      <c r="I397" s="197"/>
      <c r="L397" s="74"/>
      <c r="N397" s="197"/>
      <c r="O397" s="197"/>
      <c r="Q397" s="197"/>
      <c r="U397" s="198"/>
    </row>
    <row r="398">
      <c r="A398" s="74"/>
      <c r="B398" s="74"/>
      <c r="D398" s="74"/>
      <c r="G398" s="196"/>
      <c r="H398" s="196"/>
      <c r="I398" s="197"/>
      <c r="L398" s="74"/>
      <c r="N398" s="197"/>
      <c r="O398" s="197"/>
      <c r="Q398" s="197"/>
      <c r="U398" s="198"/>
    </row>
    <row r="399">
      <c r="A399" s="74"/>
      <c r="B399" s="74"/>
      <c r="D399" s="74"/>
      <c r="G399" s="196"/>
      <c r="H399" s="196"/>
      <c r="I399" s="197"/>
      <c r="L399" s="74"/>
      <c r="N399" s="197"/>
      <c r="O399" s="197"/>
      <c r="Q399" s="197"/>
      <c r="U399" s="198"/>
    </row>
    <row r="400">
      <c r="A400" s="74"/>
      <c r="B400" s="74"/>
      <c r="D400" s="74"/>
      <c r="G400" s="196"/>
      <c r="H400" s="196"/>
      <c r="I400" s="197"/>
      <c r="L400" s="74"/>
      <c r="N400" s="197"/>
      <c r="O400" s="197"/>
      <c r="Q400" s="197"/>
      <c r="U400" s="198"/>
    </row>
    <row r="401">
      <c r="A401" s="74"/>
      <c r="B401" s="74"/>
      <c r="D401" s="74"/>
      <c r="G401" s="196"/>
      <c r="H401" s="196"/>
      <c r="I401" s="197"/>
      <c r="L401" s="74"/>
      <c r="N401" s="197"/>
      <c r="O401" s="197"/>
      <c r="Q401" s="197"/>
      <c r="U401" s="198"/>
    </row>
    <row r="402">
      <c r="A402" s="74"/>
      <c r="B402" s="74"/>
      <c r="D402" s="74"/>
      <c r="G402" s="196"/>
      <c r="H402" s="196"/>
      <c r="I402" s="197"/>
      <c r="L402" s="74"/>
      <c r="N402" s="197"/>
      <c r="O402" s="197"/>
      <c r="Q402" s="197"/>
      <c r="U402" s="198"/>
    </row>
    <row r="403">
      <c r="A403" s="74"/>
      <c r="B403" s="74"/>
      <c r="D403" s="74"/>
      <c r="G403" s="196"/>
      <c r="H403" s="196"/>
      <c r="I403" s="197"/>
      <c r="L403" s="74"/>
      <c r="N403" s="197"/>
      <c r="O403" s="197"/>
      <c r="Q403" s="197"/>
      <c r="U403" s="198"/>
    </row>
    <row r="404">
      <c r="A404" s="74"/>
      <c r="B404" s="74"/>
      <c r="D404" s="74"/>
      <c r="G404" s="196"/>
      <c r="H404" s="196"/>
      <c r="I404" s="197"/>
      <c r="L404" s="74"/>
      <c r="N404" s="197"/>
      <c r="O404" s="197"/>
      <c r="Q404" s="197"/>
      <c r="U404" s="198"/>
    </row>
    <row r="405">
      <c r="A405" s="74"/>
      <c r="B405" s="74"/>
      <c r="D405" s="74"/>
      <c r="G405" s="196"/>
      <c r="H405" s="196"/>
      <c r="I405" s="197"/>
      <c r="L405" s="74"/>
      <c r="N405" s="197"/>
      <c r="O405" s="197"/>
      <c r="Q405" s="197"/>
      <c r="U405" s="198"/>
    </row>
    <row r="406">
      <c r="A406" s="74"/>
      <c r="B406" s="74"/>
      <c r="D406" s="74"/>
      <c r="G406" s="196"/>
      <c r="H406" s="196"/>
      <c r="I406" s="197"/>
      <c r="L406" s="74"/>
      <c r="N406" s="197"/>
      <c r="O406" s="197"/>
      <c r="Q406" s="197"/>
      <c r="U406" s="198"/>
    </row>
    <row r="407">
      <c r="A407" s="74"/>
      <c r="B407" s="74"/>
      <c r="D407" s="74"/>
      <c r="G407" s="196"/>
      <c r="H407" s="196"/>
      <c r="I407" s="197"/>
      <c r="L407" s="74"/>
      <c r="N407" s="197"/>
      <c r="O407" s="197"/>
      <c r="Q407" s="197"/>
      <c r="U407" s="198"/>
    </row>
    <row r="408">
      <c r="A408" s="74"/>
      <c r="B408" s="74"/>
      <c r="D408" s="74"/>
      <c r="G408" s="196"/>
      <c r="H408" s="196"/>
      <c r="I408" s="197"/>
      <c r="L408" s="74"/>
      <c r="N408" s="197"/>
      <c r="O408" s="197"/>
      <c r="Q408" s="197"/>
      <c r="U408" s="198"/>
    </row>
    <row r="409">
      <c r="A409" s="74"/>
      <c r="B409" s="74"/>
      <c r="D409" s="74"/>
      <c r="G409" s="196"/>
      <c r="H409" s="196"/>
      <c r="I409" s="197"/>
      <c r="L409" s="74"/>
      <c r="N409" s="197"/>
      <c r="O409" s="197"/>
      <c r="Q409" s="197"/>
      <c r="U409" s="198"/>
    </row>
    <row r="410">
      <c r="A410" s="74"/>
      <c r="B410" s="74"/>
      <c r="D410" s="74"/>
      <c r="G410" s="196"/>
      <c r="H410" s="196"/>
      <c r="I410" s="197"/>
      <c r="L410" s="74"/>
      <c r="N410" s="197"/>
      <c r="O410" s="197"/>
      <c r="Q410" s="197"/>
      <c r="U410" s="198"/>
    </row>
    <row r="411">
      <c r="A411" s="74"/>
      <c r="B411" s="74"/>
      <c r="D411" s="74"/>
      <c r="G411" s="196"/>
      <c r="H411" s="196"/>
      <c r="I411" s="197"/>
      <c r="L411" s="74"/>
      <c r="N411" s="197"/>
      <c r="O411" s="197"/>
      <c r="Q411" s="197"/>
      <c r="U411" s="198"/>
    </row>
    <row r="412">
      <c r="A412" s="74"/>
      <c r="B412" s="74"/>
      <c r="D412" s="74"/>
      <c r="G412" s="196"/>
      <c r="H412" s="196"/>
      <c r="I412" s="197"/>
      <c r="L412" s="74"/>
      <c r="N412" s="197"/>
      <c r="O412" s="197"/>
      <c r="Q412" s="197"/>
      <c r="U412" s="198"/>
    </row>
    <row r="413">
      <c r="A413" s="74"/>
      <c r="B413" s="74"/>
      <c r="D413" s="74"/>
      <c r="G413" s="196"/>
      <c r="H413" s="196"/>
      <c r="I413" s="197"/>
      <c r="L413" s="74"/>
      <c r="N413" s="197"/>
      <c r="O413" s="197"/>
      <c r="Q413" s="197"/>
      <c r="U413" s="198"/>
    </row>
    <row r="414">
      <c r="A414" s="74"/>
      <c r="B414" s="74"/>
      <c r="D414" s="74"/>
      <c r="G414" s="196"/>
      <c r="H414" s="196"/>
      <c r="I414" s="197"/>
      <c r="L414" s="74"/>
      <c r="N414" s="197"/>
      <c r="O414" s="197"/>
      <c r="Q414" s="197"/>
      <c r="U414" s="198"/>
    </row>
    <row r="415">
      <c r="A415" s="74"/>
      <c r="B415" s="74"/>
      <c r="D415" s="74"/>
      <c r="G415" s="196"/>
      <c r="H415" s="196"/>
      <c r="I415" s="197"/>
      <c r="L415" s="74"/>
      <c r="N415" s="197"/>
      <c r="O415" s="197"/>
      <c r="Q415" s="197"/>
      <c r="U415" s="198"/>
    </row>
    <row r="416">
      <c r="A416" s="74"/>
      <c r="B416" s="74"/>
      <c r="D416" s="74"/>
      <c r="G416" s="196"/>
      <c r="H416" s="196"/>
      <c r="I416" s="197"/>
      <c r="L416" s="74"/>
      <c r="N416" s="197"/>
      <c r="O416" s="197"/>
      <c r="Q416" s="197"/>
      <c r="U416" s="198"/>
    </row>
    <row r="417">
      <c r="A417" s="74"/>
      <c r="B417" s="74"/>
      <c r="D417" s="74"/>
      <c r="G417" s="196"/>
      <c r="H417" s="196"/>
      <c r="I417" s="197"/>
      <c r="L417" s="74"/>
      <c r="N417" s="197"/>
      <c r="O417" s="197"/>
      <c r="Q417" s="197"/>
      <c r="U417" s="198"/>
    </row>
    <row r="418">
      <c r="A418" s="74"/>
      <c r="B418" s="74"/>
      <c r="D418" s="74"/>
      <c r="G418" s="196"/>
      <c r="H418" s="196"/>
      <c r="I418" s="197"/>
      <c r="L418" s="74"/>
      <c r="N418" s="197"/>
      <c r="O418" s="197"/>
      <c r="Q418" s="197"/>
      <c r="U418" s="198"/>
    </row>
    <row r="419">
      <c r="A419" s="74"/>
      <c r="B419" s="74"/>
      <c r="D419" s="74"/>
      <c r="G419" s="196"/>
      <c r="H419" s="196"/>
      <c r="I419" s="197"/>
      <c r="L419" s="74"/>
      <c r="N419" s="197"/>
      <c r="O419" s="197"/>
      <c r="Q419" s="197"/>
      <c r="U419" s="198"/>
    </row>
    <row r="420">
      <c r="A420" s="74"/>
      <c r="B420" s="74"/>
      <c r="D420" s="74"/>
      <c r="G420" s="196"/>
      <c r="H420" s="196"/>
      <c r="I420" s="197"/>
      <c r="L420" s="74"/>
      <c r="N420" s="197"/>
      <c r="O420" s="197"/>
      <c r="Q420" s="197"/>
      <c r="U420" s="198"/>
    </row>
    <row r="421">
      <c r="A421" s="74"/>
      <c r="B421" s="74"/>
      <c r="D421" s="74"/>
      <c r="G421" s="196"/>
      <c r="H421" s="196"/>
      <c r="I421" s="197"/>
      <c r="L421" s="74"/>
      <c r="N421" s="197"/>
      <c r="O421" s="197"/>
      <c r="Q421" s="197"/>
      <c r="U421" s="198"/>
    </row>
    <row r="422">
      <c r="A422" s="74"/>
      <c r="B422" s="74"/>
      <c r="D422" s="74"/>
      <c r="G422" s="196"/>
      <c r="H422" s="196"/>
      <c r="I422" s="197"/>
      <c r="L422" s="74"/>
      <c r="N422" s="197"/>
      <c r="O422" s="197"/>
      <c r="Q422" s="197"/>
      <c r="U422" s="198"/>
    </row>
    <row r="423">
      <c r="A423" s="74"/>
      <c r="B423" s="74"/>
      <c r="D423" s="74"/>
      <c r="G423" s="196"/>
      <c r="H423" s="196"/>
      <c r="I423" s="197"/>
      <c r="L423" s="74"/>
      <c r="N423" s="197"/>
      <c r="O423" s="197"/>
      <c r="Q423" s="197"/>
      <c r="U423" s="198"/>
    </row>
    <row r="424">
      <c r="A424" s="74"/>
      <c r="B424" s="74"/>
      <c r="D424" s="74"/>
      <c r="G424" s="196"/>
      <c r="H424" s="196"/>
      <c r="I424" s="197"/>
      <c r="L424" s="74"/>
      <c r="N424" s="197"/>
      <c r="O424" s="197"/>
      <c r="Q424" s="197"/>
      <c r="U424" s="198"/>
    </row>
    <row r="425">
      <c r="A425" s="74"/>
      <c r="B425" s="74"/>
      <c r="D425" s="74"/>
      <c r="G425" s="196"/>
      <c r="H425" s="196"/>
      <c r="I425" s="197"/>
      <c r="L425" s="74"/>
      <c r="N425" s="197"/>
      <c r="O425" s="197"/>
      <c r="Q425" s="197"/>
      <c r="U425" s="198"/>
    </row>
    <row r="426">
      <c r="A426" s="74"/>
      <c r="B426" s="74"/>
      <c r="D426" s="74"/>
      <c r="G426" s="196"/>
      <c r="H426" s="196"/>
      <c r="I426" s="197"/>
      <c r="L426" s="74"/>
      <c r="N426" s="197"/>
      <c r="O426" s="197"/>
      <c r="Q426" s="197"/>
      <c r="U426" s="198"/>
    </row>
    <row r="427">
      <c r="A427" s="74"/>
      <c r="B427" s="74"/>
      <c r="D427" s="74"/>
      <c r="G427" s="196"/>
      <c r="H427" s="196"/>
      <c r="I427" s="197"/>
      <c r="L427" s="74"/>
      <c r="N427" s="197"/>
      <c r="O427" s="197"/>
      <c r="Q427" s="197"/>
      <c r="U427" s="198"/>
    </row>
    <row r="428">
      <c r="A428" s="74"/>
      <c r="B428" s="74"/>
      <c r="D428" s="74"/>
      <c r="G428" s="196"/>
      <c r="H428" s="196"/>
      <c r="I428" s="197"/>
      <c r="L428" s="74"/>
      <c r="N428" s="197"/>
      <c r="O428" s="197"/>
      <c r="Q428" s="197"/>
      <c r="U428" s="198"/>
    </row>
    <row r="429">
      <c r="A429" s="74"/>
      <c r="B429" s="74"/>
      <c r="D429" s="74"/>
      <c r="G429" s="196"/>
      <c r="H429" s="196"/>
      <c r="I429" s="197"/>
      <c r="L429" s="74"/>
      <c r="N429" s="197"/>
      <c r="O429" s="197"/>
      <c r="Q429" s="197"/>
      <c r="U429" s="198"/>
    </row>
    <row r="430">
      <c r="A430" s="74"/>
      <c r="B430" s="74"/>
      <c r="D430" s="74"/>
      <c r="G430" s="196"/>
      <c r="H430" s="196"/>
      <c r="I430" s="197"/>
      <c r="L430" s="74"/>
      <c r="N430" s="197"/>
      <c r="O430" s="197"/>
      <c r="Q430" s="197"/>
      <c r="U430" s="198"/>
    </row>
    <row r="431">
      <c r="A431" s="74"/>
      <c r="B431" s="74"/>
      <c r="D431" s="74"/>
      <c r="G431" s="196"/>
      <c r="H431" s="196"/>
      <c r="I431" s="197"/>
      <c r="L431" s="74"/>
      <c r="N431" s="197"/>
      <c r="O431" s="197"/>
      <c r="Q431" s="197"/>
      <c r="U431" s="198"/>
    </row>
    <row r="432">
      <c r="A432" s="74"/>
      <c r="B432" s="74"/>
      <c r="D432" s="74"/>
      <c r="G432" s="196"/>
      <c r="H432" s="196"/>
      <c r="I432" s="197"/>
      <c r="L432" s="74"/>
      <c r="N432" s="197"/>
      <c r="O432" s="197"/>
      <c r="Q432" s="197"/>
      <c r="U432" s="198"/>
    </row>
    <row r="433">
      <c r="A433" s="74"/>
      <c r="B433" s="74"/>
      <c r="D433" s="74"/>
      <c r="G433" s="196"/>
      <c r="H433" s="196"/>
      <c r="I433" s="197"/>
      <c r="L433" s="74"/>
      <c r="N433" s="197"/>
      <c r="O433" s="197"/>
      <c r="Q433" s="197"/>
      <c r="U433" s="198"/>
    </row>
    <row r="434">
      <c r="A434" s="74"/>
      <c r="B434" s="74"/>
      <c r="D434" s="74"/>
      <c r="G434" s="196"/>
      <c r="H434" s="196"/>
      <c r="I434" s="197"/>
      <c r="L434" s="74"/>
      <c r="N434" s="197"/>
      <c r="O434" s="197"/>
      <c r="Q434" s="197"/>
      <c r="U434" s="198"/>
    </row>
    <row r="435">
      <c r="A435" s="74"/>
      <c r="B435" s="74"/>
      <c r="D435" s="74"/>
      <c r="G435" s="196"/>
      <c r="H435" s="196"/>
      <c r="I435" s="197"/>
      <c r="L435" s="74"/>
      <c r="N435" s="197"/>
      <c r="O435" s="197"/>
      <c r="Q435" s="197"/>
      <c r="U435" s="198"/>
    </row>
    <row r="436">
      <c r="A436" s="74"/>
      <c r="B436" s="74"/>
      <c r="D436" s="74"/>
      <c r="G436" s="196"/>
      <c r="H436" s="196"/>
      <c r="I436" s="197"/>
      <c r="L436" s="74"/>
      <c r="N436" s="197"/>
      <c r="O436" s="197"/>
      <c r="Q436" s="197"/>
      <c r="U436" s="198"/>
    </row>
    <row r="437">
      <c r="A437" s="74"/>
      <c r="B437" s="74"/>
      <c r="D437" s="74"/>
      <c r="G437" s="196"/>
      <c r="H437" s="196"/>
      <c r="I437" s="197"/>
      <c r="L437" s="74"/>
      <c r="N437" s="197"/>
      <c r="O437" s="197"/>
      <c r="Q437" s="197"/>
      <c r="U437" s="198"/>
    </row>
    <row r="438">
      <c r="A438" s="74"/>
      <c r="B438" s="74"/>
      <c r="D438" s="74"/>
      <c r="G438" s="196"/>
      <c r="H438" s="196"/>
      <c r="I438" s="197"/>
      <c r="L438" s="74"/>
      <c r="N438" s="197"/>
      <c r="O438" s="197"/>
      <c r="Q438" s="197"/>
      <c r="U438" s="198"/>
    </row>
    <row r="439">
      <c r="A439" s="74"/>
      <c r="B439" s="74"/>
      <c r="D439" s="74"/>
      <c r="G439" s="196"/>
      <c r="H439" s="196"/>
      <c r="I439" s="197"/>
      <c r="L439" s="74"/>
      <c r="N439" s="197"/>
      <c r="O439" s="197"/>
      <c r="Q439" s="197"/>
      <c r="U439" s="198"/>
    </row>
    <row r="440">
      <c r="A440" s="74"/>
      <c r="B440" s="74"/>
      <c r="D440" s="74"/>
      <c r="G440" s="196"/>
      <c r="H440" s="196"/>
      <c r="I440" s="197"/>
      <c r="L440" s="74"/>
      <c r="N440" s="197"/>
      <c r="O440" s="197"/>
      <c r="Q440" s="197"/>
      <c r="U440" s="198"/>
    </row>
    <row r="441">
      <c r="A441" s="74"/>
      <c r="B441" s="74"/>
      <c r="D441" s="74"/>
      <c r="G441" s="196"/>
      <c r="H441" s="196"/>
      <c r="I441" s="197"/>
      <c r="L441" s="74"/>
      <c r="N441" s="197"/>
      <c r="O441" s="197"/>
      <c r="Q441" s="197"/>
      <c r="U441" s="198"/>
    </row>
    <row r="442">
      <c r="A442" s="74"/>
      <c r="B442" s="74"/>
      <c r="D442" s="74"/>
      <c r="G442" s="196"/>
      <c r="H442" s="196"/>
      <c r="I442" s="197"/>
      <c r="L442" s="74"/>
      <c r="N442" s="197"/>
      <c r="O442" s="197"/>
      <c r="Q442" s="197"/>
      <c r="U442" s="198"/>
    </row>
    <row r="443">
      <c r="A443" s="74"/>
      <c r="B443" s="74"/>
      <c r="D443" s="74"/>
      <c r="G443" s="196"/>
      <c r="H443" s="196"/>
      <c r="I443" s="197"/>
      <c r="L443" s="74"/>
      <c r="N443" s="197"/>
      <c r="O443" s="197"/>
      <c r="Q443" s="197"/>
      <c r="U443" s="198"/>
    </row>
    <row r="444">
      <c r="A444" s="74"/>
      <c r="B444" s="74"/>
      <c r="D444" s="74"/>
      <c r="G444" s="196"/>
      <c r="H444" s="196"/>
      <c r="I444" s="197"/>
      <c r="L444" s="74"/>
      <c r="N444" s="197"/>
      <c r="O444" s="197"/>
      <c r="Q444" s="197"/>
      <c r="U444" s="198"/>
    </row>
    <row r="445">
      <c r="A445" s="74"/>
      <c r="B445" s="74"/>
      <c r="D445" s="74"/>
      <c r="G445" s="196"/>
      <c r="H445" s="196"/>
      <c r="I445" s="197"/>
      <c r="L445" s="74"/>
      <c r="N445" s="197"/>
      <c r="O445" s="197"/>
      <c r="Q445" s="197"/>
      <c r="U445" s="198"/>
    </row>
    <row r="446">
      <c r="A446" s="74"/>
      <c r="B446" s="74"/>
      <c r="D446" s="74"/>
      <c r="G446" s="196"/>
      <c r="H446" s="196"/>
      <c r="I446" s="197"/>
      <c r="L446" s="74"/>
      <c r="N446" s="197"/>
      <c r="O446" s="197"/>
      <c r="Q446" s="197"/>
      <c r="U446" s="198"/>
    </row>
    <row r="447">
      <c r="A447" s="74"/>
      <c r="B447" s="74"/>
      <c r="D447" s="74"/>
      <c r="G447" s="196"/>
      <c r="H447" s="196"/>
      <c r="I447" s="197"/>
      <c r="L447" s="74"/>
      <c r="N447" s="197"/>
      <c r="O447" s="197"/>
      <c r="Q447" s="197"/>
      <c r="U447" s="198"/>
    </row>
    <row r="448">
      <c r="A448" s="74"/>
      <c r="B448" s="74"/>
      <c r="D448" s="74"/>
      <c r="G448" s="196"/>
      <c r="H448" s="196"/>
      <c r="I448" s="197"/>
      <c r="L448" s="74"/>
      <c r="N448" s="197"/>
      <c r="O448" s="197"/>
      <c r="Q448" s="197"/>
      <c r="U448" s="198"/>
    </row>
    <row r="449">
      <c r="A449" s="74"/>
      <c r="B449" s="74"/>
      <c r="D449" s="74"/>
      <c r="G449" s="196"/>
      <c r="H449" s="196"/>
      <c r="I449" s="197"/>
      <c r="L449" s="74"/>
      <c r="N449" s="197"/>
      <c r="O449" s="197"/>
      <c r="Q449" s="197"/>
      <c r="U449" s="198"/>
    </row>
    <row r="450">
      <c r="A450" s="74"/>
      <c r="B450" s="74"/>
      <c r="D450" s="74"/>
      <c r="G450" s="196"/>
      <c r="H450" s="196"/>
      <c r="I450" s="197"/>
      <c r="L450" s="74"/>
      <c r="N450" s="197"/>
      <c r="O450" s="197"/>
      <c r="Q450" s="197"/>
      <c r="U450" s="198"/>
    </row>
    <row r="451">
      <c r="A451" s="74"/>
      <c r="B451" s="74"/>
      <c r="D451" s="74"/>
      <c r="G451" s="196"/>
      <c r="H451" s="196"/>
      <c r="I451" s="197"/>
      <c r="L451" s="74"/>
      <c r="N451" s="197"/>
      <c r="O451" s="197"/>
      <c r="Q451" s="197"/>
      <c r="U451" s="198"/>
    </row>
    <row r="452">
      <c r="A452" s="74"/>
      <c r="B452" s="74"/>
      <c r="D452" s="74"/>
      <c r="G452" s="196"/>
      <c r="H452" s="196"/>
      <c r="I452" s="197"/>
      <c r="L452" s="74"/>
      <c r="N452" s="197"/>
      <c r="O452" s="197"/>
      <c r="Q452" s="197"/>
      <c r="U452" s="198"/>
    </row>
    <row r="453">
      <c r="A453" s="74"/>
      <c r="B453" s="74"/>
      <c r="D453" s="74"/>
      <c r="G453" s="196"/>
      <c r="H453" s="196"/>
      <c r="I453" s="197"/>
      <c r="L453" s="74"/>
      <c r="N453" s="197"/>
      <c r="O453" s="197"/>
      <c r="Q453" s="197"/>
      <c r="U453" s="198"/>
    </row>
    <row r="454">
      <c r="A454" s="74"/>
      <c r="B454" s="74"/>
      <c r="D454" s="74"/>
      <c r="G454" s="196"/>
      <c r="H454" s="196"/>
      <c r="I454" s="197"/>
      <c r="L454" s="74"/>
      <c r="N454" s="197"/>
      <c r="O454" s="197"/>
      <c r="Q454" s="197"/>
      <c r="U454" s="198"/>
    </row>
    <row r="455">
      <c r="A455" s="74"/>
      <c r="B455" s="74"/>
      <c r="D455" s="74"/>
      <c r="G455" s="196"/>
      <c r="H455" s="196"/>
      <c r="I455" s="197"/>
      <c r="L455" s="74"/>
      <c r="N455" s="197"/>
      <c r="O455" s="197"/>
      <c r="Q455" s="197"/>
      <c r="U455" s="198"/>
    </row>
    <row r="456">
      <c r="A456" s="74"/>
      <c r="B456" s="74"/>
      <c r="D456" s="74"/>
      <c r="G456" s="196"/>
      <c r="H456" s="196"/>
      <c r="I456" s="197"/>
      <c r="L456" s="74"/>
      <c r="N456" s="197"/>
      <c r="O456" s="197"/>
      <c r="Q456" s="197"/>
      <c r="U456" s="198"/>
    </row>
    <row r="457">
      <c r="A457" s="74"/>
      <c r="B457" s="74"/>
      <c r="D457" s="74"/>
      <c r="G457" s="196"/>
      <c r="H457" s="196"/>
      <c r="I457" s="197"/>
      <c r="L457" s="74"/>
      <c r="N457" s="197"/>
      <c r="O457" s="197"/>
      <c r="Q457" s="197"/>
      <c r="U457" s="198"/>
    </row>
    <row r="458">
      <c r="A458" s="74"/>
      <c r="B458" s="74"/>
      <c r="D458" s="74"/>
      <c r="G458" s="196"/>
      <c r="H458" s="196"/>
      <c r="I458" s="197"/>
      <c r="L458" s="74"/>
      <c r="N458" s="197"/>
      <c r="O458" s="197"/>
      <c r="Q458" s="197"/>
      <c r="U458" s="198"/>
    </row>
    <row r="459">
      <c r="A459" s="74"/>
      <c r="B459" s="74"/>
      <c r="D459" s="74"/>
      <c r="G459" s="196"/>
      <c r="H459" s="196"/>
      <c r="I459" s="197"/>
      <c r="L459" s="74"/>
      <c r="N459" s="197"/>
      <c r="O459" s="197"/>
      <c r="Q459" s="197"/>
      <c r="U459" s="198"/>
    </row>
    <row r="460">
      <c r="A460" s="74"/>
      <c r="B460" s="74"/>
      <c r="D460" s="74"/>
      <c r="G460" s="196"/>
      <c r="H460" s="196"/>
      <c r="I460" s="197"/>
      <c r="L460" s="74"/>
      <c r="N460" s="197"/>
      <c r="O460" s="197"/>
      <c r="Q460" s="197"/>
      <c r="U460" s="198"/>
    </row>
    <row r="461">
      <c r="A461" s="74"/>
      <c r="B461" s="74"/>
      <c r="D461" s="74"/>
      <c r="G461" s="196"/>
      <c r="H461" s="196"/>
      <c r="I461" s="197"/>
      <c r="L461" s="74"/>
      <c r="N461" s="197"/>
      <c r="O461" s="197"/>
      <c r="Q461" s="197"/>
      <c r="U461" s="198"/>
    </row>
    <row r="462">
      <c r="A462" s="74"/>
      <c r="B462" s="74"/>
      <c r="D462" s="74"/>
      <c r="G462" s="196"/>
      <c r="H462" s="196"/>
      <c r="I462" s="197"/>
      <c r="L462" s="74"/>
      <c r="N462" s="197"/>
      <c r="O462" s="197"/>
      <c r="Q462" s="197"/>
      <c r="U462" s="198"/>
    </row>
    <row r="463">
      <c r="A463" s="74"/>
      <c r="B463" s="74"/>
      <c r="D463" s="74"/>
      <c r="G463" s="196"/>
      <c r="H463" s="196"/>
      <c r="I463" s="197"/>
      <c r="L463" s="74"/>
      <c r="N463" s="197"/>
      <c r="O463" s="197"/>
      <c r="Q463" s="197"/>
      <c r="U463" s="198"/>
    </row>
    <row r="464">
      <c r="A464" s="74"/>
      <c r="B464" s="74"/>
      <c r="D464" s="74"/>
      <c r="G464" s="196"/>
      <c r="H464" s="196"/>
      <c r="I464" s="197"/>
      <c r="L464" s="74"/>
      <c r="N464" s="197"/>
      <c r="O464" s="197"/>
      <c r="Q464" s="197"/>
      <c r="U464" s="198"/>
    </row>
    <row r="465">
      <c r="A465" s="74"/>
      <c r="B465" s="74"/>
      <c r="D465" s="74"/>
      <c r="G465" s="196"/>
      <c r="H465" s="196"/>
      <c r="I465" s="197"/>
      <c r="L465" s="74"/>
      <c r="N465" s="197"/>
      <c r="O465" s="197"/>
      <c r="Q465" s="197"/>
      <c r="U465" s="198"/>
    </row>
    <row r="466">
      <c r="A466" s="74"/>
      <c r="B466" s="74"/>
      <c r="D466" s="74"/>
      <c r="G466" s="196"/>
      <c r="H466" s="196"/>
      <c r="I466" s="197"/>
      <c r="L466" s="74"/>
      <c r="N466" s="197"/>
      <c r="O466" s="197"/>
      <c r="Q466" s="197"/>
      <c r="U466" s="198"/>
    </row>
    <row r="467">
      <c r="A467" s="74"/>
      <c r="B467" s="74"/>
      <c r="D467" s="74"/>
      <c r="G467" s="196"/>
      <c r="H467" s="196"/>
      <c r="I467" s="197"/>
      <c r="L467" s="74"/>
      <c r="N467" s="197"/>
      <c r="O467" s="197"/>
      <c r="Q467" s="197"/>
      <c r="U467" s="198"/>
    </row>
    <row r="468">
      <c r="A468" s="74"/>
      <c r="B468" s="74"/>
      <c r="D468" s="74"/>
      <c r="G468" s="196"/>
      <c r="H468" s="196"/>
      <c r="I468" s="197"/>
      <c r="L468" s="74"/>
      <c r="N468" s="197"/>
      <c r="O468" s="197"/>
      <c r="Q468" s="197"/>
      <c r="U468" s="198"/>
    </row>
    <row r="469">
      <c r="A469" s="74"/>
      <c r="B469" s="74"/>
      <c r="D469" s="74"/>
      <c r="G469" s="196"/>
      <c r="H469" s="196"/>
      <c r="I469" s="197"/>
      <c r="L469" s="74"/>
      <c r="N469" s="197"/>
      <c r="O469" s="197"/>
      <c r="Q469" s="197"/>
      <c r="U469" s="198"/>
    </row>
    <row r="470">
      <c r="A470" s="74"/>
      <c r="B470" s="74"/>
      <c r="D470" s="74"/>
      <c r="G470" s="196"/>
      <c r="H470" s="196"/>
      <c r="I470" s="197"/>
      <c r="L470" s="74"/>
      <c r="N470" s="197"/>
      <c r="O470" s="197"/>
      <c r="Q470" s="197"/>
      <c r="U470" s="198"/>
    </row>
    <row r="471">
      <c r="A471" s="74"/>
      <c r="B471" s="74"/>
      <c r="D471" s="74"/>
      <c r="G471" s="196"/>
      <c r="H471" s="196"/>
      <c r="I471" s="197"/>
      <c r="L471" s="74"/>
      <c r="N471" s="197"/>
      <c r="O471" s="197"/>
      <c r="Q471" s="197"/>
      <c r="U471" s="198"/>
    </row>
    <row r="472">
      <c r="A472" s="74"/>
      <c r="B472" s="74"/>
      <c r="D472" s="74"/>
      <c r="G472" s="196"/>
      <c r="H472" s="196"/>
      <c r="I472" s="197"/>
      <c r="L472" s="74"/>
      <c r="N472" s="197"/>
      <c r="O472" s="197"/>
      <c r="Q472" s="197"/>
      <c r="U472" s="198"/>
    </row>
    <row r="473">
      <c r="A473" s="74"/>
      <c r="B473" s="74"/>
      <c r="D473" s="74"/>
      <c r="G473" s="196"/>
      <c r="H473" s="196"/>
      <c r="I473" s="197"/>
      <c r="L473" s="74"/>
      <c r="N473" s="197"/>
      <c r="O473" s="197"/>
      <c r="Q473" s="197"/>
      <c r="U473" s="198"/>
    </row>
    <row r="474">
      <c r="A474" s="74"/>
      <c r="B474" s="74"/>
      <c r="D474" s="74"/>
      <c r="G474" s="196"/>
      <c r="H474" s="196"/>
      <c r="I474" s="197"/>
      <c r="L474" s="74"/>
      <c r="N474" s="197"/>
      <c r="O474" s="197"/>
      <c r="Q474" s="197"/>
      <c r="U474" s="198"/>
    </row>
    <row r="475">
      <c r="A475" s="74"/>
      <c r="B475" s="74"/>
      <c r="D475" s="74"/>
      <c r="G475" s="196"/>
      <c r="H475" s="196"/>
      <c r="I475" s="197"/>
      <c r="L475" s="74"/>
      <c r="N475" s="197"/>
      <c r="O475" s="197"/>
      <c r="Q475" s="197"/>
      <c r="U475" s="198"/>
    </row>
    <row r="476">
      <c r="A476" s="74"/>
      <c r="B476" s="74"/>
      <c r="D476" s="74"/>
      <c r="G476" s="196"/>
      <c r="H476" s="196"/>
      <c r="I476" s="197"/>
      <c r="L476" s="74"/>
      <c r="N476" s="197"/>
      <c r="O476" s="197"/>
      <c r="Q476" s="197"/>
      <c r="U476" s="198"/>
    </row>
    <row r="477">
      <c r="A477" s="74"/>
      <c r="B477" s="74"/>
      <c r="D477" s="74"/>
      <c r="G477" s="196"/>
      <c r="H477" s="196"/>
      <c r="I477" s="197"/>
      <c r="L477" s="74"/>
      <c r="N477" s="197"/>
      <c r="O477" s="197"/>
      <c r="Q477" s="197"/>
      <c r="U477" s="198"/>
    </row>
    <row r="478">
      <c r="A478" s="74"/>
      <c r="B478" s="74"/>
      <c r="D478" s="74"/>
      <c r="G478" s="196"/>
      <c r="H478" s="196"/>
      <c r="I478" s="197"/>
      <c r="L478" s="74"/>
      <c r="N478" s="197"/>
      <c r="O478" s="197"/>
      <c r="Q478" s="197"/>
      <c r="U478" s="198"/>
    </row>
    <row r="479">
      <c r="A479" s="74"/>
      <c r="B479" s="74"/>
      <c r="D479" s="74"/>
      <c r="G479" s="196"/>
      <c r="H479" s="196"/>
      <c r="I479" s="197"/>
      <c r="L479" s="74"/>
      <c r="N479" s="197"/>
      <c r="O479" s="197"/>
      <c r="Q479" s="197"/>
      <c r="U479" s="198"/>
    </row>
    <row r="480">
      <c r="A480" s="74"/>
      <c r="B480" s="74"/>
      <c r="D480" s="74"/>
      <c r="G480" s="196"/>
      <c r="H480" s="196"/>
      <c r="I480" s="197"/>
      <c r="L480" s="74"/>
      <c r="N480" s="197"/>
      <c r="O480" s="197"/>
      <c r="Q480" s="197"/>
      <c r="U480" s="198"/>
    </row>
    <row r="481">
      <c r="A481" s="74"/>
      <c r="B481" s="74"/>
      <c r="D481" s="74"/>
      <c r="G481" s="196"/>
      <c r="H481" s="196"/>
      <c r="I481" s="197"/>
      <c r="L481" s="74"/>
      <c r="N481" s="197"/>
      <c r="O481" s="197"/>
      <c r="Q481" s="197"/>
      <c r="U481" s="198"/>
    </row>
    <row r="482">
      <c r="A482" s="74"/>
      <c r="B482" s="74"/>
      <c r="D482" s="74"/>
      <c r="G482" s="196"/>
      <c r="H482" s="196"/>
      <c r="I482" s="197"/>
      <c r="L482" s="74"/>
      <c r="N482" s="197"/>
      <c r="O482" s="197"/>
      <c r="Q482" s="197"/>
      <c r="U482" s="198"/>
    </row>
    <row r="483">
      <c r="A483" s="74"/>
      <c r="B483" s="74"/>
      <c r="D483" s="74"/>
      <c r="G483" s="196"/>
      <c r="H483" s="196"/>
      <c r="I483" s="197"/>
      <c r="L483" s="74"/>
      <c r="N483" s="197"/>
      <c r="O483" s="197"/>
      <c r="Q483" s="197"/>
      <c r="U483" s="198"/>
    </row>
    <row r="484">
      <c r="A484" s="74"/>
      <c r="B484" s="74"/>
      <c r="D484" s="74"/>
      <c r="G484" s="196"/>
      <c r="H484" s="196"/>
      <c r="I484" s="197"/>
      <c r="L484" s="74"/>
      <c r="N484" s="197"/>
      <c r="O484" s="197"/>
      <c r="Q484" s="197"/>
      <c r="U484" s="198"/>
    </row>
    <row r="485">
      <c r="A485" s="74"/>
      <c r="B485" s="74"/>
      <c r="D485" s="74"/>
      <c r="G485" s="196"/>
      <c r="H485" s="196"/>
      <c r="I485" s="197"/>
      <c r="L485" s="74"/>
      <c r="N485" s="197"/>
      <c r="O485" s="197"/>
      <c r="Q485" s="197"/>
      <c r="U485" s="198"/>
    </row>
    <row r="486">
      <c r="A486" s="74"/>
      <c r="B486" s="74"/>
      <c r="D486" s="74"/>
      <c r="G486" s="196"/>
      <c r="H486" s="196"/>
      <c r="I486" s="197"/>
      <c r="L486" s="74"/>
      <c r="N486" s="197"/>
      <c r="O486" s="197"/>
      <c r="Q486" s="197"/>
      <c r="U486" s="198"/>
    </row>
    <row r="487">
      <c r="A487" s="74"/>
      <c r="B487" s="74"/>
      <c r="D487" s="74"/>
      <c r="G487" s="196"/>
      <c r="H487" s="196"/>
      <c r="I487" s="197"/>
      <c r="L487" s="74"/>
      <c r="N487" s="197"/>
      <c r="O487" s="197"/>
      <c r="Q487" s="197"/>
      <c r="U487" s="198"/>
    </row>
    <row r="488">
      <c r="A488" s="74"/>
      <c r="B488" s="74"/>
      <c r="D488" s="74"/>
      <c r="G488" s="196"/>
      <c r="H488" s="196"/>
      <c r="I488" s="197"/>
      <c r="L488" s="74"/>
      <c r="N488" s="197"/>
      <c r="O488" s="197"/>
      <c r="Q488" s="197"/>
      <c r="U488" s="198"/>
    </row>
    <row r="489">
      <c r="A489" s="74"/>
      <c r="B489" s="74"/>
      <c r="D489" s="74"/>
      <c r="G489" s="196"/>
      <c r="H489" s="196"/>
      <c r="I489" s="197"/>
      <c r="L489" s="74"/>
      <c r="N489" s="197"/>
      <c r="O489" s="197"/>
      <c r="Q489" s="197"/>
      <c r="U489" s="198"/>
    </row>
    <row r="490">
      <c r="A490" s="74"/>
      <c r="B490" s="74"/>
      <c r="D490" s="74"/>
      <c r="G490" s="196"/>
      <c r="H490" s="196"/>
      <c r="I490" s="197"/>
      <c r="L490" s="74"/>
      <c r="N490" s="197"/>
      <c r="O490" s="197"/>
      <c r="Q490" s="197"/>
      <c r="U490" s="198"/>
    </row>
    <row r="491">
      <c r="A491" s="74"/>
      <c r="B491" s="74"/>
      <c r="D491" s="74"/>
      <c r="G491" s="196"/>
      <c r="H491" s="196"/>
      <c r="I491" s="197"/>
      <c r="L491" s="74"/>
      <c r="N491" s="197"/>
      <c r="O491" s="197"/>
      <c r="Q491" s="197"/>
      <c r="U491" s="198"/>
    </row>
    <row r="492">
      <c r="A492" s="74"/>
      <c r="B492" s="74"/>
      <c r="D492" s="74"/>
      <c r="G492" s="196"/>
      <c r="H492" s="196"/>
      <c r="I492" s="197"/>
      <c r="L492" s="74"/>
      <c r="N492" s="197"/>
      <c r="O492" s="197"/>
      <c r="Q492" s="197"/>
      <c r="U492" s="198"/>
    </row>
    <row r="493">
      <c r="A493" s="74"/>
      <c r="B493" s="74"/>
      <c r="D493" s="74"/>
      <c r="G493" s="196"/>
      <c r="H493" s="196"/>
      <c r="I493" s="197"/>
      <c r="L493" s="74"/>
      <c r="N493" s="197"/>
      <c r="O493" s="197"/>
      <c r="Q493" s="197"/>
      <c r="U493" s="198"/>
    </row>
    <row r="494">
      <c r="A494" s="74"/>
      <c r="B494" s="74"/>
      <c r="D494" s="74"/>
      <c r="G494" s="196"/>
      <c r="H494" s="196"/>
      <c r="I494" s="197"/>
      <c r="L494" s="74"/>
      <c r="N494" s="197"/>
      <c r="O494" s="197"/>
      <c r="Q494" s="197"/>
      <c r="U494" s="198"/>
    </row>
    <row r="495">
      <c r="A495" s="74"/>
      <c r="B495" s="74"/>
      <c r="D495" s="74"/>
      <c r="G495" s="196"/>
      <c r="H495" s="196"/>
      <c r="I495" s="197"/>
      <c r="L495" s="74"/>
      <c r="N495" s="197"/>
      <c r="O495" s="197"/>
      <c r="Q495" s="197"/>
      <c r="U495" s="198"/>
    </row>
    <row r="496">
      <c r="A496" s="74"/>
      <c r="B496" s="74"/>
      <c r="D496" s="74"/>
      <c r="G496" s="196"/>
      <c r="H496" s="196"/>
      <c r="I496" s="197"/>
      <c r="L496" s="74"/>
      <c r="N496" s="197"/>
      <c r="O496" s="197"/>
      <c r="Q496" s="197"/>
      <c r="U496" s="198"/>
    </row>
    <row r="497">
      <c r="A497" s="74"/>
      <c r="B497" s="74"/>
      <c r="D497" s="74"/>
      <c r="G497" s="196"/>
      <c r="H497" s="196"/>
      <c r="I497" s="197"/>
      <c r="L497" s="74"/>
      <c r="N497" s="197"/>
      <c r="O497" s="197"/>
      <c r="Q497" s="197"/>
      <c r="U497" s="198"/>
    </row>
    <row r="498">
      <c r="A498" s="74"/>
      <c r="B498" s="74"/>
      <c r="D498" s="74"/>
      <c r="G498" s="196"/>
      <c r="H498" s="196"/>
      <c r="I498" s="197"/>
      <c r="L498" s="74"/>
      <c r="N498" s="197"/>
      <c r="O498" s="197"/>
      <c r="Q498" s="197"/>
      <c r="U498" s="198"/>
    </row>
    <row r="499">
      <c r="A499" s="74"/>
      <c r="B499" s="74"/>
      <c r="D499" s="74"/>
      <c r="G499" s="196"/>
      <c r="H499" s="196"/>
      <c r="I499" s="197"/>
      <c r="L499" s="74"/>
      <c r="N499" s="197"/>
      <c r="O499" s="197"/>
      <c r="Q499" s="197"/>
      <c r="U499" s="198"/>
    </row>
    <row r="500">
      <c r="A500" s="74"/>
      <c r="B500" s="74"/>
      <c r="D500" s="74"/>
      <c r="G500" s="196"/>
      <c r="H500" s="196"/>
      <c r="I500" s="197"/>
      <c r="L500" s="74"/>
      <c r="N500" s="197"/>
      <c r="O500" s="197"/>
      <c r="Q500" s="197"/>
      <c r="U500" s="198"/>
    </row>
    <row r="501">
      <c r="A501" s="74"/>
      <c r="B501" s="74"/>
      <c r="D501" s="74"/>
      <c r="G501" s="196"/>
      <c r="H501" s="196"/>
      <c r="I501" s="197"/>
      <c r="L501" s="74"/>
      <c r="N501" s="197"/>
      <c r="O501" s="197"/>
      <c r="Q501" s="197"/>
      <c r="U501" s="198"/>
    </row>
    <row r="502">
      <c r="A502" s="74"/>
      <c r="B502" s="74"/>
      <c r="D502" s="74"/>
      <c r="G502" s="196"/>
      <c r="H502" s="196"/>
      <c r="I502" s="197"/>
      <c r="L502" s="74"/>
      <c r="N502" s="197"/>
      <c r="O502" s="197"/>
      <c r="Q502" s="197"/>
      <c r="U502" s="198"/>
    </row>
    <row r="503">
      <c r="A503" s="74"/>
      <c r="B503" s="74"/>
      <c r="D503" s="74"/>
      <c r="G503" s="196"/>
      <c r="H503" s="196"/>
      <c r="I503" s="197"/>
      <c r="L503" s="74"/>
      <c r="N503" s="197"/>
      <c r="O503" s="197"/>
      <c r="Q503" s="197"/>
      <c r="U503" s="198"/>
    </row>
    <row r="504">
      <c r="A504" s="74"/>
      <c r="B504" s="74"/>
      <c r="D504" s="74"/>
      <c r="G504" s="196"/>
      <c r="H504" s="196"/>
      <c r="I504" s="197"/>
      <c r="L504" s="74"/>
      <c r="N504" s="197"/>
      <c r="O504" s="197"/>
      <c r="Q504" s="197"/>
      <c r="U504" s="198"/>
    </row>
    <row r="505">
      <c r="A505" s="74"/>
      <c r="B505" s="74"/>
      <c r="D505" s="74"/>
      <c r="G505" s="196"/>
      <c r="H505" s="196"/>
      <c r="I505" s="197"/>
      <c r="L505" s="74"/>
      <c r="N505" s="197"/>
      <c r="O505" s="197"/>
      <c r="Q505" s="197"/>
      <c r="U505" s="198"/>
    </row>
    <row r="506">
      <c r="A506" s="74"/>
      <c r="B506" s="74"/>
      <c r="D506" s="74"/>
      <c r="G506" s="196"/>
      <c r="H506" s="196"/>
      <c r="I506" s="197"/>
      <c r="L506" s="74"/>
      <c r="N506" s="197"/>
      <c r="O506" s="197"/>
      <c r="Q506" s="197"/>
      <c r="U506" s="198"/>
    </row>
    <row r="507">
      <c r="A507" s="74"/>
      <c r="B507" s="74"/>
      <c r="D507" s="74"/>
      <c r="G507" s="196"/>
      <c r="H507" s="196"/>
      <c r="I507" s="197"/>
      <c r="L507" s="74"/>
      <c r="N507" s="197"/>
      <c r="O507" s="197"/>
      <c r="Q507" s="197"/>
      <c r="U507" s="198"/>
    </row>
    <row r="508">
      <c r="A508" s="74"/>
      <c r="B508" s="74"/>
      <c r="D508" s="74"/>
      <c r="G508" s="196"/>
      <c r="H508" s="196"/>
      <c r="I508" s="197"/>
      <c r="L508" s="74"/>
      <c r="N508" s="197"/>
      <c r="O508" s="197"/>
      <c r="Q508" s="197"/>
      <c r="U508" s="198"/>
    </row>
    <row r="509">
      <c r="A509" s="74"/>
      <c r="B509" s="74"/>
      <c r="D509" s="74"/>
      <c r="G509" s="196"/>
      <c r="H509" s="196"/>
      <c r="I509" s="197"/>
      <c r="L509" s="74"/>
      <c r="N509" s="197"/>
      <c r="O509" s="197"/>
      <c r="Q509" s="197"/>
      <c r="U509" s="198"/>
    </row>
    <row r="510">
      <c r="A510" s="74"/>
      <c r="B510" s="74"/>
      <c r="D510" s="74"/>
      <c r="G510" s="196"/>
      <c r="H510" s="196"/>
      <c r="I510" s="197"/>
      <c r="L510" s="74"/>
      <c r="N510" s="197"/>
      <c r="O510" s="197"/>
      <c r="Q510" s="197"/>
      <c r="U510" s="198"/>
    </row>
    <row r="511">
      <c r="A511" s="74"/>
      <c r="B511" s="74"/>
      <c r="D511" s="74"/>
      <c r="G511" s="196"/>
      <c r="H511" s="196"/>
      <c r="I511" s="197"/>
      <c r="L511" s="74"/>
      <c r="N511" s="197"/>
      <c r="O511" s="197"/>
      <c r="Q511" s="197"/>
      <c r="U511" s="198"/>
    </row>
    <row r="512">
      <c r="A512" s="74"/>
      <c r="B512" s="74"/>
      <c r="D512" s="74"/>
      <c r="G512" s="196"/>
      <c r="H512" s="196"/>
      <c r="I512" s="197"/>
      <c r="L512" s="74"/>
      <c r="N512" s="197"/>
      <c r="O512" s="197"/>
      <c r="Q512" s="197"/>
      <c r="U512" s="198"/>
    </row>
    <row r="513">
      <c r="A513" s="74"/>
      <c r="B513" s="74"/>
      <c r="D513" s="74"/>
      <c r="G513" s="196"/>
      <c r="H513" s="196"/>
      <c r="I513" s="197"/>
      <c r="L513" s="74"/>
      <c r="N513" s="197"/>
      <c r="O513" s="197"/>
      <c r="Q513" s="197"/>
      <c r="U513" s="198"/>
    </row>
    <row r="514">
      <c r="A514" s="74"/>
      <c r="B514" s="74"/>
      <c r="D514" s="74"/>
      <c r="G514" s="196"/>
      <c r="H514" s="196"/>
      <c r="I514" s="197"/>
      <c r="L514" s="74"/>
      <c r="N514" s="197"/>
      <c r="O514" s="197"/>
      <c r="Q514" s="197"/>
      <c r="U514" s="198"/>
    </row>
    <row r="515">
      <c r="A515" s="74"/>
      <c r="B515" s="74"/>
      <c r="D515" s="74"/>
      <c r="G515" s="196"/>
      <c r="H515" s="196"/>
      <c r="I515" s="197"/>
      <c r="L515" s="74"/>
      <c r="N515" s="197"/>
      <c r="O515" s="197"/>
      <c r="Q515" s="197"/>
      <c r="U515" s="198"/>
    </row>
    <row r="516">
      <c r="A516" s="74"/>
      <c r="B516" s="74"/>
      <c r="D516" s="74"/>
      <c r="G516" s="196"/>
      <c r="H516" s="196"/>
      <c r="I516" s="197"/>
      <c r="L516" s="74"/>
      <c r="N516" s="197"/>
      <c r="O516" s="197"/>
      <c r="Q516" s="197"/>
      <c r="U516" s="198"/>
    </row>
    <row r="517">
      <c r="A517" s="74"/>
      <c r="B517" s="74"/>
      <c r="D517" s="74"/>
      <c r="G517" s="196"/>
      <c r="H517" s="196"/>
      <c r="I517" s="197"/>
      <c r="L517" s="74"/>
      <c r="N517" s="197"/>
      <c r="O517" s="197"/>
      <c r="Q517" s="197"/>
      <c r="U517" s="198"/>
    </row>
    <row r="518">
      <c r="A518" s="74"/>
      <c r="B518" s="74"/>
      <c r="D518" s="74"/>
      <c r="G518" s="196"/>
      <c r="H518" s="196"/>
      <c r="I518" s="197"/>
      <c r="L518" s="74"/>
      <c r="N518" s="197"/>
      <c r="O518" s="197"/>
      <c r="Q518" s="197"/>
      <c r="U518" s="198"/>
    </row>
    <row r="519">
      <c r="A519" s="74"/>
      <c r="B519" s="74"/>
      <c r="D519" s="74"/>
      <c r="G519" s="196"/>
      <c r="H519" s="196"/>
      <c r="I519" s="197"/>
      <c r="L519" s="74"/>
      <c r="N519" s="197"/>
      <c r="O519" s="197"/>
      <c r="Q519" s="197"/>
      <c r="U519" s="198"/>
    </row>
    <row r="520">
      <c r="A520" s="74"/>
      <c r="B520" s="74"/>
      <c r="D520" s="74"/>
      <c r="G520" s="196"/>
      <c r="H520" s="196"/>
      <c r="I520" s="197"/>
      <c r="L520" s="74"/>
      <c r="N520" s="197"/>
      <c r="O520" s="197"/>
      <c r="Q520" s="197"/>
      <c r="U520" s="198"/>
    </row>
    <row r="521">
      <c r="A521" s="74"/>
      <c r="B521" s="74"/>
      <c r="D521" s="74"/>
      <c r="G521" s="196"/>
      <c r="H521" s="196"/>
      <c r="I521" s="197"/>
      <c r="L521" s="74"/>
      <c r="N521" s="197"/>
      <c r="O521" s="197"/>
      <c r="Q521" s="197"/>
      <c r="U521" s="198"/>
    </row>
    <row r="522">
      <c r="A522" s="74"/>
      <c r="B522" s="74"/>
      <c r="D522" s="74"/>
      <c r="G522" s="196"/>
      <c r="H522" s="196"/>
      <c r="I522" s="197"/>
      <c r="L522" s="74"/>
      <c r="N522" s="197"/>
      <c r="O522" s="197"/>
      <c r="Q522" s="197"/>
      <c r="U522" s="198"/>
    </row>
    <row r="523">
      <c r="A523" s="74"/>
      <c r="B523" s="74"/>
      <c r="D523" s="74"/>
      <c r="G523" s="196"/>
      <c r="H523" s="196"/>
      <c r="I523" s="197"/>
      <c r="L523" s="74"/>
      <c r="N523" s="197"/>
      <c r="O523" s="197"/>
      <c r="Q523" s="197"/>
      <c r="U523" s="198"/>
    </row>
    <row r="524">
      <c r="A524" s="74"/>
      <c r="B524" s="74"/>
      <c r="D524" s="74"/>
      <c r="G524" s="196"/>
      <c r="H524" s="196"/>
      <c r="I524" s="197"/>
      <c r="L524" s="74"/>
      <c r="N524" s="197"/>
      <c r="O524" s="197"/>
      <c r="Q524" s="197"/>
      <c r="U524" s="198"/>
    </row>
    <row r="525">
      <c r="A525" s="74"/>
      <c r="B525" s="74"/>
      <c r="D525" s="74"/>
      <c r="G525" s="196"/>
      <c r="H525" s="196"/>
      <c r="I525" s="197"/>
      <c r="L525" s="74"/>
      <c r="N525" s="197"/>
      <c r="O525" s="197"/>
      <c r="Q525" s="197"/>
      <c r="U525" s="198"/>
    </row>
    <row r="526">
      <c r="A526" s="74"/>
      <c r="B526" s="74"/>
      <c r="D526" s="74"/>
      <c r="G526" s="196"/>
      <c r="H526" s="196"/>
      <c r="I526" s="197"/>
      <c r="L526" s="74"/>
      <c r="N526" s="197"/>
      <c r="O526" s="197"/>
      <c r="Q526" s="197"/>
      <c r="U526" s="198"/>
    </row>
    <row r="527">
      <c r="A527" s="74"/>
      <c r="B527" s="74"/>
      <c r="D527" s="74"/>
      <c r="G527" s="196"/>
      <c r="H527" s="196"/>
      <c r="I527" s="197"/>
      <c r="L527" s="74"/>
      <c r="N527" s="197"/>
      <c r="O527" s="197"/>
      <c r="Q527" s="197"/>
      <c r="U527" s="198"/>
    </row>
    <row r="528">
      <c r="A528" s="74"/>
      <c r="B528" s="74"/>
      <c r="D528" s="74"/>
      <c r="G528" s="196"/>
      <c r="H528" s="196"/>
      <c r="I528" s="197"/>
      <c r="L528" s="74"/>
      <c r="N528" s="197"/>
      <c r="O528" s="197"/>
      <c r="Q528" s="197"/>
      <c r="U528" s="198"/>
    </row>
    <row r="529">
      <c r="A529" s="74"/>
      <c r="B529" s="74"/>
      <c r="D529" s="74"/>
      <c r="G529" s="196"/>
      <c r="H529" s="196"/>
      <c r="I529" s="197"/>
      <c r="L529" s="74"/>
      <c r="N529" s="197"/>
      <c r="O529" s="197"/>
      <c r="Q529" s="197"/>
      <c r="U529" s="198"/>
    </row>
    <row r="530">
      <c r="A530" s="74"/>
      <c r="B530" s="74"/>
      <c r="D530" s="74"/>
      <c r="G530" s="196"/>
      <c r="H530" s="196"/>
      <c r="I530" s="197"/>
      <c r="L530" s="74"/>
      <c r="N530" s="197"/>
      <c r="O530" s="197"/>
      <c r="Q530" s="197"/>
      <c r="U530" s="198"/>
    </row>
    <row r="531">
      <c r="A531" s="74"/>
      <c r="B531" s="74"/>
      <c r="D531" s="74"/>
      <c r="G531" s="196"/>
      <c r="H531" s="196"/>
      <c r="I531" s="197"/>
      <c r="L531" s="74"/>
      <c r="N531" s="197"/>
      <c r="O531" s="197"/>
      <c r="Q531" s="197"/>
      <c r="U531" s="198"/>
    </row>
    <row r="532">
      <c r="A532" s="74"/>
      <c r="B532" s="74"/>
      <c r="D532" s="74"/>
      <c r="G532" s="196"/>
      <c r="H532" s="196"/>
      <c r="I532" s="197"/>
      <c r="L532" s="74"/>
      <c r="N532" s="197"/>
      <c r="O532" s="197"/>
      <c r="Q532" s="197"/>
      <c r="U532" s="198"/>
    </row>
    <row r="533">
      <c r="A533" s="74"/>
      <c r="B533" s="74"/>
      <c r="D533" s="74"/>
      <c r="G533" s="196"/>
      <c r="H533" s="196"/>
      <c r="I533" s="197"/>
      <c r="L533" s="74"/>
      <c r="N533" s="197"/>
      <c r="O533" s="197"/>
      <c r="Q533" s="197"/>
      <c r="U533" s="198"/>
    </row>
    <row r="534">
      <c r="A534" s="74"/>
      <c r="B534" s="74"/>
      <c r="D534" s="74"/>
      <c r="G534" s="196"/>
      <c r="H534" s="196"/>
      <c r="I534" s="197"/>
      <c r="L534" s="74"/>
      <c r="N534" s="197"/>
      <c r="O534" s="197"/>
      <c r="Q534" s="197"/>
      <c r="U534" s="198"/>
    </row>
    <row r="535">
      <c r="A535" s="74"/>
      <c r="B535" s="74"/>
      <c r="D535" s="74"/>
      <c r="G535" s="196"/>
      <c r="H535" s="196"/>
      <c r="I535" s="197"/>
      <c r="L535" s="74"/>
      <c r="N535" s="197"/>
      <c r="O535" s="197"/>
      <c r="Q535" s="197"/>
      <c r="U535" s="198"/>
    </row>
    <row r="536">
      <c r="A536" s="74"/>
      <c r="B536" s="74"/>
      <c r="D536" s="74"/>
      <c r="G536" s="196"/>
      <c r="H536" s="196"/>
      <c r="I536" s="197"/>
      <c r="L536" s="74"/>
      <c r="N536" s="197"/>
      <c r="O536" s="197"/>
      <c r="Q536" s="197"/>
      <c r="U536" s="198"/>
    </row>
    <row r="537">
      <c r="A537" s="74"/>
      <c r="B537" s="74"/>
      <c r="D537" s="74"/>
      <c r="G537" s="196"/>
      <c r="H537" s="196"/>
      <c r="I537" s="197"/>
      <c r="L537" s="74"/>
      <c r="N537" s="197"/>
      <c r="O537" s="197"/>
      <c r="Q537" s="197"/>
      <c r="U537" s="198"/>
    </row>
    <row r="538">
      <c r="A538" s="74"/>
      <c r="B538" s="74"/>
      <c r="D538" s="74"/>
      <c r="G538" s="196"/>
      <c r="H538" s="196"/>
      <c r="I538" s="197"/>
      <c r="L538" s="74"/>
      <c r="N538" s="197"/>
      <c r="O538" s="197"/>
      <c r="Q538" s="197"/>
      <c r="U538" s="198"/>
    </row>
    <row r="539">
      <c r="A539" s="74"/>
      <c r="B539" s="74"/>
      <c r="D539" s="74"/>
      <c r="G539" s="196"/>
      <c r="H539" s="196"/>
      <c r="I539" s="197"/>
      <c r="L539" s="74"/>
      <c r="N539" s="197"/>
      <c r="O539" s="197"/>
      <c r="Q539" s="197"/>
      <c r="U539" s="198"/>
    </row>
    <row r="540">
      <c r="A540" s="74"/>
      <c r="B540" s="74"/>
      <c r="D540" s="74"/>
      <c r="G540" s="196"/>
      <c r="H540" s="196"/>
      <c r="I540" s="197"/>
      <c r="L540" s="74"/>
      <c r="N540" s="197"/>
      <c r="O540" s="197"/>
      <c r="Q540" s="197"/>
      <c r="U540" s="198"/>
    </row>
    <row r="541">
      <c r="A541" s="74"/>
      <c r="B541" s="74"/>
      <c r="D541" s="74"/>
      <c r="G541" s="196"/>
      <c r="H541" s="196"/>
      <c r="I541" s="197"/>
      <c r="L541" s="74"/>
      <c r="N541" s="197"/>
      <c r="O541" s="197"/>
      <c r="Q541" s="197"/>
      <c r="U541" s="198"/>
    </row>
    <row r="542">
      <c r="A542" s="74"/>
      <c r="B542" s="74"/>
      <c r="D542" s="74"/>
      <c r="G542" s="196"/>
      <c r="H542" s="196"/>
      <c r="I542" s="197"/>
      <c r="L542" s="74"/>
      <c r="N542" s="197"/>
      <c r="O542" s="197"/>
      <c r="Q542" s="197"/>
      <c r="U542" s="198"/>
    </row>
    <row r="543">
      <c r="A543" s="74"/>
      <c r="B543" s="74"/>
      <c r="D543" s="74"/>
      <c r="G543" s="196"/>
      <c r="H543" s="196"/>
      <c r="I543" s="197"/>
      <c r="L543" s="74"/>
      <c r="N543" s="197"/>
      <c r="O543" s="197"/>
      <c r="Q543" s="197"/>
      <c r="U543" s="198"/>
    </row>
    <row r="544">
      <c r="A544" s="74"/>
      <c r="B544" s="74"/>
      <c r="D544" s="74"/>
      <c r="G544" s="196"/>
      <c r="H544" s="196"/>
      <c r="I544" s="197"/>
      <c r="L544" s="74"/>
      <c r="N544" s="197"/>
      <c r="O544" s="197"/>
      <c r="Q544" s="197"/>
      <c r="U544" s="198"/>
    </row>
    <row r="545">
      <c r="A545" s="74"/>
      <c r="B545" s="74"/>
      <c r="D545" s="74"/>
      <c r="G545" s="196"/>
      <c r="H545" s="196"/>
      <c r="I545" s="197"/>
      <c r="L545" s="74"/>
      <c r="N545" s="197"/>
      <c r="O545" s="197"/>
      <c r="Q545" s="197"/>
      <c r="U545" s="198"/>
    </row>
    <row r="546">
      <c r="A546" s="74"/>
      <c r="B546" s="74"/>
      <c r="D546" s="74"/>
      <c r="G546" s="196"/>
      <c r="H546" s="196"/>
      <c r="I546" s="197"/>
      <c r="L546" s="74"/>
      <c r="N546" s="197"/>
      <c r="O546" s="197"/>
      <c r="Q546" s="197"/>
      <c r="U546" s="198"/>
    </row>
    <row r="547">
      <c r="A547" s="74"/>
      <c r="B547" s="74"/>
      <c r="D547" s="74"/>
      <c r="G547" s="196"/>
      <c r="H547" s="196"/>
      <c r="I547" s="197"/>
      <c r="L547" s="74"/>
      <c r="N547" s="197"/>
      <c r="O547" s="197"/>
      <c r="Q547" s="197"/>
      <c r="U547" s="198"/>
    </row>
    <row r="548">
      <c r="A548" s="74"/>
      <c r="B548" s="74"/>
      <c r="D548" s="74"/>
      <c r="G548" s="196"/>
      <c r="H548" s="196"/>
      <c r="I548" s="197"/>
      <c r="L548" s="74"/>
      <c r="N548" s="197"/>
      <c r="O548" s="197"/>
      <c r="Q548" s="197"/>
      <c r="U548" s="198"/>
    </row>
    <row r="549">
      <c r="A549" s="74"/>
      <c r="B549" s="74"/>
      <c r="D549" s="74"/>
      <c r="G549" s="196"/>
      <c r="H549" s="196"/>
      <c r="I549" s="197"/>
      <c r="L549" s="74"/>
      <c r="N549" s="197"/>
      <c r="O549" s="197"/>
      <c r="Q549" s="197"/>
      <c r="U549" s="198"/>
    </row>
    <row r="550">
      <c r="A550" s="74"/>
      <c r="B550" s="74"/>
      <c r="D550" s="74"/>
      <c r="G550" s="196"/>
      <c r="H550" s="196"/>
      <c r="I550" s="197"/>
      <c r="L550" s="74"/>
      <c r="N550" s="197"/>
      <c r="O550" s="197"/>
      <c r="Q550" s="197"/>
      <c r="U550" s="198"/>
    </row>
    <row r="551">
      <c r="A551" s="74"/>
      <c r="B551" s="74"/>
      <c r="D551" s="74"/>
      <c r="G551" s="196"/>
      <c r="H551" s="196"/>
      <c r="I551" s="197"/>
      <c r="L551" s="74"/>
      <c r="N551" s="197"/>
      <c r="O551" s="197"/>
      <c r="Q551" s="197"/>
      <c r="U551" s="198"/>
    </row>
    <row r="552">
      <c r="A552" s="74"/>
      <c r="B552" s="74"/>
      <c r="D552" s="74"/>
      <c r="G552" s="196"/>
      <c r="H552" s="196"/>
      <c r="I552" s="197"/>
      <c r="L552" s="74"/>
      <c r="N552" s="197"/>
      <c r="O552" s="197"/>
      <c r="Q552" s="197"/>
      <c r="U552" s="198"/>
    </row>
    <row r="553">
      <c r="A553" s="74"/>
      <c r="B553" s="74"/>
      <c r="D553" s="74"/>
      <c r="G553" s="196"/>
      <c r="H553" s="196"/>
      <c r="I553" s="197"/>
      <c r="L553" s="74"/>
      <c r="N553" s="197"/>
      <c r="O553" s="197"/>
      <c r="Q553" s="197"/>
      <c r="U553" s="198"/>
    </row>
    <row r="554">
      <c r="A554" s="74"/>
      <c r="B554" s="74"/>
      <c r="D554" s="74"/>
      <c r="G554" s="196"/>
      <c r="H554" s="196"/>
      <c r="I554" s="197"/>
      <c r="L554" s="74"/>
      <c r="N554" s="197"/>
      <c r="O554" s="197"/>
      <c r="Q554" s="197"/>
      <c r="U554" s="198"/>
    </row>
    <row r="555">
      <c r="A555" s="74"/>
      <c r="B555" s="74"/>
      <c r="D555" s="74"/>
      <c r="G555" s="196"/>
      <c r="H555" s="196"/>
      <c r="I555" s="197"/>
      <c r="L555" s="74"/>
      <c r="N555" s="197"/>
      <c r="O555" s="197"/>
      <c r="Q555" s="197"/>
      <c r="U555" s="198"/>
    </row>
    <row r="556">
      <c r="A556" s="74"/>
      <c r="B556" s="74"/>
      <c r="D556" s="74"/>
      <c r="G556" s="196"/>
      <c r="H556" s="196"/>
      <c r="I556" s="197"/>
      <c r="L556" s="74"/>
      <c r="N556" s="197"/>
      <c r="O556" s="197"/>
      <c r="Q556" s="197"/>
      <c r="U556" s="198"/>
    </row>
    <row r="557">
      <c r="A557" s="74"/>
      <c r="B557" s="74"/>
      <c r="D557" s="74"/>
      <c r="G557" s="196"/>
      <c r="H557" s="196"/>
      <c r="I557" s="197"/>
      <c r="L557" s="74"/>
      <c r="N557" s="197"/>
      <c r="O557" s="197"/>
      <c r="Q557" s="197"/>
      <c r="U557" s="198"/>
    </row>
    <row r="558">
      <c r="A558" s="74"/>
      <c r="B558" s="74"/>
      <c r="D558" s="74"/>
      <c r="G558" s="196"/>
      <c r="H558" s="196"/>
      <c r="I558" s="197"/>
      <c r="L558" s="74"/>
      <c r="N558" s="197"/>
      <c r="O558" s="197"/>
      <c r="Q558" s="197"/>
      <c r="U558" s="198"/>
    </row>
    <row r="559">
      <c r="A559" s="74"/>
      <c r="B559" s="74"/>
      <c r="D559" s="74"/>
      <c r="G559" s="196"/>
      <c r="H559" s="196"/>
      <c r="I559" s="197"/>
      <c r="L559" s="74"/>
      <c r="N559" s="197"/>
      <c r="O559" s="197"/>
      <c r="Q559" s="197"/>
      <c r="U559" s="198"/>
    </row>
    <row r="560">
      <c r="A560" s="74"/>
      <c r="B560" s="74"/>
      <c r="D560" s="74"/>
      <c r="G560" s="196"/>
      <c r="H560" s="196"/>
      <c r="I560" s="197"/>
      <c r="L560" s="74"/>
      <c r="N560" s="197"/>
      <c r="O560" s="197"/>
      <c r="Q560" s="197"/>
      <c r="U560" s="198"/>
    </row>
    <row r="561">
      <c r="A561" s="74"/>
      <c r="B561" s="74"/>
      <c r="D561" s="74"/>
      <c r="G561" s="196"/>
      <c r="H561" s="196"/>
      <c r="I561" s="197"/>
      <c r="L561" s="74"/>
      <c r="N561" s="197"/>
      <c r="O561" s="197"/>
      <c r="Q561" s="197"/>
      <c r="U561" s="198"/>
    </row>
    <row r="562">
      <c r="A562" s="74"/>
      <c r="B562" s="74"/>
      <c r="D562" s="74"/>
      <c r="G562" s="196"/>
      <c r="H562" s="196"/>
      <c r="I562" s="197"/>
      <c r="L562" s="74"/>
      <c r="N562" s="197"/>
      <c r="O562" s="197"/>
      <c r="Q562" s="197"/>
      <c r="U562" s="198"/>
    </row>
    <row r="563">
      <c r="A563" s="74"/>
      <c r="B563" s="74"/>
      <c r="D563" s="74"/>
      <c r="G563" s="196"/>
      <c r="H563" s="196"/>
      <c r="I563" s="197"/>
      <c r="L563" s="74"/>
      <c r="N563" s="197"/>
      <c r="O563" s="197"/>
      <c r="Q563" s="197"/>
      <c r="U563" s="198"/>
    </row>
    <row r="564">
      <c r="A564" s="74"/>
      <c r="B564" s="74"/>
      <c r="D564" s="74"/>
      <c r="G564" s="196"/>
      <c r="H564" s="196"/>
      <c r="I564" s="197"/>
      <c r="L564" s="74"/>
      <c r="N564" s="197"/>
      <c r="O564" s="197"/>
      <c r="Q564" s="197"/>
      <c r="U564" s="198"/>
    </row>
    <row r="565">
      <c r="A565" s="74"/>
      <c r="B565" s="74"/>
      <c r="D565" s="74"/>
      <c r="G565" s="196"/>
      <c r="H565" s="196"/>
      <c r="I565" s="197"/>
      <c r="L565" s="74"/>
      <c r="N565" s="197"/>
      <c r="O565" s="197"/>
      <c r="Q565" s="197"/>
      <c r="U565" s="198"/>
    </row>
    <row r="566">
      <c r="A566" s="74"/>
      <c r="B566" s="74"/>
      <c r="D566" s="74"/>
      <c r="G566" s="196"/>
      <c r="H566" s="196"/>
      <c r="I566" s="197"/>
      <c r="L566" s="74"/>
      <c r="N566" s="197"/>
      <c r="O566" s="197"/>
      <c r="Q566" s="197"/>
      <c r="U566" s="198"/>
    </row>
    <row r="567">
      <c r="A567" s="74"/>
      <c r="B567" s="74"/>
      <c r="D567" s="74"/>
      <c r="G567" s="196"/>
      <c r="H567" s="196"/>
      <c r="I567" s="197"/>
      <c r="L567" s="74"/>
      <c r="N567" s="197"/>
      <c r="O567" s="197"/>
      <c r="Q567" s="197"/>
      <c r="U567" s="198"/>
    </row>
    <row r="568">
      <c r="A568" s="74"/>
      <c r="B568" s="74"/>
      <c r="D568" s="74"/>
      <c r="G568" s="196"/>
      <c r="H568" s="196"/>
      <c r="I568" s="197"/>
      <c r="L568" s="74"/>
      <c r="N568" s="197"/>
      <c r="O568" s="197"/>
      <c r="Q568" s="197"/>
      <c r="U568" s="198"/>
    </row>
    <row r="569">
      <c r="A569" s="74"/>
      <c r="B569" s="74"/>
      <c r="D569" s="74"/>
      <c r="G569" s="196"/>
      <c r="H569" s="196"/>
      <c r="I569" s="197"/>
      <c r="L569" s="74"/>
      <c r="N569" s="197"/>
      <c r="O569" s="197"/>
      <c r="Q569" s="197"/>
      <c r="U569" s="198"/>
    </row>
    <row r="570">
      <c r="A570" s="74"/>
      <c r="B570" s="74"/>
      <c r="D570" s="74"/>
      <c r="G570" s="196"/>
      <c r="H570" s="196"/>
      <c r="I570" s="197"/>
      <c r="L570" s="74"/>
      <c r="N570" s="197"/>
      <c r="O570" s="197"/>
      <c r="Q570" s="197"/>
      <c r="U570" s="198"/>
    </row>
    <row r="571">
      <c r="A571" s="74"/>
      <c r="B571" s="74"/>
      <c r="D571" s="74"/>
      <c r="G571" s="196"/>
      <c r="H571" s="196"/>
      <c r="I571" s="197"/>
      <c r="L571" s="74"/>
      <c r="N571" s="197"/>
      <c r="O571" s="197"/>
      <c r="Q571" s="197"/>
      <c r="U571" s="198"/>
    </row>
    <row r="572">
      <c r="A572" s="74"/>
      <c r="B572" s="74"/>
      <c r="D572" s="74"/>
      <c r="G572" s="196"/>
      <c r="H572" s="196"/>
      <c r="I572" s="197"/>
      <c r="L572" s="74"/>
      <c r="N572" s="197"/>
      <c r="O572" s="197"/>
      <c r="Q572" s="197"/>
      <c r="U572" s="198"/>
    </row>
    <row r="573">
      <c r="A573" s="74"/>
      <c r="B573" s="74"/>
      <c r="D573" s="74"/>
      <c r="G573" s="196"/>
      <c r="H573" s="196"/>
      <c r="I573" s="197"/>
      <c r="L573" s="74"/>
      <c r="N573" s="197"/>
      <c r="O573" s="197"/>
      <c r="Q573" s="197"/>
      <c r="U573" s="198"/>
    </row>
    <row r="574">
      <c r="A574" s="74"/>
      <c r="B574" s="74"/>
      <c r="D574" s="74"/>
      <c r="G574" s="196"/>
      <c r="H574" s="196"/>
      <c r="I574" s="197"/>
      <c r="L574" s="74"/>
      <c r="N574" s="197"/>
      <c r="O574" s="197"/>
      <c r="Q574" s="197"/>
      <c r="U574" s="198"/>
    </row>
    <row r="575">
      <c r="A575" s="74"/>
      <c r="B575" s="74"/>
      <c r="D575" s="74"/>
      <c r="G575" s="196"/>
      <c r="H575" s="196"/>
      <c r="I575" s="197"/>
      <c r="L575" s="74"/>
      <c r="N575" s="197"/>
      <c r="O575" s="197"/>
      <c r="Q575" s="197"/>
      <c r="U575" s="198"/>
    </row>
    <row r="576">
      <c r="A576" s="74"/>
      <c r="B576" s="74"/>
      <c r="D576" s="74"/>
      <c r="G576" s="196"/>
      <c r="H576" s="196"/>
      <c r="I576" s="197"/>
      <c r="L576" s="74"/>
      <c r="N576" s="197"/>
      <c r="O576" s="197"/>
      <c r="Q576" s="197"/>
      <c r="U576" s="198"/>
    </row>
    <row r="577">
      <c r="A577" s="74"/>
      <c r="B577" s="74"/>
      <c r="D577" s="74"/>
      <c r="G577" s="196"/>
      <c r="H577" s="196"/>
      <c r="I577" s="197"/>
      <c r="L577" s="74"/>
      <c r="N577" s="197"/>
      <c r="O577" s="197"/>
      <c r="Q577" s="197"/>
      <c r="U577" s="198"/>
    </row>
    <row r="578">
      <c r="A578" s="74"/>
      <c r="B578" s="74"/>
      <c r="D578" s="74"/>
      <c r="G578" s="196"/>
      <c r="H578" s="196"/>
      <c r="I578" s="197"/>
      <c r="L578" s="74"/>
      <c r="N578" s="197"/>
      <c r="O578" s="197"/>
      <c r="Q578" s="197"/>
      <c r="U578" s="198"/>
    </row>
    <row r="579">
      <c r="A579" s="74"/>
      <c r="B579" s="74"/>
      <c r="D579" s="74"/>
      <c r="G579" s="196"/>
      <c r="H579" s="196"/>
      <c r="I579" s="197"/>
      <c r="L579" s="74"/>
      <c r="N579" s="197"/>
      <c r="O579" s="197"/>
      <c r="Q579" s="197"/>
      <c r="U579" s="198"/>
    </row>
    <row r="580">
      <c r="A580" s="74"/>
      <c r="B580" s="74"/>
      <c r="D580" s="74"/>
      <c r="G580" s="196"/>
      <c r="H580" s="196"/>
      <c r="I580" s="197"/>
      <c r="L580" s="74"/>
      <c r="N580" s="197"/>
      <c r="O580" s="197"/>
      <c r="Q580" s="197"/>
      <c r="U580" s="198"/>
    </row>
    <row r="581">
      <c r="A581" s="74"/>
      <c r="B581" s="74"/>
      <c r="D581" s="74"/>
      <c r="G581" s="196"/>
      <c r="H581" s="196"/>
      <c r="I581" s="197"/>
      <c r="L581" s="74"/>
      <c r="N581" s="197"/>
      <c r="O581" s="197"/>
      <c r="Q581" s="197"/>
      <c r="U581" s="198"/>
    </row>
    <row r="582">
      <c r="A582" s="74"/>
      <c r="B582" s="74"/>
      <c r="D582" s="74"/>
      <c r="G582" s="196"/>
      <c r="H582" s="196"/>
      <c r="I582" s="197"/>
      <c r="L582" s="74"/>
      <c r="N582" s="197"/>
      <c r="O582" s="197"/>
      <c r="Q582" s="197"/>
      <c r="U582" s="198"/>
    </row>
    <row r="583">
      <c r="A583" s="74"/>
      <c r="B583" s="74"/>
      <c r="D583" s="74"/>
      <c r="G583" s="196"/>
      <c r="H583" s="196"/>
      <c r="I583" s="197"/>
      <c r="L583" s="74"/>
      <c r="N583" s="197"/>
      <c r="O583" s="197"/>
      <c r="Q583" s="197"/>
      <c r="U583" s="198"/>
    </row>
    <row r="584">
      <c r="A584" s="74"/>
      <c r="B584" s="74"/>
      <c r="D584" s="74"/>
      <c r="G584" s="196"/>
      <c r="H584" s="196"/>
      <c r="I584" s="197"/>
      <c r="L584" s="74"/>
      <c r="N584" s="197"/>
      <c r="O584" s="197"/>
      <c r="Q584" s="197"/>
      <c r="U584" s="198"/>
    </row>
    <row r="585">
      <c r="A585" s="74"/>
      <c r="B585" s="74"/>
      <c r="D585" s="74"/>
      <c r="G585" s="196"/>
      <c r="H585" s="196"/>
      <c r="I585" s="197"/>
      <c r="L585" s="74"/>
      <c r="N585" s="197"/>
      <c r="O585" s="197"/>
      <c r="Q585" s="197"/>
      <c r="U585" s="198"/>
    </row>
    <row r="586">
      <c r="A586" s="74"/>
      <c r="B586" s="74"/>
      <c r="D586" s="74"/>
      <c r="G586" s="196"/>
      <c r="H586" s="196"/>
      <c r="I586" s="197"/>
      <c r="L586" s="74"/>
      <c r="N586" s="197"/>
      <c r="O586" s="197"/>
      <c r="Q586" s="197"/>
      <c r="U586" s="198"/>
    </row>
    <row r="587">
      <c r="A587" s="74"/>
      <c r="B587" s="74"/>
      <c r="D587" s="74"/>
      <c r="G587" s="196"/>
      <c r="H587" s="196"/>
      <c r="I587" s="197"/>
      <c r="L587" s="74"/>
      <c r="N587" s="197"/>
      <c r="O587" s="197"/>
      <c r="Q587" s="197"/>
      <c r="U587" s="198"/>
    </row>
    <row r="588">
      <c r="A588" s="74"/>
      <c r="B588" s="74"/>
      <c r="D588" s="74"/>
      <c r="G588" s="196"/>
      <c r="H588" s="196"/>
      <c r="I588" s="197"/>
      <c r="L588" s="74"/>
      <c r="N588" s="197"/>
      <c r="O588" s="197"/>
      <c r="Q588" s="197"/>
      <c r="U588" s="198"/>
    </row>
    <row r="589">
      <c r="A589" s="74"/>
      <c r="B589" s="74"/>
      <c r="D589" s="74"/>
      <c r="G589" s="196"/>
      <c r="H589" s="196"/>
      <c r="I589" s="197"/>
      <c r="L589" s="74"/>
      <c r="N589" s="197"/>
      <c r="O589" s="197"/>
      <c r="Q589" s="197"/>
      <c r="U589" s="198"/>
    </row>
    <row r="590">
      <c r="A590" s="74"/>
      <c r="B590" s="74"/>
      <c r="D590" s="74"/>
      <c r="G590" s="196"/>
      <c r="H590" s="196"/>
      <c r="I590" s="197"/>
      <c r="L590" s="74"/>
      <c r="N590" s="197"/>
      <c r="O590" s="197"/>
      <c r="Q590" s="197"/>
      <c r="U590" s="198"/>
    </row>
    <row r="591">
      <c r="A591" s="74"/>
      <c r="B591" s="74"/>
      <c r="D591" s="74"/>
      <c r="G591" s="196"/>
      <c r="H591" s="196"/>
      <c r="I591" s="197"/>
      <c r="L591" s="74"/>
      <c r="N591" s="197"/>
      <c r="O591" s="197"/>
      <c r="Q591" s="197"/>
      <c r="U591" s="198"/>
    </row>
    <row r="592">
      <c r="A592" s="74"/>
      <c r="B592" s="74"/>
      <c r="D592" s="74"/>
      <c r="G592" s="196"/>
      <c r="H592" s="196"/>
      <c r="I592" s="197"/>
      <c r="L592" s="74"/>
      <c r="N592" s="197"/>
      <c r="O592" s="197"/>
      <c r="Q592" s="197"/>
      <c r="U592" s="198"/>
    </row>
    <row r="593">
      <c r="A593" s="74"/>
      <c r="B593" s="74"/>
      <c r="D593" s="74"/>
      <c r="G593" s="196"/>
      <c r="H593" s="196"/>
      <c r="I593" s="197"/>
      <c r="L593" s="74"/>
      <c r="N593" s="197"/>
      <c r="O593" s="197"/>
      <c r="Q593" s="197"/>
      <c r="U593" s="198"/>
    </row>
    <row r="594">
      <c r="A594" s="74"/>
      <c r="B594" s="74"/>
      <c r="D594" s="74"/>
      <c r="G594" s="196"/>
      <c r="H594" s="196"/>
      <c r="I594" s="197"/>
      <c r="L594" s="74"/>
      <c r="N594" s="197"/>
      <c r="O594" s="197"/>
      <c r="Q594" s="197"/>
      <c r="U594" s="198"/>
    </row>
    <row r="595">
      <c r="A595" s="74"/>
      <c r="B595" s="74"/>
      <c r="D595" s="74"/>
      <c r="G595" s="196"/>
      <c r="H595" s="196"/>
      <c r="I595" s="197"/>
      <c r="L595" s="74"/>
      <c r="N595" s="197"/>
      <c r="O595" s="197"/>
      <c r="Q595" s="197"/>
      <c r="U595" s="198"/>
    </row>
    <row r="596">
      <c r="A596" s="74"/>
      <c r="B596" s="74"/>
      <c r="D596" s="74"/>
      <c r="G596" s="196"/>
      <c r="H596" s="196"/>
      <c r="I596" s="197"/>
      <c r="L596" s="74"/>
      <c r="N596" s="197"/>
      <c r="O596" s="197"/>
      <c r="Q596" s="197"/>
      <c r="U596" s="198"/>
    </row>
    <row r="597">
      <c r="A597" s="74"/>
      <c r="B597" s="74"/>
      <c r="D597" s="74"/>
      <c r="G597" s="196"/>
      <c r="H597" s="196"/>
      <c r="I597" s="197"/>
      <c r="L597" s="74"/>
      <c r="N597" s="197"/>
      <c r="O597" s="197"/>
      <c r="Q597" s="197"/>
      <c r="U597" s="198"/>
    </row>
    <row r="598">
      <c r="A598" s="74"/>
      <c r="B598" s="74"/>
      <c r="D598" s="74"/>
      <c r="G598" s="196"/>
      <c r="H598" s="196"/>
      <c r="I598" s="197"/>
      <c r="L598" s="74"/>
      <c r="N598" s="197"/>
      <c r="O598" s="197"/>
      <c r="Q598" s="197"/>
      <c r="U598" s="198"/>
    </row>
    <row r="599">
      <c r="A599" s="74"/>
      <c r="B599" s="74"/>
      <c r="D599" s="74"/>
      <c r="G599" s="196"/>
      <c r="H599" s="196"/>
      <c r="I599" s="197"/>
      <c r="L599" s="74"/>
      <c r="N599" s="197"/>
      <c r="O599" s="197"/>
      <c r="Q599" s="197"/>
      <c r="U599" s="198"/>
    </row>
    <row r="600">
      <c r="A600" s="74"/>
      <c r="B600" s="74"/>
      <c r="D600" s="74"/>
      <c r="G600" s="196"/>
      <c r="H600" s="196"/>
      <c r="I600" s="197"/>
      <c r="L600" s="74"/>
      <c r="N600" s="197"/>
      <c r="O600" s="197"/>
      <c r="Q600" s="197"/>
      <c r="U600" s="198"/>
    </row>
    <row r="601">
      <c r="A601" s="74"/>
      <c r="B601" s="74"/>
      <c r="D601" s="74"/>
      <c r="G601" s="196"/>
      <c r="H601" s="196"/>
      <c r="I601" s="197"/>
      <c r="L601" s="74"/>
      <c r="N601" s="197"/>
      <c r="O601" s="197"/>
      <c r="Q601" s="197"/>
      <c r="U601" s="198"/>
    </row>
    <row r="602">
      <c r="A602" s="74"/>
      <c r="B602" s="74"/>
      <c r="D602" s="74"/>
      <c r="G602" s="196"/>
      <c r="H602" s="196"/>
      <c r="I602" s="197"/>
      <c r="L602" s="74"/>
      <c r="N602" s="197"/>
      <c r="O602" s="197"/>
      <c r="Q602" s="197"/>
      <c r="U602" s="198"/>
    </row>
    <row r="603">
      <c r="A603" s="74"/>
      <c r="B603" s="74"/>
      <c r="D603" s="74"/>
      <c r="G603" s="196"/>
      <c r="H603" s="196"/>
      <c r="I603" s="197"/>
      <c r="L603" s="74"/>
      <c r="N603" s="197"/>
      <c r="O603" s="197"/>
      <c r="Q603" s="197"/>
      <c r="U603" s="198"/>
    </row>
    <row r="604">
      <c r="A604" s="74"/>
      <c r="B604" s="74"/>
      <c r="D604" s="74"/>
      <c r="G604" s="196"/>
      <c r="H604" s="196"/>
      <c r="I604" s="197"/>
      <c r="L604" s="74"/>
      <c r="N604" s="197"/>
      <c r="O604" s="197"/>
      <c r="Q604" s="197"/>
      <c r="U604" s="198"/>
    </row>
    <row r="605">
      <c r="A605" s="74"/>
      <c r="B605" s="74"/>
      <c r="D605" s="74"/>
      <c r="G605" s="196"/>
      <c r="H605" s="196"/>
      <c r="I605" s="197"/>
      <c r="L605" s="74"/>
      <c r="N605" s="197"/>
      <c r="O605" s="197"/>
      <c r="Q605" s="197"/>
      <c r="U605" s="198"/>
    </row>
    <row r="606">
      <c r="A606" s="74"/>
      <c r="B606" s="74"/>
      <c r="D606" s="74"/>
      <c r="G606" s="196"/>
      <c r="H606" s="196"/>
      <c r="I606" s="197"/>
      <c r="L606" s="74"/>
      <c r="N606" s="197"/>
      <c r="O606" s="197"/>
      <c r="Q606" s="197"/>
      <c r="U606" s="198"/>
    </row>
    <row r="607">
      <c r="A607" s="74"/>
      <c r="B607" s="74"/>
      <c r="D607" s="74"/>
      <c r="G607" s="196"/>
      <c r="H607" s="196"/>
      <c r="I607" s="197"/>
      <c r="L607" s="74"/>
      <c r="N607" s="197"/>
      <c r="O607" s="197"/>
      <c r="Q607" s="197"/>
      <c r="U607" s="198"/>
    </row>
    <row r="608">
      <c r="A608" s="74"/>
      <c r="B608" s="74"/>
      <c r="D608" s="74"/>
      <c r="G608" s="196"/>
      <c r="H608" s="196"/>
      <c r="I608" s="197"/>
      <c r="L608" s="74"/>
      <c r="N608" s="197"/>
      <c r="O608" s="197"/>
      <c r="Q608" s="197"/>
      <c r="U608" s="198"/>
    </row>
    <row r="609">
      <c r="A609" s="74"/>
      <c r="B609" s="74"/>
      <c r="D609" s="74"/>
      <c r="G609" s="196"/>
      <c r="H609" s="196"/>
      <c r="I609" s="197"/>
      <c r="L609" s="74"/>
      <c r="N609" s="197"/>
      <c r="O609" s="197"/>
      <c r="Q609" s="197"/>
      <c r="U609" s="198"/>
    </row>
    <row r="610">
      <c r="A610" s="74"/>
      <c r="B610" s="74"/>
      <c r="D610" s="74"/>
      <c r="G610" s="196"/>
      <c r="H610" s="196"/>
      <c r="I610" s="197"/>
      <c r="L610" s="74"/>
      <c r="N610" s="197"/>
      <c r="O610" s="197"/>
      <c r="Q610" s="197"/>
      <c r="U610" s="198"/>
    </row>
    <row r="611">
      <c r="A611" s="74"/>
      <c r="B611" s="74"/>
      <c r="D611" s="74"/>
      <c r="G611" s="196"/>
      <c r="H611" s="196"/>
      <c r="I611" s="197"/>
      <c r="L611" s="74"/>
      <c r="N611" s="197"/>
      <c r="O611" s="197"/>
      <c r="Q611" s="197"/>
      <c r="U611" s="198"/>
    </row>
    <row r="612">
      <c r="A612" s="74"/>
      <c r="B612" s="74"/>
      <c r="D612" s="74"/>
      <c r="G612" s="196"/>
      <c r="H612" s="196"/>
      <c r="I612" s="197"/>
      <c r="L612" s="74"/>
      <c r="N612" s="197"/>
      <c r="O612" s="197"/>
      <c r="Q612" s="197"/>
      <c r="U612" s="198"/>
    </row>
    <row r="613">
      <c r="A613" s="74"/>
      <c r="B613" s="74"/>
      <c r="D613" s="74"/>
      <c r="G613" s="196"/>
      <c r="H613" s="196"/>
      <c r="I613" s="197"/>
      <c r="L613" s="74"/>
      <c r="N613" s="197"/>
      <c r="O613" s="197"/>
      <c r="Q613" s="197"/>
      <c r="U613" s="198"/>
    </row>
    <row r="614">
      <c r="A614" s="74"/>
      <c r="B614" s="74"/>
      <c r="D614" s="74"/>
      <c r="G614" s="196"/>
      <c r="H614" s="196"/>
      <c r="I614" s="197"/>
      <c r="L614" s="74"/>
      <c r="N614" s="197"/>
      <c r="O614" s="197"/>
      <c r="Q614" s="197"/>
      <c r="U614" s="198"/>
    </row>
    <row r="615">
      <c r="A615" s="74"/>
      <c r="B615" s="74"/>
      <c r="D615" s="74"/>
      <c r="G615" s="196"/>
      <c r="H615" s="196"/>
      <c r="I615" s="197"/>
      <c r="L615" s="74"/>
      <c r="N615" s="197"/>
      <c r="O615" s="197"/>
      <c r="Q615" s="197"/>
      <c r="U615" s="198"/>
    </row>
    <row r="616">
      <c r="A616" s="74"/>
      <c r="B616" s="74"/>
      <c r="D616" s="74"/>
      <c r="G616" s="196"/>
      <c r="H616" s="196"/>
      <c r="I616" s="197"/>
      <c r="L616" s="74"/>
      <c r="N616" s="197"/>
      <c r="O616" s="197"/>
      <c r="Q616" s="197"/>
      <c r="U616" s="198"/>
    </row>
    <row r="617">
      <c r="A617" s="74"/>
      <c r="B617" s="74"/>
      <c r="D617" s="74"/>
      <c r="G617" s="196"/>
      <c r="H617" s="196"/>
      <c r="I617" s="197"/>
      <c r="L617" s="74"/>
      <c r="N617" s="197"/>
      <c r="O617" s="197"/>
      <c r="Q617" s="197"/>
      <c r="U617" s="198"/>
    </row>
    <row r="618">
      <c r="A618" s="74"/>
      <c r="B618" s="74"/>
      <c r="D618" s="74"/>
      <c r="G618" s="196"/>
      <c r="H618" s="196"/>
      <c r="I618" s="197"/>
      <c r="L618" s="74"/>
      <c r="N618" s="197"/>
      <c r="O618" s="197"/>
      <c r="Q618" s="197"/>
      <c r="U618" s="198"/>
    </row>
    <row r="619">
      <c r="A619" s="74"/>
      <c r="B619" s="74"/>
      <c r="D619" s="74"/>
      <c r="G619" s="196"/>
      <c r="H619" s="196"/>
      <c r="I619" s="197"/>
      <c r="L619" s="74"/>
      <c r="N619" s="197"/>
      <c r="O619" s="197"/>
      <c r="Q619" s="197"/>
      <c r="U619" s="198"/>
    </row>
    <row r="620">
      <c r="A620" s="74"/>
      <c r="B620" s="74"/>
      <c r="D620" s="74"/>
      <c r="G620" s="196"/>
      <c r="H620" s="196"/>
      <c r="I620" s="197"/>
      <c r="L620" s="74"/>
      <c r="N620" s="197"/>
      <c r="O620" s="197"/>
      <c r="Q620" s="197"/>
      <c r="U620" s="198"/>
    </row>
    <row r="621">
      <c r="A621" s="74"/>
      <c r="B621" s="74"/>
      <c r="D621" s="74"/>
      <c r="G621" s="196"/>
      <c r="H621" s="196"/>
      <c r="I621" s="197"/>
      <c r="L621" s="74"/>
      <c r="N621" s="197"/>
      <c r="O621" s="197"/>
      <c r="Q621" s="197"/>
      <c r="U621" s="198"/>
    </row>
    <row r="622">
      <c r="A622" s="74"/>
      <c r="B622" s="74"/>
      <c r="D622" s="74"/>
      <c r="G622" s="196"/>
      <c r="H622" s="196"/>
      <c r="I622" s="197"/>
      <c r="L622" s="74"/>
      <c r="N622" s="197"/>
      <c r="O622" s="197"/>
      <c r="Q622" s="197"/>
      <c r="U622" s="198"/>
    </row>
    <row r="623">
      <c r="A623" s="74"/>
      <c r="B623" s="74"/>
      <c r="D623" s="74"/>
      <c r="G623" s="196"/>
      <c r="H623" s="196"/>
      <c r="I623" s="197"/>
      <c r="L623" s="74"/>
      <c r="N623" s="197"/>
      <c r="O623" s="197"/>
      <c r="Q623" s="197"/>
      <c r="U623" s="198"/>
    </row>
    <row r="624">
      <c r="A624" s="74"/>
      <c r="B624" s="74"/>
      <c r="D624" s="74"/>
      <c r="G624" s="196"/>
      <c r="H624" s="196"/>
      <c r="I624" s="197"/>
      <c r="L624" s="74"/>
      <c r="N624" s="197"/>
      <c r="O624" s="197"/>
      <c r="Q624" s="197"/>
      <c r="U624" s="198"/>
    </row>
    <row r="625">
      <c r="A625" s="74"/>
      <c r="B625" s="74"/>
      <c r="D625" s="74"/>
      <c r="G625" s="196"/>
      <c r="H625" s="196"/>
      <c r="I625" s="197"/>
      <c r="L625" s="74"/>
      <c r="N625" s="197"/>
      <c r="O625" s="197"/>
      <c r="Q625" s="197"/>
      <c r="U625" s="198"/>
    </row>
    <row r="626">
      <c r="A626" s="74"/>
      <c r="B626" s="74"/>
      <c r="D626" s="74"/>
      <c r="G626" s="196"/>
      <c r="H626" s="196"/>
      <c r="I626" s="197"/>
      <c r="L626" s="74"/>
      <c r="N626" s="197"/>
      <c r="O626" s="197"/>
      <c r="Q626" s="197"/>
      <c r="U626" s="198"/>
    </row>
    <row r="627">
      <c r="A627" s="74"/>
      <c r="B627" s="74"/>
      <c r="D627" s="74"/>
      <c r="G627" s="196"/>
      <c r="H627" s="196"/>
      <c r="I627" s="197"/>
      <c r="L627" s="74"/>
      <c r="N627" s="197"/>
      <c r="O627" s="197"/>
      <c r="Q627" s="197"/>
      <c r="U627" s="198"/>
    </row>
    <row r="628">
      <c r="A628" s="74"/>
      <c r="B628" s="74"/>
      <c r="D628" s="74"/>
      <c r="G628" s="196"/>
      <c r="H628" s="196"/>
      <c r="I628" s="197"/>
      <c r="L628" s="74"/>
      <c r="N628" s="197"/>
      <c r="O628" s="197"/>
      <c r="Q628" s="197"/>
      <c r="U628" s="198"/>
    </row>
    <row r="629">
      <c r="A629" s="74"/>
      <c r="B629" s="74"/>
      <c r="D629" s="74"/>
      <c r="G629" s="196"/>
      <c r="H629" s="196"/>
      <c r="I629" s="197"/>
      <c r="L629" s="74"/>
      <c r="N629" s="197"/>
      <c r="O629" s="197"/>
      <c r="Q629" s="197"/>
      <c r="U629" s="198"/>
    </row>
    <row r="630">
      <c r="A630" s="74"/>
      <c r="B630" s="74"/>
      <c r="D630" s="74"/>
      <c r="G630" s="196"/>
      <c r="H630" s="196"/>
      <c r="I630" s="197"/>
      <c r="L630" s="74"/>
      <c r="N630" s="197"/>
      <c r="O630" s="197"/>
      <c r="Q630" s="197"/>
      <c r="U630" s="198"/>
    </row>
    <row r="631">
      <c r="A631" s="74"/>
      <c r="B631" s="74"/>
      <c r="D631" s="74"/>
      <c r="G631" s="196"/>
      <c r="H631" s="196"/>
      <c r="I631" s="197"/>
      <c r="L631" s="74"/>
      <c r="N631" s="197"/>
      <c r="O631" s="197"/>
      <c r="Q631" s="197"/>
      <c r="U631" s="198"/>
    </row>
    <row r="632">
      <c r="A632" s="74"/>
      <c r="B632" s="74"/>
      <c r="D632" s="74"/>
      <c r="G632" s="196"/>
      <c r="H632" s="196"/>
      <c r="I632" s="197"/>
      <c r="L632" s="74"/>
      <c r="N632" s="197"/>
      <c r="O632" s="197"/>
      <c r="Q632" s="197"/>
      <c r="U632" s="198"/>
    </row>
    <row r="633">
      <c r="A633" s="74"/>
      <c r="B633" s="74"/>
      <c r="D633" s="74"/>
      <c r="G633" s="196"/>
      <c r="H633" s="196"/>
      <c r="I633" s="197"/>
      <c r="L633" s="74"/>
      <c r="N633" s="197"/>
      <c r="O633" s="197"/>
      <c r="Q633" s="197"/>
      <c r="U633" s="198"/>
    </row>
    <row r="634">
      <c r="A634" s="74"/>
      <c r="B634" s="74"/>
      <c r="D634" s="74"/>
      <c r="G634" s="196"/>
      <c r="H634" s="196"/>
      <c r="I634" s="197"/>
      <c r="L634" s="74"/>
      <c r="N634" s="197"/>
      <c r="O634" s="197"/>
      <c r="Q634" s="197"/>
      <c r="U634" s="198"/>
    </row>
    <row r="635">
      <c r="A635" s="74"/>
      <c r="B635" s="74"/>
      <c r="D635" s="74"/>
      <c r="G635" s="196"/>
      <c r="H635" s="196"/>
      <c r="I635" s="197"/>
      <c r="L635" s="74"/>
      <c r="N635" s="197"/>
      <c r="O635" s="197"/>
      <c r="Q635" s="197"/>
      <c r="U635" s="198"/>
    </row>
    <row r="636">
      <c r="A636" s="74"/>
      <c r="B636" s="74"/>
      <c r="D636" s="74"/>
      <c r="G636" s="196"/>
      <c r="H636" s="196"/>
      <c r="I636" s="197"/>
      <c r="L636" s="74"/>
      <c r="N636" s="197"/>
      <c r="O636" s="197"/>
      <c r="Q636" s="197"/>
      <c r="U636" s="198"/>
    </row>
    <row r="637">
      <c r="A637" s="74"/>
      <c r="B637" s="74"/>
      <c r="D637" s="74"/>
      <c r="G637" s="196"/>
      <c r="H637" s="196"/>
      <c r="I637" s="197"/>
      <c r="L637" s="74"/>
      <c r="N637" s="197"/>
      <c r="O637" s="197"/>
      <c r="Q637" s="197"/>
      <c r="U637" s="198"/>
    </row>
    <row r="638">
      <c r="A638" s="74"/>
      <c r="B638" s="74"/>
      <c r="D638" s="74"/>
      <c r="G638" s="196"/>
      <c r="H638" s="196"/>
      <c r="I638" s="197"/>
      <c r="L638" s="74"/>
      <c r="N638" s="197"/>
      <c r="O638" s="197"/>
      <c r="Q638" s="197"/>
      <c r="U638" s="198"/>
    </row>
    <row r="639">
      <c r="A639" s="74"/>
      <c r="B639" s="74"/>
      <c r="D639" s="74"/>
      <c r="G639" s="196"/>
      <c r="H639" s="196"/>
      <c r="I639" s="197"/>
      <c r="L639" s="74"/>
      <c r="N639" s="197"/>
      <c r="O639" s="197"/>
      <c r="Q639" s="197"/>
      <c r="U639" s="198"/>
    </row>
    <row r="640">
      <c r="A640" s="74"/>
      <c r="B640" s="74"/>
      <c r="D640" s="74"/>
      <c r="G640" s="196"/>
      <c r="H640" s="196"/>
      <c r="I640" s="197"/>
      <c r="L640" s="74"/>
      <c r="N640" s="197"/>
      <c r="O640" s="197"/>
      <c r="Q640" s="197"/>
      <c r="U640" s="198"/>
    </row>
    <row r="641">
      <c r="A641" s="74"/>
      <c r="B641" s="74"/>
      <c r="D641" s="74"/>
      <c r="G641" s="196"/>
      <c r="H641" s="196"/>
      <c r="I641" s="197"/>
      <c r="L641" s="74"/>
      <c r="N641" s="197"/>
      <c r="O641" s="197"/>
      <c r="Q641" s="197"/>
      <c r="U641" s="198"/>
    </row>
    <row r="642">
      <c r="A642" s="74"/>
      <c r="B642" s="74"/>
      <c r="D642" s="74"/>
      <c r="G642" s="196"/>
      <c r="H642" s="196"/>
      <c r="I642" s="197"/>
      <c r="L642" s="74"/>
      <c r="N642" s="197"/>
      <c r="O642" s="197"/>
      <c r="Q642" s="197"/>
      <c r="U642" s="198"/>
    </row>
    <row r="643">
      <c r="A643" s="74"/>
      <c r="B643" s="74"/>
      <c r="D643" s="74"/>
      <c r="G643" s="196"/>
      <c r="H643" s="196"/>
      <c r="I643" s="197"/>
      <c r="L643" s="74"/>
      <c r="N643" s="197"/>
      <c r="O643" s="197"/>
      <c r="Q643" s="197"/>
      <c r="U643" s="198"/>
    </row>
    <row r="644">
      <c r="A644" s="74"/>
      <c r="B644" s="74"/>
      <c r="D644" s="74"/>
      <c r="G644" s="196"/>
      <c r="H644" s="196"/>
      <c r="I644" s="197"/>
      <c r="L644" s="74"/>
      <c r="N644" s="197"/>
      <c r="O644" s="197"/>
      <c r="Q644" s="197"/>
      <c r="U644" s="198"/>
    </row>
    <row r="645">
      <c r="A645" s="74"/>
      <c r="B645" s="74"/>
      <c r="D645" s="74"/>
      <c r="G645" s="196"/>
      <c r="H645" s="196"/>
      <c r="I645" s="197"/>
      <c r="L645" s="74"/>
      <c r="N645" s="197"/>
      <c r="O645" s="197"/>
      <c r="Q645" s="197"/>
      <c r="U645" s="198"/>
    </row>
    <row r="646">
      <c r="A646" s="74"/>
      <c r="B646" s="74"/>
      <c r="D646" s="74"/>
      <c r="G646" s="196"/>
      <c r="H646" s="196"/>
      <c r="I646" s="197"/>
      <c r="L646" s="74"/>
      <c r="N646" s="197"/>
      <c r="O646" s="197"/>
      <c r="Q646" s="197"/>
      <c r="U646" s="198"/>
    </row>
    <row r="647">
      <c r="A647" s="74"/>
      <c r="B647" s="74"/>
      <c r="D647" s="74"/>
      <c r="G647" s="196"/>
      <c r="H647" s="196"/>
      <c r="I647" s="197"/>
      <c r="L647" s="74"/>
      <c r="N647" s="197"/>
      <c r="O647" s="197"/>
      <c r="Q647" s="197"/>
      <c r="U647" s="198"/>
    </row>
    <row r="648">
      <c r="A648" s="74"/>
      <c r="B648" s="74"/>
      <c r="D648" s="74"/>
      <c r="G648" s="196"/>
      <c r="H648" s="196"/>
      <c r="I648" s="197"/>
      <c r="L648" s="74"/>
      <c r="N648" s="197"/>
      <c r="O648" s="197"/>
      <c r="Q648" s="197"/>
      <c r="U648" s="198"/>
    </row>
    <row r="649">
      <c r="A649" s="74"/>
      <c r="B649" s="74"/>
      <c r="D649" s="74"/>
      <c r="G649" s="196"/>
      <c r="H649" s="196"/>
      <c r="I649" s="197"/>
      <c r="L649" s="74"/>
      <c r="N649" s="197"/>
      <c r="O649" s="197"/>
      <c r="Q649" s="197"/>
      <c r="U649" s="198"/>
    </row>
    <row r="650">
      <c r="A650" s="74"/>
      <c r="B650" s="74"/>
      <c r="D650" s="74"/>
      <c r="G650" s="196"/>
      <c r="H650" s="196"/>
      <c r="I650" s="197"/>
      <c r="L650" s="74"/>
      <c r="N650" s="197"/>
      <c r="O650" s="197"/>
      <c r="Q650" s="197"/>
      <c r="U650" s="198"/>
    </row>
    <row r="651">
      <c r="A651" s="74"/>
      <c r="B651" s="74"/>
      <c r="D651" s="74"/>
      <c r="G651" s="196"/>
      <c r="H651" s="196"/>
      <c r="I651" s="197"/>
      <c r="L651" s="74"/>
      <c r="N651" s="197"/>
      <c r="O651" s="197"/>
      <c r="Q651" s="197"/>
      <c r="U651" s="198"/>
    </row>
    <row r="652">
      <c r="A652" s="74"/>
      <c r="B652" s="74"/>
      <c r="D652" s="74"/>
      <c r="G652" s="196"/>
      <c r="H652" s="196"/>
      <c r="I652" s="197"/>
      <c r="L652" s="74"/>
      <c r="N652" s="197"/>
      <c r="O652" s="197"/>
      <c r="Q652" s="197"/>
      <c r="U652" s="198"/>
    </row>
    <row r="653">
      <c r="A653" s="74"/>
      <c r="B653" s="74"/>
      <c r="D653" s="74"/>
      <c r="G653" s="196"/>
      <c r="H653" s="196"/>
      <c r="I653" s="197"/>
      <c r="L653" s="74"/>
      <c r="N653" s="197"/>
      <c r="O653" s="197"/>
      <c r="Q653" s="197"/>
      <c r="U653" s="198"/>
    </row>
    <row r="654">
      <c r="A654" s="74"/>
      <c r="B654" s="74"/>
      <c r="D654" s="74"/>
      <c r="G654" s="196"/>
      <c r="H654" s="196"/>
      <c r="I654" s="197"/>
      <c r="L654" s="74"/>
      <c r="N654" s="197"/>
      <c r="O654" s="197"/>
      <c r="Q654" s="197"/>
      <c r="U654" s="198"/>
    </row>
    <row r="655">
      <c r="A655" s="74"/>
      <c r="B655" s="74"/>
      <c r="D655" s="74"/>
      <c r="G655" s="196"/>
      <c r="H655" s="196"/>
      <c r="I655" s="197"/>
      <c r="L655" s="74"/>
      <c r="N655" s="197"/>
      <c r="O655" s="197"/>
      <c r="Q655" s="197"/>
      <c r="U655" s="198"/>
    </row>
    <row r="656">
      <c r="A656" s="74"/>
      <c r="B656" s="74"/>
      <c r="D656" s="74"/>
      <c r="G656" s="196"/>
      <c r="H656" s="196"/>
      <c r="I656" s="197"/>
      <c r="L656" s="74"/>
      <c r="N656" s="197"/>
      <c r="O656" s="197"/>
      <c r="Q656" s="197"/>
      <c r="U656" s="198"/>
    </row>
    <row r="657">
      <c r="A657" s="74"/>
      <c r="B657" s="74"/>
      <c r="D657" s="74"/>
      <c r="G657" s="196"/>
      <c r="H657" s="196"/>
      <c r="I657" s="197"/>
      <c r="L657" s="74"/>
      <c r="N657" s="197"/>
      <c r="O657" s="197"/>
      <c r="Q657" s="197"/>
      <c r="U657" s="198"/>
    </row>
    <row r="658">
      <c r="A658" s="74"/>
      <c r="B658" s="74"/>
      <c r="D658" s="74"/>
      <c r="G658" s="196"/>
      <c r="H658" s="196"/>
      <c r="I658" s="197"/>
      <c r="L658" s="74"/>
      <c r="N658" s="197"/>
      <c r="O658" s="197"/>
      <c r="Q658" s="197"/>
      <c r="U658" s="198"/>
    </row>
    <row r="659">
      <c r="A659" s="74"/>
      <c r="B659" s="74"/>
      <c r="D659" s="74"/>
      <c r="G659" s="196"/>
      <c r="H659" s="196"/>
      <c r="I659" s="197"/>
      <c r="L659" s="74"/>
      <c r="N659" s="197"/>
      <c r="O659" s="197"/>
      <c r="Q659" s="197"/>
      <c r="U659" s="198"/>
    </row>
    <row r="660">
      <c r="A660" s="74"/>
      <c r="B660" s="74"/>
      <c r="D660" s="74"/>
      <c r="G660" s="196"/>
      <c r="H660" s="196"/>
      <c r="I660" s="197"/>
      <c r="L660" s="74"/>
      <c r="N660" s="197"/>
      <c r="O660" s="197"/>
      <c r="Q660" s="197"/>
      <c r="U660" s="198"/>
    </row>
    <row r="661">
      <c r="A661" s="74"/>
      <c r="B661" s="74"/>
      <c r="D661" s="74"/>
      <c r="G661" s="196"/>
      <c r="H661" s="196"/>
      <c r="I661" s="197"/>
      <c r="L661" s="74"/>
      <c r="N661" s="197"/>
      <c r="O661" s="197"/>
      <c r="Q661" s="197"/>
      <c r="U661" s="198"/>
    </row>
    <row r="662">
      <c r="A662" s="74"/>
      <c r="B662" s="74"/>
      <c r="D662" s="74"/>
      <c r="G662" s="196"/>
      <c r="H662" s="196"/>
      <c r="I662" s="197"/>
      <c r="L662" s="74"/>
      <c r="N662" s="197"/>
      <c r="O662" s="197"/>
      <c r="Q662" s="197"/>
      <c r="U662" s="198"/>
    </row>
    <row r="663">
      <c r="A663" s="74"/>
      <c r="B663" s="74"/>
      <c r="D663" s="74"/>
      <c r="G663" s="196"/>
      <c r="H663" s="196"/>
      <c r="I663" s="197"/>
      <c r="L663" s="74"/>
      <c r="N663" s="197"/>
      <c r="O663" s="197"/>
      <c r="Q663" s="197"/>
      <c r="U663" s="198"/>
    </row>
    <row r="664">
      <c r="A664" s="74"/>
      <c r="B664" s="74"/>
      <c r="D664" s="74"/>
      <c r="G664" s="196"/>
      <c r="H664" s="196"/>
      <c r="I664" s="197"/>
      <c r="L664" s="74"/>
      <c r="N664" s="197"/>
      <c r="O664" s="197"/>
      <c r="Q664" s="197"/>
      <c r="U664" s="198"/>
    </row>
    <row r="665">
      <c r="A665" s="74"/>
      <c r="B665" s="74"/>
      <c r="D665" s="74"/>
      <c r="G665" s="196"/>
      <c r="H665" s="196"/>
      <c r="I665" s="197"/>
      <c r="L665" s="74"/>
      <c r="N665" s="197"/>
      <c r="O665" s="197"/>
      <c r="Q665" s="197"/>
      <c r="U665" s="198"/>
    </row>
    <row r="666">
      <c r="A666" s="74"/>
      <c r="B666" s="74"/>
      <c r="D666" s="74"/>
      <c r="G666" s="196"/>
      <c r="H666" s="196"/>
      <c r="I666" s="197"/>
      <c r="L666" s="74"/>
      <c r="N666" s="197"/>
      <c r="O666" s="197"/>
      <c r="Q666" s="197"/>
      <c r="U666" s="198"/>
    </row>
    <row r="667">
      <c r="A667" s="74"/>
      <c r="B667" s="74"/>
      <c r="D667" s="74"/>
      <c r="G667" s="196"/>
      <c r="H667" s="196"/>
      <c r="I667" s="197"/>
      <c r="L667" s="74"/>
      <c r="N667" s="197"/>
      <c r="O667" s="197"/>
      <c r="Q667" s="197"/>
      <c r="U667" s="198"/>
    </row>
    <row r="668">
      <c r="A668" s="74"/>
      <c r="B668" s="74"/>
      <c r="D668" s="74"/>
      <c r="G668" s="196"/>
      <c r="H668" s="196"/>
      <c r="I668" s="197"/>
      <c r="L668" s="74"/>
      <c r="N668" s="197"/>
      <c r="O668" s="197"/>
      <c r="Q668" s="197"/>
      <c r="U668" s="198"/>
    </row>
    <row r="669">
      <c r="A669" s="74"/>
      <c r="B669" s="74"/>
      <c r="D669" s="74"/>
      <c r="G669" s="196"/>
      <c r="H669" s="196"/>
      <c r="I669" s="197"/>
      <c r="L669" s="74"/>
      <c r="N669" s="197"/>
      <c r="O669" s="197"/>
      <c r="Q669" s="197"/>
      <c r="U669" s="198"/>
    </row>
    <row r="670">
      <c r="A670" s="74"/>
      <c r="B670" s="74"/>
      <c r="D670" s="74"/>
      <c r="G670" s="196"/>
      <c r="H670" s="196"/>
      <c r="I670" s="197"/>
      <c r="L670" s="74"/>
      <c r="N670" s="197"/>
      <c r="O670" s="197"/>
      <c r="Q670" s="197"/>
      <c r="U670" s="198"/>
    </row>
    <row r="671">
      <c r="A671" s="74"/>
      <c r="B671" s="74"/>
      <c r="D671" s="74"/>
      <c r="G671" s="196"/>
      <c r="H671" s="196"/>
      <c r="I671" s="197"/>
      <c r="L671" s="74"/>
      <c r="N671" s="197"/>
      <c r="O671" s="197"/>
      <c r="Q671" s="197"/>
      <c r="U671" s="198"/>
    </row>
    <row r="672">
      <c r="A672" s="74"/>
      <c r="B672" s="74"/>
      <c r="D672" s="74"/>
      <c r="G672" s="196"/>
      <c r="H672" s="196"/>
      <c r="I672" s="197"/>
      <c r="L672" s="74"/>
      <c r="N672" s="197"/>
      <c r="O672" s="197"/>
      <c r="Q672" s="197"/>
      <c r="U672" s="198"/>
    </row>
    <row r="673">
      <c r="A673" s="74"/>
      <c r="B673" s="74"/>
      <c r="D673" s="74"/>
      <c r="G673" s="196"/>
      <c r="H673" s="196"/>
      <c r="I673" s="197"/>
      <c r="L673" s="74"/>
      <c r="N673" s="197"/>
      <c r="O673" s="197"/>
      <c r="Q673" s="197"/>
      <c r="U673" s="198"/>
    </row>
    <row r="674">
      <c r="A674" s="74"/>
      <c r="B674" s="74"/>
      <c r="D674" s="74"/>
      <c r="G674" s="196"/>
      <c r="H674" s="196"/>
      <c r="I674" s="197"/>
      <c r="L674" s="74"/>
      <c r="N674" s="197"/>
      <c r="O674" s="197"/>
      <c r="Q674" s="197"/>
      <c r="U674" s="198"/>
    </row>
    <row r="675">
      <c r="A675" s="74"/>
      <c r="B675" s="74"/>
      <c r="D675" s="74"/>
      <c r="G675" s="196"/>
      <c r="H675" s="196"/>
      <c r="I675" s="197"/>
      <c r="L675" s="74"/>
      <c r="N675" s="197"/>
      <c r="O675" s="197"/>
      <c r="Q675" s="197"/>
      <c r="U675" s="198"/>
    </row>
    <row r="676">
      <c r="A676" s="74"/>
      <c r="B676" s="74"/>
      <c r="D676" s="74"/>
      <c r="G676" s="196"/>
      <c r="H676" s="196"/>
      <c r="I676" s="197"/>
      <c r="L676" s="74"/>
      <c r="N676" s="197"/>
      <c r="O676" s="197"/>
      <c r="Q676" s="197"/>
      <c r="U676" s="198"/>
    </row>
    <row r="677">
      <c r="A677" s="74"/>
      <c r="B677" s="74"/>
      <c r="D677" s="74"/>
      <c r="G677" s="196"/>
      <c r="H677" s="196"/>
      <c r="I677" s="197"/>
      <c r="L677" s="74"/>
      <c r="N677" s="197"/>
      <c r="O677" s="197"/>
      <c r="Q677" s="197"/>
      <c r="U677" s="198"/>
    </row>
    <row r="678">
      <c r="A678" s="74"/>
      <c r="B678" s="74"/>
      <c r="D678" s="74"/>
      <c r="G678" s="196"/>
      <c r="H678" s="196"/>
      <c r="I678" s="197"/>
      <c r="L678" s="74"/>
      <c r="N678" s="197"/>
      <c r="O678" s="197"/>
      <c r="Q678" s="197"/>
      <c r="U678" s="198"/>
    </row>
    <row r="679">
      <c r="A679" s="74"/>
      <c r="B679" s="74"/>
      <c r="D679" s="74"/>
      <c r="G679" s="196"/>
      <c r="H679" s="196"/>
      <c r="I679" s="197"/>
      <c r="L679" s="74"/>
      <c r="N679" s="197"/>
      <c r="O679" s="197"/>
      <c r="Q679" s="197"/>
      <c r="U679" s="198"/>
    </row>
    <row r="680">
      <c r="A680" s="74"/>
      <c r="B680" s="74"/>
      <c r="D680" s="74"/>
      <c r="G680" s="196"/>
      <c r="H680" s="196"/>
      <c r="I680" s="197"/>
      <c r="L680" s="74"/>
      <c r="N680" s="197"/>
      <c r="O680" s="197"/>
      <c r="Q680" s="197"/>
      <c r="U680" s="198"/>
    </row>
    <row r="681">
      <c r="A681" s="74"/>
      <c r="B681" s="74"/>
      <c r="D681" s="74"/>
      <c r="G681" s="196"/>
      <c r="H681" s="196"/>
      <c r="I681" s="197"/>
      <c r="L681" s="74"/>
      <c r="N681" s="197"/>
      <c r="O681" s="197"/>
      <c r="Q681" s="197"/>
      <c r="U681" s="198"/>
    </row>
    <row r="682">
      <c r="A682" s="74"/>
      <c r="B682" s="74"/>
      <c r="D682" s="74"/>
      <c r="G682" s="196"/>
      <c r="H682" s="196"/>
      <c r="I682" s="197"/>
      <c r="L682" s="74"/>
      <c r="N682" s="197"/>
      <c r="O682" s="197"/>
      <c r="Q682" s="197"/>
      <c r="U682" s="198"/>
    </row>
    <row r="683">
      <c r="A683" s="74"/>
      <c r="B683" s="74"/>
      <c r="D683" s="74"/>
      <c r="G683" s="196"/>
      <c r="H683" s="196"/>
      <c r="I683" s="197"/>
      <c r="L683" s="74"/>
      <c r="N683" s="197"/>
      <c r="O683" s="197"/>
      <c r="Q683" s="197"/>
      <c r="U683" s="198"/>
    </row>
    <row r="684">
      <c r="A684" s="74"/>
      <c r="B684" s="74"/>
      <c r="D684" s="74"/>
      <c r="G684" s="196"/>
      <c r="H684" s="196"/>
      <c r="I684" s="197"/>
      <c r="L684" s="74"/>
      <c r="N684" s="197"/>
      <c r="O684" s="197"/>
      <c r="Q684" s="197"/>
      <c r="U684" s="198"/>
    </row>
    <row r="685">
      <c r="A685" s="74"/>
      <c r="B685" s="74"/>
      <c r="D685" s="74"/>
      <c r="G685" s="196"/>
      <c r="H685" s="196"/>
      <c r="I685" s="197"/>
      <c r="L685" s="74"/>
      <c r="N685" s="197"/>
      <c r="O685" s="197"/>
      <c r="Q685" s="197"/>
      <c r="U685" s="198"/>
    </row>
    <row r="686">
      <c r="A686" s="74"/>
      <c r="B686" s="74"/>
      <c r="D686" s="74"/>
      <c r="G686" s="196"/>
      <c r="H686" s="196"/>
      <c r="I686" s="197"/>
      <c r="L686" s="74"/>
      <c r="N686" s="197"/>
      <c r="O686" s="197"/>
      <c r="Q686" s="197"/>
      <c r="U686" s="198"/>
    </row>
    <row r="687">
      <c r="A687" s="74"/>
      <c r="B687" s="74"/>
      <c r="D687" s="74"/>
      <c r="G687" s="196"/>
      <c r="H687" s="196"/>
      <c r="I687" s="197"/>
      <c r="L687" s="74"/>
      <c r="N687" s="197"/>
      <c r="O687" s="197"/>
      <c r="Q687" s="197"/>
      <c r="U687" s="198"/>
    </row>
    <row r="688">
      <c r="A688" s="74"/>
      <c r="B688" s="74"/>
      <c r="D688" s="74"/>
      <c r="G688" s="196"/>
      <c r="H688" s="196"/>
      <c r="I688" s="197"/>
      <c r="L688" s="74"/>
      <c r="N688" s="197"/>
      <c r="O688" s="197"/>
      <c r="Q688" s="197"/>
      <c r="U688" s="198"/>
    </row>
    <row r="689">
      <c r="A689" s="74"/>
      <c r="B689" s="74"/>
      <c r="D689" s="74"/>
      <c r="G689" s="196"/>
      <c r="H689" s="196"/>
      <c r="I689" s="197"/>
      <c r="L689" s="74"/>
      <c r="N689" s="197"/>
      <c r="O689" s="197"/>
      <c r="Q689" s="197"/>
      <c r="U689" s="198"/>
    </row>
    <row r="690">
      <c r="A690" s="74"/>
      <c r="B690" s="74"/>
      <c r="D690" s="74"/>
      <c r="G690" s="196"/>
      <c r="H690" s="196"/>
      <c r="I690" s="197"/>
      <c r="L690" s="74"/>
      <c r="N690" s="197"/>
      <c r="O690" s="197"/>
      <c r="Q690" s="197"/>
      <c r="U690" s="198"/>
    </row>
    <row r="691">
      <c r="A691" s="74"/>
      <c r="B691" s="74"/>
      <c r="D691" s="74"/>
      <c r="G691" s="196"/>
      <c r="H691" s="196"/>
      <c r="I691" s="197"/>
      <c r="L691" s="74"/>
      <c r="N691" s="197"/>
      <c r="O691" s="197"/>
      <c r="Q691" s="197"/>
      <c r="U691" s="198"/>
    </row>
    <row r="692">
      <c r="A692" s="74"/>
      <c r="B692" s="74"/>
      <c r="D692" s="74"/>
      <c r="G692" s="196"/>
      <c r="H692" s="196"/>
      <c r="I692" s="197"/>
      <c r="L692" s="74"/>
      <c r="N692" s="197"/>
      <c r="O692" s="197"/>
      <c r="Q692" s="197"/>
      <c r="U692" s="198"/>
    </row>
    <row r="693">
      <c r="A693" s="74"/>
      <c r="B693" s="74"/>
      <c r="D693" s="74"/>
      <c r="G693" s="196"/>
      <c r="H693" s="196"/>
      <c r="I693" s="197"/>
      <c r="L693" s="74"/>
      <c r="N693" s="197"/>
      <c r="O693" s="197"/>
      <c r="Q693" s="197"/>
      <c r="U693" s="198"/>
    </row>
    <row r="694">
      <c r="A694" s="74"/>
      <c r="B694" s="74"/>
      <c r="D694" s="74"/>
      <c r="G694" s="196"/>
      <c r="H694" s="196"/>
      <c r="I694" s="197"/>
      <c r="L694" s="74"/>
      <c r="N694" s="197"/>
      <c r="O694" s="197"/>
      <c r="Q694" s="197"/>
      <c r="U694" s="198"/>
    </row>
    <row r="695">
      <c r="A695" s="74"/>
      <c r="B695" s="74"/>
      <c r="D695" s="74"/>
      <c r="G695" s="196"/>
      <c r="H695" s="196"/>
      <c r="I695" s="197"/>
      <c r="L695" s="74"/>
      <c r="N695" s="197"/>
      <c r="O695" s="197"/>
      <c r="Q695" s="197"/>
      <c r="U695" s="198"/>
    </row>
    <row r="696">
      <c r="A696" s="74"/>
      <c r="B696" s="74"/>
      <c r="D696" s="74"/>
      <c r="G696" s="196"/>
      <c r="H696" s="196"/>
      <c r="I696" s="197"/>
      <c r="L696" s="74"/>
      <c r="N696" s="197"/>
      <c r="O696" s="197"/>
      <c r="Q696" s="197"/>
      <c r="U696" s="198"/>
    </row>
    <row r="697">
      <c r="A697" s="74"/>
      <c r="B697" s="74"/>
      <c r="D697" s="74"/>
      <c r="G697" s="196"/>
      <c r="H697" s="196"/>
      <c r="I697" s="197"/>
      <c r="L697" s="74"/>
      <c r="N697" s="197"/>
      <c r="O697" s="197"/>
      <c r="Q697" s="197"/>
      <c r="U697" s="198"/>
    </row>
    <row r="698">
      <c r="A698" s="74"/>
      <c r="B698" s="74"/>
      <c r="D698" s="74"/>
      <c r="G698" s="196"/>
      <c r="H698" s="196"/>
      <c r="I698" s="197"/>
      <c r="L698" s="74"/>
      <c r="N698" s="197"/>
      <c r="O698" s="197"/>
      <c r="Q698" s="197"/>
      <c r="U698" s="198"/>
    </row>
    <row r="699">
      <c r="A699" s="74"/>
      <c r="B699" s="74"/>
      <c r="D699" s="74"/>
      <c r="G699" s="196"/>
      <c r="H699" s="196"/>
      <c r="I699" s="197"/>
      <c r="L699" s="74"/>
      <c r="N699" s="197"/>
      <c r="O699" s="197"/>
      <c r="Q699" s="197"/>
      <c r="U699" s="198"/>
    </row>
    <row r="700">
      <c r="A700" s="74"/>
      <c r="B700" s="74"/>
      <c r="D700" s="74"/>
      <c r="G700" s="196"/>
      <c r="H700" s="196"/>
      <c r="I700" s="197"/>
      <c r="L700" s="74"/>
      <c r="N700" s="197"/>
      <c r="O700" s="197"/>
      <c r="Q700" s="197"/>
      <c r="U700" s="198"/>
    </row>
    <row r="701">
      <c r="A701" s="74"/>
      <c r="B701" s="74"/>
      <c r="D701" s="74"/>
      <c r="G701" s="196"/>
      <c r="H701" s="196"/>
      <c r="I701" s="197"/>
      <c r="L701" s="74"/>
      <c r="N701" s="197"/>
      <c r="O701" s="197"/>
      <c r="Q701" s="197"/>
      <c r="U701" s="198"/>
    </row>
    <row r="702">
      <c r="A702" s="74"/>
      <c r="B702" s="74"/>
      <c r="D702" s="74"/>
      <c r="G702" s="196"/>
      <c r="H702" s="196"/>
      <c r="I702" s="197"/>
      <c r="L702" s="74"/>
      <c r="N702" s="197"/>
      <c r="O702" s="197"/>
      <c r="Q702" s="197"/>
      <c r="U702" s="198"/>
    </row>
    <row r="703">
      <c r="A703" s="74"/>
      <c r="B703" s="74"/>
      <c r="D703" s="74"/>
      <c r="G703" s="196"/>
      <c r="H703" s="196"/>
      <c r="I703" s="197"/>
      <c r="L703" s="74"/>
      <c r="N703" s="197"/>
      <c r="O703" s="197"/>
      <c r="Q703" s="197"/>
      <c r="U703" s="198"/>
    </row>
    <row r="704">
      <c r="A704" s="74"/>
      <c r="B704" s="74"/>
      <c r="D704" s="74"/>
      <c r="G704" s="196"/>
      <c r="H704" s="196"/>
      <c r="I704" s="197"/>
      <c r="L704" s="74"/>
      <c r="N704" s="197"/>
      <c r="O704" s="197"/>
      <c r="Q704" s="197"/>
      <c r="U704" s="198"/>
    </row>
    <row r="705">
      <c r="A705" s="74"/>
      <c r="B705" s="74"/>
      <c r="D705" s="74"/>
      <c r="G705" s="196"/>
      <c r="H705" s="196"/>
      <c r="I705" s="197"/>
      <c r="L705" s="74"/>
      <c r="N705" s="197"/>
      <c r="O705" s="197"/>
      <c r="Q705" s="197"/>
      <c r="U705" s="198"/>
    </row>
    <row r="706">
      <c r="A706" s="74"/>
      <c r="B706" s="74"/>
      <c r="D706" s="74"/>
      <c r="G706" s="196"/>
      <c r="H706" s="196"/>
      <c r="I706" s="197"/>
      <c r="L706" s="74"/>
      <c r="N706" s="197"/>
      <c r="O706" s="197"/>
      <c r="Q706" s="197"/>
      <c r="U706" s="198"/>
    </row>
    <row r="707">
      <c r="A707" s="74"/>
      <c r="B707" s="74"/>
      <c r="D707" s="74"/>
      <c r="G707" s="196"/>
      <c r="H707" s="196"/>
      <c r="I707" s="197"/>
      <c r="L707" s="74"/>
      <c r="N707" s="197"/>
      <c r="O707" s="197"/>
      <c r="Q707" s="197"/>
      <c r="U707" s="198"/>
    </row>
    <row r="708">
      <c r="A708" s="74"/>
      <c r="B708" s="74"/>
      <c r="D708" s="74"/>
      <c r="G708" s="196"/>
      <c r="H708" s="196"/>
      <c r="I708" s="197"/>
      <c r="L708" s="74"/>
      <c r="N708" s="197"/>
      <c r="O708" s="197"/>
      <c r="Q708" s="197"/>
      <c r="U708" s="198"/>
    </row>
    <row r="709">
      <c r="A709" s="74"/>
      <c r="B709" s="74"/>
      <c r="D709" s="74"/>
      <c r="G709" s="196"/>
      <c r="H709" s="196"/>
      <c r="I709" s="197"/>
      <c r="L709" s="74"/>
      <c r="N709" s="197"/>
      <c r="O709" s="197"/>
      <c r="Q709" s="197"/>
      <c r="U709" s="198"/>
    </row>
    <row r="710">
      <c r="A710" s="74"/>
      <c r="B710" s="74"/>
      <c r="D710" s="74"/>
      <c r="G710" s="196"/>
      <c r="H710" s="196"/>
      <c r="I710" s="197"/>
      <c r="L710" s="74"/>
      <c r="N710" s="197"/>
      <c r="O710" s="197"/>
      <c r="Q710" s="197"/>
      <c r="U710" s="198"/>
    </row>
    <row r="711">
      <c r="A711" s="74"/>
      <c r="B711" s="74"/>
      <c r="D711" s="74"/>
      <c r="G711" s="196"/>
      <c r="H711" s="196"/>
      <c r="I711" s="197"/>
      <c r="L711" s="74"/>
      <c r="N711" s="197"/>
      <c r="O711" s="197"/>
      <c r="Q711" s="197"/>
      <c r="U711" s="198"/>
    </row>
    <row r="712">
      <c r="A712" s="74"/>
      <c r="B712" s="74"/>
      <c r="D712" s="74"/>
      <c r="G712" s="196"/>
      <c r="H712" s="196"/>
      <c r="I712" s="197"/>
      <c r="L712" s="74"/>
      <c r="N712" s="197"/>
      <c r="O712" s="197"/>
      <c r="Q712" s="197"/>
      <c r="U712" s="198"/>
    </row>
    <row r="713">
      <c r="A713" s="74"/>
      <c r="B713" s="74"/>
      <c r="D713" s="74"/>
      <c r="G713" s="196"/>
      <c r="H713" s="196"/>
      <c r="I713" s="197"/>
      <c r="L713" s="74"/>
      <c r="N713" s="197"/>
      <c r="O713" s="197"/>
      <c r="Q713" s="197"/>
      <c r="U713" s="198"/>
    </row>
    <row r="714">
      <c r="A714" s="74"/>
      <c r="B714" s="74"/>
      <c r="D714" s="74"/>
      <c r="G714" s="196"/>
      <c r="H714" s="196"/>
      <c r="I714" s="197"/>
      <c r="L714" s="74"/>
      <c r="N714" s="197"/>
      <c r="O714" s="197"/>
      <c r="Q714" s="197"/>
      <c r="U714" s="198"/>
    </row>
    <row r="715">
      <c r="A715" s="74"/>
      <c r="B715" s="74"/>
      <c r="D715" s="74"/>
      <c r="G715" s="196"/>
      <c r="H715" s="196"/>
      <c r="I715" s="197"/>
      <c r="L715" s="74"/>
      <c r="N715" s="197"/>
      <c r="O715" s="197"/>
      <c r="Q715" s="197"/>
      <c r="U715" s="198"/>
    </row>
    <row r="716">
      <c r="A716" s="74"/>
      <c r="B716" s="74"/>
      <c r="D716" s="74"/>
      <c r="G716" s="196"/>
      <c r="H716" s="196"/>
      <c r="I716" s="197"/>
      <c r="L716" s="74"/>
      <c r="N716" s="197"/>
      <c r="O716" s="197"/>
      <c r="Q716" s="197"/>
      <c r="U716" s="198"/>
    </row>
    <row r="717">
      <c r="A717" s="74"/>
      <c r="B717" s="74"/>
      <c r="D717" s="74"/>
      <c r="G717" s="196"/>
      <c r="H717" s="196"/>
      <c r="I717" s="197"/>
      <c r="L717" s="74"/>
      <c r="N717" s="197"/>
      <c r="O717" s="197"/>
      <c r="Q717" s="197"/>
      <c r="U717" s="198"/>
    </row>
    <row r="718">
      <c r="A718" s="74"/>
      <c r="B718" s="74"/>
      <c r="D718" s="74"/>
      <c r="G718" s="196"/>
      <c r="H718" s="196"/>
      <c r="I718" s="197"/>
      <c r="L718" s="74"/>
      <c r="N718" s="197"/>
      <c r="O718" s="197"/>
      <c r="Q718" s="197"/>
      <c r="U718" s="198"/>
    </row>
    <row r="719">
      <c r="A719" s="74"/>
      <c r="B719" s="74"/>
      <c r="D719" s="74"/>
      <c r="G719" s="196"/>
      <c r="H719" s="196"/>
      <c r="I719" s="197"/>
      <c r="L719" s="74"/>
      <c r="N719" s="197"/>
      <c r="O719" s="197"/>
      <c r="Q719" s="197"/>
      <c r="U719" s="198"/>
    </row>
    <row r="720">
      <c r="A720" s="74"/>
      <c r="B720" s="74"/>
      <c r="D720" s="74"/>
      <c r="G720" s="196"/>
      <c r="H720" s="196"/>
      <c r="I720" s="197"/>
      <c r="L720" s="74"/>
      <c r="N720" s="197"/>
      <c r="O720" s="197"/>
      <c r="Q720" s="197"/>
      <c r="U720" s="198"/>
    </row>
    <row r="721">
      <c r="A721" s="74"/>
      <c r="B721" s="74"/>
      <c r="D721" s="74"/>
      <c r="G721" s="196"/>
      <c r="H721" s="196"/>
      <c r="I721" s="197"/>
      <c r="L721" s="74"/>
      <c r="N721" s="197"/>
      <c r="O721" s="197"/>
      <c r="Q721" s="197"/>
      <c r="U721" s="198"/>
    </row>
    <row r="722">
      <c r="A722" s="74"/>
      <c r="B722" s="74"/>
      <c r="D722" s="74"/>
      <c r="G722" s="196"/>
      <c r="H722" s="196"/>
      <c r="I722" s="197"/>
      <c r="L722" s="74"/>
      <c r="N722" s="197"/>
      <c r="O722" s="197"/>
      <c r="Q722" s="197"/>
      <c r="U722" s="198"/>
    </row>
    <row r="723">
      <c r="A723" s="74"/>
      <c r="B723" s="74"/>
      <c r="D723" s="74"/>
      <c r="G723" s="196"/>
      <c r="H723" s="196"/>
      <c r="I723" s="197"/>
      <c r="L723" s="74"/>
      <c r="N723" s="197"/>
      <c r="O723" s="197"/>
      <c r="Q723" s="197"/>
      <c r="U723" s="198"/>
    </row>
    <row r="724">
      <c r="A724" s="74"/>
      <c r="B724" s="74"/>
      <c r="D724" s="74"/>
      <c r="G724" s="196"/>
      <c r="H724" s="196"/>
      <c r="I724" s="197"/>
      <c r="L724" s="74"/>
      <c r="N724" s="197"/>
      <c r="O724" s="197"/>
      <c r="Q724" s="197"/>
      <c r="U724" s="198"/>
    </row>
    <row r="725">
      <c r="A725" s="74"/>
      <c r="B725" s="74"/>
      <c r="D725" s="74"/>
      <c r="G725" s="196"/>
      <c r="H725" s="196"/>
      <c r="I725" s="197"/>
      <c r="L725" s="74"/>
      <c r="N725" s="197"/>
      <c r="O725" s="197"/>
      <c r="Q725" s="197"/>
      <c r="U725" s="198"/>
    </row>
    <row r="726">
      <c r="A726" s="74"/>
      <c r="B726" s="74"/>
      <c r="D726" s="74"/>
      <c r="G726" s="196"/>
      <c r="H726" s="196"/>
      <c r="I726" s="197"/>
      <c r="L726" s="74"/>
      <c r="N726" s="197"/>
      <c r="O726" s="197"/>
      <c r="Q726" s="197"/>
      <c r="U726" s="198"/>
    </row>
    <row r="727">
      <c r="A727" s="74"/>
      <c r="B727" s="74"/>
      <c r="D727" s="74"/>
      <c r="G727" s="196"/>
      <c r="H727" s="196"/>
      <c r="I727" s="197"/>
      <c r="L727" s="74"/>
      <c r="N727" s="197"/>
      <c r="O727" s="197"/>
      <c r="Q727" s="197"/>
      <c r="U727" s="198"/>
    </row>
    <row r="728">
      <c r="A728" s="74"/>
      <c r="B728" s="74"/>
      <c r="D728" s="74"/>
      <c r="G728" s="196"/>
      <c r="H728" s="196"/>
      <c r="I728" s="197"/>
      <c r="L728" s="74"/>
      <c r="N728" s="197"/>
      <c r="O728" s="197"/>
      <c r="Q728" s="197"/>
      <c r="U728" s="198"/>
    </row>
    <row r="729">
      <c r="A729" s="74"/>
      <c r="B729" s="74"/>
      <c r="D729" s="74"/>
      <c r="G729" s="196"/>
      <c r="H729" s="196"/>
      <c r="I729" s="197"/>
      <c r="L729" s="74"/>
      <c r="N729" s="197"/>
      <c r="O729" s="197"/>
      <c r="Q729" s="197"/>
      <c r="U729" s="198"/>
    </row>
    <row r="730">
      <c r="A730" s="74"/>
      <c r="B730" s="74"/>
      <c r="D730" s="74"/>
      <c r="G730" s="196"/>
      <c r="H730" s="196"/>
      <c r="I730" s="197"/>
      <c r="L730" s="74"/>
      <c r="N730" s="197"/>
      <c r="O730" s="197"/>
      <c r="Q730" s="197"/>
      <c r="U730" s="198"/>
    </row>
    <row r="731">
      <c r="A731" s="74"/>
      <c r="B731" s="74"/>
      <c r="D731" s="74"/>
      <c r="G731" s="196"/>
      <c r="H731" s="196"/>
      <c r="I731" s="197"/>
      <c r="L731" s="74"/>
      <c r="N731" s="197"/>
      <c r="O731" s="197"/>
      <c r="Q731" s="197"/>
      <c r="U731" s="198"/>
    </row>
    <row r="732">
      <c r="A732" s="74"/>
      <c r="B732" s="74"/>
      <c r="D732" s="74"/>
      <c r="G732" s="196"/>
      <c r="H732" s="196"/>
      <c r="I732" s="197"/>
      <c r="L732" s="74"/>
      <c r="N732" s="197"/>
      <c r="O732" s="197"/>
      <c r="Q732" s="197"/>
      <c r="U732" s="198"/>
    </row>
    <row r="733">
      <c r="A733" s="74"/>
      <c r="B733" s="74"/>
      <c r="D733" s="74"/>
      <c r="G733" s="196"/>
      <c r="H733" s="196"/>
      <c r="I733" s="197"/>
      <c r="L733" s="74"/>
      <c r="N733" s="197"/>
      <c r="O733" s="197"/>
      <c r="Q733" s="197"/>
      <c r="U733" s="198"/>
    </row>
    <row r="734">
      <c r="A734" s="74"/>
      <c r="B734" s="74"/>
      <c r="D734" s="74"/>
      <c r="G734" s="196"/>
      <c r="H734" s="196"/>
      <c r="I734" s="197"/>
      <c r="L734" s="74"/>
      <c r="N734" s="197"/>
      <c r="O734" s="197"/>
      <c r="Q734" s="197"/>
      <c r="U734" s="198"/>
    </row>
    <row r="735">
      <c r="A735" s="74"/>
      <c r="B735" s="74"/>
      <c r="D735" s="74"/>
      <c r="G735" s="196"/>
      <c r="H735" s="196"/>
      <c r="I735" s="197"/>
      <c r="L735" s="74"/>
      <c r="N735" s="197"/>
      <c r="O735" s="197"/>
      <c r="Q735" s="197"/>
      <c r="U735" s="198"/>
    </row>
    <row r="736">
      <c r="A736" s="74"/>
      <c r="B736" s="74"/>
      <c r="D736" s="74"/>
      <c r="G736" s="196"/>
      <c r="H736" s="196"/>
      <c r="I736" s="197"/>
      <c r="L736" s="74"/>
      <c r="N736" s="197"/>
      <c r="O736" s="197"/>
      <c r="Q736" s="197"/>
      <c r="U736" s="198"/>
    </row>
    <row r="737">
      <c r="A737" s="74"/>
      <c r="B737" s="74"/>
      <c r="D737" s="74"/>
      <c r="G737" s="196"/>
      <c r="H737" s="196"/>
      <c r="I737" s="197"/>
      <c r="L737" s="74"/>
      <c r="N737" s="197"/>
      <c r="O737" s="197"/>
      <c r="Q737" s="197"/>
      <c r="U737" s="198"/>
    </row>
    <row r="738">
      <c r="A738" s="74"/>
      <c r="B738" s="74"/>
      <c r="D738" s="74"/>
      <c r="G738" s="196"/>
      <c r="H738" s="196"/>
      <c r="I738" s="197"/>
      <c r="L738" s="74"/>
      <c r="N738" s="197"/>
      <c r="O738" s="197"/>
      <c r="Q738" s="197"/>
      <c r="U738" s="198"/>
    </row>
    <row r="739">
      <c r="A739" s="74"/>
      <c r="B739" s="74"/>
      <c r="D739" s="74"/>
      <c r="G739" s="196"/>
      <c r="H739" s="196"/>
      <c r="I739" s="197"/>
      <c r="L739" s="74"/>
      <c r="N739" s="197"/>
      <c r="O739" s="197"/>
      <c r="Q739" s="197"/>
      <c r="U739" s="198"/>
    </row>
    <row r="740">
      <c r="A740" s="74"/>
      <c r="B740" s="74"/>
      <c r="D740" s="74"/>
      <c r="G740" s="196"/>
      <c r="H740" s="196"/>
      <c r="I740" s="197"/>
      <c r="L740" s="74"/>
      <c r="N740" s="197"/>
      <c r="O740" s="197"/>
      <c r="Q740" s="197"/>
      <c r="U740" s="198"/>
    </row>
    <row r="741">
      <c r="A741" s="74"/>
      <c r="B741" s="74"/>
      <c r="D741" s="74"/>
      <c r="G741" s="196"/>
      <c r="H741" s="196"/>
      <c r="I741" s="197"/>
      <c r="L741" s="74"/>
      <c r="N741" s="197"/>
      <c r="O741" s="197"/>
      <c r="Q741" s="197"/>
      <c r="U741" s="198"/>
    </row>
    <row r="742">
      <c r="A742" s="74"/>
      <c r="B742" s="74"/>
      <c r="D742" s="74"/>
      <c r="G742" s="196"/>
      <c r="H742" s="196"/>
      <c r="I742" s="197"/>
      <c r="L742" s="74"/>
      <c r="N742" s="197"/>
      <c r="O742" s="197"/>
      <c r="Q742" s="197"/>
      <c r="U742" s="198"/>
    </row>
    <row r="743">
      <c r="A743" s="74"/>
      <c r="B743" s="74"/>
      <c r="D743" s="74"/>
      <c r="G743" s="196"/>
      <c r="H743" s="196"/>
      <c r="I743" s="197"/>
      <c r="L743" s="74"/>
      <c r="N743" s="197"/>
      <c r="O743" s="197"/>
      <c r="Q743" s="197"/>
      <c r="U743" s="198"/>
    </row>
    <row r="744">
      <c r="A744" s="74"/>
      <c r="B744" s="74"/>
      <c r="D744" s="74"/>
      <c r="G744" s="196"/>
      <c r="H744" s="196"/>
      <c r="I744" s="197"/>
      <c r="L744" s="74"/>
      <c r="N744" s="197"/>
      <c r="O744" s="197"/>
      <c r="Q744" s="197"/>
      <c r="U744" s="198"/>
    </row>
    <row r="745">
      <c r="A745" s="74"/>
      <c r="B745" s="74"/>
      <c r="D745" s="74"/>
      <c r="G745" s="196"/>
      <c r="H745" s="196"/>
      <c r="I745" s="197"/>
      <c r="L745" s="74"/>
      <c r="N745" s="197"/>
      <c r="O745" s="197"/>
      <c r="Q745" s="197"/>
      <c r="U745" s="198"/>
    </row>
    <row r="746">
      <c r="A746" s="74"/>
      <c r="B746" s="74"/>
      <c r="D746" s="74"/>
      <c r="G746" s="196"/>
      <c r="H746" s="196"/>
      <c r="I746" s="197"/>
      <c r="L746" s="74"/>
      <c r="N746" s="197"/>
      <c r="O746" s="197"/>
      <c r="Q746" s="197"/>
      <c r="U746" s="198"/>
    </row>
    <row r="747">
      <c r="A747" s="74"/>
      <c r="B747" s="74"/>
      <c r="D747" s="74"/>
      <c r="G747" s="196"/>
      <c r="H747" s="196"/>
      <c r="I747" s="197"/>
      <c r="L747" s="74"/>
      <c r="N747" s="197"/>
      <c r="O747" s="197"/>
      <c r="Q747" s="197"/>
      <c r="U747" s="198"/>
    </row>
    <row r="748">
      <c r="A748" s="74"/>
      <c r="B748" s="74"/>
      <c r="D748" s="74"/>
      <c r="G748" s="196"/>
      <c r="H748" s="196"/>
      <c r="I748" s="197"/>
      <c r="L748" s="74"/>
      <c r="N748" s="197"/>
      <c r="O748" s="197"/>
      <c r="Q748" s="197"/>
      <c r="U748" s="198"/>
    </row>
    <row r="749">
      <c r="A749" s="74"/>
      <c r="B749" s="74"/>
      <c r="D749" s="74"/>
      <c r="G749" s="196"/>
      <c r="H749" s="196"/>
      <c r="I749" s="197"/>
      <c r="L749" s="74"/>
      <c r="N749" s="197"/>
      <c r="O749" s="197"/>
      <c r="Q749" s="197"/>
      <c r="U749" s="198"/>
    </row>
    <row r="750">
      <c r="A750" s="74"/>
      <c r="B750" s="74"/>
      <c r="D750" s="74"/>
      <c r="G750" s="196"/>
      <c r="H750" s="196"/>
      <c r="I750" s="197"/>
      <c r="L750" s="74"/>
      <c r="N750" s="197"/>
      <c r="O750" s="197"/>
      <c r="Q750" s="197"/>
      <c r="U750" s="198"/>
    </row>
    <row r="751">
      <c r="A751" s="74"/>
      <c r="B751" s="74"/>
      <c r="D751" s="74"/>
      <c r="G751" s="196"/>
      <c r="H751" s="196"/>
      <c r="I751" s="197"/>
      <c r="L751" s="74"/>
      <c r="N751" s="197"/>
      <c r="O751" s="197"/>
      <c r="Q751" s="197"/>
      <c r="U751" s="198"/>
    </row>
    <row r="752">
      <c r="A752" s="74"/>
      <c r="B752" s="74"/>
      <c r="D752" s="74"/>
      <c r="G752" s="196"/>
      <c r="H752" s="196"/>
      <c r="I752" s="197"/>
      <c r="L752" s="74"/>
      <c r="N752" s="197"/>
      <c r="O752" s="197"/>
      <c r="Q752" s="197"/>
      <c r="U752" s="198"/>
    </row>
    <row r="753">
      <c r="A753" s="74"/>
      <c r="B753" s="74"/>
      <c r="D753" s="74"/>
      <c r="G753" s="196"/>
      <c r="H753" s="196"/>
      <c r="I753" s="197"/>
      <c r="L753" s="74"/>
      <c r="N753" s="197"/>
      <c r="O753" s="197"/>
      <c r="Q753" s="197"/>
      <c r="U753" s="198"/>
    </row>
    <row r="754">
      <c r="A754" s="74"/>
      <c r="B754" s="74"/>
      <c r="D754" s="74"/>
      <c r="G754" s="196"/>
      <c r="H754" s="196"/>
      <c r="I754" s="197"/>
      <c r="L754" s="74"/>
      <c r="N754" s="197"/>
      <c r="O754" s="197"/>
      <c r="Q754" s="197"/>
      <c r="U754" s="198"/>
    </row>
    <row r="755">
      <c r="A755" s="74"/>
      <c r="B755" s="74"/>
      <c r="D755" s="74"/>
      <c r="G755" s="196"/>
      <c r="H755" s="196"/>
      <c r="I755" s="197"/>
      <c r="L755" s="74"/>
      <c r="N755" s="197"/>
      <c r="O755" s="197"/>
      <c r="Q755" s="197"/>
      <c r="U755" s="198"/>
    </row>
    <row r="756">
      <c r="A756" s="74"/>
      <c r="B756" s="74"/>
      <c r="D756" s="74"/>
      <c r="G756" s="196"/>
      <c r="H756" s="196"/>
      <c r="I756" s="197"/>
      <c r="L756" s="74"/>
      <c r="N756" s="197"/>
      <c r="O756" s="197"/>
      <c r="Q756" s="197"/>
      <c r="U756" s="198"/>
    </row>
    <row r="757">
      <c r="A757" s="74"/>
      <c r="B757" s="74"/>
      <c r="D757" s="74"/>
      <c r="G757" s="196"/>
      <c r="H757" s="196"/>
      <c r="I757" s="197"/>
      <c r="L757" s="74"/>
      <c r="N757" s="197"/>
      <c r="O757" s="197"/>
      <c r="Q757" s="197"/>
      <c r="U757" s="198"/>
    </row>
    <row r="758">
      <c r="A758" s="74"/>
      <c r="B758" s="74"/>
      <c r="D758" s="74"/>
      <c r="G758" s="196"/>
      <c r="H758" s="196"/>
      <c r="I758" s="197"/>
      <c r="L758" s="74"/>
      <c r="N758" s="197"/>
      <c r="O758" s="197"/>
      <c r="Q758" s="197"/>
      <c r="U758" s="198"/>
    </row>
    <row r="759">
      <c r="A759" s="74"/>
      <c r="B759" s="74"/>
      <c r="D759" s="74"/>
      <c r="G759" s="196"/>
      <c r="H759" s="196"/>
      <c r="I759" s="197"/>
      <c r="L759" s="74"/>
      <c r="N759" s="197"/>
      <c r="O759" s="197"/>
      <c r="Q759" s="197"/>
      <c r="U759" s="198"/>
    </row>
    <row r="760">
      <c r="A760" s="74"/>
      <c r="B760" s="74"/>
      <c r="D760" s="74"/>
      <c r="G760" s="196"/>
      <c r="H760" s="196"/>
      <c r="I760" s="197"/>
      <c r="L760" s="74"/>
      <c r="N760" s="197"/>
      <c r="O760" s="197"/>
      <c r="Q760" s="197"/>
      <c r="U760" s="198"/>
    </row>
    <row r="761">
      <c r="A761" s="74"/>
      <c r="B761" s="74"/>
      <c r="D761" s="74"/>
      <c r="G761" s="196"/>
      <c r="H761" s="196"/>
      <c r="I761" s="197"/>
      <c r="L761" s="74"/>
      <c r="N761" s="197"/>
      <c r="O761" s="197"/>
      <c r="Q761" s="197"/>
      <c r="U761" s="198"/>
    </row>
    <row r="762">
      <c r="A762" s="74"/>
      <c r="B762" s="74"/>
      <c r="D762" s="74"/>
      <c r="G762" s="196"/>
      <c r="H762" s="196"/>
      <c r="I762" s="197"/>
      <c r="L762" s="74"/>
      <c r="N762" s="197"/>
      <c r="O762" s="197"/>
      <c r="Q762" s="197"/>
      <c r="U762" s="198"/>
    </row>
    <row r="763">
      <c r="A763" s="74"/>
      <c r="B763" s="74"/>
      <c r="D763" s="74"/>
      <c r="G763" s="196"/>
      <c r="H763" s="196"/>
      <c r="I763" s="197"/>
      <c r="L763" s="74"/>
      <c r="N763" s="197"/>
      <c r="O763" s="197"/>
      <c r="Q763" s="197"/>
      <c r="U763" s="198"/>
    </row>
    <row r="764">
      <c r="A764" s="74"/>
      <c r="B764" s="74"/>
      <c r="D764" s="74"/>
      <c r="G764" s="196"/>
      <c r="H764" s="196"/>
      <c r="I764" s="197"/>
      <c r="L764" s="74"/>
      <c r="N764" s="197"/>
      <c r="O764" s="197"/>
      <c r="Q764" s="197"/>
      <c r="U764" s="198"/>
    </row>
    <row r="765">
      <c r="A765" s="74"/>
      <c r="B765" s="74"/>
      <c r="D765" s="74"/>
      <c r="G765" s="196"/>
      <c r="H765" s="196"/>
      <c r="I765" s="197"/>
      <c r="L765" s="74"/>
      <c r="N765" s="197"/>
      <c r="O765" s="197"/>
      <c r="Q765" s="197"/>
      <c r="U765" s="198"/>
    </row>
    <row r="766">
      <c r="A766" s="74"/>
      <c r="B766" s="74"/>
      <c r="D766" s="74"/>
      <c r="G766" s="196"/>
      <c r="H766" s="196"/>
      <c r="I766" s="197"/>
      <c r="L766" s="74"/>
      <c r="N766" s="197"/>
      <c r="O766" s="197"/>
      <c r="Q766" s="197"/>
      <c r="U766" s="198"/>
    </row>
    <row r="767">
      <c r="A767" s="74"/>
      <c r="B767" s="74"/>
      <c r="D767" s="74"/>
      <c r="G767" s="196"/>
      <c r="H767" s="196"/>
      <c r="I767" s="197"/>
      <c r="L767" s="74"/>
      <c r="N767" s="197"/>
      <c r="O767" s="197"/>
      <c r="Q767" s="197"/>
      <c r="U767" s="198"/>
    </row>
    <row r="768">
      <c r="A768" s="74"/>
      <c r="B768" s="74"/>
      <c r="D768" s="74"/>
      <c r="G768" s="196"/>
      <c r="H768" s="196"/>
      <c r="I768" s="197"/>
      <c r="L768" s="74"/>
      <c r="N768" s="197"/>
      <c r="O768" s="197"/>
      <c r="Q768" s="197"/>
      <c r="U768" s="198"/>
    </row>
    <row r="769">
      <c r="A769" s="74"/>
      <c r="B769" s="74"/>
      <c r="D769" s="74"/>
      <c r="G769" s="196"/>
      <c r="H769" s="196"/>
      <c r="I769" s="197"/>
      <c r="L769" s="74"/>
      <c r="N769" s="197"/>
      <c r="O769" s="197"/>
      <c r="Q769" s="197"/>
      <c r="U769" s="198"/>
    </row>
    <row r="770">
      <c r="A770" s="74"/>
      <c r="B770" s="74"/>
      <c r="D770" s="74"/>
      <c r="G770" s="196"/>
      <c r="H770" s="196"/>
      <c r="I770" s="197"/>
      <c r="L770" s="74"/>
      <c r="N770" s="197"/>
      <c r="O770" s="197"/>
      <c r="Q770" s="197"/>
      <c r="U770" s="198"/>
    </row>
    <row r="771">
      <c r="A771" s="74"/>
      <c r="B771" s="74"/>
      <c r="D771" s="74"/>
      <c r="G771" s="196"/>
      <c r="H771" s="196"/>
      <c r="I771" s="197"/>
      <c r="L771" s="74"/>
      <c r="N771" s="197"/>
      <c r="O771" s="197"/>
      <c r="Q771" s="197"/>
      <c r="U771" s="198"/>
    </row>
    <row r="772">
      <c r="A772" s="74"/>
      <c r="B772" s="74"/>
      <c r="D772" s="74"/>
      <c r="G772" s="196"/>
      <c r="H772" s="196"/>
      <c r="I772" s="197"/>
      <c r="L772" s="74"/>
      <c r="N772" s="197"/>
      <c r="O772" s="197"/>
      <c r="Q772" s="197"/>
      <c r="U772" s="198"/>
    </row>
    <row r="773">
      <c r="A773" s="74"/>
      <c r="B773" s="74"/>
      <c r="D773" s="74"/>
      <c r="G773" s="196"/>
      <c r="H773" s="196"/>
      <c r="I773" s="197"/>
      <c r="L773" s="74"/>
      <c r="N773" s="197"/>
      <c r="O773" s="197"/>
      <c r="Q773" s="197"/>
      <c r="U773" s="198"/>
    </row>
    <row r="774">
      <c r="A774" s="74"/>
      <c r="B774" s="74"/>
      <c r="D774" s="74"/>
      <c r="G774" s="196"/>
      <c r="H774" s="196"/>
      <c r="I774" s="197"/>
      <c r="L774" s="74"/>
      <c r="N774" s="197"/>
      <c r="O774" s="197"/>
      <c r="Q774" s="197"/>
      <c r="U774" s="198"/>
    </row>
    <row r="775">
      <c r="A775" s="74"/>
      <c r="B775" s="74"/>
      <c r="D775" s="74"/>
      <c r="G775" s="196"/>
      <c r="H775" s="196"/>
      <c r="I775" s="197"/>
      <c r="L775" s="74"/>
      <c r="N775" s="197"/>
      <c r="O775" s="197"/>
      <c r="Q775" s="197"/>
      <c r="U775" s="198"/>
    </row>
    <row r="776">
      <c r="A776" s="74"/>
      <c r="B776" s="74"/>
      <c r="D776" s="74"/>
      <c r="G776" s="196"/>
      <c r="H776" s="196"/>
      <c r="I776" s="197"/>
      <c r="L776" s="74"/>
      <c r="N776" s="197"/>
      <c r="O776" s="197"/>
      <c r="Q776" s="197"/>
      <c r="U776" s="198"/>
    </row>
    <row r="777">
      <c r="A777" s="74"/>
      <c r="B777" s="74"/>
      <c r="D777" s="74"/>
      <c r="G777" s="196"/>
      <c r="H777" s="196"/>
      <c r="I777" s="197"/>
      <c r="L777" s="74"/>
      <c r="N777" s="197"/>
      <c r="O777" s="197"/>
      <c r="Q777" s="197"/>
      <c r="U777" s="198"/>
    </row>
    <row r="778">
      <c r="A778" s="74"/>
      <c r="B778" s="74"/>
      <c r="D778" s="74"/>
      <c r="G778" s="196"/>
      <c r="H778" s="196"/>
      <c r="I778" s="197"/>
      <c r="L778" s="74"/>
      <c r="N778" s="197"/>
      <c r="O778" s="197"/>
      <c r="Q778" s="197"/>
      <c r="U778" s="198"/>
    </row>
    <row r="779">
      <c r="A779" s="74"/>
      <c r="B779" s="74"/>
      <c r="D779" s="74"/>
      <c r="G779" s="196"/>
      <c r="H779" s="196"/>
      <c r="I779" s="197"/>
      <c r="L779" s="74"/>
      <c r="N779" s="197"/>
      <c r="O779" s="197"/>
      <c r="Q779" s="197"/>
      <c r="U779" s="198"/>
    </row>
    <row r="780">
      <c r="A780" s="74"/>
      <c r="B780" s="74"/>
      <c r="D780" s="74"/>
      <c r="G780" s="196"/>
      <c r="H780" s="196"/>
      <c r="I780" s="197"/>
      <c r="L780" s="74"/>
      <c r="N780" s="197"/>
      <c r="O780" s="197"/>
      <c r="Q780" s="197"/>
      <c r="U780" s="198"/>
    </row>
    <row r="781">
      <c r="A781" s="74"/>
      <c r="B781" s="74"/>
      <c r="D781" s="74"/>
      <c r="G781" s="196"/>
      <c r="H781" s="196"/>
      <c r="I781" s="197"/>
      <c r="L781" s="74"/>
      <c r="N781" s="197"/>
      <c r="O781" s="197"/>
      <c r="Q781" s="197"/>
      <c r="U781" s="198"/>
    </row>
    <row r="782">
      <c r="A782" s="74"/>
      <c r="B782" s="74"/>
      <c r="D782" s="74"/>
      <c r="G782" s="196"/>
      <c r="H782" s="196"/>
      <c r="I782" s="197"/>
      <c r="L782" s="74"/>
      <c r="N782" s="197"/>
      <c r="O782" s="197"/>
      <c r="Q782" s="197"/>
      <c r="U782" s="198"/>
    </row>
    <row r="783">
      <c r="A783" s="74"/>
      <c r="B783" s="74"/>
      <c r="D783" s="74"/>
      <c r="G783" s="196"/>
      <c r="H783" s="196"/>
      <c r="I783" s="197"/>
      <c r="L783" s="74"/>
      <c r="N783" s="197"/>
      <c r="O783" s="197"/>
      <c r="Q783" s="197"/>
      <c r="U783" s="198"/>
    </row>
    <row r="784">
      <c r="A784" s="74"/>
      <c r="B784" s="74"/>
      <c r="D784" s="74"/>
      <c r="G784" s="196"/>
      <c r="H784" s="196"/>
      <c r="I784" s="197"/>
      <c r="L784" s="74"/>
      <c r="N784" s="197"/>
      <c r="O784" s="197"/>
      <c r="Q784" s="197"/>
      <c r="U784" s="198"/>
    </row>
    <row r="785">
      <c r="A785" s="74"/>
      <c r="B785" s="74"/>
      <c r="D785" s="74"/>
      <c r="G785" s="196"/>
      <c r="H785" s="196"/>
      <c r="I785" s="197"/>
      <c r="L785" s="74"/>
      <c r="N785" s="197"/>
      <c r="O785" s="197"/>
      <c r="Q785" s="197"/>
      <c r="U785" s="198"/>
    </row>
    <row r="786">
      <c r="A786" s="74"/>
      <c r="B786" s="74"/>
      <c r="D786" s="74"/>
      <c r="G786" s="196"/>
      <c r="H786" s="196"/>
      <c r="I786" s="197"/>
      <c r="L786" s="74"/>
      <c r="N786" s="197"/>
      <c r="O786" s="197"/>
      <c r="Q786" s="197"/>
      <c r="U786" s="198"/>
    </row>
    <row r="787">
      <c r="A787" s="74"/>
      <c r="B787" s="74"/>
      <c r="D787" s="74"/>
      <c r="G787" s="196"/>
      <c r="H787" s="196"/>
      <c r="I787" s="197"/>
      <c r="L787" s="74"/>
      <c r="N787" s="197"/>
      <c r="O787" s="197"/>
      <c r="Q787" s="197"/>
      <c r="U787" s="198"/>
    </row>
    <row r="788">
      <c r="A788" s="74"/>
      <c r="B788" s="74"/>
      <c r="D788" s="74"/>
      <c r="G788" s="196"/>
      <c r="H788" s="196"/>
      <c r="I788" s="197"/>
      <c r="L788" s="74"/>
      <c r="N788" s="197"/>
      <c r="O788" s="197"/>
      <c r="Q788" s="197"/>
      <c r="U788" s="198"/>
    </row>
    <row r="789">
      <c r="A789" s="74"/>
      <c r="B789" s="74"/>
      <c r="D789" s="74"/>
      <c r="G789" s="196"/>
      <c r="H789" s="196"/>
      <c r="I789" s="197"/>
      <c r="L789" s="74"/>
      <c r="N789" s="197"/>
      <c r="O789" s="197"/>
      <c r="Q789" s="197"/>
      <c r="U789" s="198"/>
    </row>
    <row r="790">
      <c r="A790" s="74"/>
      <c r="B790" s="74"/>
      <c r="D790" s="74"/>
      <c r="G790" s="196"/>
      <c r="H790" s="196"/>
      <c r="I790" s="197"/>
      <c r="L790" s="74"/>
      <c r="N790" s="197"/>
      <c r="O790" s="197"/>
      <c r="Q790" s="197"/>
      <c r="U790" s="198"/>
    </row>
    <row r="791">
      <c r="A791" s="74"/>
      <c r="B791" s="74"/>
      <c r="D791" s="74"/>
      <c r="G791" s="196"/>
      <c r="H791" s="196"/>
      <c r="I791" s="197"/>
      <c r="L791" s="74"/>
      <c r="N791" s="197"/>
      <c r="O791" s="197"/>
      <c r="Q791" s="197"/>
      <c r="U791" s="198"/>
    </row>
    <row r="792">
      <c r="A792" s="74"/>
      <c r="B792" s="74"/>
      <c r="D792" s="74"/>
      <c r="G792" s="196"/>
      <c r="H792" s="196"/>
      <c r="I792" s="197"/>
      <c r="L792" s="74"/>
      <c r="N792" s="197"/>
      <c r="O792" s="197"/>
      <c r="Q792" s="197"/>
      <c r="U792" s="198"/>
    </row>
    <row r="793">
      <c r="A793" s="74"/>
      <c r="B793" s="74"/>
      <c r="D793" s="74"/>
      <c r="G793" s="196"/>
      <c r="H793" s="196"/>
      <c r="I793" s="197"/>
      <c r="L793" s="74"/>
      <c r="N793" s="197"/>
      <c r="O793" s="197"/>
      <c r="Q793" s="197"/>
      <c r="U793" s="198"/>
    </row>
    <row r="794">
      <c r="A794" s="74"/>
      <c r="B794" s="74"/>
      <c r="D794" s="74"/>
      <c r="G794" s="196"/>
      <c r="H794" s="196"/>
      <c r="I794" s="197"/>
      <c r="L794" s="74"/>
      <c r="N794" s="197"/>
      <c r="O794" s="197"/>
      <c r="Q794" s="197"/>
      <c r="U794" s="198"/>
    </row>
    <row r="795">
      <c r="A795" s="74"/>
      <c r="B795" s="74"/>
      <c r="D795" s="74"/>
      <c r="G795" s="196"/>
      <c r="H795" s="196"/>
      <c r="I795" s="197"/>
      <c r="L795" s="74"/>
      <c r="N795" s="197"/>
      <c r="O795" s="197"/>
      <c r="Q795" s="197"/>
      <c r="U795" s="198"/>
    </row>
    <row r="796">
      <c r="A796" s="74"/>
      <c r="B796" s="74"/>
      <c r="D796" s="74"/>
      <c r="G796" s="196"/>
      <c r="H796" s="196"/>
      <c r="I796" s="197"/>
      <c r="L796" s="74"/>
      <c r="N796" s="197"/>
      <c r="O796" s="197"/>
      <c r="Q796" s="197"/>
      <c r="U796" s="198"/>
    </row>
    <row r="797">
      <c r="A797" s="74"/>
      <c r="B797" s="74"/>
      <c r="D797" s="74"/>
      <c r="G797" s="196"/>
      <c r="H797" s="196"/>
      <c r="I797" s="197"/>
      <c r="L797" s="74"/>
      <c r="N797" s="197"/>
      <c r="O797" s="197"/>
      <c r="Q797" s="197"/>
      <c r="U797" s="198"/>
    </row>
    <row r="798">
      <c r="A798" s="74"/>
      <c r="B798" s="74"/>
      <c r="D798" s="74"/>
      <c r="G798" s="196"/>
      <c r="H798" s="196"/>
      <c r="I798" s="197"/>
      <c r="L798" s="74"/>
      <c r="N798" s="197"/>
      <c r="O798" s="197"/>
      <c r="Q798" s="197"/>
      <c r="U798" s="198"/>
    </row>
    <row r="799">
      <c r="A799" s="74"/>
      <c r="B799" s="74"/>
      <c r="D799" s="74"/>
      <c r="G799" s="196"/>
      <c r="H799" s="196"/>
      <c r="I799" s="197"/>
      <c r="L799" s="74"/>
      <c r="N799" s="197"/>
      <c r="O799" s="197"/>
      <c r="Q799" s="197"/>
      <c r="U799" s="198"/>
    </row>
    <row r="800">
      <c r="A800" s="74"/>
      <c r="B800" s="74"/>
      <c r="D800" s="74"/>
      <c r="G800" s="196"/>
      <c r="H800" s="196"/>
      <c r="I800" s="197"/>
      <c r="L800" s="74"/>
      <c r="N800" s="197"/>
      <c r="O800" s="197"/>
      <c r="Q800" s="197"/>
      <c r="U800" s="198"/>
    </row>
    <row r="801">
      <c r="A801" s="74"/>
      <c r="B801" s="74"/>
      <c r="D801" s="74"/>
      <c r="G801" s="196"/>
      <c r="H801" s="196"/>
      <c r="I801" s="197"/>
      <c r="L801" s="74"/>
      <c r="N801" s="197"/>
      <c r="O801" s="197"/>
      <c r="Q801" s="197"/>
      <c r="U801" s="198"/>
    </row>
    <row r="802">
      <c r="A802" s="74"/>
      <c r="B802" s="74"/>
      <c r="D802" s="74"/>
      <c r="G802" s="196"/>
      <c r="H802" s="196"/>
      <c r="I802" s="197"/>
      <c r="L802" s="74"/>
      <c r="N802" s="197"/>
      <c r="O802" s="197"/>
      <c r="Q802" s="197"/>
      <c r="U802" s="198"/>
    </row>
    <row r="803">
      <c r="A803" s="74"/>
      <c r="B803" s="74"/>
      <c r="D803" s="74"/>
      <c r="G803" s="196"/>
      <c r="H803" s="196"/>
      <c r="I803" s="197"/>
      <c r="L803" s="74"/>
      <c r="N803" s="197"/>
      <c r="O803" s="197"/>
      <c r="Q803" s="197"/>
      <c r="U803" s="198"/>
    </row>
    <row r="804">
      <c r="A804" s="74"/>
      <c r="B804" s="74"/>
      <c r="D804" s="74"/>
      <c r="G804" s="196"/>
      <c r="H804" s="196"/>
      <c r="I804" s="197"/>
      <c r="L804" s="74"/>
      <c r="N804" s="197"/>
      <c r="O804" s="197"/>
      <c r="Q804" s="197"/>
      <c r="U804" s="198"/>
    </row>
    <row r="805">
      <c r="A805" s="74"/>
      <c r="B805" s="74"/>
      <c r="D805" s="74"/>
      <c r="G805" s="196"/>
      <c r="H805" s="196"/>
      <c r="I805" s="197"/>
      <c r="L805" s="74"/>
      <c r="N805" s="197"/>
      <c r="O805" s="197"/>
      <c r="Q805" s="197"/>
      <c r="U805" s="198"/>
    </row>
    <row r="806">
      <c r="A806" s="74"/>
      <c r="B806" s="74"/>
      <c r="D806" s="74"/>
      <c r="G806" s="196"/>
      <c r="H806" s="196"/>
      <c r="I806" s="197"/>
      <c r="L806" s="74"/>
      <c r="N806" s="197"/>
      <c r="O806" s="197"/>
      <c r="Q806" s="197"/>
      <c r="U806" s="198"/>
    </row>
    <row r="807">
      <c r="A807" s="74"/>
      <c r="B807" s="74"/>
      <c r="D807" s="74"/>
      <c r="G807" s="196"/>
      <c r="H807" s="196"/>
      <c r="I807" s="197"/>
      <c r="L807" s="74"/>
      <c r="N807" s="197"/>
      <c r="O807" s="197"/>
      <c r="Q807" s="197"/>
      <c r="U807" s="198"/>
    </row>
    <row r="808">
      <c r="A808" s="74"/>
      <c r="B808" s="74"/>
      <c r="D808" s="74"/>
      <c r="G808" s="196"/>
      <c r="H808" s="196"/>
      <c r="I808" s="197"/>
      <c r="L808" s="74"/>
      <c r="N808" s="197"/>
      <c r="O808" s="197"/>
      <c r="Q808" s="197"/>
      <c r="U808" s="198"/>
    </row>
    <row r="809">
      <c r="A809" s="74"/>
      <c r="B809" s="74"/>
      <c r="D809" s="74"/>
      <c r="G809" s="196"/>
      <c r="H809" s="196"/>
      <c r="I809" s="197"/>
      <c r="L809" s="74"/>
      <c r="N809" s="197"/>
      <c r="O809" s="197"/>
      <c r="Q809" s="197"/>
      <c r="U809" s="198"/>
    </row>
    <row r="810">
      <c r="A810" s="74"/>
      <c r="B810" s="74"/>
      <c r="D810" s="74"/>
      <c r="G810" s="196"/>
      <c r="H810" s="196"/>
      <c r="I810" s="197"/>
      <c r="L810" s="74"/>
      <c r="N810" s="197"/>
      <c r="O810" s="197"/>
      <c r="Q810" s="197"/>
      <c r="U810" s="198"/>
    </row>
    <row r="811">
      <c r="A811" s="74"/>
      <c r="B811" s="74"/>
      <c r="D811" s="74"/>
      <c r="G811" s="196"/>
      <c r="H811" s="196"/>
      <c r="I811" s="197"/>
      <c r="L811" s="74"/>
      <c r="N811" s="197"/>
      <c r="O811" s="197"/>
      <c r="Q811" s="197"/>
      <c r="U811" s="198"/>
    </row>
    <row r="812">
      <c r="A812" s="74"/>
      <c r="B812" s="74"/>
      <c r="D812" s="74"/>
      <c r="G812" s="196"/>
      <c r="H812" s="196"/>
      <c r="I812" s="197"/>
      <c r="L812" s="74"/>
      <c r="N812" s="197"/>
      <c r="O812" s="197"/>
      <c r="Q812" s="197"/>
      <c r="U812" s="198"/>
    </row>
    <row r="813">
      <c r="A813" s="74"/>
      <c r="B813" s="74"/>
      <c r="D813" s="74"/>
      <c r="G813" s="196"/>
      <c r="H813" s="196"/>
      <c r="I813" s="197"/>
      <c r="L813" s="74"/>
      <c r="N813" s="197"/>
      <c r="O813" s="197"/>
      <c r="Q813" s="197"/>
      <c r="U813" s="198"/>
    </row>
    <row r="814">
      <c r="A814" s="74"/>
      <c r="B814" s="74"/>
      <c r="D814" s="74"/>
      <c r="G814" s="196"/>
      <c r="H814" s="196"/>
      <c r="I814" s="197"/>
      <c r="L814" s="74"/>
      <c r="N814" s="197"/>
      <c r="O814" s="197"/>
      <c r="Q814" s="197"/>
      <c r="U814" s="198"/>
    </row>
    <row r="815">
      <c r="A815" s="74"/>
      <c r="B815" s="74"/>
      <c r="D815" s="74"/>
      <c r="G815" s="196"/>
      <c r="H815" s="196"/>
      <c r="I815" s="197"/>
      <c r="L815" s="74"/>
      <c r="N815" s="197"/>
      <c r="O815" s="197"/>
      <c r="Q815" s="197"/>
      <c r="U815" s="198"/>
    </row>
    <row r="816">
      <c r="A816" s="74"/>
      <c r="B816" s="74"/>
      <c r="D816" s="74"/>
      <c r="G816" s="196"/>
      <c r="H816" s="196"/>
      <c r="I816" s="197"/>
      <c r="L816" s="74"/>
      <c r="N816" s="197"/>
      <c r="O816" s="197"/>
      <c r="Q816" s="197"/>
      <c r="U816" s="198"/>
    </row>
    <row r="817">
      <c r="A817" s="74"/>
      <c r="B817" s="74"/>
      <c r="D817" s="74"/>
      <c r="G817" s="196"/>
      <c r="H817" s="196"/>
      <c r="I817" s="197"/>
      <c r="L817" s="74"/>
      <c r="N817" s="197"/>
      <c r="O817" s="197"/>
      <c r="Q817" s="197"/>
      <c r="U817" s="198"/>
    </row>
    <row r="818">
      <c r="A818" s="74"/>
      <c r="B818" s="74"/>
      <c r="D818" s="74"/>
      <c r="G818" s="196"/>
      <c r="H818" s="196"/>
      <c r="I818" s="197"/>
      <c r="L818" s="74"/>
      <c r="N818" s="197"/>
      <c r="O818" s="197"/>
      <c r="Q818" s="197"/>
      <c r="U818" s="198"/>
    </row>
    <row r="819">
      <c r="A819" s="74"/>
      <c r="B819" s="74"/>
      <c r="D819" s="74"/>
      <c r="G819" s="196"/>
      <c r="H819" s="196"/>
      <c r="I819" s="197"/>
      <c r="L819" s="74"/>
      <c r="N819" s="197"/>
      <c r="O819" s="197"/>
      <c r="Q819" s="197"/>
      <c r="U819" s="198"/>
    </row>
    <row r="820">
      <c r="A820" s="74"/>
      <c r="B820" s="74"/>
      <c r="D820" s="74"/>
      <c r="G820" s="196"/>
      <c r="H820" s="196"/>
      <c r="I820" s="197"/>
      <c r="L820" s="74"/>
      <c r="N820" s="197"/>
      <c r="O820" s="197"/>
      <c r="Q820" s="197"/>
      <c r="U820" s="198"/>
    </row>
    <row r="821">
      <c r="A821" s="74"/>
      <c r="B821" s="74"/>
      <c r="D821" s="74"/>
      <c r="G821" s="196"/>
      <c r="H821" s="196"/>
      <c r="I821" s="197"/>
      <c r="L821" s="74"/>
      <c r="N821" s="197"/>
      <c r="O821" s="197"/>
      <c r="Q821" s="197"/>
      <c r="U821" s="198"/>
    </row>
    <row r="822">
      <c r="A822" s="74"/>
      <c r="B822" s="74"/>
      <c r="D822" s="74"/>
      <c r="G822" s="196"/>
      <c r="H822" s="196"/>
      <c r="I822" s="197"/>
      <c r="L822" s="74"/>
      <c r="N822" s="197"/>
      <c r="O822" s="197"/>
      <c r="Q822" s="197"/>
      <c r="U822" s="198"/>
    </row>
    <row r="823">
      <c r="A823" s="74"/>
      <c r="B823" s="74"/>
      <c r="D823" s="74"/>
      <c r="G823" s="196"/>
      <c r="H823" s="196"/>
      <c r="I823" s="197"/>
      <c r="L823" s="74"/>
      <c r="N823" s="197"/>
      <c r="O823" s="197"/>
      <c r="Q823" s="197"/>
      <c r="U823" s="198"/>
    </row>
    <row r="824">
      <c r="A824" s="74"/>
      <c r="B824" s="74"/>
      <c r="D824" s="74"/>
      <c r="G824" s="196"/>
      <c r="H824" s="196"/>
      <c r="I824" s="197"/>
      <c r="L824" s="74"/>
      <c r="N824" s="197"/>
      <c r="O824" s="197"/>
      <c r="Q824" s="197"/>
      <c r="U824" s="198"/>
    </row>
    <row r="825">
      <c r="A825" s="74"/>
      <c r="B825" s="74"/>
      <c r="D825" s="74"/>
      <c r="G825" s="196"/>
      <c r="H825" s="196"/>
      <c r="I825" s="197"/>
      <c r="L825" s="74"/>
      <c r="N825" s="197"/>
      <c r="O825" s="197"/>
      <c r="Q825" s="197"/>
      <c r="U825" s="198"/>
    </row>
    <row r="826">
      <c r="A826" s="74"/>
      <c r="B826" s="74"/>
      <c r="D826" s="74"/>
      <c r="G826" s="196"/>
      <c r="H826" s="196"/>
      <c r="I826" s="197"/>
      <c r="L826" s="74"/>
      <c r="N826" s="197"/>
      <c r="O826" s="197"/>
      <c r="Q826" s="197"/>
      <c r="U826" s="198"/>
    </row>
    <row r="827">
      <c r="A827" s="74"/>
      <c r="B827" s="74"/>
      <c r="D827" s="74"/>
      <c r="G827" s="196"/>
      <c r="H827" s="196"/>
      <c r="I827" s="197"/>
      <c r="L827" s="74"/>
      <c r="N827" s="197"/>
      <c r="O827" s="197"/>
      <c r="Q827" s="197"/>
      <c r="U827" s="198"/>
    </row>
    <row r="828">
      <c r="A828" s="74"/>
      <c r="B828" s="74"/>
      <c r="D828" s="74"/>
      <c r="G828" s="196"/>
      <c r="H828" s="196"/>
      <c r="I828" s="197"/>
      <c r="L828" s="74"/>
      <c r="N828" s="197"/>
      <c r="O828" s="197"/>
      <c r="Q828" s="197"/>
      <c r="U828" s="198"/>
    </row>
    <row r="829">
      <c r="A829" s="74"/>
      <c r="B829" s="74"/>
      <c r="D829" s="74"/>
      <c r="G829" s="196"/>
      <c r="H829" s="196"/>
      <c r="I829" s="197"/>
      <c r="L829" s="74"/>
      <c r="N829" s="197"/>
      <c r="O829" s="197"/>
      <c r="Q829" s="197"/>
      <c r="U829" s="198"/>
    </row>
    <row r="830">
      <c r="A830" s="74"/>
      <c r="B830" s="74"/>
      <c r="D830" s="74"/>
      <c r="G830" s="196"/>
      <c r="H830" s="196"/>
      <c r="I830" s="197"/>
      <c r="L830" s="74"/>
      <c r="N830" s="197"/>
      <c r="O830" s="197"/>
      <c r="Q830" s="197"/>
      <c r="U830" s="198"/>
    </row>
    <row r="831">
      <c r="A831" s="74"/>
      <c r="B831" s="74"/>
      <c r="D831" s="74"/>
      <c r="G831" s="196"/>
      <c r="H831" s="196"/>
      <c r="I831" s="197"/>
      <c r="L831" s="74"/>
      <c r="N831" s="197"/>
      <c r="O831" s="197"/>
      <c r="Q831" s="197"/>
      <c r="U831" s="198"/>
    </row>
    <row r="832">
      <c r="A832" s="74"/>
      <c r="B832" s="74"/>
      <c r="D832" s="74"/>
      <c r="G832" s="196"/>
      <c r="H832" s="196"/>
      <c r="I832" s="197"/>
      <c r="L832" s="74"/>
      <c r="N832" s="197"/>
      <c r="O832" s="197"/>
      <c r="Q832" s="197"/>
      <c r="U832" s="198"/>
    </row>
    <row r="833">
      <c r="A833" s="74"/>
      <c r="B833" s="74"/>
      <c r="D833" s="74"/>
      <c r="G833" s="196"/>
      <c r="H833" s="196"/>
      <c r="I833" s="197"/>
      <c r="L833" s="74"/>
      <c r="N833" s="197"/>
      <c r="O833" s="197"/>
      <c r="Q833" s="197"/>
      <c r="U833" s="198"/>
    </row>
    <row r="834">
      <c r="A834" s="74"/>
      <c r="B834" s="74"/>
      <c r="D834" s="74"/>
      <c r="G834" s="196"/>
      <c r="H834" s="196"/>
      <c r="I834" s="197"/>
      <c r="L834" s="74"/>
      <c r="N834" s="197"/>
      <c r="O834" s="197"/>
      <c r="Q834" s="197"/>
      <c r="U834" s="198"/>
    </row>
    <row r="835">
      <c r="A835" s="74"/>
      <c r="B835" s="74"/>
      <c r="D835" s="74"/>
      <c r="G835" s="196"/>
      <c r="H835" s="196"/>
      <c r="I835" s="197"/>
      <c r="L835" s="74"/>
      <c r="N835" s="197"/>
      <c r="O835" s="197"/>
      <c r="Q835" s="197"/>
      <c r="U835" s="198"/>
    </row>
    <row r="836">
      <c r="A836" s="74"/>
      <c r="B836" s="74"/>
      <c r="D836" s="74"/>
      <c r="G836" s="196"/>
      <c r="H836" s="196"/>
      <c r="I836" s="197"/>
      <c r="L836" s="74"/>
      <c r="N836" s="197"/>
      <c r="O836" s="197"/>
      <c r="Q836" s="197"/>
      <c r="U836" s="198"/>
    </row>
    <row r="837">
      <c r="A837" s="74"/>
      <c r="B837" s="74"/>
      <c r="D837" s="74"/>
      <c r="G837" s="196"/>
      <c r="H837" s="196"/>
      <c r="I837" s="197"/>
      <c r="L837" s="74"/>
      <c r="N837" s="197"/>
      <c r="O837" s="197"/>
      <c r="Q837" s="197"/>
      <c r="U837" s="198"/>
    </row>
    <row r="838">
      <c r="A838" s="74"/>
      <c r="B838" s="74"/>
      <c r="D838" s="74"/>
      <c r="G838" s="196"/>
      <c r="H838" s="196"/>
      <c r="I838" s="197"/>
      <c r="L838" s="74"/>
      <c r="N838" s="197"/>
      <c r="O838" s="197"/>
      <c r="Q838" s="197"/>
      <c r="U838" s="198"/>
    </row>
    <row r="839">
      <c r="A839" s="74"/>
      <c r="B839" s="74"/>
      <c r="D839" s="74"/>
      <c r="G839" s="196"/>
      <c r="H839" s="196"/>
      <c r="I839" s="197"/>
      <c r="L839" s="74"/>
      <c r="N839" s="197"/>
      <c r="O839" s="197"/>
      <c r="Q839" s="197"/>
      <c r="U839" s="198"/>
    </row>
    <row r="840">
      <c r="A840" s="74"/>
      <c r="B840" s="74"/>
      <c r="D840" s="74"/>
      <c r="G840" s="196"/>
      <c r="H840" s="196"/>
      <c r="I840" s="197"/>
      <c r="L840" s="74"/>
      <c r="N840" s="197"/>
      <c r="O840" s="197"/>
      <c r="Q840" s="197"/>
      <c r="U840" s="198"/>
    </row>
    <row r="841">
      <c r="A841" s="74"/>
      <c r="B841" s="74"/>
      <c r="D841" s="74"/>
      <c r="G841" s="196"/>
      <c r="H841" s="196"/>
      <c r="I841" s="197"/>
      <c r="L841" s="74"/>
      <c r="N841" s="197"/>
      <c r="O841" s="197"/>
      <c r="Q841" s="197"/>
      <c r="U841" s="198"/>
    </row>
    <row r="842">
      <c r="A842" s="74"/>
      <c r="B842" s="74"/>
      <c r="D842" s="74"/>
      <c r="G842" s="196"/>
      <c r="H842" s="196"/>
      <c r="I842" s="197"/>
      <c r="L842" s="74"/>
      <c r="N842" s="197"/>
      <c r="O842" s="197"/>
      <c r="Q842" s="197"/>
      <c r="U842" s="198"/>
    </row>
    <row r="843">
      <c r="A843" s="74"/>
      <c r="B843" s="74"/>
      <c r="D843" s="74"/>
      <c r="G843" s="196"/>
      <c r="H843" s="196"/>
      <c r="I843" s="197"/>
      <c r="L843" s="74"/>
      <c r="N843" s="197"/>
      <c r="O843" s="197"/>
      <c r="Q843" s="197"/>
      <c r="U843" s="198"/>
    </row>
    <row r="844">
      <c r="A844" s="74"/>
      <c r="B844" s="74"/>
      <c r="D844" s="74"/>
      <c r="G844" s="196"/>
      <c r="H844" s="196"/>
      <c r="I844" s="197"/>
      <c r="L844" s="74"/>
      <c r="N844" s="197"/>
      <c r="O844" s="197"/>
      <c r="Q844" s="197"/>
      <c r="U844" s="198"/>
    </row>
    <row r="845">
      <c r="A845" s="74"/>
      <c r="B845" s="74"/>
      <c r="D845" s="74"/>
      <c r="G845" s="196"/>
      <c r="H845" s="196"/>
      <c r="I845" s="197"/>
      <c r="L845" s="74"/>
      <c r="N845" s="197"/>
      <c r="O845" s="197"/>
      <c r="Q845" s="197"/>
      <c r="U845" s="198"/>
    </row>
    <row r="846">
      <c r="A846" s="74"/>
      <c r="B846" s="74"/>
      <c r="D846" s="74"/>
      <c r="G846" s="196"/>
      <c r="H846" s="196"/>
      <c r="I846" s="197"/>
      <c r="L846" s="74"/>
      <c r="N846" s="197"/>
      <c r="O846" s="197"/>
      <c r="Q846" s="197"/>
      <c r="U846" s="198"/>
    </row>
    <row r="847">
      <c r="A847" s="74"/>
      <c r="B847" s="74"/>
      <c r="D847" s="74"/>
      <c r="G847" s="196"/>
      <c r="H847" s="196"/>
      <c r="I847" s="197"/>
      <c r="L847" s="74"/>
      <c r="N847" s="197"/>
      <c r="O847" s="197"/>
      <c r="Q847" s="197"/>
      <c r="U847" s="198"/>
    </row>
    <row r="848">
      <c r="A848" s="74"/>
      <c r="B848" s="74"/>
      <c r="D848" s="74"/>
      <c r="G848" s="196"/>
      <c r="H848" s="196"/>
      <c r="I848" s="197"/>
      <c r="L848" s="74"/>
      <c r="N848" s="197"/>
      <c r="O848" s="197"/>
      <c r="Q848" s="197"/>
      <c r="U848" s="198"/>
    </row>
    <row r="849">
      <c r="A849" s="74"/>
      <c r="B849" s="74"/>
      <c r="D849" s="74"/>
      <c r="G849" s="196"/>
      <c r="H849" s="196"/>
      <c r="I849" s="197"/>
      <c r="L849" s="74"/>
      <c r="N849" s="197"/>
      <c r="O849" s="197"/>
      <c r="Q849" s="197"/>
      <c r="U849" s="198"/>
    </row>
    <row r="850">
      <c r="A850" s="74"/>
      <c r="B850" s="74"/>
      <c r="D850" s="74"/>
      <c r="G850" s="196"/>
      <c r="H850" s="196"/>
      <c r="I850" s="197"/>
      <c r="L850" s="74"/>
      <c r="N850" s="197"/>
      <c r="O850" s="197"/>
      <c r="Q850" s="197"/>
      <c r="U850" s="198"/>
    </row>
    <row r="851">
      <c r="A851" s="74"/>
      <c r="B851" s="74"/>
      <c r="D851" s="74"/>
      <c r="G851" s="196"/>
      <c r="H851" s="196"/>
      <c r="I851" s="197"/>
      <c r="L851" s="74"/>
      <c r="N851" s="197"/>
      <c r="O851" s="197"/>
      <c r="Q851" s="197"/>
      <c r="U851" s="198"/>
    </row>
    <row r="852">
      <c r="A852" s="74"/>
      <c r="B852" s="74"/>
      <c r="D852" s="74"/>
      <c r="G852" s="196"/>
      <c r="H852" s="196"/>
      <c r="I852" s="197"/>
      <c r="L852" s="74"/>
      <c r="N852" s="197"/>
      <c r="O852" s="197"/>
      <c r="Q852" s="197"/>
      <c r="U852" s="198"/>
    </row>
    <row r="853">
      <c r="A853" s="74"/>
      <c r="B853" s="74"/>
      <c r="D853" s="74"/>
      <c r="G853" s="196"/>
      <c r="H853" s="196"/>
      <c r="I853" s="197"/>
      <c r="L853" s="74"/>
      <c r="N853" s="197"/>
      <c r="O853" s="197"/>
      <c r="Q853" s="197"/>
      <c r="U853" s="198"/>
    </row>
    <row r="854">
      <c r="A854" s="74"/>
      <c r="B854" s="74"/>
      <c r="D854" s="74"/>
      <c r="G854" s="196"/>
      <c r="H854" s="196"/>
      <c r="I854" s="197"/>
      <c r="L854" s="74"/>
      <c r="N854" s="197"/>
      <c r="O854" s="197"/>
      <c r="Q854" s="197"/>
      <c r="U854" s="198"/>
    </row>
    <row r="855">
      <c r="A855" s="74"/>
      <c r="B855" s="74"/>
      <c r="D855" s="74"/>
      <c r="G855" s="196"/>
      <c r="H855" s="196"/>
      <c r="I855" s="197"/>
      <c r="L855" s="74"/>
      <c r="N855" s="197"/>
      <c r="O855" s="197"/>
      <c r="Q855" s="197"/>
      <c r="U855" s="198"/>
    </row>
    <row r="856">
      <c r="A856" s="74"/>
      <c r="B856" s="74"/>
      <c r="D856" s="74"/>
      <c r="G856" s="196"/>
      <c r="H856" s="196"/>
      <c r="I856" s="197"/>
      <c r="L856" s="74"/>
      <c r="N856" s="197"/>
      <c r="O856" s="197"/>
      <c r="Q856" s="197"/>
      <c r="U856" s="198"/>
    </row>
    <row r="857">
      <c r="A857" s="74"/>
      <c r="B857" s="74"/>
      <c r="D857" s="74"/>
      <c r="G857" s="196"/>
      <c r="H857" s="196"/>
      <c r="I857" s="197"/>
      <c r="L857" s="74"/>
      <c r="N857" s="197"/>
      <c r="O857" s="197"/>
      <c r="Q857" s="197"/>
      <c r="U857" s="198"/>
    </row>
    <row r="858">
      <c r="A858" s="74"/>
      <c r="B858" s="74"/>
      <c r="D858" s="74"/>
      <c r="G858" s="196"/>
      <c r="H858" s="196"/>
      <c r="I858" s="197"/>
      <c r="L858" s="74"/>
      <c r="N858" s="197"/>
      <c r="O858" s="197"/>
      <c r="Q858" s="197"/>
      <c r="U858" s="198"/>
    </row>
    <row r="859">
      <c r="A859" s="74"/>
      <c r="B859" s="74"/>
      <c r="D859" s="74"/>
      <c r="G859" s="196"/>
      <c r="H859" s="196"/>
      <c r="I859" s="197"/>
      <c r="L859" s="74"/>
      <c r="N859" s="197"/>
      <c r="O859" s="197"/>
      <c r="Q859" s="197"/>
      <c r="U859" s="198"/>
    </row>
    <row r="860">
      <c r="A860" s="74"/>
      <c r="B860" s="74"/>
      <c r="D860" s="74"/>
      <c r="G860" s="196"/>
      <c r="H860" s="196"/>
      <c r="I860" s="197"/>
      <c r="L860" s="74"/>
      <c r="N860" s="197"/>
      <c r="O860" s="197"/>
      <c r="Q860" s="197"/>
      <c r="U860" s="198"/>
    </row>
    <row r="861">
      <c r="A861" s="74"/>
      <c r="B861" s="74"/>
      <c r="D861" s="74"/>
      <c r="G861" s="196"/>
      <c r="H861" s="196"/>
      <c r="I861" s="197"/>
      <c r="L861" s="74"/>
      <c r="N861" s="197"/>
      <c r="O861" s="197"/>
      <c r="Q861" s="197"/>
      <c r="U861" s="198"/>
    </row>
    <row r="862">
      <c r="A862" s="74"/>
      <c r="B862" s="74"/>
      <c r="D862" s="74"/>
      <c r="G862" s="196"/>
      <c r="H862" s="196"/>
      <c r="I862" s="197"/>
      <c r="L862" s="74"/>
      <c r="N862" s="197"/>
      <c r="O862" s="197"/>
      <c r="Q862" s="197"/>
      <c r="U862" s="198"/>
    </row>
    <row r="863">
      <c r="A863" s="74"/>
      <c r="B863" s="74"/>
      <c r="D863" s="74"/>
      <c r="G863" s="196"/>
      <c r="H863" s="196"/>
      <c r="I863" s="197"/>
      <c r="L863" s="74"/>
      <c r="N863" s="197"/>
      <c r="O863" s="197"/>
      <c r="Q863" s="197"/>
      <c r="U863" s="198"/>
    </row>
    <row r="864">
      <c r="A864" s="74"/>
      <c r="B864" s="74"/>
      <c r="D864" s="74"/>
      <c r="G864" s="196"/>
      <c r="H864" s="196"/>
      <c r="I864" s="197"/>
      <c r="L864" s="74"/>
      <c r="N864" s="197"/>
      <c r="O864" s="197"/>
      <c r="Q864" s="197"/>
      <c r="U864" s="198"/>
    </row>
    <row r="865">
      <c r="A865" s="74"/>
      <c r="B865" s="74"/>
      <c r="D865" s="74"/>
      <c r="G865" s="196"/>
      <c r="H865" s="196"/>
      <c r="I865" s="197"/>
      <c r="L865" s="74"/>
      <c r="N865" s="197"/>
      <c r="O865" s="197"/>
      <c r="Q865" s="197"/>
      <c r="U865" s="198"/>
    </row>
    <row r="866">
      <c r="A866" s="74"/>
      <c r="B866" s="74"/>
      <c r="D866" s="74"/>
      <c r="G866" s="196"/>
      <c r="H866" s="196"/>
      <c r="I866" s="197"/>
      <c r="L866" s="74"/>
      <c r="N866" s="197"/>
      <c r="O866" s="197"/>
      <c r="Q866" s="197"/>
      <c r="U866" s="198"/>
    </row>
    <row r="867">
      <c r="A867" s="74"/>
      <c r="B867" s="74"/>
      <c r="D867" s="74"/>
      <c r="G867" s="196"/>
      <c r="H867" s="196"/>
      <c r="I867" s="197"/>
      <c r="L867" s="74"/>
      <c r="N867" s="197"/>
      <c r="O867" s="197"/>
      <c r="Q867" s="197"/>
      <c r="U867" s="198"/>
    </row>
    <row r="868">
      <c r="A868" s="74"/>
      <c r="B868" s="74"/>
      <c r="D868" s="74"/>
      <c r="G868" s="196"/>
      <c r="H868" s="196"/>
      <c r="I868" s="197"/>
      <c r="L868" s="74"/>
      <c r="N868" s="197"/>
      <c r="O868" s="197"/>
      <c r="Q868" s="197"/>
      <c r="U868" s="198"/>
    </row>
    <row r="869">
      <c r="A869" s="74"/>
      <c r="B869" s="74"/>
      <c r="D869" s="74"/>
      <c r="G869" s="196"/>
      <c r="H869" s="196"/>
      <c r="I869" s="197"/>
      <c r="L869" s="74"/>
      <c r="N869" s="197"/>
      <c r="O869" s="197"/>
      <c r="Q869" s="197"/>
      <c r="U869" s="198"/>
    </row>
    <row r="870">
      <c r="A870" s="74"/>
      <c r="B870" s="74"/>
      <c r="D870" s="74"/>
      <c r="G870" s="196"/>
      <c r="H870" s="196"/>
      <c r="I870" s="197"/>
      <c r="L870" s="74"/>
      <c r="N870" s="197"/>
      <c r="O870" s="197"/>
      <c r="Q870" s="197"/>
      <c r="U870" s="198"/>
    </row>
    <row r="871">
      <c r="A871" s="74"/>
      <c r="B871" s="74"/>
      <c r="D871" s="74"/>
      <c r="G871" s="196"/>
      <c r="H871" s="196"/>
      <c r="I871" s="197"/>
      <c r="L871" s="74"/>
      <c r="N871" s="197"/>
      <c r="O871" s="197"/>
      <c r="Q871" s="197"/>
      <c r="U871" s="198"/>
    </row>
    <row r="872">
      <c r="A872" s="74"/>
      <c r="B872" s="74"/>
      <c r="D872" s="74"/>
      <c r="G872" s="196"/>
      <c r="H872" s="196"/>
      <c r="I872" s="197"/>
      <c r="L872" s="74"/>
      <c r="N872" s="197"/>
      <c r="O872" s="197"/>
      <c r="Q872" s="197"/>
      <c r="U872" s="198"/>
    </row>
    <row r="873">
      <c r="A873" s="74"/>
      <c r="B873" s="74"/>
      <c r="D873" s="74"/>
      <c r="G873" s="196"/>
      <c r="H873" s="196"/>
      <c r="I873" s="197"/>
      <c r="L873" s="74"/>
      <c r="N873" s="197"/>
      <c r="O873" s="197"/>
      <c r="Q873" s="197"/>
      <c r="U873" s="198"/>
    </row>
    <row r="874">
      <c r="A874" s="74"/>
      <c r="B874" s="74"/>
      <c r="D874" s="74"/>
      <c r="G874" s="196"/>
      <c r="H874" s="196"/>
      <c r="I874" s="197"/>
      <c r="L874" s="74"/>
      <c r="N874" s="197"/>
      <c r="O874" s="197"/>
      <c r="Q874" s="197"/>
      <c r="U874" s="198"/>
    </row>
    <row r="875">
      <c r="A875" s="74"/>
      <c r="B875" s="74"/>
      <c r="D875" s="74"/>
      <c r="G875" s="196"/>
      <c r="H875" s="196"/>
      <c r="I875" s="197"/>
      <c r="L875" s="74"/>
      <c r="N875" s="197"/>
      <c r="O875" s="197"/>
      <c r="Q875" s="197"/>
      <c r="U875" s="198"/>
    </row>
    <row r="876">
      <c r="A876" s="74"/>
      <c r="B876" s="74"/>
      <c r="D876" s="74"/>
      <c r="G876" s="196"/>
      <c r="H876" s="196"/>
      <c r="I876" s="197"/>
      <c r="L876" s="74"/>
      <c r="N876" s="197"/>
      <c r="O876" s="197"/>
      <c r="Q876" s="197"/>
      <c r="U876" s="198"/>
    </row>
    <row r="877">
      <c r="A877" s="74"/>
      <c r="B877" s="74"/>
      <c r="D877" s="74"/>
      <c r="G877" s="196"/>
      <c r="H877" s="196"/>
      <c r="I877" s="197"/>
      <c r="L877" s="74"/>
      <c r="N877" s="197"/>
      <c r="O877" s="197"/>
      <c r="Q877" s="197"/>
      <c r="U877" s="198"/>
    </row>
    <row r="878">
      <c r="A878" s="74"/>
      <c r="B878" s="74"/>
      <c r="D878" s="74"/>
      <c r="G878" s="196"/>
      <c r="H878" s="196"/>
      <c r="I878" s="197"/>
      <c r="L878" s="74"/>
      <c r="N878" s="197"/>
      <c r="O878" s="197"/>
      <c r="Q878" s="197"/>
      <c r="U878" s="198"/>
    </row>
    <row r="879">
      <c r="A879" s="74"/>
      <c r="B879" s="74"/>
      <c r="D879" s="74"/>
      <c r="G879" s="196"/>
      <c r="H879" s="196"/>
      <c r="I879" s="197"/>
      <c r="L879" s="74"/>
      <c r="N879" s="197"/>
      <c r="O879" s="197"/>
      <c r="Q879" s="197"/>
      <c r="U879" s="198"/>
    </row>
    <row r="880">
      <c r="A880" s="74"/>
      <c r="B880" s="74"/>
      <c r="D880" s="74"/>
      <c r="G880" s="196"/>
      <c r="H880" s="196"/>
      <c r="I880" s="197"/>
      <c r="L880" s="74"/>
      <c r="N880" s="197"/>
      <c r="O880" s="197"/>
      <c r="Q880" s="197"/>
      <c r="U880" s="198"/>
    </row>
    <row r="881">
      <c r="A881" s="74"/>
      <c r="B881" s="74"/>
      <c r="D881" s="74"/>
      <c r="G881" s="196"/>
      <c r="H881" s="196"/>
      <c r="I881" s="197"/>
      <c r="L881" s="74"/>
      <c r="N881" s="197"/>
      <c r="O881" s="197"/>
      <c r="Q881" s="197"/>
      <c r="U881" s="198"/>
    </row>
    <row r="882">
      <c r="A882" s="74"/>
      <c r="B882" s="74"/>
      <c r="D882" s="74"/>
      <c r="G882" s="196"/>
      <c r="H882" s="196"/>
      <c r="I882" s="197"/>
      <c r="L882" s="74"/>
      <c r="N882" s="197"/>
      <c r="O882" s="197"/>
      <c r="Q882" s="197"/>
      <c r="U882" s="198"/>
    </row>
    <row r="883">
      <c r="A883" s="74"/>
      <c r="B883" s="74"/>
      <c r="D883" s="74"/>
      <c r="G883" s="196"/>
      <c r="H883" s="196"/>
      <c r="I883" s="197"/>
      <c r="L883" s="74"/>
      <c r="N883" s="197"/>
      <c r="O883" s="197"/>
      <c r="Q883" s="197"/>
      <c r="U883" s="198"/>
    </row>
    <row r="884">
      <c r="A884" s="74"/>
      <c r="B884" s="74"/>
      <c r="D884" s="74"/>
      <c r="G884" s="196"/>
      <c r="H884" s="196"/>
      <c r="I884" s="197"/>
      <c r="L884" s="74"/>
      <c r="N884" s="197"/>
      <c r="O884" s="197"/>
      <c r="Q884" s="197"/>
      <c r="U884" s="198"/>
    </row>
    <row r="885">
      <c r="A885" s="74"/>
      <c r="B885" s="74"/>
      <c r="D885" s="74"/>
      <c r="G885" s="196"/>
      <c r="H885" s="196"/>
      <c r="I885" s="197"/>
      <c r="L885" s="74"/>
      <c r="N885" s="197"/>
      <c r="O885" s="197"/>
      <c r="Q885" s="197"/>
      <c r="U885" s="198"/>
    </row>
    <row r="886">
      <c r="A886" s="74"/>
      <c r="B886" s="74"/>
      <c r="D886" s="74"/>
      <c r="G886" s="196"/>
      <c r="H886" s="196"/>
      <c r="I886" s="197"/>
      <c r="L886" s="74"/>
      <c r="N886" s="197"/>
      <c r="O886" s="197"/>
      <c r="Q886" s="197"/>
      <c r="U886" s="198"/>
    </row>
    <row r="887">
      <c r="A887" s="74"/>
      <c r="B887" s="74"/>
      <c r="D887" s="74"/>
      <c r="G887" s="196"/>
      <c r="H887" s="196"/>
      <c r="I887" s="197"/>
      <c r="L887" s="74"/>
      <c r="N887" s="197"/>
      <c r="O887" s="197"/>
      <c r="Q887" s="197"/>
      <c r="U887" s="198"/>
    </row>
    <row r="888">
      <c r="A888" s="74"/>
      <c r="B888" s="74"/>
      <c r="D888" s="74"/>
      <c r="G888" s="196"/>
      <c r="H888" s="196"/>
      <c r="I888" s="197"/>
      <c r="L888" s="74"/>
      <c r="N888" s="197"/>
      <c r="O888" s="197"/>
      <c r="Q888" s="197"/>
      <c r="U888" s="198"/>
    </row>
    <row r="889">
      <c r="A889" s="74"/>
      <c r="B889" s="74"/>
      <c r="D889" s="74"/>
      <c r="G889" s="196"/>
      <c r="H889" s="196"/>
      <c r="I889" s="197"/>
      <c r="L889" s="74"/>
      <c r="N889" s="197"/>
      <c r="O889" s="197"/>
      <c r="Q889" s="197"/>
      <c r="U889" s="198"/>
    </row>
    <row r="890">
      <c r="A890" s="74"/>
      <c r="B890" s="74"/>
      <c r="D890" s="74"/>
      <c r="G890" s="196"/>
      <c r="H890" s="196"/>
      <c r="I890" s="197"/>
      <c r="L890" s="74"/>
      <c r="N890" s="197"/>
      <c r="O890" s="197"/>
      <c r="Q890" s="197"/>
      <c r="U890" s="198"/>
    </row>
    <row r="891">
      <c r="A891" s="74"/>
      <c r="B891" s="74"/>
      <c r="D891" s="74"/>
      <c r="G891" s="196"/>
      <c r="H891" s="196"/>
      <c r="I891" s="197"/>
      <c r="L891" s="74"/>
      <c r="N891" s="197"/>
      <c r="O891" s="197"/>
      <c r="Q891" s="197"/>
      <c r="U891" s="198"/>
    </row>
    <row r="892">
      <c r="A892" s="74"/>
      <c r="B892" s="74"/>
      <c r="D892" s="74"/>
      <c r="G892" s="196"/>
      <c r="H892" s="196"/>
      <c r="I892" s="197"/>
      <c r="L892" s="74"/>
      <c r="N892" s="197"/>
      <c r="O892" s="197"/>
      <c r="Q892" s="197"/>
      <c r="U892" s="198"/>
    </row>
    <row r="893">
      <c r="A893" s="74"/>
      <c r="B893" s="74"/>
      <c r="D893" s="74"/>
      <c r="G893" s="196"/>
      <c r="H893" s="196"/>
      <c r="I893" s="197"/>
      <c r="L893" s="74"/>
      <c r="N893" s="197"/>
      <c r="O893" s="197"/>
      <c r="Q893" s="197"/>
      <c r="U893" s="198"/>
    </row>
    <row r="894">
      <c r="A894" s="74"/>
      <c r="B894" s="74"/>
      <c r="D894" s="74"/>
      <c r="G894" s="196"/>
      <c r="H894" s="196"/>
      <c r="I894" s="197"/>
      <c r="L894" s="74"/>
      <c r="N894" s="197"/>
      <c r="O894" s="197"/>
      <c r="Q894" s="197"/>
      <c r="U894" s="198"/>
    </row>
    <row r="895">
      <c r="A895" s="74"/>
      <c r="B895" s="74"/>
      <c r="D895" s="74"/>
      <c r="G895" s="196"/>
      <c r="H895" s="196"/>
      <c r="I895" s="197"/>
      <c r="L895" s="74"/>
      <c r="N895" s="197"/>
      <c r="O895" s="197"/>
      <c r="Q895" s="197"/>
      <c r="U895" s="198"/>
    </row>
    <row r="896">
      <c r="A896" s="74"/>
      <c r="B896" s="74"/>
      <c r="D896" s="74"/>
      <c r="G896" s="196"/>
      <c r="H896" s="196"/>
      <c r="I896" s="197"/>
      <c r="L896" s="74"/>
      <c r="N896" s="197"/>
      <c r="O896" s="197"/>
      <c r="Q896" s="197"/>
      <c r="U896" s="198"/>
    </row>
    <row r="897">
      <c r="A897" s="74"/>
      <c r="B897" s="74"/>
      <c r="D897" s="74"/>
      <c r="G897" s="196"/>
      <c r="H897" s="196"/>
      <c r="I897" s="197"/>
      <c r="L897" s="74"/>
      <c r="N897" s="197"/>
      <c r="O897" s="197"/>
      <c r="Q897" s="197"/>
      <c r="U897" s="198"/>
    </row>
    <row r="898">
      <c r="A898" s="74"/>
      <c r="B898" s="74"/>
      <c r="D898" s="74"/>
      <c r="G898" s="196"/>
      <c r="H898" s="196"/>
      <c r="I898" s="197"/>
      <c r="L898" s="74"/>
      <c r="N898" s="197"/>
      <c r="O898" s="197"/>
      <c r="Q898" s="197"/>
      <c r="U898" s="198"/>
    </row>
    <row r="899">
      <c r="A899" s="74"/>
      <c r="B899" s="74"/>
      <c r="D899" s="74"/>
      <c r="G899" s="196"/>
      <c r="H899" s="196"/>
      <c r="I899" s="197"/>
      <c r="L899" s="74"/>
      <c r="N899" s="197"/>
      <c r="O899" s="197"/>
      <c r="Q899" s="197"/>
      <c r="U899" s="198"/>
    </row>
    <row r="900">
      <c r="A900" s="74"/>
      <c r="B900" s="74"/>
      <c r="D900" s="74"/>
      <c r="G900" s="196"/>
      <c r="H900" s="196"/>
      <c r="I900" s="197"/>
      <c r="L900" s="74"/>
      <c r="N900" s="197"/>
      <c r="O900" s="197"/>
      <c r="Q900" s="197"/>
      <c r="U900" s="198"/>
    </row>
    <row r="901">
      <c r="A901" s="74"/>
      <c r="B901" s="74"/>
      <c r="D901" s="74"/>
      <c r="G901" s="196"/>
      <c r="H901" s="196"/>
      <c r="I901" s="197"/>
      <c r="L901" s="74"/>
      <c r="N901" s="197"/>
      <c r="O901" s="197"/>
      <c r="Q901" s="197"/>
      <c r="U901" s="198"/>
    </row>
    <row r="902">
      <c r="A902" s="74"/>
      <c r="B902" s="74"/>
      <c r="D902" s="74"/>
      <c r="G902" s="196"/>
      <c r="H902" s="196"/>
      <c r="I902" s="197"/>
      <c r="L902" s="74"/>
      <c r="N902" s="197"/>
      <c r="O902" s="197"/>
      <c r="Q902" s="197"/>
      <c r="U902" s="198"/>
    </row>
    <row r="903">
      <c r="A903" s="74"/>
      <c r="B903" s="74"/>
      <c r="D903" s="74"/>
      <c r="G903" s="196"/>
      <c r="H903" s="196"/>
      <c r="I903" s="197"/>
      <c r="L903" s="74"/>
      <c r="N903" s="197"/>
      <c r="O903" s="197"/>
      <c r="Q903" s="197"/>
      <c r="U903" s="198"/>
    </row>
    <row r="904">
      <c r="A904" s="74"/>
      <c r="B904" s="74"/>
      <c r="D904" s="74"/>
      <c r="G904" s="196"/>
      <c r="H904" s="196"/>
      <c r="I904" s="197"/>
      <c r="L904" s="74"/>
      <c r="N904" s="197"/>
      <c r="O904" s="197"/>
      <c r="Q904" s="197"/>
      <c r="U904" s="198"/>
    </row>
    <row r="905">
      <c r="A905" s="74"/>
      <c r="B905" s="74"/>
      <c r="D905" s="74"/>
      <c r="G905" s="196"/>
      <c r="H905" s="196"/>
      <c r="I905" s="197"/>
      <c r="L905" s="74"/>
      <c r="N905" s="197"/>
      <c r="O905" s="197"/>
      <c r="Q905" s="197"/>
      <c r="U905" s="198"/>
    </row>
    <row r="906">
      <c r="A906" s="74"/>
      <c r="B906" s="74"/>
      <c r="D906" s="74"/>
      <c r="G906" s="196"/>
      <c r="H906" s="196"/>
      <c r="I906" s="197"/>
      <c r="L906" s="74"/>
      <c r="N906" s="197"/>
      <c r="O906" s="197"/>
      <c r="Q906" s="197"/>
      <c r="U906" s="198"/>
    </row>
    <row r="907">
      <c r="A907" s="74"/>
      <c r="B907" s="74"/>
      <c r="D907" s="74"/>
      <c r="G907" s="196"/>
      <c r="H907" s="196"/>
      <c r="I907" s="197"/>
      <c r="L907" s="74"/>
      <c r="N907" s="197"/>
      <c r="O907" s="197"/>
      <c r="Q907" s="197"/>
      <c r="U907" s="198"/>
    </row>
    <row r="908">
      <c r="A908" s="74"/>
      <c r="B908" s="74"/>
      <c r="D908" s="74"/>
      <c r="G908" s="196"/>
      <c r="H908" s="196"/>
      <c r="I908" s="197"/>
      <c r="L908" s="74"/>
      <c r="N908" s="197"/>
      <c r="O908" s="197"/>
      <c r="Q908" s="197"/>
      <c r="U908" s="198"/>
    </row>
    <row r="909">
      <c r="A909" s="74"/>
      <c r="B909" s="74"/>
      <c r="D909" s="74"/>
      <c r="G909" s="196"/>
      <c r="H909" s="196"/>
      <c r="I909" s="197"/>
      <c r="L909" s="74"/>
      <c r="N909" s="197"/>
      <c r="O909" s="197"/>
      <c r="Q909" s="197"/>
      <c r="U909" s="198"/>
    </row>
    <row r="910">
      <c r="A910" s="74"/>
      <c r="B910" s="74"/>
      <c r="D910" s="74"/>
      <c r="G910" s="196"/>
      <c r="H910" s="196"/>
      <c r="I910" s="197"/>
      <c r="L910" s="74"/>
      <c r="N910" s="197"/>
      <c r="O910" s="197"/>
      <c r="Q910" s="197"/>
      <c r="U910" s="198"/>
    </row>
    <row r="911">
      <c r="A911" s="74"/>
      <c r="B911" s="74"/>
      <c r="D911" s="74"/>
      <c r="G911" s="196"/>
      <c r="H911" s="196"/>
      <c r="I911" s="197"/>
      <c r="L911" s="74"/>
      <c r="N911" s="197"/>
      <c r="O911" s="197"/>
      <c r="Q911" s="197"/>
      <c r="U911" s="198"/>
    </row>
    <row r="912">
      <c r="A912" s="74"/>
      <c r="B912" s="74"/>
      <c r="D912" s="74"/>
      <c r="G912" s="196"/>
      <c r="H912" s="196"/>
      <c r="I912" s="197"/>
      <c r="L912" s="74"/>
      <c r="N912" s="197"/>
      <c r="O912" s="197"/>
      <c r="Q912" s="197"/>
      <c r="U912" s="198"/>
    </row>
    <row r="913">
      <c r="A913" s="74"/>
      <c r="B913" s="74"/>
      <c r="D913" s="74"/>
      <c r="G913" s="196"/>
      <c r="H913" s="196"/>
      <c r="I913" s="197"/>
      <c r="L913" s="74"/>
      <c r="N913" s="197"/>
      <c r="O913" s="197"/>
      <c r="Q913" s="197"/>
      <c r="U913" s="198"/>
    </row>
    <row r="914">
      <c r="A914" s="74"/>
      <c r="B914" s="74"/>
      <c r="D914" s="74"/>
      <c r="G914" s="196"/>
      <c r="H914" s="196"/>
      <c r="I914" s="197"/>
      <c r="L914" s="74"/>
      <c r="N914" s="197"/>
      <c r="O914" s="197"/>
      <c r="Q914" s="197"/>
      <c r="U914" s="198"/>
    </row>
    <row r="915">
      <c r="A915" s="74"/>
      <c r="B915" s="74"/>
      <c r="D915" s="74"/>
      <c r="G915" s="196"/>
      <c r="H915" s="196"/>
      <c r="I915" s="197"/>
      <c r="L915" s="74"/>
      <c r="N915" s="197"/>
      <c r="O915" s="197"/>
      <c r="Q915" s="197"/>
      <c r="U915" s="198"/>
    </row>
    <row r="916">
      <c r="A916" s="74"/>
      <c r="B916" s="74"/>
      <c r="D916" s="74"/>
      <c r="G916" s="196"/>
      <c r="H916" s="196"/>
      <c r="I916" s="197"/>
      <c r="L916" s="74"/>
      <c r="N916" s="197"/>
      <c r="O916" s="197"/>
      <c r="Q916" s="197"/>
      <c r="U916" s="198"/>
    </row>
    <row r="917">
      <c r="A917" s="74"/>
      <c r="B917" s="74"/>
      <c r="D917" s="74"/>
      <c r="G917" s="196"/>
      <c r="H917" s="196"/>
      <c r="I917" s="197"/>
      <c r="L917" s="74"/>
      <c r="N917" s="197"/>
      <c r="O917" s="197"/>
      <c r="Q917" s="197"/>
      <c r="U917" s="198"/>
    </row>
    <row r="918">
      <c r="A918" s="74"/>
      <c r="B918" s="74"/>
      <c r="D918" s="74"/>
      <c r="G918" s="196"/>
      <c r="H918" s="196"/>
      <c r="I918" s="197"/>
      <c r="L918" s="74"/>
      <c r="N918" s="197"/>
      <c r="O918" s="197"/>
      <c r="Q918" s="197"/>
      <c r="U918" s="198"/>
    </row>
    <row r="919">
      <c r="A919" s="74"/>
      <c r="B919" s="74"/>
      <c r="D919" s="74"/>
      <c r="G919" s="196"/>
      <c r="H919" s="196"/>
      <c r="I919" s="197"/>
      <c r="L919" s="74"/>
      <c r="N919" s="197"/>
      <c r="O919" s="197"/>
      <c r="Q919" s="197"/>
      <c r="U919" s="198"/>
    </row>
    <row r="920">
      <c r="A920" s="74"/>
      <c r="B920" s="74"/>
      <c r="D920" s="74"/>
      <c r="G920" s="196"/>
      <c r="H920" s="196"/>
      <c r="I920" s="197"/>
      <c r="L920" s="74"/>
      <c r="N920" s="197"/>
      <c r="O920" s="197"/>
      <c r="Q920" s="197"/>
      <c r="U920" s="198"/>
    </row>
    <row r="921">
      <c r="A921" s="74"/>
      <c r="B921" s="74"/>
      <c r="D921" s="74"/>
      <c r="G921" s="196"/>
      <c r="H921" s="196"/>
      <c r="I921" s="197"/>
      <c r="L921" s="74"/>
      <c r="N921" s="197"/>
      <c r="O921" s="197"/>
      <c r="Q921" s="197"/>
      <c r="U921" s="198"/>
    </row>
    <row r="922">
      <c r="A922" s="74"/>
      <c r="B922" s="74"/>
      <c r="D922" s="74"/>
      <c r="G922" s="196"/>
      <c r="H922" s="196"/>
      <c r="I922" s="197"/>
      <c r="L922" s="74"/>
      <c r="N922" s="197"/>
      <c r="O922" s="197"/>
      <c r="Q922" s="197"/>
      <c r="U922" s="198"/>
    </row>
    <row r="923">
      <c r="A923" s="74"/>
      <c r="B923" s="74"/>
      <c r="D923" s="74"/>
      <c r="G923" s="196"/>
      <c r="H923" s="196"/>
      <c r="I923" s="197"/>
      <c r="L923" s="74"/>
      <c r="N923" s="197"/>
      <c r="O923" s="197"/>
      <c r="Q923" s="197"/>
      <c r="U923" s="198"/>
    </row>
    <row r="924">
      <c r="A924" s="74"/>
      <c r="B924" s="74"/>
      <c r="D924" s="74"/>
      <c r="G924" s="196"/>
      <c r="H924" s="196"/>
      <c r="I924" s="197"/>
      <c r="L924" s="74"/>
      <c r="N924" s="197"/>
      <c r="O924" s="197"/>
      <c r="Q924" s="197"/>
      <c r="U924" s="198"/>
    </row>
    <row r="925">
      <c r="A925" s="74"/>
      <c r="B925" s="74"/>
      <c r="D925" s="74"/>
      <c r="G925" s="196"/>
      <c r="H925" s="196"/>
      <c r="I925" s="197"/>
      <c r="L925" s="74"/>
      <c r="N925" s="197"/>
      <c r="O925" s="197"/>
      <c r="Q925" s="197"/>
      <c r="U925" s="198"/>
    </row>
    <row r="926">
      <c r="A926" s="74"/>
      <c r="B926" s="74"/>
      <c r="D926" s="74"/>
      <c r="G926" s="196"/>
      <c r="H926" s="196"/>
      <c r="I926" s="197"/>
      <c r="L926" s="74"/>
      <c r="N926" s="197"/>
      <c r="O926" s="197"/>
      <c r="Q926" s="197"/>
      <c r="U926" s="198"/>
    </row>
    <row r="927">
      <c r="A927" s="74"/>
      <c r="B927" s="74"/>
      <c r="D927" s="74"/>
      <c r="G927" s="196"/>
      <c r="H927" s="196"/>
      <c r="I927" s="197"/>
      <c r="L927" s="74"/>
      <c r="N927" s="197"/>
      <c r="O927" s="197"/>
      <c r="Q927" s="197"/>
      <c r="U927" s="198"/>
    </row>
    <row r="928">
      <c r="A928" s="74"/>
      <c r="B928" s="74"/>
      <c r="D928" s="74"/>
      <c r="G928" s="196"/>
      <c r="H928" s="196"/>
      <c r="I928" s="197"/>
      <c r="L928" s="74"/>
      <c r="N928" s="197"/>
      <c r="O928" s="197"/>
      <c r="Q928" s="197"/>
      <c r="U928" s="198"/>
    </row>
    <row r="929">
      <c r="A929" s="74"/>
      <c r="B929" s="74"/>
      <c r="D929" s="74"/>
      <c r="G929" s="196"/>
      <c r="H929" s="196"/>
      <c r="I929" s="197"/>
      <c r="L929" s="74"/>
      <c r="N929" s="197"/>
      <c r="O929" s="197"/>
      <c r="Q929" s="197"/>
      <c r="U929" s="198"/>
    </row>
    <row r="930">
      <c r="A930" s="74"/>
      <c r="B930" s="74"/>
      <c r="D930" s="74"/>
      <c r="G930" s="196"/>
      <c r="H930" s="196"/>
      <c r="I930" s="197"/>
      <c r="L930" s="74"/>
      <c r="N930" s="197"/>
      <c r="O930" s="197"/>
      <c r="Q930" s="197"/>
      <c r="U930" s="198"/>
    </row>
    <row r="931">
      <c r="A931" s="74"/>
      <c r="B931" s="74"/>
      <c r="D931" s="74"/>
      <c r="G931" s="196"/>
      <c r="H931" s="196"/>
      <c r="I931" s="197"/>
      <c r="L931" s="74"/>
      <c r="N931" s="197"/>
      <c r="O931" s="197"/>
      <c r="Q931" s="197"/>
      <c r="U931" s="198"/>
    </row>
    <row r="932">
      <c r="A932" s="74"/>
      <c r="B932" s="74"/>
      <c r="D932" s="74"/>
      <c r="G932" s="196"/>
      <c r="H932" s="196"/>
      <c r="I932" s="197"/>
      <c r="L932" s="74"/>
      <c r="N932" s="197"/>
      <c r="O932" s="197"/>
      <c r="Q932" s="197"/>
      <c r="U932" s="198"/>
    </row>
    <row r="933">
      <c r="A933" s="74"/>
      <c r="B933" s="74"/>
      <c r="D933" s="74"/>
      <c r="G933" s="196"/>
      <c r="H933" s="196"/>
      <c r="I933" s="197"/>
      <c r="L933" s="74"/>
      <c r="N933" s="197"/>
      <c r="O933" s="197"/>
      <c r="Q933" s="197"/>
      <c r="U933" s="198"/>
    </row>
    <row r="934">
      <c r="A934" s="74"/>
      <c r="B934" s="74"/>
      <c r="D934" s="74"/>
      <c r="G934" s="196"/>
      <c r="H934" s="196"/>
      <c r="I934" s="197"/>
      <c r="L934" s="74"/>
      <c r="N934" s="197"/>
      <c r="O934" s="197"/>
      <c r="Q934" s="197"/>
      <c r="U934" s="198"/>
    </row>
    <row r="935">
      <c r="A935" s="74"/>
      <c r="B935" s="74"/>
      <c r="D935" s="74"/>
      <c r="G935" s="196"/>
      <c r="H935" s="196"/>
      <c r="I935" s="197"/>
      <c r="L935" s="74"/>
      <c r="N935" s="197"/>
      <c r="O935" s="197"/>
      <c r="Q935" s="197"/>
      <c r="U935" s="198"/>
    </row>
    <row r="936">
      <c r="A936" s="74"/>
      <c r="B936" s="74"/>
      <c r="D936" s="74"/>
      <c r="G936" s="196"/>
      <c r="H936" s="196"/>
      <c r="I936" s="197"/>
      <c r="L936" s="74"/>
      <c r="N936" s="197"/>
      <c r="O936" s="197"/>
      <c r="Q936" s="197"/>
      <c r="U936" s="198"/>
    </row>
    <row r="937">
      <c r="A937" s="74"/>
      <c r="B937" s="74"/>
      <c r="D937" s="74"/>
      <c r="G937" s="196"/>
      <c r="H937" s="196"/>
      <c r="I937" s="197"/>
      <c r="L937" s="74"/>
      <c r="N937" s="197"/>
      <c r="O937" s="197"/>
      <c r="Q937" s="197"/>
      <c r="U937" s="198"/>
    </row>
    <row r="938">
      <c r="A938" s="74"/>
      <c r="B938" s="74"/>
      <c r="D938" s="74"/>
      <c r="G938" s="196"/>
      <c r="H938" s="196"/>
      <c r="I938" s="197"/>
      <c r="L938" s="74"/>
      <c r="N938" s="197"/>
      <c r="O938" s="197"/>
      <c r="Q938" s="197"/>
      <c r="U938" s="198"/>
    </row>
    <row r="939">
      <c r="A939" s="74"/>
      <c r="B939" s="74"/>
      <c r="D939" s="74"/>
      <c r="G939" s="196"/>
      <c r="H939" s="196"/>
      <c r="I939" s="197"/>
      <c r="L939" s="74"/>
      <c r="N939" s="197"/>
      <c r="O939" s="197"/>
      <c r="Q939" s="197"/>
      <c r="U939" s="198"/>
    </row>
    <row r="940">
      <c r="A940" s="74"/>
      <c r="B940" s="74"/>
      <c r="D940" s="74"/>
      <c r="G940" s="196"/>
      <c r="H940" s="196"/>
      <c r="I940" s="197"/>
      <c r="L940" s="74"/>
      <c r="N940" s="197"/>
      <c r="O940" s="197"/>
      <c r="Q940" s="197"/>
      <c r="U940" s="198"/>
    </row>
    <row r="941">
      <c r="A941" s="74"/>
      <c r="B941" s="74"/>
      <c r="D941" s="74"/>
      <c r="G941" s="196"/>
      <c r="H941" s="196"/>
      <c r="I941" s="197"/>
      <c r="L941" s="74"/>
      <c r="N941" s="197"/>
      <c r="O941" s="197"/>
      <c r="Q941" s="197"/>
      <c r="U941" s="198"/>
    </row>
    <row r="942">
      <c r="A942" s="74"/>
      <c r="B942" s="74"/>
      <c r="D942" s="74"/>
      <c r="G942" s="196"/>
      <c r="H942" s="196"/>
      <c r="I942" s="197"/>
      <c r="L942" s="74"/>
      <c r="N942" s="197"/>
      <c r="O942" s="197"/>
      <c r="Q942" s="197"/>
      <c r="U942" s="198"/>
    </row>
    <row r="943">
      <c r="A943" s="74"/>
      <c r="B943" s="74"/>
      <c r="D943" s="74"/>
      <c r="G943" s="196"/>
      <c r="H943" s="196"/>
      <c r="I943" s="197"/>
      <c r="L943" s="74"/>
      <c r="N943" s="197"/>
      <c r="O943" s="197"/>
      <c r="Q943" s="197"/>
      <c r="U943" s="198"/>
    </row>
    <row r="944">
      <c r="A944" s="74"/>
      <c r="B944" s="74"/>
      <c r="D944" s="74"/>
      <c r="G944" s="196"/>
      <c r="H944" s="196"/>
      <c r="I944" s="197"/>
      <c r="L944" s="74"/>
      <c r="N944" s="197"/>
      <c r="O944" s="197"/>
      <c r="Q944" s="197"/>
      <c r="U944" s="198"/>
    </row>
    <row r="945">
      <c r="A945" s="74"/>
      <c r="B945" s="74"/>
      <c r="D945" s="74"/>
      <c r="G945" s="196"/>
      <c r="H945" s="196"/>
      <c r="I945" s="197"/>
      <c r="L945" s="74"/>
      <c r="N945" s="197"/>
      <c r="O945" s="197"/>
      <c r="Q945" s="197"/>
      <c r="U945" s="198"/>
    </row>
    <row r="946">
      <c r="A946" s="74"/>
      <c r="B946" s="74"/>
      <c r="D946" s="74"/>
      <c r="G946" s="196"/>
      <c r="H946" s="196"/>
      <c r="I946" s="197"/>
      <c r="L946" s="74"/>
      <c r="N946" s="197"/>
      <c r="O946" s="197"/>
      <c r="Q946" s="197"/>
      <c r="U946" s="198"/>
    </row>
    <row r="947">
      <c r="A947" s="74"/>
      <c r="B947" s="74"/>
      <c r="D947" s="74"/>
      <c r="G947" s="196"/>
      <c r="H947" s="196"/>
      <c r="I947" s="197"/>
      <c r="L947" s="74"/>
      <c r="N947" s="197"/>
      <c r="O947" s="197"/>
      <c r="Q947" s="197"/>
      <c r="U947" s="198"/>
    </row>
    <row r="948">
      <c r="A948" s="74"/>
      <c r="B948" s="74"/>
      <c r="D948" s="74"/>
      <c r="G948" s="196"/>
      <c r="H948" s="196"/>
      <c r="I948" s="197"/>
      <c r="L948" s="74"/>
      <c r="N948" s="197"/>
      <c r="O948" s="197"/>
      <c r="Q948" s="197"/>
      <c r="U948" s="198"/>
    </row>
    <row r="949">
      <c r="A949" s="74"/>
      <c r="B949" s="74"/>
      <c r="D949" s="74"/>
      <c r="G949" s="196"/>
      <c r="H949" s="196"/>
      <c r="I949" s="197"/>
      <c r="L949" s="74"/>
      <c r="N949" s="197"/>
      <c r="O949" s="197"/>
      <c r="Q949" s="197"/>
      <c r="U949" s="198"/>
    </row>
    <row r="950">
      <c r="A950" s="74"/>
      <c r="B950" s="74"/>
      <c r="D950" s="74"/>
      <c r="G950" s="196"/>
      <c r="H950" s="196"/>
      <c r="I950" s="197"/>
      <c r="L950" s="74"/>
      <c r="N950" s="197"/>
      <c r="O950" s="197"/>
      <c r="Q950" s="197"/>
      <c r="U950" s="198"/>
    </row>
    <row r="951">
      <c r="A951" s="74"/>
      <c r="B951" s="74"/>
      <c r="D951" s="74"/>
      <c r="G951" s="196"/>
      <c r="H951" s="196"/>
      <c r="I951" s="197"/>
      <c r="L951" s="74"/>
      <c r="N951" s="197"/>
      <c r="O951" s="197"/>
      <c r="Q951" s="197"/>
      <c r="U951" s="198"/>
    </row>
    <row r="952">
      <c r="A952" s="74"/>
      <c r="B952" s="74"/>
      <c r="D952" s="74"/>
      <c r="G952" s="196"/>
      <c r="H952" s="196"/>
      <c r="I952" s="197"/>
      <c r="L952" s="74"/>
      <c r="N952" s="197"/>
      <c r="O952" s="197"/>
      <c r="Q952" s="197"/>
      <c r="U952" s="198"/>
    </row>
    <row r="953">
      <c r="A953" s="74"/>
      <c r="B953" s="74"/>
      <c r="D953" s="74"/>
      <c r="G953" s="196"/>
      <c r="H953" s="196"/>
      <c r="I953" s="197"/>
      <c r="L953" s="74"/>
      <c r="N953" s="197"/>
      <c r="O953" s="197"/>
      <c r="Q953" s="197"/>
      <c r="U953" s="198"/>
    </row>
    <row r="954">
      <c r="A954" s="74"/>
      <c r="B954" s="74"/>
      <c r="D954" s="74"/>
      <c r="G954" s="196"/>
      <c r="H954" s="196"/>
      <c r="I954" s="197"/>
      <c r="L954" s="74"/>
      <c r="N954" s="197"/>
      <c r="O954" s="197"/>
      <c r="Q954" s="197"/>
      <c r="U954" s="198"/>
    </row>
    <row r="955">
      <c r="A955" s="74"/>
      <c r="B955" s="74"/>
      <c r="D955" s="74"/>
      <c r="G955" s="196"/>
      <c r="H955" s="196"/>
      <c r="I955" s="197"/>
      <c r="L955" s="74"/>
      <c r="N955" s="197"/>
      <c r="O955" s="197"/>
      <c r="Q955" s="197"/>
      <c r="U955" s="198"/>
    </row>
    <row r="956">
      <c r="A956" s="74"/>
      <c r="B956" s="74"/>
      <c r="D956" s="74"/>
      <c r="G956" s="196"/>
      <c r="H956" s="196"/>
      <c r="I956" s="197"/>
      <c r="L956" s="74"/>
      <c r="N956" s="197"/>
      <c r="O956" s="197"/>
      <c r="Q956" s="197"/>
      <c r="U956" s="198"/>
    </row>
    <row r="957">
      <c r="A957" s="74"/>
      <c r="B957" s="74"/>
      <c r="D957" s="74"/>
      <c r="G957" s="196"/>
      <c r="H957" s="196"/>
      <c r="I957" s="197"/>
      <c r="L957" s="74"/>
      <c r="N957" s="197"/>
      <c r="O957" s="197"/>
      <c r="Q957" s="197"/>
      <c r="U957" s="198"/>
    </row>
    <row r="958">
      <c r="A958" s="74"/>
      <c r="B958" s="74"/>
      <c r="D958" s="74"/>
      <c r="G958" s="196"/>
      <c r="H958" s="196"/>
      <c r="I958" s="197"/>
      <c r="L958" s="74"/>
      <c r="N958" s="197"/>
      <c r="O958" s="197"/>
      <c r="Q958" s="197"/>
      <c r="U958" s="198"/>
    </row>
    <row r="959">
      <c r="A959" s="74"/>
      <c r="B959" s="74"/>
      <c r="D959" s="74"/>
      <c r="G959" s="196"/>
      <c r="H959" s="196"/>
      <c r="I959" s="197"/>
      <c r="L959" s="74"/>
      <c r="N959" s="197"/>
      <c r="O959" s="197"/>
      <c r="Q959" s="197"/>
      <c r="U959" s="198"/>
    </row>
    <row r="960">
      <c r="A960" s="74"/>
      <c r="B960" s="74"/>
      <c r="D960" s="74"/>
      <c r="G960" s="196"/>
      <c r="H960" s="196"/>
      <c r="I960" s="197"/>
      <c r="L960" s="74"/>
      <c r="N960" s="197"/>
      <c r="O960" s="197"/>
      <c r="Q960" s="197"/>
      <c r="U960" s="198"/>
    </row>
    <row r="961">
      <c r="A961" s="74"/>
      <c r="B961" s="74"/>
      <c r="D961" s="74"/>
      <c r="G961" s="196"/>
      <c r="H961" s="196"/>
      <c r="I961" s="197"/>
      <c r="L961" s="74"/>
      <c r="N961" s="197"/>
      <c r="O961" s="197"/>
      <c r="Q961" s="197"/>
      <c r="U961" s="198"/>
    </row>
    <row r="962">
      <c r="A962" s="74"/>
      <c r="B962" s="74"/>
      <c r="D962" s="74"/>
      <c r="G962" s="196"/>
      <c r="H962" s="196"/>
      <c r="I962" s="197"/>
      <c r="L962" s="74"/>
      <c r="N962" s="197"/>
      <c r="O962" s="197"/>
      <c r="Q962" s="197"/>
      <c r="U962" s="198"/>
    </row>
    <row r="963">
      <c r="A963" s="74"/>
      <c r="B963" s="74"/>
      <c r="D963" s="74"/>
      <c r="G963" s="196"/>
      <c r="H963" s="196"/>
      <c r="I963" s="197"/>
      <c r="L963" s="74"/>
      <c r="N963" s="197"/>
      <c r="O963" s="197"/>
      <c r="Q963" s="197"/>
      <c r="U963" s="198"/>
    </row>
    <row r="964">
      <c r="A964" s="74"/>
      <c r="B964" s="74"/>
      <c r="D964" s="74"/>
      <c r="G964" s="196"/>
      <c r="H964" s="196"/>
      <c r="I964" s="197"/>
      <c r="L964" s="74"/>
      <c r="N964" s="197"/>
      <c r="O964" s="197"/>
      <c r="Q964" s="197"/>
      <c r="U964" s="198"/>
    </row>
    <row r="965">
      <c r="A965" s="74"/>
      <c r="B965" s="74"/>
      <c r="D965" s="74"/>
      <c r="G965" s="196"/>
      <c r="H965" s="196"/>
      <c r="I965" s="197"/>
      <c r="L965" s="74"/>
      <c r="N965" s="197"/>
      <c r="O965" s="197"/>
      <c r="Q965" s="197"/>
      <c r="U965" s="198"/>
    </row>
    <row r="966">
      <c r="A966" s="74"/>
      <c r="B966" s="74"/>
      <c r="D966" s="74"/>
      <c r="G966" s="196"/>
      <c r="H966" s="196"/>
      <c r="I966" s="197"/>
      <c r="L966" s="74"/>
      <c r="N966" s="197"/>
      <c r="O966" s="197"/>
      <c r="Q966" s="197"/>
      <c r="U966" s="198"/>
    </row>
    <row r="967">
      <c r="A967" s="74"/>
      <c r="B967" s="74"/>
      <c r="D967" s="74"/>
      <c r="G967" s="196"/>
      <c r="H967" s="196"/>
      <c r="I967" s="197"/>
      <c r="L967" s="74"/>
      <c r="N967" s="197"/>
      <c r="O967" s="197"/>
      <c r="Q967" s="197"/>
      <c r="U967" s="198"/>
    </row>
    <row r="968">
      <c r="A968" s="74"/>
      <c r="B968" s="74"/>
      <c r="D968" s="74"/>
      <c r="G968" s="196"/>
      <c r="H968" s="196"/>
      <c r="I968" s="197"/>
      <c r="L968" s="74"/>
      <c r="N968" s="197"/>
      <c r="O968" s="197"/>
      <c r="Q968" s="197"/>
      <c r="U968" s="198"/>
    </row>
    <row r="969">
      <c r="A969" s="74"/>
      <c r="B969" s="74"/>
      <c r="D969" s="74"/>
      <c r="G969" s="196"/>
      <c r="H969" s="196"/>
      <c r="I969" s="197"/>
      <c r="L969" s="74"/>
      <c r="N969" s="197"/>
      <c r="O969" s="197"/>
      <c r="Q969" s="197"/>
      <c r="U969" s="198"/>
    </row>
    <row r="970">
      <c r="A970" s="74"/>
      <c r="B970" s="74"/>
      <c r="D970" s="74"/>
      <c r="G970" s="196"/>
      <c r="H970" s="196"/>
      <c r="I970" s="197"/>
      <c r="L970" s="74"/>
      <c r="N970" s="197"/>
      <c r="O970" s="197"/>
      <c r="Q970" s="197"/>
      <c r="U970" s="198"/>
    </row>
    <row r="971">
      <c r="A971" s="74"/>
      <c r="B971" s="74"/>
      <c r="D971" s="74"/>
      <c r="G971" s="196"/>
      <c r="H971" s="196"/>
      <c r="I971" s="197"/>
      <c r="L971" s="74"/>
      <c r="N971" s="197"/>
      <c r="O971" s="197"/>
      <c r="Q971" s="197"/>
      <c r="U971" s="198"/>
    </row>
    <row r="972">
      <c r="A972" s="74"/>
      <c r="B972" s="74"/>
      <c r="D972" s="74"/>
      <c r="G972" s="196"/>
      <c r="H972" s="196"/>
      <c r="I972" s="197"/>
      <c r="L972" s="74"/>
      <c r="N972" s="197"/>
      <c r="O972" s="197"/>
      <c r="Q972" s="197"/>
      <c r="U972" s="198"/>
    </row>
    <row r="973">
      <c r="A973" s="74"/>
      <c r="B973" s="74"/>
      <c r="D973" s="74"/>
      <c r="G973" s="196"/>
      <c r="H973" s="196"/>
      <c r="I973" s="197"/>
      <c r="L973" s="74"/>
      <c r="N973" s="197"/>
      <c r="O973" s="197"/>
      <c r="Q973" s="197"/>
      <c r="U973" s="198"/>
    </row>
    <row r="974">
      <c r="A974" s="74"/>
      <c r="B974" s="74"/>
      <c r="D974" s="74"/>
      <c r="G974" s="196"/>
      <c r="H974" s="196"/>
      <c r="I974" s="197"/>
      <c r="L974" s="74"/>
      <c r="N974" s="197"/>
      <c r="O974" s="197"/>
      <c r="Q974" s="197"/>
      <c r="U974" s="198"/>
    </row>
    <row r="975">
      <c r="A975" s="74"/>
      <c r="B975" s="74"/>
      <c r="D975" s="74"/>
      <c r="G975" s="196"/>
      <c r="H975" s="196"/>
      <c r="I975" s="197"/>
      <c r="L975" s="74"/>
      <c r="N975" s="197"/>
      <c r="O975" s="197"/>
      <c r="Q975" s="197"/>
      <c r="U975" s="198"/>
    </row>
    <row r="976">
      <c r="A976" s="74"/>
      <c r="B976" s="74"/>
      <c r="D976" s="74"/>
      <c r="G976" s="196"/>
      <c r="H976" s="196"/>
      <c r="I976" s="197"/>
      <c r="L976" s="74"/>
      <c r="N976" s="197"/>
      <c r="O976" s="197"/>
      <c r="Q976" s="197"/>
      <c r="U976" s="198"/>
    </row>
    <row r="977">
      <c r="A977" s="74"/>
      <c r="B977" s="74"/>
      <c r="D977" s="74"/>
      <c r="G977" s="196"/>
      <c r="H977" s="196"/>
      <c r="I977" s="197"/>
      <c r="L977" s="74"/>
      <c r="N977" s="197"/>
      <c r="O977" s="197"/>
      <c r="Q977" s="197"/>
      <c r="U977" s="198"/>
    </row>
    <row r="978">
      <c r="A978" s="74"/>
      <c r="B978" s="74"/>
      <c r="D978" s="74"/>
      <c r="G978" s="196"/>
      <c r="H978" s="196"/>
      <c r="I978" s="197"/>
      <c r="L978" s="74"/>
      <c r="N978" s="197"/>
      <c r="O978" s="197"/>
      <c r="Q978" s="197"/>
      <c r="U978" s="198"/>
    </row>
    <row r="979">
      <c r="A979" s="74"/>
      <c r="B979" s="74"/>
      <c r="D979" s="74"/>
      <c r="G979" s="196"/>
      <c r="H979" s="196"/>
      <c r="I979" s="197"/>
      <c r="L979" s="74"/>
      <c r="N979" s="197"/>
      <c r="O979" s="197"/>
      <c r="Q979" s="197"/>
      <c r="U979" s="198"/>
    </row>
    <row r="980">
      <c r="A980" s="74"/>
      <c r="B980" s="74"/>
      <c r="D980" s="74"/>
      <c r="G980" s="196"/>
      <c r="H980" s="196"/>
      <c r="I980" s="197"/>
      <c r="L980" s="74"/>
      <c r="N980" s="197"/>
      <c r="O980" s="197"/>
      <c r="Q980" s="197"/>
      <c r="U980" s="198"/>
    </row>
    <row r="981">
      <c r="A981" s="74"/>
      <c r="B981" s="74"/>
      <c r="D981" s="74"/>
      <c r="G981" s="196"/>
      <c r="H981" s="196"/>
      <c r="I981" s="197"/>
      <c r="L981" s="74"/>
      <c r="N981" s="197"/>
      <c r="O981" s="197"/>
      <c r="Q981" s="197"/>
      <c r="U981" s="198"/>
    </row>
    <row r="982">
      <c r="A982" s="74"/>
      <c r="B982" s="74"/>
      <c r="D982" s="74"/>
      <c r="G982" s="196"/>
      <c r="H982" s="196"/>
      <c r="I982" s="197"/>
      <c r="L982" s="74"/>
      <c r="N982" s="197"/>
      <c r="O982" s="197"/>
      <c r="Q982" s="197"/>
      <c r="U982" s="198"/>
    </row>
    <row r="983">
      <c r="A983" s="74"/>
      <c r="B983" s="74"/>
      <c r="D983" s="74"/>
      <c r="G983" s="196"/>
      <c r="H983" s="196"/>
      <c r="I983" s="197"/>
      <c r="L983" s="74"/>
      <c r="N983" s="197"/>
      <c r="O983" s="197"/>
      <c r="Q983" s="197"/>
      <c r="U983" s="198"/>
    </row>
    <row r="984">
      <c r="A984" s="74"/>
      <c r="B984" s="74"/>
      <c r="D984" s="74"/>
      <c r="G984" s="196"/>
      <c r="H984" s="196"/>
      <c r="I984" s="197"/>
      <c r="L984" s="74"/>
      <c r="N984" s="197"/>
      <c r="O984" s="197"/>
      <c r="Q984" s="197"/>
      <c r="U984" s="198"/>
    </row>
    <row r="985">
      <c r="A985" s="74"/>
      <c r="B985" s="74"/>
      <c r="D985" s="74"/>
      <c r="G985" s="196"/>
      <c r="H985" s="196"/>
      <c r="I985" s="197"/>
      <c r="L985" s="74"/>
      <c r="N985" s="197"/>
      <c r="O985" s="197"/>
      <c r="Q985" s="197"/>
      <c r="U985" s="198"/>
    </row>
    <row r="986">
      <c r="A986" s="74"/>
      <c r="B986" s="74"/>
      <c r="D986" s="74"/>
      <c r="G986" s="196"/>
      <c r="H986" s="196"/>
      <c r="I986" s="197"/>
      <c r="L986" s="74"/>
      <c r="N986" s="197"/>
      <c r="O986" s="197"/>
      <c r="Q986" s="197"/>
      <c r="U986" s="198"/>
    </row>
    <row r="987">
      <c r="A987" s="74"/>
      <c r="B987" s="74"/>
      <c r="D987" s="74"/>
      <c r="G987" s="196"/>
      <c r="H987" s="196"/>
      <c r="I987" s="197"/>
      <c r="L987" s="74"/>
      <c r="N987" s="197"/>
      <c r="O987" s="197"/>
      <c r="Q987" s="197"/>
      <c r="U987" s="198"/>
    </row>
    <row r="988">
      <c r="A988" s="74"/>
      <c r="B988" s="74"/>
      <c r="D988" s="74"/>
      <c r="G988" s="196"/>
      <c r="H988" s="196"/>
      <c r="I988" s="197"/>
      <c r="L988" s="74"/>
      <c r="N988" s="197"/>
      <c r="O988" s="197"/>
      <c r="Q988" s="197"/>
      <c r="U988" s="198"/>
    </row>
    <row r="989">
      <c r="A989" s="74"/>
      <c r="B989" s="74"/>
      <c r="D989" s="74"/>
      <c r="G989" s="196"/>
      <c r="H989" s="196"/>
      <c r="I989" s="197"/>
      <c r="L989" s="74"/>
      <c r="N989" s="197"/>
      <c r="O989" s="197"/>
      <c r="Q989" s="197"/>
      <c r="U989" s="198"/>
    </row>
    <row r="990">
      <c r="A990" s="74"/>
      <c r="B990" s="74"/>
      <c r="D990" s="74"/>
      <c r="G990" s="196"/>
      <c r="H990" s="196"/>
      <c r="I990" s="197"/>
      <c r="L990" s="74"/>
      <c r="N990" s="197"/>
      <c r="O990" s="197"/>
      <c r="Q990" s="197"/>
      <c r="U990" s="198"/>
    </row>
    <row r="991">
      <c r="A991" s="74"/>
      <c r="B991" s="74"/>
      <c r="D991" s="74"/>
      <c r="G991" s="196"/>
      <c r="H991" s="196"/>
      <c r="I991" s="197"/>
      <c r="L991" s="74"/>
      <c r="N991" s="197"/>
      <c r="O991" s="197"/>
      <c r="Q991" s="197"/>
      <c r="U991" s="198"/>
    </row>
    <row r="992">
      <c r="A992" s="74"/>
      <c r="B992" s="74"/>
      <c r="D992" s="74"/>
      <c r="G992" s="196"/>
      <c r="H992" s="196"/>
      <c r="I992" s="197"/>
      <c r="L992" s="74"/>
      <c r="N992" s="197"/>
      <c r="O992" s="197"/>
      <c r="Q992" s="197"/>
      <c r="U992" s="198"/>
    </row>
    <row r="993">
      <c r="A993" s="74"/>
      <c r="B993" s="74"/>
      <c r="D993" s="74"/>
      <c r="G993" s="196"/>
      <c r="H993" s="196"/>
      <c r="I993" s="197"/>
      <c r="L993" s="74"/>
      <c r="N993" s="197"/>
      <c r="O993" s="197"/>
      <c r="Q993" s="197"/>
      <c r="U993" s="198"/>
    </row>
    <row r="994">
      <c r="A994" s="74"/>
      <c r="B994" s="74"/>
      <c r="D994" s="74"/>
      <c r="G994" s="196"/>
      <c r="H994" s="196"/>
      <c r="I994" s="197"/>
      <c r="L994" s="74"/>
      <c r="N994" s="197"/>
      <c r="O994" s="197"/>
      <c r="Q994" s="197"/>
      <c r="U994" s="198"/>
    </row>
    <row r="995">
      <c r="A995" s="74"/>
      <c r="B995" s="74"/>
      <c r="D995" s="74"/>
      <c r="G995" s="196"/>
      <c r="H995" s="196"/>
      <c r="I995" s="197"/>
      <c r="L995" s="74"/>
      <c r="N995" s="197"/>
      <c r="O995" s="197"/>
      <c r="Q995" s="197"/>
      <c r="U995" s="198"/>
    </row>
    <row r="996">
      <c r="A996" s="74"/>
      <c r="B996" s="74"/>
      <c r="D996" s="74"/>
      <c r="G996" s="196"/>
      <c r="H996" s="196"/>
      <c r="I996" s="197"/>
      <c r="L996" s="74"/>
      <c r="N996" s="197"/>
      <c r="O996" s="197"/>
      <c r="Q996" s="197"/>
      <c r="U996" s="198"/>
    </row>
    <row r="997">
      <c r="A997" s="74"/>
      <c r="B997" s="74"/>
      <c r="D997" s="74"/>
      <c r="G997" s="196"/>
      <c r="H997" s="196"/>
      <c r="I997" s="197"/>
      <c r="L997" s="74"/>
      <c r="N997" s="197"/>
      <c r="O997" s="197"/>
      <c r="Q997" s="197"/>
      <c r="U997" s="198"/>
    </row>
    <row r="998">
      <c r="A998" s="74"/>
      <c r="B998" s="74"/>
      <c r="D998" s="74"/>
      <c r="G998" s="196"/>
      <c r="H998" s="196"/>
      <c r="I998" s="197"/>
      <c r="L998" s="74"/>
      <c r="N998" s="197"/>
      <c r="O998" s="197"/>
      <c r="Q998" s="197"/>
      <c r="U998" s="198"/>
    </row>
    <row r="999">
      <c r="A999" s="74"/>
      <c r="B999" s="74"/>
      <c r="D999" s="74"/>
      <c r="G999" s="196"/>
      <c r="H999" s="196"/>
      <c r="I999" s="197"/>
      <c r="L999" s="74"/>
      <c r="N999" s="197"/>
      <c r="O999" s="197"/>
      <c r="Q999" s="197"/>
      <c r="U999" s="198"/>
    </row>
    <row r="1000">
      <c r="A1000" s="74"/>
      <c r="B1000" s="74"/>
      <c r="D1000" s="74"/>
      <c r="G1000" s="196"/>
      <c r="H1000" s="196"/>
      <c r="I1000" s="197"/>
      <c r="L1000" s="74"/>
      <c r="N1000" s="197"/>
      <c r="O1000" s="197"/>
      <c r="Q1000" s="197"/>
      <c r="U1000" s="198"/>
    </row>
    <row r="1001">
      <c r="A1001" s="74"/>
      <c r="B1001" s="74"/>
      <c r="D1001" s="74"/>
      <c r="G1001" s="196"/>
      <c r="H1001" s="196"/>
      <c r="I1001" s="197"/>
      <c r="L1001" s="74"/>
      <c r="N1001" s="197"/>
      <c r="O1001" s="197"/>
      <c r="Q1001" s="197"/>
      <c r="U1001" s="198"/>
    </row>
    <row r="1002">
      <c r="A1002" s="74"/>
      <c r="B1002" s="74"/>
      <c r="D1002" s="74"/>
      <c r="G1002" s="196"/>
      <c r="H1002" s="196"/>
      <c r="I1002" s="197"/>
      <c r="L1002" s="74"/>
      <c r="N1002" s="197"/>
      <c r="O1002" s="197"/>
      <c r="Q1002" s="197"/>
      <c r="U1002" s="198"/>
    </row>
    <row r="1003">
      <c r="A1003" s="74"/>
      <c r="B1003" s="74"/>
      <c r="D1003" s="74"/>
      <c r="G1003" s="196"/>
      <c r="H1003" s="196"/>
      <c r="I1003" s="197"/>
      <c r="L1003" s="74"/>
      <c r="N1003" s="197"/>
      <c r="O1003" s="197"/>
      <c r="Q1003" s="197"/>
      <c r="U1003" s="198"/>
    </row>
    <row r="1004">
      <c r="A1004" s="74"/>
      <c r="B1004" s="74"/>
      <c r="D1004" s="74"/>
      <c r="G1004" s="196"/>
      <c r="H1004" s="196"/>
      <c r="I1004" s="197"/>
      <c r="L1004" s="74"/>
      <c r="N1004" s="197"/>
      <c r="O1004" s="197"/>
      <c r="Q1004" s="197"/>
      <c r="U1004" s="198"/>
    </row>
    <row r="1005">
      <c r="A1005" s="74"/>
      <c r="B1005" s="74"/>
      <c r="D1005" s="74"/>
      <c r="G1005" s="196"/>
      <c r="H1005" s="196"/>
      <c r="I1005" s="197"/>
      <c r="L1005" s="74"/>
      <c r="N1005" s="197"/>
      <c r="O1005" s="197"/>
      <c r="Q1005" s="197"/>
      <c r="U1005" s="198"/>
    </row>
    <row r="1006">
      <c r="A1006" s="74"/>
      <c r="B1006" s="74"/>
      <c r="D1006" s="74"/>
      <c r="G1006" s="196"/>
      <c r="H1006" s="196"/>
      <c r="I1006" s="197"/>
      <c r="L1006" s="74"/>
      <c r="N1006" s="197"/>
      <c r="O1006" s="197"/>
      <c r="Q1006" s="197"/>
      <c r="U1006" s="198"/>
    </row>
    <row r="1007">
      <c r="A1007" s="74"/>
      <c r="B1007" s="74"/>
      <c r="D1007" s="74"/>
      <c r="G1007" s="196"/>
      <c r="H1007" s="196"/>
      <c r="I1007" s="197"/>
      <c r="L1007" s="74"/>
      <c r="N1007" s="197"/>
      <c r="O1007" s="197"/>
      <c r="Q1007" s="197"/>
      <c r="U1007" s="198"/>
    </row>
    <row r="1008">
      <c r="A1008" s="74"/>
      <c r="B1008" s="74"/>
      <c r="D1008" s="74"/>
      <c r="G1008" s="196"/>
      <c r="H1008" s="196"/>
      <c r="I1008" s="197"/>
      <c r="L1008" s="74"/>
      <c r="N1008" s="197"/>
      <c r="O1008" s="197"/>
      <c r="Q1008" s="197"/>
      <c r="U1008" s="198"/>
    </row>
    <row r="1009">
      <c r="A1009" s="74"/>
      <c r="B1009" s="74"/>
      <c r="D1009" s="74"/>
      <c r="G1009" s="196"/>
      <c r="H1009" s="196"/>
      <c r="I1009" s="197"/>
      <c r="L1009" s="74"/>
      <c r="N1009" s="197"/>
      <c r="O1009" s="197"/>
      <c r="Q1009" s="197"/>
      <c r="U1009" s="198"/>
    </row>
    <row r="1010">
      <c r="A1010" s="74"/>
      <c r="B1010" s="74"/>
      <c r="D1010" s="74"/>
      <c r="G1010" s="196"/>
      <c r="H1010" s="196"/>
      <c r="I1010" s="197"/>
      <c r="L1010" s="74"/>
      <c r="N1010" s="197"/>
      <c r="O1010" s="197"/>
      <c r="Q1010" s="197"/>
      <c r="U1010" s="198"/>
    </row>
    <row r="1011">
      <c r="A1011" s="74"/>
      <c r="B1011" s="74"/>
      <c r="D1011" s="74"/>
      <c r="G1011" s="196"/>
      <c r="H1011" s="196"/>
      <c r="I1011" s="197"/>
      <c r="L1011" s="74"/>
      <c r="N1011" s="197"/>
      <c r="O1011" s="197"/>
      <c r="Q1011" s="197"/>
      <c r="U1011" s="198"/>
    </row>
    <row r="1012">
      <c r="A1012" s="74"/>
      <c r="B1012" s="74"/>
      <c r="D1012" s="74"/>
      <c r="G1012" s="196"/>
      <c r="H1012" s="196"/>
      <c r="I1012" s="197"/>
      <c r="L1012" s="74"/>
      <c r="N1012" s="197"/>
      <c r="O1012" s="197"/>
      <c r="Q1012" s="197"/>
      <c r="U1012" s="198"/>
    </row>
    <row r="1013">
      <c r="A1013" s="74"/>
      <c r="B1013" s="74"/>
      <c r="D1013" s="74"/>
      <c r="G1013" s="196"/>
      <c r="H1013" s="196"/>
      <c r="I1013" s="197"/>
      <c r="L1013" s="74"/>
      <c r="N1013" s="197"/>
      <c r="O1013" s="197"/>
      <c r="Q1013" s="197"/>
      <c r="U1013" s="198"/>
    </row>
    <row r="1014">
      <c r="A1014" s="74"/>
      <c r="B1014" s="74"/>
      <c r="D1014" s="74"/>
      <c r="G1014" s="196"/>
      <c r="H1014" s="196"/>
      <c r="I1014" s="197"/>
      <c r="L1014" s="74"/>
      <c r="N1014" s="197"/>
      <c r="O1014" s="197"/>
      <c r="Q1014" s="197"/>
      <c r="U1014" s="198"/>
    </row>
    <row r="1015">
      <c r="A1015" s="74"/>
      <c r="B1015" s="74"/>
      <c r="D1015" s="74"/>
      <c r="G1015" s="196"/>
      <c r="H1015" s="196"/>
      <c r="I1015" s="197"/>
      <c r="L1015" s="74"/>
      <c r="N1015" s="197"/>
      <c r="O1015" s="197"/>
      <c r="Q1015" s="197"/>
      <c r="U1015" s="198"/>
    </row>
    <row r="1016">
      <c r="A1016" s="74"/>
      <c r="B1016" s="74"/>
      <c r="D1016" s="74"/>
      <c r="G1016" s="196"/>
      <c r="H1016" s="196"/>
      <c r="I1016" s="197"/>
      <c r="L1016" s="74"/>
      <c r="N1016" s="197"/>
      <c r="O1016" s="197"/>
      <c r="Q1016" s="197"/>
      <c r="U1016" s="198"/>
    </row>
    <row r="1017">
      <c r="A1017" s="74"/>
      <c r="B1017" s="74"/>
      <c r="D1017" s="74"/>
      <c r="G1017" s="196"/>
      <c r="H1017" s="196"/>
      <c r="I1017" s="197"/>
      <c r="L1017" s="74"/>
      <c r="N1017" s="197"/>
      <c r="O1017" s="197"/>
      <c r="Q1017" s="197"/>
      <c r="U1017" s="198"/>
    </row>
    <row r="1018">
      <c r="A1018" s="74"/>
      <c r="B1018" s="74"/>
      <c r="D1018" s="74"/>
      <c r="G1018" s="196"/>
      <c r="H1018" s="196"/>
      <c r="I1018" s="197"/>
      <c r="L1018" s="74"/>
      <c r="N1018" s="197"/>
      <c r="O1018" s="197"/>
      <c r="Q1018" s="197"/>
      <c r="U1018" s="198"/>
    </row>
    <row r="1019">
      <c r="A1019" s="74"/>
      <c r="B1019" s="74"/>
      <c r="D1019" s="74"/>
      <c r="G1019" s="196"/>
      <c r="H1019" s="196"/>
      <c r="I1019" s="197"/>
      <c r="L1019" s="74"/>
      <c r="N1019" s="197"/>
      <c r="O1019" s="197"/>
      <c r="Q1019" s="197"/>
      <c r="U1019" s="198"/>
    </row>
    <row r="1020">
      <c r="A1020" s="74"/>
      <c r="B1020" s="74"/>
      <c r="D1020" s="74"/>
      <c r="G1020" s="196"/>
      <c r="H1020" s="196"/>
      <c r="I1020" s="197"/>
      <c r="L1020" s="74"/>
      <c r="N1020" s="197"/>
      <c r="O1020" s="197"/>
      <c r="Q1020" s="197"/>
      <c r="U1020" s="198"/>
    </row>
    <row r="1021">
      <c r="A1021" s="74"/>
      <c r="B1021" s="74"/>
      <c r="D1021" s="74"/>
      <c r="G1021" s="196"/>
      <c r="H1021" s="196"/>
      <c r="I1021" s="197"/>
      <c r="L1021" s="74"/>
      <c r="N1021" s="197"/>
      <c r="O1021" s="197"/>
      <c r="Q1021" s="197"/>
      <c r="U1021" s="198"/>
    </row>
    <row r="1022">
      <c r="A1022" s="74"/>
      <c r="B1022" s="74"/>
      <c r="D1022" s="74"/>
      <c r="G1022" s="196"/>
      <c r="H1022" s="196"/>
      <c r="I1022" s="197"/>
      <c r="L1022" s="74"/>
      <c r="N1022" s="197"/>
      <c r="O1022" s="197"/>
      <c r="Q1022" s="197"/>
      <c r="U1022" s="198"/>
    </row>
    <row r="1023">
      <c r="A1023" s="74"/>
      <c r="B1023" s="74"/>
      <c r="D1023" s="74"/>
      <c r="G1023" s="196"/>
      <c r="H1023" s="196"/>
      <c r="I1023" s="197"/>
      <c r="L1023" s="74"/>
      <c r="N1023" s="197"/>
      <c r="O1023" s="197"/>
      <c r="Q1023" s="197"/>
      <c r="U1023" s="198"/>
    </row>
    <row r="1024">
      <c r="A1024" s="74"/>
      <c r="B1024" s="74"/>
      <c r="D1024" s="74"/>
      <c r="G1024" s="196"/>
      <c r="H1024" s="196"/>
      <c r="I1024" s="197"/>
      <c r="L1024" s="74"/>
      <c r="N1024" s="197"/>
      <c r="O1024" s="197"/>
      <c r="Q1024" s="197"/>
      <c r="U1024" s="198"/>
    </row>
    <row r="1025">
      <c r="A1025" s="74"/>
      <c r="B1025" s="74"/>
      <c r="D1025" s="74"/>
      <c r="G1025" s="196"/>
      <c r="H1025" s="196"/>
      <c r="I1025" s="197"/>
      <c r="L1025" s="74"/>
      <c r="N1025" s="197"/>
      <c r="O1025" s="197"/>
      <c r="Q1025" s="197"/>
      <c r="U1025" s="198"/>
    </row>
    <row r="1026">
      <c r="A1026" s="74"/>
      <c r="B1026" s="74"/>
      <c r="D1026" s="74"/>
      <c r="G1026" s="196"/>
      <c r="H1026" s="196"/>
      <c r="I1026" s="197"/>
      <c r="L1026" s="74"/>
      <c r="N1026" s="197"/>
      <c r="O1026" s="197"/>
      <c r="Q1026" s="197"/>
      <c r="U1026" s="198"/>
    </row>
    <row r="1027">
      <c r="A1027" s="74"/>
      <c r="B1027" s="74"/>
      <c r="D1027" s="74"/>
      <c r="G1027" s="196"/>
      <c r="H1027" s="196"/>
      <c r="I1027" s="197"/>
      <c r="L1027" s="74"/>
      <c r="N1027" s="197"/>
      <c r="O1027" s="197"/>
      <c r="Q1027" s="197"/>
      <c r="U1027" s="198"/>
    </row>
    <row r="1028">
      <c r="A1028" s="74"/>
      <c r="B1028" s="74"/>
      <c r="D1028" s="74"/>
      <c r="G1028" s="196"/>
      <c r="H1028" s="196"/>
      <c r="I1028" s="197"/>
      <c r="L1028" s="74"/>
      <c r="N1028" s="197"/>
      <c r="O1028" s="197"/>
      <c r="Q1028" s="197"/>
      <c r="U1028" s="198"/>
    </row>
    <row r="1029">
      <c r="A1029" s="74"/>
      <c r="B1029" s="74"/>
      <c r="D1029" s="74"/>
      <c r="G1029" s="196"/>
      <c r="H1029" s="196"/>
      <c r="I1029" s="197"/>
      <c r="L1029" s="74"/>
      <c r="N1029" s="197"/>
      <c r="O1029" s="197"/>
      <c r="Q1029" s="197"/>
      <c r="U1029" s="198"/>
    </row>
    <row r="1030">
      <c r="A1030" s="74"/>
      <c r="B1030" s="74"/>
      <c r="D1030" s="74"/>
      <c r="G1030" s="196"/>
      <c r="H1030" s="196"/>
      <c r="I1030" s="197"/>
      <c r="L1030" s="74"/>
      <c r="N1030" s="197"/>
      <c r="O1030" s="197"/>
      <c r="Q1030" s="197"/>
      <c r="U1030" s="198"/>
    </row>
    <row r="1031">
      <c r="A1031" s="74"/>
      <c r="B1031" s="74"/>
      <c r="D1031" s="74"/>
      <c r="G1031" s="196"/>
      <c r="H1031" s="196"/>
      <c r="I1031" s="197"/>
      <c r="L1031" s="74"/>
      <c r="N1031" s="197"/>
      <c r="O1031" s="197"/>
      <c r="Q1031" s="197"/>
      <c r="U1031" s="198"/>
    </row>
    <row r="1032">
      <c r="A1032" s="74"/>
      <c r="B1032" s="74"/>
      <c r="D1032" s="74"/>
      <c r="G1032" s="196"/>
      <c r="H1032" s="196"/>
      <c r="I1032" s="197"/>
      <c r="L1032" s="74"/>
      <c r="N1032" s="197"/>
      <c r="O1032" s="197"/>
      <c r="Q1032" s="197"/>
      <c r="U1032" s="198"/>
    </row>
    <row r="1033">
      <c r="A1033" s="74"/>
      <c r="B1033" s="74"/>
      <c r="D1033" s="74"/>
      <c r="G1033" s="196"/>
      <c r="H1033" s="196"/>
      <c r="I1033" s="197"/>
      <c r="L1033" s="74"/>
      <c r="N1033" s="197"/>
      <c r="O1033" s="197"/>
      <c r="Q1033" s="197"/>
      <c r="U1033" s="198"/>
    </row>
    <row r="1034">
      <c r="A1034" s="74"/>
      <c r="B1034" s="74"/>
      <c r="D1034" s="74"/>
      <c r="G1034" s="196"/>
      <c r="H1034" s="196"/>
      <c r="I1034" s="197"/>
      <c r="L1034" s="74"/>
      <c r="N1034" s="197"/>
      <c r="O1034" s="197"/>
      <c r="Q1034" s="197"/>
      <c r="U1034" s="198"/>
    </row>
    <row r="1035">
      <c r="A1035" s="74"/>
      <c r="B1035" s="74"/>
      <c r="D1035" s="74"/>
      <c r="G1035" s="196"/>
      <c r="H1035" s="196"/>
      <c r="I1035" s="197"/>
      <c r="L1035" s="74"/>
      <c r="N1035" s="197"/>
      <c r="O1035" s="197"/>
      <c r="Q1035" s="197"/>
      <c r="U1035" s="198"/>
    </row>
    <row r="1036">
      <c r="A1036" s="74"/>
      <c r="B1036" s="74"/>
      <c r="D1036" s="74"/>
      <c r="G1036" s="196"/>
      <c r="H1036" s="196"/>
      <c r="I1036" s="197"/>
      <c r="L1036" s="74"/>
      <c r="N1036" s="197"/>
      <c r="O1036" s="197"/>
      <c r="Q1036" s="197"/>
      <c r="U1036" s="198"/>
    </row>
    <row r="1037">
      <c r="A1037" s="74"/>
      <c r="B1037" s="74"/>
      <c r="D1037" s="74"/>
      <c r="G1037" s="196"/>
      <c r="H1037" s="196"/>
      <c r="I1037" s="197"/>
      <c r="L1037" s="74"/>
      <c r="N1037" s="197"/>
      <c r="O1037" s="197"/>
      <c r="Q1037" s="197"/>
      <c r="U1037" s="198"/>
    </row>
    <row r="1038">
      <c r="A1038" s="74"/>
      <c r="B1038" s="74"/>
      <c r="D1038" s="74"/>
      <c r="G1038" s="196"/>
      <c r="H1038" s="196"/>
      <c r="I1038" s="197"/>
      <c r="L1038" s="74"/>
      <c r="N1038" s="197"/>
      <c r="O1038" s="197"/>
      <c r="Q1038" s="197"/>
      <c r="U1038" s="198"/>
    </row>
    <row r="1039">
      <c r="A1039" s="74"/>
      <c r="B1039" s="74"/>
      <c r="D1039" s="74"/>
      <c r="G1039" s="196"/>
      <c r="H1039" s="196"/>
      <c r="I1039" s="197"/>
      <c r="L1039" s="74"/>
      <c r="N1039" s="197"/>
      <c r="O1039" s="197"/>
      <c r="Q1039" s="197"/>
      <c r="U1039" s="198"/>
    </row>
    <row r="1040">
      <c r="A1040" s="74"/>
      <c r="B1040" s="74"/>
      <c r="D1040" s="74"/>
      <c r="G1040" s="196"/>
      <c r="H1040" s="196"/>
      <c r="I1040" s="197"/>
      <c r="L1040" s="74"/>
      <c r="N1040" s="197"/>
      <c r="O1040" s="197"/>
      <c r="Q1040" s="197"/>
      <c r="U1040" s="198"/>
    </row>
    <row r="1041">
      <c r="A1041" s="74"/>
      <c r="B1041" s="74"/>
      <c r="D1041" s="74"/>
      <c r="G1041" s="196"/>
      <c r="H1041" s="196"/>
      <c r="I1041" s="197"/>
      <c r="L1041" s="74"/>
      <c r="N1041" s="197"/>
      <c r="O1041" s="197"/>
      <c r="Q1041" s="197"/>
      <c r="U1041" s="198"/>
    </row>
    <row r="1042">
      <c r="A1042" s="74"/>
      <c r="B1042" s="74"/>
      <c r="D1042" s="74"/>
      <c r="G1042" s="196"/>
      <c r="H1042" s="196"/>
      <c r="I1042" s="197"/>
      <c r="L1042" s="74"/>
      <c r="N1042" s="197"/>
      <c r="O1042" s="197"/>
      <c r="Q1042" s="197"/>
      <c r="U1042" s="198"/>
    </row>
    <row r="1043">
      <c r="A1043" s="74"/>
      <c r="B1043" s="74"/>
      <c r="D1043" s="74"/>
      <c r="G1043" s="196"/>
      <c r="H1043" s="196"/>
      <c r="I1043" s="197"/>
      <c r="L1043" s="74"/>
      <c r="N1043" s="197"/>
      <c r="O1043" s="197"/>
      <c r="Q1043" s="197"/>
      <c r="U1043" s="198"/>
    </row>
    <row r="1044">
      <c r="A1044" s="74"/>
      <c r="B1044" s="74"/>
      <c r="D1044" s="74"/>
      <c r="G1044" s="196"/>
      <c r="H1044" s="196"/>
      <c r="I1044" s="197"/>
      <c r="L1044" s="74"/>
      <c r="N1044" s="197"/>
      <c r="O1044" s="197"/>
      <c r="Q1044" s="197"/>
      <c r="U1044" s="198"/>
    </row>
    <row r="1045">
      <c r="A1045" s="74"/>
      <c r="B1045" s="74"/>
      <c r="D1045" s="74"/>
      <c r="G1045" s="196"/>
      <c r="H1045" s="196"/>
      <c r="I1045" s="197"/>
      <c r="L1045" s="74"/>
      <c r="N1045" s="197"/>
      <c r="O1045" s="197"/>
      <c r="Q1045" s="197"/>
      <c r="U1045" s="198"/>
    </row>
    <row r="1046">
      <c r="A1046" s="74"/>
      <c r="B1046" s="74"/>
      <c r="D1046" s="74"/>
      <c r="G1046" s="196"/>
      <c r="H1046" s="196"/>
      <c r="I1046" s="197"/>
      <c r="L1046" s="74"/>
      <c r="N1046" s="197"/>
      <c r="O1046" s="197"/>
      <c r="Q1046" s="197"/>
      <c r="U1046" s="198"/>
    </row>
    <row r="1047">
      <c r="A1047" s="74"/>
      <c r="B1047" s="74"/>
      <c r="D1047" s="74"/>
      <c r="G1047" s="196"/>
      <c r="H1047" s="196"/>
      <c r="I1047" s="197"/>
      <c r="L1047" s="74"/>
      <c r="N1047" s="197"/>
      <c r="O1047" s="197"/>
      <c r="Q1047" s="197"/>
      <c r="U1047" s="198"/>
    </row>
    <row r="1048">
      <c r="A1048" s="74"/>
      <c r="B1048" s="74"/>
      <c r="D1048" s="74"/>
      <c r="G1048" s="196"/>
      <c r="H1048" s="196"/>
      <c r="I1048" s="197"/>
      <c r="L1048" s="74"/>
      <c r="N1048" s="197"/>
      <c r="O1048" s="197"/>
      <c r="Q1048" s="197"/>
      <c r="U1048" s="198"/>
    </row>
    <row r="1049">
      <c r="A1049" s="74"/>
      <c r="B1049" s="74"/>
      <c r="D1049" s="74"/>
      <c r="G1049" s="196"/>
      <c r="H1049" s="196"/>
      <c r="I1049" s="197"/>
      <c r="L1049" s="74"/>
      <c r="N1049" s="197"/>
      <c r="O1049" s="197"/>
      <c r="Q1049" s="197"/>
      <c r="U1049" s="198"/>
    </row>
    <row r="1050">
      <c r="A1050" s="74"/>
      <c r="B1050" s="74"/>
      <c r="D1050" s="74"/>
      <c r="G1050" s="196"/>
      <c r="H1050" s="196"/>
      <c r="I1050" s="197"/>
      <c r="L1050" s="74"/>
      <c r="N1050" s="197"/>
      <c r="O1050" s="197"/>
      <c r="Q1050" s="197"/>
      <c r="U1050" s="198"/>
    </row>
    <row r="1051">
      <c r="A1051" s="74"/>
      <c r="B1051" s="74"/>
      <c r="D1051" s="74"/>
      <c r="G1051" s="196"/>
      <c r="H1051" s="196"/>
      <c r="I1051" s="197"/>
      <c r="L1051" s="74"/>
      <c r="N1051" s="197"/>
      <c r="O1051" s="197"/>
      <c r="Q1051" s="197"/>
      <c r="U1051" s="198"/>
    </row>
    <row r="1052">
      <c r="A1052" s="74"/>
      <c r="B1052" s="74"/>
      <c r="D1052" s="74"/>
      <c r="G1052" s="196"/>
      <c r="H1052" s="196"/>
      <c r="I1052" s="197"/>
      <c r="L1052" s="74"/>
      <c r="N1052" s="197"/>
      <c r="O1052" s="197"/>
      <c r="Q1052" s="197"/>
      <c r="U1052" s="198"/>
    </row>
    <row r="1053">
      <c r="A1053" s="74"/>
      <c r="B1053" s="74"/>
      <c r="D1053" s="74"/>
      <c r="G1053" s="196"/>
      <c r="H1053" s="196"/>
      <c r="I1053" s="197"/>
      <c r="L1053" s="74"/>
      <c r="N1053" s="197"/>
      <c r="O1053" s="197"/>
      <c r="Q1053" s="197"/>
      <c r="U1053" s="198"/>
    </row>
    <row r="1054">
      <c r="A1054" s="74"/>
      <c r="B1054" s="74"/>
      <c r="D1054" s="74"/>
      <c r="G1054" s="196"/>
      <c r="H1054" s="196"/>
      <c r="I1054" s="197"/>
      <c r="L1054" s="74"/>
      <c r="N1054" s="197"/>
      <c r="O1054" s="197"/>
      <c r="Q1054" s="197"/>
      <c r="U1054" s="198"/>
    </row>
    <row r="1055">
      <c r="A1055" s="74"/>
      <c r="B1055" s="74"/>
      <c r="D1055" s="74"/>
      <c r="G1055" s="196"/>
      <c r="H1055" s="196"/>
      <c r="I1055" s="197"/>
      <c r="L1055" s="74"/>
      <c r="N1055" s="197"/>
      <c r="O1055" s="197"/>
      <c r="Q1055" s="197"/>
      <c r="U1055" s="198"/>
    </row>
    <row r="1056">
      <c r="A1056" s="74"/>
      <c r="B1056" s="74"/>
      <c r="D1056" s="74"/>
      <c r="G1056" s="196"/>
      <c r="H1056" s="196"/>
      <c r="I1056" s="197"/>
      <c r="L1056" s="74"/>
      <c r="N1056" s="197"/>
      <c r="O1056" s="197"/>
      <c r="Q1056" s="197"/>
      <c r="U1056" s="198"/>
    </row>
    <row r="1057">
      <c r="A1057" s="74"/>
      <c r="B1057" s="74"/>
      <c r="D1057" s="74"/>
      <c r="G1057" s="196"/>
      <c r="H1057" s="196"/>
      <c r="I1057" s="197"/>
      <c r="L1057" s="74"/>
      <c r="N1057" s="197"/>
      <c r="O1057" s="197"/>
      <c r="Q1057" s="197"/>
      <c r="U1057" s="198"/>
    </row>
    <row r="1058">
      <c r="A1058" s="74"/>
      <c r="B1058" s="74"/>
      <c r="D1058" s="74"/>
      <c r="G1058" s="196"/>
      <c r="H1058" s="196"/>
      <c r="I1058" s="197"/>
      <c r="L1058" s="74"/>
      <c r="N1058" s="197"/>
      <c r="O1058" s="197"/>
      <c r="Q1058" s="197"/>
      <c r="U1058" s="198"/>
    </row>
    <row r="1059">
      <c r="A1059" s="74"/>
      <c r="B1059" s="74"/>
      <c r="D1059" s="74"/>
      <c r="G1059" s="196"/>
      <c r="H1059" s="196"/>
      <c r="I1059" s="197"/>
      <c r="L1059" s="74"/>
      <c r="N1059" s="197"/>
      <c r="O1059" s="197"/>
      <c r="Q1059" s="197"/>
      <c r="U1059" s="198"/>
    </row>
    <row r="1060">
      <c r="A1060" s="74"/>
      <c r="B1060" s="74"/>
      <c r="D1060" s="74"/>
      <c r="G1060" s="196"/>
      <c r="H1060" s="196"/>
      <c r="I1060" s="197"/>
      <c r="L1060" s="74"/>
      <c r="N1060" s="197"/>
      <c r="O1060" s="197"/>
      <c r="Q1060" s="197"/>
      <c r="U1060" s="198"/>
    </row>
    <row r="1061">
      <c r="A1061" s="74"/>
      <c r="B1061" s="74"/>
      <c r="D1061" s="74"/>
      <c r="G1061" s="196"/>
      <c r="H1061" s="196"/>
      <c r="I1061" s="197"/>
      <c r="L1061" s="74"/>
      <c r="N1061" s="197"/>
      <c r="O1061" s="197"/>
      <c r="Q1061" s="197"/>
      <c r="U1061" s="198"/>
    </row>
    <row r="1062">
      <c r="A1062" s="74"/>
      <c r="B1062" s="74"/>
      <c r="D1062" s="74"/>
      <c r="G1062" s="196"/>
      <c r="H1062" s="196"/>
      <c r="I1062" s="197"/>
      <c r="L1062" s="74"/>
      <c r="N1062" s="197"/>
      <c r="O1062" s="197"/>
      <c r="Q1062" s="197"/>
      <c r="U1062" s="198"/>
    </row>
    <row r="1063">
      <c r="A1063" s="74"/>
      <c r="B1063" s="74"/>
      <c r="D1063" s="74"/>
      <c r="G1063" s="196"/>
      <c r="H1063" s="196"/>
      <c r="I1063" s="197"/>
      <c r="L1063" s="74"/>
      <c r="N1063" s="197"/>
      <c r="O1063" s="197"/>
      <c r="Q1063" s="197"/>
      <c r="U1063" s="198"/>
    </row>
    <row r="1064">
      <c r="A1064" s="74"/>
      <c r="B1064" s="74"/>
      <c r="D1064" s="74"/>
      <c r="G1064" s="196"/>
      <c r="H1064" s="196"/>
      <c r="I1064" s="197"/>
      <c r="L1064" s="74"/>
      <c r="N1064" s="197"/>
      <c r="O1064" s="197"/>
      <c r="Q1064" s="197"/>
      <c r="U1064" s="198"/>
    </row>
    <row r="1065">
      <c r="A1065" s="74"/>
      <c r="B1065" s="74"/>
      <c r="D1065" s="74"/>
      <c r="G1065" s="196"/>
      <c r="H1065" s="196"/>
      <c r="I1065" s="197"/>
      <c r="L1065" s="74"/>
      <c r="N1065" s="197"/>
      <c r="O1065" s="197"/>
      <c r="Q1065" s="197"/>
      <c r="U1065" s="198"/>
    </row>
    <row r="1066">
      <c r="A1066" s="74"/>
      <c r="B1066" s="74"/>
      <c r="D1066" s="74"/>
      <c r="G1066" s="196"/>
      <c r="H1066" s="196"/>
      <c r="I1066" s="197"/>
      <c r="L1066" s="74"/>
      <c r="N1066" s="197"/>
      <c r="O1066" s="197"/>
      <c r="Q1066" s="197"/>
      <c r="U1066" s="198"/>
    </row>
    <row r="1067">
      <c r="A1067" s="74"/>
      <c r="B1067" s="74"/>
      <c r="D1067" s="74"/>
      <c r="G1067" s="196"/>
      <c r="H1067" s="196"/>
      <c r="I1067" s="197"/>
      <c r="L1067" s="74"/>
      <c r="N1067" s="197"/>
      <c r="O1067" s="197"/>
      <c r="Q1067" s="197"/>
      <c r="U1067" s="198"/>
    </row>
    <row r="1068">
      <c r="A1068" s="74"/>
      <c r="B1068" s="74"/>
      <c r="D1068" s="74"/>
      <c r="G1068" s="196"/>
      <c r="H1068" s="196"/>
      <c r="I1068" s="197"/>
      <c r="L1068" s="74"/>
      <c r="N1068" s="197"/>
      <c r="O1068" s="197"/>
      <c r="Q1068" s="197"/>
      <c r="U1068" s="198"/>
    </row>
    <row r="1069">
      <c r="A1069" s="74"/>
      <c r="B1069" s="74"/>
      <c r="D1069" s="74"/>
      <c r="G1069" s="196"/>
      <c r="H1069" s="196"/>
      <c r="I1069" s="197"/>
      <c r="L1069" s="74"/>
      <c r="N1069" s="197"/>
      <c r="O1069" s="197"/>
      <c r="Q1069" s="197"/>
      <c r="U1069" s="198"/>
    </row>
    <row r="1070">
      <c r="A1070" s="74"/>
      <c r="B1070" s="74"/>
      <c r="D1070" s="74"/>
      <c r="G1070" s="196"/>
      <c r="H1070" s="196"/>
      <c r="I1070" s="197"/>
      <c r="L1070" s="74"/>
      <c r="N1070" s="197"/>
      <c r="O1070" s="197"/>
      <c r="Q1070" s="197"/>
      <c r="U1070" s="198"/>
    </row>
    <row r="1071">
      <c r="A1071" s="74"/>
      <c r="B1071" s="74"/>
      <c r="D1071" s="74"/>
      <c r="G1071" s="196"/>
      <c r="H1071" s="196"/>
      <c r="I1071" s="197"/>
      <c r="L1071" s="74"/>
      <c r="N1071" s="197"/>
      <c r="O1071" s="197"/>
      <c r="Q1071" s="197"/>
      <c r="U1071" s="198"/>
    </row>
    <row r="1072">
      <c r="A1072" s="74"/>
      <c r="B1072" s="74"/>
      <c r="D1072" s="74"/>
      <c r="G1072" s="196"/>
      <c r="H1072" s="196"/>
      <c r="I1072" s="197"/>
      <c r="L1072" s="74"/>
      <c r="N1072" s="197"/>
      <c r="O1072" s="197"/>
      <c r="Q1072" s="197"/>
      <c r="U1072" s="198"/>
    </row>
    <row r="1073">
      <c r="A1073" s="74"/>
      <c r="B1073" s="74"/>
      <c r="D1073" s="74"/>
      <c r="G1073" s="196"/>
      <c r="H1073" s="196"/>
      <c r="I1073" s="197"/>
      <c r="L1073" s="74"/>
      <c r="N1073" s="197"/>
      <c r="O1073" s="197"/>
      <c r="Q1073" s="197"/>
      <c r="U1073" s="198"/>
    </row>
    <row r="1074">
      <c r="A1074" s="74"/>
      <c r="B1074" s="74"/>
      <c r="D1074" s="74"/>
      <c r="G1074" s="196"/>
      <c r="H1074" s="196"/>
      <c r="I1074" s="197"/>
      <c r="L1074" s="74"/>
      <c r="N1074" s="197"/>
      <c r="O1074" s="197"/>
      <c r="Q1074" s="197"/>
      <c r="U1074" s="198"/>
    </row>
    <row r="1075">
      <c r="A1075" s="74"/>
      <c r="B1075" s="74"/>
      <c r="D1075" s="74"/>
      <c r="G1075" s="196"/>
      <c r="H1075" s="196"/>
      <c r="I1075" s="197"/>
      <c r="L1075" s="74"/>
      <c r="N1075" s="197"/>
      <c r="O1075" s="197"/>
      <c r="Q1075" s="197"/>
      <c r="U1075" s="198"/>
    </row>
    <row r="1076">
      <c r="A1076" s="74"/>
      <c r="B1076" s="74"/>
      <c r="D1076" s="74"/>
      <c r="G1076" s="196"/>
      <c r="H1076" s="196"/>
      <c r="I1076" s="197"/>
      <c r="L1076" s="74"/>
      <c r="N1076" s="197"/>
      <c r="O1076" s="197"/>
      <c r="Q1076" s="197"/>
      <c r="U1076" s="198"/>
    </row>
    <row r="1077">
      <c r="A1077" s="74"/>
      <c r="B1077" s="74"/>
      <c r="D1077" s="74"/>
      <c r="G1077" s="196"/>
      <c r="H1077" s="196"/>
      <c r="I1077" s="197"/>
      <c r="L1077" s="74"/>
      <c r="N1077" s="197"/>
      <c r="O1077" s="197"/>
      <c r="Q1077" s="197"/>
      <c r="U1077" s="198"/>
    </row>
    <row r="1078">
      <c r="A1078" s="74"/>
      <c r="B1078" s="74"/>
      <c r="D1078" s="74"/>
      <c r="G1078" s="196"/>
      <c r="H1078" s="196"/>
      <c r="I1078" s="197"/>
      <c r="L1078" s="74"/>
      <c r="N1078" s="197"/>
      <c r="O1078" s="197"/>
      <c r="Q1078" s="197"/>
      <c r="U1078" s="198"/>
    </row>
    <row r="1079">
      <c r="A1079" s="74"/>
      <c r="B1079" s="74"/>
      <c r="D1079" s="74"/>
      <c r="G1079" s="196"/>
      <c r="H1079" s="196"/>
      <c r="I1079" s="197"/>
      <c r="L1079" s="74"/>
      <c r="N1079" s="197"/>
      <c r="O1079" s="197"/>
      <c r="Q1079" s="197"/>
      <c r="U1079" s="198"/>
    </row>
    <row r="1080">
      <c r="A1080" s="74"/>
      <c r="B1080" s="74"/>
      <c r="D1080" s="74"/>
      <c r="G1080" s="196"/>
      <c r="H1080" s="196"/>
      <c r="I1080" s="197"/>
      <c r="L1080" s="74"/>
      <c r="N1080" s="197"/>
      <c r="O1080" s="197"/>
      <c r="Q1080" s="197"/>
      <c r="U1080" s="198"/>
    </row>
    <row r="1081">
      <c r="A1081" s="74"/>
      <c r="B1081" s="74"/>
      <c r="D1081" s="74"/>
      <c r="G1081" s="196"/>
      <c r="H1081" s="196"/>
      <c r="I1081" s="197"/>
      <c r="L1081" s="74"/>
      <c r="N1081" s="197"/>
      <c r="O1081" s="197"/>
      <c r="Q1081" s="197"/>
      <c r="U1081" s="198"/>
    </row>
    <row r="1082">
      <c r="A1082" s="74"/>
      <c r="B1082" s="74"/>
      <c r="D1082" s="74"/>
      <c r="G1082" s="196"/>
      <c r="H1082" s="196"/>
      <c r="I1082" s="197"/>
      <c r="L1082" s="74"/>
      <c r="N1082" s="197"/>
      <c r="O1082" s="197"/>
      <c r="Q1082" s="197"/>
      <c r="U1082" s="198"/>
    </row>
    <row r="1083">
      <c r="A1083" s="74"/>
      <c r="B1083" s="74"/>
      <c r="D1083" s="74"/>
      <c r="G1083" s="196"/>
      <c r="H1083" s="196"/>
      <c r="I1083" s="197"/>
      <c r="L1083" s="74"/>
      <c r="N1083" s="197"/>
      <c r="O1083" s="197"/>
      <c r="Q1083" s="197"/>
      <c r="U1083" s="198"/>
    </row>
    <row r="1084">
      <c r="A1084" s="74"/>
      <c r="B1084" s="74"/>
      <c r="D1084" s="74"/>
      <c r="G1084" s="196"/>
      <c r="H1084" s="196"/>
      <c r="I1084" s="197"/>
      <c r="L1084" s="74"/>
      <c r="N1084" s="197"/>
      <c r="O1084" s="197"/>
      <c r="Q1084" s="197"/>
      <c r="U1084" s="198"/>
    </row>
    <row r="1085">
      <c r="A1085" s="74"/>
      <c r="B1085" s="74"/>
      <c r="D1085" s="74"/>
      <c r="G1085" s="196"/>
      <c r="H1085" s="196"/>
      <c r="I1085" s="197"/>
      <c r="L1085" s="74"/>
      <c r="N1085" s="197"/>
      <c r="O1085" s="197"/>
      <c r="Q1085" s="197"/>
      <c r="U1085" s="198"/>
    </row>
    <row r="1086">
      <c r="A1086" s="74"/>
      <c r="B1086" s="74"/>
      <c r="D1086" s="74"/>
      <c r="G1086" s="196"/>
      <c r="H1086" s="196"/>
      <c r="I1086" s="197"/>
      <c r="L1086" s="74"/>
      <c r="N1086" s="197"/>
      <c r="O1086" s="197"/>
      <c r="Q1086" s="197"/>
      <c r="U1086" s="198"/>
    </row>
    <row r="1087">
      <c r="A1087" s="74"/>
      <c r="B1087" s="74"/>
      <c r="D1087" s="74"/>
      <c r="G1087" s="196"/>
      <c r="H1087" s="196"/>
      <c r="I1087" s="197"/>
      <c r="L1087" s="74"/>
      <c r="N1087" s="197"/>
      <c r="O1087" s="197"/>
      <c r="Q1087" s="197"/>
      <c r="U1087" s="198"/>
    </row>
    <row r="1088">
      <c r="A1088" s="74"/>
      <c r="B1088" s="74"/>
      <c r="D1088" s="74"/>
      <c r="G1088" s="196"/>
      <c r="H1088" s="196"/>
      <c r="I1088" s="197"/>
      <c r="L1088" s="74"/>
      <c r="N1088" s="197"/>
      <c r="O1088" s="197"/>
      <c r="Q1088" s="197"/>
      <c r="U1088" s="198"/>
    </row>
    <row r="1089">
      <c r="A1089" s="74"/>
      <c r="B1089" s="74"/>
      <c r="D1089" s="74"/>
      <c r="G1089" s="196"/>
      <c r="H1089" s="196"/>
      <c r="I1089" s="197"/>
      <c r="L1089" s="74"/>
      <c r="N1089" s="197"/>
      <c r="O1089" s="197"/>
      <c r="Q1089" s="197"/>
      <c r="U1089" s="198"/>
    </row>
    <row r="1090">
      <c r="A1090" s="74"/>
      <c r="B1090" s="74"/>
      <c r="D1090" s="74"/>
      <c r="G1090" s="196"/>
      <c r="H1090" s="196"/>
      <c r="I1090" s="197"/>
      <c r="L1090" s="74"/>
      <c r="N1090" s="197"/>
      <c r="O1090" s="197"/>
      <c r="Q1090" s="197"/>
      <c r="U1090" s="198"/>
    </row>
    <row r="1091">
      <c r="A1091" s="74"/>
      <c r="B1091" s="74"/>
      <c r="D1091" s="74"/>
      <c r="G1091" s="196"/>
      <c r="H1091" s="196"/>
      <c r="I1091" s="197"/>
      <c r="L1091" s="74"/>
      <c r="N1091" s="197"/>
      <c r="O1091" s="197"/>
      <c r="Q1091" s="197"/>
      <c r="U1091" s="198"/>
    </row>
    <row r="1092">
      <c r="A1092" s="74"/>
      <c r="B1092" s="74"/>
      <c r="D1092" s="74"/>
      <c r="G1092" s="196"/>
      <c r="H1092" s="196"/>
      <c r="I1092" s="197"/>
      <c r="L1092" s="74"/>
      <c r="N1092" s="197"/>
      <c r="O1092" s="197"/>
      <c r="Q1092" s="197"/>
      <c r="U1092" s="198"/>
    </row>
    <row r="1093">
      <c r="A1093" s="74"/>
      <c r="B1093" s="74"/>
      <c r="D1093" s="74"/>
      <c r="G1093" s="196"/>
      <c r="H1093" s="196"/>
      <c r="I1093" s="197"/>
      <c r="L1093" s="74"/>
      <c r="N1093" s="197"/>
      <c r="O1093" s="197"/>
      <c r="Q1093" s="197"/>
      <c r="U1093" s="198"/>
    </row>
    <row r="1094">
      <c r="A1094" s="74"/>
      <c r="B1094" s="74"/>
      <c r="D1094" s="74"/>
      <c r="G1094" s="196"/>
      <c r="H1094" s="196"/>
      <c r="I1094" s="197"/>
      <c r="L1094" s="74"/>
      <c r="N1094" s="197"/>
      <c r="O1094" s="197"/>
      <c r="Q1094" s="197"/>
      <c r="U1094" s="198"/>
    </row>
    <row r="1095">
      <c r="A1095" s="74"/>
      <c r="B1095" s="74"/>
      <c r="D1095" s="74"/>
      <c r="G1095" s="196"/>
      <c r="H1095" s="196"/>
      <c r="I1095" s="197"/>
      <c r="L1095" s="74"/>
      <c r="N1095" s="197"/>
      <c r="O1095" s="197"/>
      <c r="Q1095" s="197"/>
      <c r="U1095" s="198"/>
    </row>
    <row r="1096">
      <c r="A1096" s="74"/>
      <c r="B1096" s="74"/>
      <c r="D1096" s="74"/>
      <c r="G1096" s="196"/>
      <c r="H1096" s="196"/>
      <c r="I1096" s="197"/>
      <c r="L1096" s="74"/>
      <c r="N1096" s="197"/>
      <c r="O1096" s="197"/>
      <c r="Q1096" s="197"/>
      <c r="U1096" s="198"/>
    </row>
    <row r="1097">
      <c r="A1097" s="74"/>
      <c r="B1097" s="74"/>
      <c r="D1097" s="74"/>
      <c r="G1097" s="196"/>
      <c r="H1097" s="196"/>
      <c r="I1097" s="197"/>
      <c r="L1097" s="74"/>
      <c r="N1097" s="197"/>
      <c r="O1097" s="197"/>
      <c r="Q1097" s="197"/>
      <c r="U1097" s="198"/>
    </row>
    <row r="1098">
      <c r="A1098" s="74"/>
      <c r="B1098" s="74"/>
      <c r="D1098" s="74"/>
      <c r="G1098" s="196"/>
      <c r="H1098" s="196"/>
      <c r="I1098" s="197"/>
      <c r="L1098" s="74"/>
      <c r="N1098" s="197"/>
      <c r="O1098" s="197"/>
      <c r="Q1098" s="197"/>
      <c r="U1098" s="198"/>
    </row>
    <row r="1099">
      <c r="A1099" s="74"/>
      <c r="B1099" s="74"/>
      <c r="D1099" s="74"/>
      <c r="G1099" s="196"/>
      <c r="H1099" s="196"/>
      <c r="I1099" s="197"/>
      <c r="L1099" s="74"/>
      <c r="N1099" s="197"/>
      <c r="O1099" s="197"/>
      <c r="Q1099" s="197"/>
      <c r="U1099" s="198"/>
    </row>
    <row r="1100">
      <c r="A1100" s="74"/>
      <c r="B1100" s="74"/>
      <c r="D1100" s="74"/>
      <c r="G1100" s="196"/>
      <c r="H1100" s="196"/>
      <c r="I1100" s="197"/>
      <c r="L1100" s="74"/>
      <c r="N1100" s="197"/>
      <c r="O1100" s="197"/>
      <c r="Q1100" s="197"/>
      <c r="U1100" s="198"/>
    </row>
    <row r="1101">
      <c r="A1101" s="74"/>
      <c r="B1101" s="74"/>
      <c r="D1101" s="74"/>
      <c r="G1101" s="196"/>
      <c r="H1101" s="196"/>
      <c r="I1101" s="197"/>
      <c r="L1101" s="74"/>
      <c r="N1101" s="197"/>
      <c r="O1101" s="197"/>
      <c r="Q1101" s="197"/>
      <c r="U1101" s="198"/>
    </row>
    <row r="1102">
      <c r="A1102" s="74"/>
      <c r="B1102" s="74"/>
      <c r="D1102" s="74"/>
      <c r="G1102" s="196"/>
      <c r="H1102" s="196"/>
      <c r="I1102" s="197"/>
      <c r="L1102" s="74"/>
      <c r="N1102" s="197"/>
      <c r="O1102" s="197"/>
      <c r="Q1102" s="197"/>
      <c r="U1102" s="198"/>
    </row>
    <row r="1103">
      <c r="A1103" s="74"/>
      <c r="B1103" s="74"/>
      <c r="D1103" s="74"/>
      <c r="G1103" s="196"/>
      <c r="H1103" s="196"/>
      <c r="I1103" s="197"/>
      <c r="L1103" s="74"/>
      <c r="N1103" s="197"/>
      <c r="O1103" s="197"/>
      <c r="Q1103" s="197"/>
      <c r="U1103" s="198"/>
    </row>
    <row r="1104">
      <c r="A1104" s="74"/>
      <c r="B1104" s="74"/>
      <c r="D1104" s="74"/>
      <c r="G1104" s="196"/>
      <c r="H1104" s="196"/>
      <c r="I1104" s="197"/>
      <c r="L1104" s="74"/>
      <c r="N1104" s="197"/>
      <c r="O1104" s="197"/>
      <c r="Q1104" s="197"/>
      <c r="U1104" s="198"/>
    </row>
    <row r="1105">
      <c r="A1105" s="74"/>
      <c r="B1105" s="74"/>
      <c r="D1105" s="74"/>
      <c r="G1105" s="196"/>
      <c r="H1105" s="196"/>
      <c r="I1105" s="197"/>
      <c r="L1105" s="74"/>
      <c r="N1105" s="197"/>
      <c r="O1105" s="197"/>
      <c r="Q1105" s="197"/>
      <c r="U1105" s="198"/>
    </row>
    <row r="1106">
      <c r="A1106" s="74"/>
      <c r="B1106" s="74"/>
      <c r="D1106" s="74"/>
      <c r="G1106" s="196"/>
      <c r="H1106" s="196"/>
      <c r="I1106" s="197"/>
      <c r="L1106" s="74"/>
      <c r="N1106" s="197"/>
      <c r="O1106" s="197"/>
      <c r="Q1106" s="197"/>
      <c r="U1106" s="198"/>
    </row>
    <row r="1107">
      <c r="A1107" s="74"/>
      <c r="B1107" s="74"/>
      <c r="D1107" s="74"/>
      <c r="G1107" s="196"/>
      <c r="H1107" s="196"/>
      <c r="I1107" s="197"/>
      <c r="L1107" s="74"/>
      <c r="N1107" s="197"/>
      <c r="O1107" s="197"/>
      <c r="Q1107" s="197"/>
      <c r="U1107" s="198"/>
    </row>
    <row r="1108">
      <c r="A1108" s="74"/>
      <c r="B1108" s="74"/>
      <c r="D1108" s="74"/>
      <c r="G1108" s="196"/>
      <c r="H1108" s="196"/>
      <c r="I1108" s="197"/>
      <c r="L1108" s="74"/>
      <c r="N1108" s="197"/>
      <c r="O1108" s="197"/>
      <c r="Q1108" s="197"/>
      <c r="U1108" s="198"/>
    </row>
    <row r="1109">
      <c r="A1109" s="74"/>
      <c r="B1109" s="74"/>
      <c r="D1109" s="74"/>
      <c r="G1109" s="196"/>
      <c r="H1109" s="196"/>
      <c r="I1109" s="197"/>
      <c r="L1109" s="74"/>
      <c r="N1109" s="197"/>
      <c r="O1109" s="197"/>
      <c r="Q1109" s="197"/>
      <c r="U1109" s="198"/>
    </row>
    <row r="1110">
      <c r="A1110" s="74"/>
      <c r="B1110" s="74"/>
      <c r="D1110" s="74"/>
      <c r="G1110" s="196"/>
      <c r="H1110" s="196"/>
      <c r="I1110" s="197"/>
      <c r="L1110" s="74"/>
      <c r="N1110" s="197"/>
      <c r="O1110" s="197"/>
      <c r="Q1110" s="197"/>
      <c r="U1110" s="198"/>
    </row>
    <row r="1111">
      <c r="A1111" s="74"/>
      <c r="B1111" s="74"/>
      <c r="D1111" s="74"/>
      <c r="G1111" s="196"/>
      <c r="H1111" s="196"/>
      <c r="I1111" s="197"/>
      <c r="L1111" s="74"/>
      <c r="N1111" s="197"/>
      <c r="O1111" s="197"/>
      <c r="Q1111" s="197"/>
      <c r="U1111" s="198"/>
    </row>
    <row r="1112">
      <c r="A1112" s="74"/>
      <c r="B1112" s="74"/>
      <c r="D1112" s="74"/>
      <c r="G1112" s="196"/>
      <c r="H1112" s="196"/>
      <c r="I1112" s="197"/>
      <c r="L1112" s="74"/>
      <c r="N1112" s="197"/>
      <c r="O1112" s="197"/>
      <c r="Q1112" s="197"/>
      <c r="U1112" s="198"/>
    </row>
    <row r="1113">
      <c r="A1113" s="74"/>
      <c r="B1113" s="74"/>
      <c r="D1113" s="74"/>
      <c r="G1113" s="196"/>
      <c r="H1113" s="196"/>
      <c r="I1113" s="197"/>
      <c r="L1113" s="74"/>
      <c r="N1113" s="197"/>
      <c r="O1113" s="197"/>
      <c r="Q1113" s="197"/>
      <c r="U1113" s="198"/>
    </row>
    <row r="1114">
      <c r="A1114" s="74"/>
      <c r="B1114" s="74"/>
      <c r="D1114" s="74"/>
      <c r="G1114" s="196"/>
      <c r="H1114" s="196"/>
      <c r="I1114" s="197"/>
      <c r="L1114" s="74"/>
      <c r="N1114" s="197"/>
      <c r="O1114" s="197"/>
      <c r="Q1114" s="197"/>
      <c r="U1114" s="198"/>
    </row>
    <row r="1115">
      <c r="A1115" s="74"/>
      <c r="B1115" s="74"/>
      <c r="D1115" s="74"/>
      <c r="G1115" s="196"/>
      <c r="H1115" s="196"/>
      <c r="I1115" s="197"/>
      <c r="L1115" s="74"/>
      <c r="N1115" s="197"/>
      <c r="O1115" s="197"/>
      <c r="Q1115" s="197"/>
      <c r="U1115" s="198"/>
    </row>
    <row r="1116">
      <c r="A1116" s="74"/>
      <c r="B1116" s="74"/>
      <c r="D1116" s="74"/>
      <c r="G1116" s="196"/>
      <c r="H1116" s="196"/>
      <c r="I1116" s="197"/>
      <c r="L1116" s="74"/>
      <c r="N1116" s="197"/>
      <c r="O1116" s="197"/>
      <c r="Q1116" s="197"/>
      <c r="U1116" s="198"/>
    </row>
    <row r="1117">
      <c r="A1117" s="74"/>
      <c r="B1117" s="74"/>
      <c r="D1117" s="74"/>
      <c r="G1117" s="196"/>
      <c r="H1117" s="196"/>
      <c r="I1117" s="197"/>
      <c r="L1117" s="74"/>
      <c r="N1117" s="197"/>
      <c r="O1117" s="197"/>
      <c r="Q1117" s="197"/>
      <c r="U1117" s="198"/>
    </row>
    <row r="1118">
      <c r="A1118" s="74"/>
      <c r="B1118" s="74"/>
      <c r="D1118" s="74"/>
      <c r="G1118" s="196"/>
      <c r="H1118" s="196"/>
      <c r="I1118" s="197"/>
      <c r="L1118" s="74"/>
      <c r="N1118" s="197"/>
      <c r="O1118" s="197"/>
      <c r="Q1118" s="197"/>
      <c r="U1118" s="198"/>
    </row>
    <row r="1119">
      <c r="A1119" s="74"/>
      <c r="B1119" s="74"/>
      <c r="D1119" s="74"/>
      <c r="G1119" s="196"/>
      <c r="H1119" s="196"/>
      <c r="I1119" s="197"/>
      <c r="L1119" s="74"/>
      <c r="N1119" s="197"/>
      <c r="O1119" s="197"/>
      <c r="Q1119" s="197"/>
      <c r="U1119" s="198"/>
    </row>
    <row r="1120">
      <c r="A1120" s="74"/>
      <c r="B1120" s="74"/>
      <c r="D1120" s="74"/>
      <c r="G1120" s="196"/>
      <c r="H1120" s="196"/>
      <c r="I1120" s="197"/>
      <c r="L1120" s="74"/>
      <c r="N1120" s="197"/>
      <c r="O1120" s="197"/>
      <c r="Q1120" s="197"/>
      <c r="U1120" s="198"/>
    </row>
    <row r="1121">
      <c r="A1121" s="74"/>
      <c r="B1121" s="74"/>
      <c r="D1121" s="74"/>
      <c r="G1121" s="196"/>
      <c r="H1121" s="196"/>
      <c r="I1121" s="197"/>
      <c r="L1121" s="74"/>
      <c r="N1121" s="197"/>
      <c r="O1121" s="197"/>
      <c r="Q1121" s="197"/>
      <c r="U1121" s="198"/>
    </row>
    <row r="1122">
      <c r="A1122" s="74"/>
      <c r="B1122" s="74"/>
      <c r="D1122" s="74"/>
      <c r="G1122" s="196"/>
      <c r="H1122" s="196"/>
      <c r="I1122" s="197"/>
      <c r="L1122" s="74"/>
      <c r="N1122" s="197"/>
      <c r="O1122" s="197"/>
      <c r="Q1122" s="197"/>
      <c r="U1122" s="198"/>
    </row>
    <row r="1123">
      <c r="A1123" s="74"/>
      <c r="B1123" s="74"/>
      <c r="D1123" s="74"/>
      <c r="G1123" s="196"/>
      <c r="H1123" s="196"/>
      <c r="I1123" s="197"/>
      <c r="L1123" s="74"/>
      <c r="N1123" s="197"/>
      <c r="O1123" s="197"/>
      <c r="Q1123" s="197"/>
      <c r="U1123" s="198"/>
    </row>
    <row r="1124">
      <c r="A1124" s="74"/>
      <c r="B1124" s="74"/>
      <c r="D1124" s="74"/>
      <c r="G1124" s="196"/>
      <c r="H1124" s="196"/>
      <c r="I1124" s="197"/>
      <c r="L1124" s="74"/>
      <c r="N1124" s="197"/>
      <c r="O1124" s="197"/>
      <c r="Q1124" s="197"/>
      <c r="U1124" s="198"/>
    </row>
    <row r="1125">
      <c r="A1125" s="74"/>
      <c r="B1125" s="74"/>
      <c r="D1125" s="74"/>
      <c r="G1125" s="196"/>
      <c r="H1125" s="196"/>
      <c r="I1125" s="197"/>
      <c r="L1125" s="74"/>
      <c r="N1125" s="197"/>
      <c r="O1125" s="197"/>
      <c r="Q1125" s="197"/>
      <c r="U1125" s="198"/>
    </row>
    <row r="1126">
      <c r="A1126" s="74"/>
      <c r="B1126" s="74"/>
      <c r="D1126" s="74"/>
      <c r="G1126" s="196"/>
      <c r="H1126" s="196"/>
      <c r="I1126" s="197"/>
      <c r="L1126" s="74"/>
      <c r="N1126" s="197"/>
      <c r="O1126" s="197"/>
      <c r="Q1126" s="197"/>
      <c r="U1126" s="198"/>
    </row>
    <row r="1127">
      <c r="A1127" s="74"/>
      <c r="B1127" s="74"/>
      <c r="D1127" s="74"/>
      <c r="G1127" s="196"/>
      <c r="H1127" s="196"/>
      <c r="I1127" s="197"/>
      <c r="L1127" s="74"/>
      <c r="N1127" s="197"/>
      <c r="O1127" s="197"/>
      <c r="Q1127" s="197"/>
      <c r="U1127" s="198"/>
    </row>
    <row r="1128">
      <c r="A1128" s="74"/>
      <c r="B1128" s="74"/>
      <c r="D1128" s="74"/>
      <c r="G1128" s="196"/>
      <c r="H1128" s="196"/>
      <c r="I1128" s="197"/>
      <c r="L1128" s="74"/>
      <c r="N1128" s="197"/>
      <c r="O1128" s="197"/>
      <c r="Q1128" s="197"/>
      <c r="U1128" s="198"/>
    </row>
    <row r="1129">
      <c r="A1129" s="74"/>
      <c r="B1129" s="74"/>
      <c r="D1129" s="74"/>
      <c r="G1129" s="196"/>
      <c r="H1129" s="196"/>
      <c r="I1129" s="197"/>
      <c r="L1129" s="74"/>
      <c r="N1129" s="197"/>
      <c r="O1129" s="197"/>
      <c r="Q1129" s="197"/>
      <c r="U1129" s="198"/>
    </row>
    <row r="1130">
      <c r="A1130" s="74"/>
      <c r="B1130" s="74"/>
      <c r="D1130" s="74"/>
      <c r="G1130" s="196"/>
      <c r="H1130" s="196"/>
      <c r="I1130" s="197"/>
      <c r="L1130" s="74"/>
      <c r="N1130" s="197"/>
      <c r="O1130" s="197"/>
      <c r="Q1130" s="197"/>
      <c r="U1130" s="198"/>
    </row>
    <row r="1131">
      <c r="A1131" s="74"/>
      <c r="B1131" s="74"/>
      <c r="D1131" s="74"/>
      <c r="G1131" s="196"/>
      <c r="H1131" s="196"/>
      <c r="I1131" s="197"/>
      <c r="L1131" s="74"/>
      <c r="N1131" s="197"/>
      <c r="O1131" s="197"/>
      <c r="Q1131" s="197"/>
      <c r="U1131" s="198"/>
    </row>
    <row r="1132">
      <c r="A1132" s="74"/>
      <c r="B1132" s="74"/>
      <c r="D1132" s="74"/>
      <c r="G1132" s="196"/>
      <c r="H1132" s="196"/>
      <c r="I1132" s="197"/>
      <c r="L1132" s="74"/>
      <c r="N1132" s="197"/>
      <c r="O1132" s="197"/>
      <c r="Q1132" s="197"/>
      <c r="U1132" s="198"/>
    </row>
    <row r="1133">
      <c r="A1133" s="74"/>
      <c r="B1133" s="74"/>
      <c r="D1133" s="74"/>
      <c r="G1133" s="196"/>
      <c r="H1133" s="196"/>
      <c r="I1133" s="197"/>
      <c r="L1133" s="74"/>
      <c r="N1133" s="197"/>
      <c r="O1133" s="197"/>
      <c r="Q1133" s="197"/>
      <c r="U1133" s="198"/>
    </row>
    <row r="1134">
      <c r="A1134" s="74"/>
      <c r="B1134" s="74"/>
      <c r="D1134" s="74"/>
      <c r="G1134" s="196"/>
      <c r="H1134" s="196"/>
      <c r="I1134" s="197"/>
      <c r="L1134" s="74"/>
      <c r="N1134" s="197"/>
      <c r="O1134" s="197"/>
      <c r="Q1134" s="197"/>
      <c r="U1134" s="198"/>
    </row>
    <row r="1135">
      <c r="A1135" s="74"/>
      <c r="B1135" s="74"/>
      <c r="D1135" s="74"/>
      <c r="G1135" s="196"/>
      <c r="H1135" s="196"/>
      <c r="I1135" s="197"/>
      <c r="L1135" s="74"/>
      <c r="N1135" s="197"/>
      <c r="O1135" s="197"/>
      <c r="Q1135" s="197"/>
      <c r="U1135" s="198"/>
    </row>
    <row r="1136">
      <c r="A1136" s="74"/>
      <c r="B1136" s="74"/>
      <c r="D1136" s="74"/>
      <c r="G1136" s="196"/>
      <c r="H1136" s="196"/>
      <c r="I1136" s="197"/>
      <c r="L1136" s="74"/>
      <c r="N1136" s="197"/>
      <c r="O1136" s="197"/>
      <c r="Q1136" s="197"/>
      <c r="U1136" s="198"/>
    </row>
    <row r="1137">
      <c r="A1137" s="74"/>
      <c r="B1137" s="74"/>
      <c r="D1137" s="74"/>
      <c r="G1137" s="196"/>
      <c r="H1137" s="196"/>
      <c r="I1137" s="197"/>
      <c r="L1137" s="74"/>
      <c r="N1137" s="197"/>
      <c r="O1137" s="197"/>
      <c r="Q1137" s="197"/>
      <c r="U1137" s="198"/>
    </row>
    <row r="1138">
      <c r="A1138" s="74"/>
      <c r="B1138" s="74"/>
      <c r="D1138" s="74"/>
      <c r="G1138" s="196"/>
      <c r="H1138" s="196"/>
      <c r="I1138" s="197"/>
      <c r="L1138" s="74"/>
      <c r="N1138" s="197"/>
      <c r="O1138" s="197"/>
      <c r="Q1138" s="197"/>
      <c r="U1138" s="198"/>
    </row>
    <row r="1139">
      <c r="A1139" s="74"/>
      <c r="B1139" s="74"/>
      <c r="D1139" s="74"/>
      <c r="G1139" s="196"/>
      <c r="H1139" s="196"/>
      <c r="I1139" s="197"/>
      <c r="L1139" s="74"/>
      <c r="N1139" s="197"/>
      <c r="O1139" s="197"/>
      <c r="Q1139" s="197"/>
      <c r="U1139" s="198"/>
    </row>
    <row r="1140">
      <c r="A1140" s="74"/>
      <c r="B1140" s="74"/>
      <c r="D1140" s="74"/>
      <c r="G1140" s="196"/>
      <c r="H1140" s="196"/>
      <c r="I1140" s="197"/>
      <c r="L1140" s="74"/>
      <c r="N1140" s="197"/>
      <c r="O1140" s="197"/>
      <c r="Q1140" s="197"/>
      <c r="U1140" s="198"/>
    </row>
    <row r="1141">
      <c r="A1141" s="74"/>
      <c r="B1141" s="74"/>
      <c r="D1141" s="74"/>
      <c r="G1141" s="196"/>
      <c r="H1141" s="196"/>
      <c r="I1141" s="197"/>
      <c r="L1141" s="74"/>
      <c r="N1141" s="197"/>
      <c r="O1141" s="197"/>
      <c r="Q1141" s="197"/>
      <c r="U1141" s="198"/>
    </row>
    <row r="1142">
      <c r="A1142" s="74"/>
      <c r="B1142" s="74"/>
      <c r="D1142" s="74"/>
      <c r="G1142" s="196"/>
      <c r="H1142" s="196"/>
      <c r="I1142" s="197"/>
      <c r="L1142" s="74"/>
      <c r="N1142" s="197"/>
      <c r="O1142" s="197"/>
      <c r="Q1142" s="197"/>
      <c r="U1142" s="198"/>
    </row>
    <row r="1143">
      <c r="A1143" s="74"/>
      <c r="B1143" s="74"/>
      <c r="D1143" s="74"/>
      <c r="G1143" s="196"/>
      <c r="H1143" s="196"/>
      <c r="I1143" s="197"/>
      <c r="L1143" s="74"/>
      <c r="N1143" s="197"/>
      <c r="O1143" s="197"/>
      <c r="Q1143" s="197"/>
      <c r="U1143" s="198"/>
    </row>
    <row r="1144">
      <c r="A1144" s="74"/>
      <c r="B1144" s="74"/>
      <c r="D1144" s="74"/>
      <c r="G1144" s="196"/>
      <c r="H1144" s="196"/>
      <c r="I1144" s="197"/>
      <c r="L1144" s="74"/>
      <c r="N1144" s="197"/>
      <c r="O1144" s="197"/>
      <c r="Q1144" s="197"/>
      <c r="U1144" s="198"/>
    </row>
    <row r="1145">
      <c r="A1145" s="74"/>
      <c r="B1145" s="74"/>
      <c r="D1145" s="74"/>
      <c r="G1145" s="196"/>
      <c r="H1145" s="196"/>
      <c r="I1145" s="197"/>
      <c r="L1145" s="74"/>
      <c r="N1145" s="197"/>
      <c r="O1145" s="197"/>
      <c r="Q1145" s="197"/>
      <c r="U1145" s="198"/>
    </row>
    <row r="1146">
      <c r="A1146" s="74"/>
      <c r="B1146" s="74"/>
      <c r="D1146" s="74"/>
      <c r="G1146" s="196"/>
      <c r="H1146" s="196"/>
      <c r="I1146" s="197"/>
      <c r="L1146" s="74"/>
      <c r="N1146" s="197"/>
      <c r="O1146" s="197"/>
      <c r="Q1146" s="197"/>
      <c r="U1146" s="198"/>
    </row>
    <row r="1147">
      <c r="A1147" s="74"/>
      <c r="B1147" s="74"/>
      <c r="D1147" s="74"/>
      <c r="G1147" s="196"/>
      <c r="H1147" s="196"/>
      <c r="I1147" s="197"/>
      <c r="L1147" s="74"/>
      <c r="N1147" s="197"/>
      <c r="O1147" s="197"/>
      <c r="Q1147" s="197"/>
      <c r="U1147" s="198"/>
    </row>
    <row r="1148">
      <c r="A1148" s="74"/>
      <c r="B1148" s="74"/>
      <c r="D1148" s="74"/>
      <c r="G1148" s="196"/>
      <c r="H1148" s="196"/>
      <c r="I1148" s="197"/>
      <c r="L1148" s="74"/>
      <c r="N1148" s="197"/>
      <c r="O1148" s="197"/>
      <c r="Q1148" s="197"/>
      <c r="U1148" s="198"/>
    </row>
    <row r="1149">
      <c r="A1149" s="74"/>
      <c r="B1149" s="74"/>
      <c r="D1149" s="74"/>
      <c r="G1149" s="196"/>
      <c r="H1149" s="196"/>
      <c r="I1149" s="197"/>
      <c r="L1149" s="74"/>
      <c r="N1149" s="197"/>
      <c r="O1149" s="197"/>
      <c r="Q1149" s="197"/>
      <c r="U1149" s="198"/>
    </row>
    <row r="1150">
      <c r="A1150" s="74"/>
      <c r="B1150" s="74"/>
      <c r="D1150" s="74"/>
      <c r="G1150" s="196"/>
      <c r="H1150" s="196"/>
      <c r="I1150" s="197"/>
      <c r="L1150" s="74"/>
      <c r="N1150" s="197"/>
      <c r="O1150" s="197"/>
      <c r="Q1150" s="197"/>
      <c r="U1150" s="198"/>
    </row>
    <row r="1151">
      <c r="A1151" s="74"/>
      <c r="B1151" s="74"/>
      <c r="D1151" s="74"/>
      <c r="G1151" s="196"/>
      <c r="H1151" s="196"/>
      <c r="I1151" s="197"/>
      <c r="L1151" s="74"/>
      <c r="N1151" s="197"/>
      <c r="O1151" s="197"/>
      <c r="Q1151" s="197"/>
      <c r="U1151" s="198"/>
    </row>
    <row r="1152">
      <c r="A1152" s="74"/>
      <c r="B1152" s="74"/>
      <c r="D1152" s="74"/>
      <c r="G1152" s="196"/>
      <c r="H1152" s="196"/>
      <c r="I1152" s="197"/>
      <c r="L1152" s="74"/>
      <c r="N1152" s="197"/>
      <c r="O1152" s="197"/>
      <c r="Q1152" s="197"/>
      <c r="U1152" s="198"/>
    </row>
    <row r="1153">
      <c r="A1153" s="74"/>
      <c r="B1153" s="74"/>
      <c r="D1153" s="74"/>
      <c r="G1153" s="196"/>
      <c r="H1153" s="196"/>
      <c r="I1153" s="197"/>
      <c r="L1153" s="74"/>
      <c r="N1153" s="197"/>
      <c r="O1153" s="197"/>
      <c r="Q1153" s="197"/>
      <c r="U1153" s="198"/>
    </row>
    <row r="1154">
      <c r="A1154" s="74"/>
      <c r="B1154" s="74"/>
      <c r="D1154" s="74"/>
      <c r="G1154" s="196"/>
      <c r="H1154" s="196"/>
      <c r="I1154" s="197"/>
      <c r="L1154" s="74"/>
      <c r="N1154" s="197"/>
      <c r="O1154" s="197"/>
      <c r="Q1154" s="197"/>
      <c r="U1154" s="198"/>
    </row>
    <row r="1155">
      <c r="A1155" s="74"/>
      <c r="B1155" s="74"/>
      <c r="D1155" s="74"/>
      <c r="G1155" s="196"/>
      <c r="H1155" s="196"/>
      <c r="I1155" s="197"/>
      <c r="L1155" s="74"/>
      <c r="N1155" s="197"/>
      <c r="O1155" s="197"/>
      <c r="Q1155" s="197"/>
      <c r="U1155" s="198"/>
    </row>
    <row r="1156">
      <c r="A1156" s="74"/>
      <c r="B1156" s="74"/>
      <c r="D1156" s="74"/>
      <c r="G1156" s="196"/>
      <c r="H1156" s="196"/>
      <c r="I1156" s="197"/>
      <c r="L1156" s="74"/>
      <c r="N1156" s="197"/>
      <c r="O1156" s="197"/>
      <c r="Q1156" s="197"/>
      <c r="U1156" s="198"/>
    </row>
    <row r="1157">
      <c r="A1157" s="74"/>
      <c r="B1157" s="74"/>
      <c r="D1157" s="74"/>
      <c r="G1157" s="196"/>
      <c r="H1157" s="196"/>
      <c r="I1157" s="197"/>
      <c r="L1157" s="74"/>
      <c r="N1157" s="197"/>
      <c r="O1157" s="197"/>
      <c r="Q1157" s="197"/>
      <c r="U1157" s="198"/>
    </row>
    <row r="1158">
      <c r="A1158" s="74"/>
      <c r="B1158" s="74"/>
      <c r="D1158" s="74"/>
      <c r="G1158" s="196"/>
      <c r="H1158" s="196"/>
      <c r="I1158" s="197"/>
      <c r="L1158" s="74"/>
      <c r="N1158" s="197"/>
      <c r="O1158" s="197"/>
      <c r="Q1158" s="197"/>
      <c r="U1158" s="198"/>
    </row>
    <row r="1159">
      <c r="A1159" s="74"/>
      <c r="B1159" s="74"/>
      <c r="D1159" s="74"/>
      <c r="G1159" s="196"/>
      <c r="H1159" s="196"/>
      <c r="I1159" s="197"/>
      <c r="L1159" s="74"/>
      <c r="N1159" s="197"/>
      <c r="O1159" s="197"/>
      <c r="Q1159" s="197"/>
      <c r="U1159" s="198"/>
    </row>
    <row r="1160">
      <c r="A1160" s="74"/>
      <c r="B1160" s="74"/>
      <c r="D1160" s="74"/>
      <c r="G1160" s="196"/>
      <c r="H1160" s="196"/>
      <c r="I1160" s="197"/>
      <c r="L1160" s="74"/>
      <c r="N1160" s="197"/>
      <c r="O1160" s="197"/>
      <c r="Q1160" s="197"/>
      <c r="U1160" s="198"/>
    </row>
    <row r="1161">
      <c r="A1161" s="74"/>
      <c r="B1161" s="74"/>
      <c r="D1161" s="74"/>
      <c r="G1161" s="196"/>
      <c r="H1161" s="196"/>
      <c r="I1161" s="197"/>
      <c r="L1161" s="74"/>
      <c r="N1161" s="197"/>
      <c r="O1161" s="197"/>
      <c r="Q1161" s="197"/>
      <c r="U1161" s="198"/>
    </row>
    <row r="1162">
      <c r="A1162" s="74"/>
      <c r="B1162" s="74"/>
      <c r="D1162" s="74"/>
      <c r="G1162" s="196"/>
      <c r="H1162" s="196"/>
      <c r="I1162" s="197"/>
      <c r="L1162" s="74"/>
      <c r="N1162" s="197"/>
      <c r="O1162" s="197"/>
      <c r="Q1162" s="197"/>
      <c r="U1162" s="198"/>
    </row>
    <row r="1163">
      <c r="A1163" s="74"/>
      <c r="B1163" s="74"/>
      <c r="D1163" s="74"/>
      <c r="G1163" s="196"/>
      <c r="H1163" s="196"/>
      <c r="I1163" s="197"/>
      <c r="L1163" s="74"/>
      <c r="N1163" s="197"/>
      <c r="O1163" s="197"/>
      <c r="Q1163" s="197"/>
      <c r="U1163" s="198"/>
    </row>
    <row r="1164">
      <c r="A1164" s="74"/>
      <c r="B1164" s="74"/>
      <c r="D1164" s="74"/>
      <c r="G1164" s="196"/>
      <c r="H1164" s="196"/>
      <c r="I1164" s="197"/>
      <c r="L1164" s="74"/>
      <c r="N1164" s="197"/>
      <c r="O1164" s="197"/>
      <c r="Q1164" s="197"/>
      <c r="U1164" s="198"/>
    </row>
    <row r="1165">
      <c r="A1165" s="74"/>
      <c r="B1165" s="74"/>
      <c r="D1165" s="74"/>
      <c r="G1165" s="196"/>
      <c r="H1165" s="196"/>
      <c r="I1165" s="197"/>
      <c r="L1165" s="74"/>
      <c r="N1165" s="197"/>
      <c r="O1165" s="197"/>
      <c r="Q1165" s="197"/>
      <c r="U1165" s="198"/>
    </row>
    <row r="1166">
      <c r="A1166" s="74"/>
      <c r="B1166" s="74"/>
      <c r="D1166" s="74"/>
      <c r="G1166" s="196"/>
      <c r="H1166" s="196"/>
      <c r="I1166" s="197"/>
      <c r="L1166" s="74"/>
      <c r="N1166" s="197"/>
      <c r="O1166" s="197"/>
      <c r="Q1166" s="197"/>
      <c r="U1166" s="198"/>
    </row>
    <row r="1167">
      <c r="A1167" s="74"/>
      <c r="B1167" s="74"/>
      <c r="D1167" s="74"/>
      <c r="G1167" s="196"/>
      <c r="H1167" s="196"/>
      <c r="I1167" s="197"/>
      <c r="L1167" s="74"/>
      <c r="N1167" s="197"/>
      <c r="O1167" s="197"/>
      <c r="Q1167" s="197"/>
      <c r="U1167" s="198"/>
    </row>
    <row r="1168">
      <c r="A1168" s="74"/>
      <c r="B1168" s="74"/>
      <c r="D1168" s="74"/>
      <c r="G1168" s="196"/>
      <c r="H1168" s="196"/>
      <c r="I1168" s="197"/>
      <c r="L1168" s="74"/>
      <c r="N1168" s="197"/>
      <c r="O1168" s="197"/>
      <c r="Q1168" s="197"/>
      <c r="U1168" s="198"/>
    </row>
    <row r="1169">
      <c r="A1169" s="74"/>
      <c r="B1169" s="74"/>
      <c r="D1169" s="74"/>
      <c r="G1169" s="196"/>
      <c r="H1169" s="196"/>
      <c r="I1169" s="197"/>
      <c r="L1169" s="74"/>
      <c r="N1169" s="197"/>
      <c r="O1169" s="197"/>
      <c r="Q1169" s="197"/>
      <c r="U1169" s="198"/>
    </row>
    <row r="1170">
      <c r="A1170" s="74"/>
      <c r="B1170" s="74"/>
      <c r="D1170" s="74"/>
      <c r="G1170" s="196"/>
      <c r="H1170" s="196"/>
      <c r="I1170" s="197"/>
      <c r="L1170" s="74"/>
      <c r="N1170" s="197"/>
      <c r="O1170" s="197"/>
      <c r="Q1170" s="197"/>
      <c r="U1170" s="198"/>
    </row>
    <row r="1171">
      <c r="A1171" s="74"/>
      <c r="B1171" s="74"/>
      <c r="D1171" s="74"/>
      <c r="G1171" s="196"/>
      <c r="H1171" s="196"/>
      <c r="I1171" s="197"/>
      <c r="L1171" s="74"/>
      <c r="N1171" s="197"/>
      <c r="O1171" s="197"/>
      <c r="Q1171" s="197"/>
      <c r="U1171" s="198"/>
    </row>
    <row r="1172">
      <c r="A1172" s="74"/>
      <c r="B1172" s="74"/>
      <c r="D1172" s="74"/>
      <c r="G1172" s="196"/>
      <c r="H1172" s="196"/>
      <c r="I1172" s="197"/>
      <c r="L1172" s="74"/>
      <c r="N1172" s="197"/>
      <c r="O1172" s="197"/>
      <c r="Q1172" s="197"/>
      <c r="U1172" s="198"/>
    </row>
    <row r="1173">
      <c r="A1173" s="74"/>
      <c r="B1173" s="74"/>
      <c r="D1173" s="74"/>
      <c r="G1173" s="196"/>
      <c r="H1173" s="196"/>
      <c r="I1173" s="197"/>
      <c r="L1173" s="74"/>
      <c r="N1173" s="197"/>
      <c r="O1173" s="197"/>
      <c r="Q1173" s="197"/>
      <c r="U1173" s="198"/>
    </row>
    <row r="1174">
      <c r="A1174" s="74"/>
      <c r="B1174" s="74"/>
      <c r="D1174" s="74"/>
      <c r="G1174" s="196"/>
      <c r="H1174" s="196"/>
      <c r="I1174" s="197"/>
      <c r="L1174" s="74"/>
      <c r="N1174" s="197"/>
      <c r="O1174" s="197"/>
      <c r="Q1174" s="197"/>
      <c r="U1174" s="198"/>
    </row>
    <row r="1175">
      <c r="A1175" s="74"/>
      <c r="B1175" s="74"/>
      <c r="D1175" s="74"/>
      <c r="G1175" s="196"/>
      <c r="H1175" s="196"/>
      <c r="I1175" s="197"/>
      <c r="L1175" s="74"/>
      <c r="N1175" s="197"/>
      <c r="O1175" s="197"/>
      <c r="Q1175" s="197"/>
      <c r="U1175" s="198"/>
    </row>
    <row r="1176">
      <c r="A1176" s="74"/>
      <c r="B1176" s="74"/>
      <c r="D1176" s="74"/>
      <c r="G1176" s="196"/>
      <c r="H1176" s="196"/>
      <c r="I1176" s="197"/>
      <c r="L1176" s="74"/>
      <c r="N1176" s="197"/>
      <c r="O1176" s="197"/>
      <c r="Q1176" s="197"/>
      <c r="U1176" s="198"/>
    </row>
    <row r="1177">
      <c r="A1177" s="74"/>
      <c r="B1177" s="74"/>
      <c r="D1177" s="74"/>
      <c r="G1177" s="196"/>
      <c r="H1177" s="196"/>
      <c r="I1177" s="197"/>
      <c r="L1177" s="74"/>
      <c r="N1177" s="197"/>
      <c r="O1177" s="197"/>
      <c r="Q1177" s="197"/>
      <c r="U1177" s="198"/>
    </row>
    <row r="1178">
      <c r="A1178" s="74"/>
      <c r="B1178" s="74"/>
      <c r="D1178" s="74"/>
      <c r="G1178" s="196"/>
      <c r="H1178" s="196"/>
      <c r="I1178" s="197"/>
      <c r="L1178" s="74"/>
      <c r="N1178" s="197"/>
      <c r="O1178" s="197"/>
      <c r="Q1178" s="197"/>
      <c r="U1178" s="198"/>
    </row>
    <row r="1179">
      <c r="A1179" s="74"/>
      <c r="B1179" s="74"/>
      <c r="D1179" s="74"/>
      <c r="G1179" s="196"/>
      <c r="H1179" s="196"/>
      <c r="I1179" s="197"/>
      <c r="L1179" s="74"/>
      <c r="N1179" s="197"/>
      <c r="O1179" s="197"/>
      <c r="Q1179" s="197"/>
      <c r="U1179" s="198"/>
    </row>
    <row r="1180">
      <c r="A1180" s="74"/>
      <c r="B1180" s="74"/>
      <c r="D1180" s="74"/>
      <c r="G1180" s="196"/>
      <c r="H1180" s="196"/>
      <c r="I1180" s="197"/>
      <c r="L1180" s="74"/>
      <c r="N1180" s="197"/>
      <c r="O1180" s="197"/>
      <c r="Q1180" s="197"/>
      <c r="U1180" s="198"/>
    </row>
    <row r="1181">
      <c r="A1181" s="74"/>
      <c r="B1181" s="74"/>
      <c r="D1181" s="74"/>
      <c r="G1181" s="196"/>
      <c r="H1181" s="196"/>
      <c r="I1181" s="197"/>
      <c r="L1181" s="74"/>
      <c r="N1181" s="197"/>
      <c r="O1181" s="197"/>
      <c r="Q1181" s="197"/>
      <c r="U1181" s="198"/>
    </row>
    <row r="1182">
      <c r="A1182" s="74"/>
      <c r="B1182" s="74"/>
      <c r="D1182" s="74"/>
      <c r="G1182" s="196"/>
      <c r="H1182" s="196"/>
      <c r="I1182" s="197"/>
      <c r="L1182" s="74"/>
      <c r="N1182" s="197"/>
      <c r="O1182" s="197"/>
      <c r="Q1182" s="197"/>
      <c r="U1182" s="198"/>
    </row>
    <row r="1183">
      <c r="A1183" s="74"/>
      <c r="B1183" s="74"/>
      <c r="D1183" s="74"/>
      <c r="G1183" s="196"/>
      <c r="H1183" s="196"/>
      <c r="I1183" s="197"/>
      <c r="L1183" s="74"/>
      <c r="N1183" s="197"/>
      <c r="O1183" s="197"/>
      <c r="Q1183" s="197"/>
      <c r="U1183" s="198"/>
    </row>
    <row r="1184">
      <c r="A1184" s="74"/>
      <c r="B1184" s="74"/>
      <c r="D1184" s="74"/>
      <c r="G1184" s="196"/>
      <c r="H1184" s="196"/>
      <c r="I1184" s="197"/>
      <c r="L1184" s="74"/>
      <c r="N1184" s="197"/>
      <c r="O1184" s="197"/>
      <c r="Q1184" s="197"/>
      <c r="U1184" s="198"/>
    </row>
    <row r="1185">
      <c r="A1185" s="74"/>
      <c r="B1185" s="74"/>
      <c r="D1185" s="74"/>
      <c r="G1185" s="196"/>
      <c r="H1185" s="196"/>
      <c r="I1185" s="197"/>
      <c r="L1185" s="74"/>
      <c r="N1185" s="197"/>
      <c r="O1185" s="197"/>
      <c r="Q1185" s="197"/>
      <c r="U1185" s="198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R1" s="4"/>
      <c r="S1" s="4"/>
      <c r="T1" s="4"/>
      <c r="U1" s="4"/>
      <c r="V1" s="4"/>
      <c r="W1" s="4"/>
      <c r="X1" s="4"/>
      <c r="Y1" s="4"/>
      <c r="Z1" s="4"/>
    </row>
    <row r="2">
      <c r="A2" s="6"/>
      <c r="B2" s="7"/>
      <c r="C2" s="10" t="s">
        <v>3</v>
      </c>
      <c r="D2" s="13"/>
      <c r="E2" s="13"/>
      <c r="F2" s="13"/>
      <c r="G2" s="13"/>
      <c r="H2" s="7"/>
      <c r="I2" s="14"/>
      <c r="J2" s="14"/>
      <c r="K2" s="14"/>
      <c r="L2" s="14"/>
      <c r="M2" s="16" t="s">
        <v>5</v>
      </c>
      <c r="N2" s="18"/>
      <c r="O2" s="21" t="str">
        <f>[3]Controle!$K$1</f>
        <v>#ERROR!</v>
      </c>
      <c r="P2" s="22"/>
      <c r="Q2" s="18"/>
      <c r="R2" s="4"/>
      <c r="S2" s="4"/>
      <c r="T2" s="4"/>
      <c r="U2" s="4"/>
      <c r="V2" s="4"/>
      <c r="W2" s="4"/>
      <c r="X2" s="4"/>
      <c r="Y2" s="4"/>
      <c r="Z2" s="4"/>
    </row>
    <row r="3">
      <c r="A3" s="27"/>
      <c r="B3" s="31"/>
      <c r="C3" s="27"/>
      <c r="H3" s="31"/>
      <c r="I3" s="14"/>
      <c r="J3" s="14"/>
      <c r="K3" s="14"/>
      <c r="L3" s="14"/>
      <c r="M3" s="16" t="s">
        <v>29</v>
      </c>
      <c r="N3" s="18"/>
      <c r="O3" s="21" t="str">
        <f>[3]Controle!$K$2</f>
        <v>#ERROR!</v>
      </c>
      <c r="P3" s="22"/>
      <c r="Q3" s="18"/>
      <c r="R3" s="4"/>
      <c r="S3" s="4"/>
      <c r="T3" s="4"/>
      <c r="U3" s="4"/>
      <c r="V3" s="4"/>
      <c r="W3" s="4"/>
      <c r="X3" s="4"/>
      <c r="Y3" s="4"/>
      <c r="Z3" s="4"/>
    </row>
    <row r="4">
      <c r="A4" s="38"/>
      <c r="B4" s="39"/>
      <c r="C4" s="38"/>
      <c r="D4" s="40"/>
      <c r="E4" s="40"/>
      <c r="F4" s="40"/>
      <c r="G4" s="40"/>
      <c r="H4" s="39"/>
      <c r="I4" s="14"/>
      <c r="J4" s="14"/>
      <c r="K4" s="14"/>
      <c r="L4" s="14"/>
      <c r="M4" s="16" t="s">
        <v>33</v>
      </c>
      <c r="N4" s="18"/>
      <c r="O4" s="21" t="str">
        <f>[3]Controle!$K$3</f>
        <v>#ERROR!</v>
      </c>
      <c r="P4" s="22"/>
      <c r="Q4" s="18"/>
      <c r="R4" s="4"/>
      <c r="S4" s="4"/>
      <c r="T4" s="4"/>
      <c r="U4" s="4"/>
      <c r="V4" s="4"/>
      <c r="W4" s="4"/>
      <c r="X4" s="4"/>
      <c r="Y4" s="4"/>
      <c r="Z4" s="4"/>
    </row>
    <row r="5">
      <c r="A5" s="45" t="s">
        <v>35</v>
      </c>
      <c r="B5" s="22"/>
      <c r="C5" s="22"/>
      <c r="D5" s="22"/>
      <c r="E5" s="22"/>
      <c r="F5" s="22"/>
      <c r="G5" s="22"/>
      <c r="H5" s="22"/>
      <c r="I5" s="22"/>
      <c r="J5" s="22"/>
      <c r="K5" s="22"/>
      <c r="L5" s="22"/>
      <c r="M5" s="22"/>
      <c r="N5" s="22"/>
      <c r="O5" s="22"/>
      <c r="P5" s="22"/>
      <c r="Q5" s="18"/>
      <c r="R5" s="4"/>
      <c r="S5" s="4"/>
      <c r="T5" s="4"/>
      <c r="U5" s="4"/>
      <c r="V5" s="4"/>
      <c r="W5" s="4"/>
      <c r="X5" s="4"/>
      <c r="Y5" s="4"/>
      <c r="Z5" s="4"/>
    </row>
    <row r="6">
      <c r="A6" s="48" t="s">
        <v>6</v>
      </c>
      <c r="B6" s="54" t="s">
        <v>7</v>
      </c>
      <c r="C6" s="56" t="s">
        <v>8</v>
      </c>
      <c r="D6" s="18"/>
      <c r="E6" s="48" t="s">
        <v>9</v>
      </c>
      <c r="F6" s="48" t="s">
        <v>11</v>
      </c>
      <c r="G6" s="48" t="s">
        <v>10</v>
      </c>
      <c r="H6" s="48" t="s">
        <v>40</v>
      </c>
      <c r="I6" s="48" t="s">
        <v>41</v>
      </c>
      <c r="J6" s="48" t="s">
        <v>20</v>
      </c>
      <c r="K6" s="48" t="s">
        <v>42</v>
      </c>
      <c r="L6" s="48" t="s">
        <v>18</v>
      </c>
      <c r="M6" s="48" t="s">
        <v>21</v>
      </c>
      <c r="N6" s="48" t="s">
        <v>22</v>
      </c>
      <c r="O6" s="54" t="s">
        <v>43</v>
      </c>
      <c r="P6" s="54" t="s">
        <v>44</v>
      </c>
      <c r="Q6" s="54" t="s">
        <v>25</v>
      </c>
      <c r="R6" s="4"/>
      <c r="S6" s="4"/>
      <c r="T6" s="4"/>
      <c r="U6" s="4"/>
      <c r="V6" s="4"/>
      <c r="W6" s="4"/>
      <c r="X6" s="4"/>
      <c r="Y6" s="4"/>
      <c r="Z6" s="4"/>
    </row>
    <row r="7">
      <c r="A7" s="59">
        <v>1.0</v>
      </c>
      <c r="B7" s="62" t="s">
        <v>30</v>
      </c>
      <c r="C7" s="63" t="s">
        <v>49</v>
      </c>
      <c r="D7" s="59" t="s">
        <v>31</v>
      </c>
      <c r="E7" s="59">
        <v>1.0</v>
      </c>
      <c r="F7" s="59" t="s">
        <v>32</v>
      </c>
      <c r="G7" s="64">
        <v>1.3947615E7</v>
      </c>
      <c r="H7" s="65">
        <v>45730.0</v>
      </c>
      <c r="I7" s="66"/>
      <c r="J7" s="59">
        <v>2741.0</v>
      </c>
      <c r="K7" s="66"/>
      <c r="L7" s="66"/>
      <c r="M7" s="66"/>
      <c r="N7" s="66"/>
      <c r="O7" s="66"/>
      <c r="P7" s="66"/>
      <c r="Q7" s="66"/>
      <c r="R7" s="4"/>
      <c r="S7" s="4"/>
      <c r="T7" s="4"/>
      <c r="U7" s="4"/>
      <c r="V7" s="4"/>
      <c r="W7" s="4"/>
      <c r="X7" s="4"/>
      <c r="Y7" s="4"/>
      <c r="Z7" s="4"/>
    </row>
    <row r="8">
      <c r="A8" s="59">
        <v>2.0</v>
      </c>
      <c r="B8" s="62" t="s">
        <v>30</v>
      </c>
      <c r="C8" s="63" t="s">
        <v>49</v>
      </c>
      <c r="D8" s="59" t="s">
        <v>31</v>
      </c>
      <c r="E8" s="59">
        <v>1.0</v>
      </c>
      <c r="F8" s="59" t="s">
        <v>32</v>
      </c>
      <c r="G8" s="64">
        <v>1.4000316E7</v>
      </c>
      <c r="H8" s="65">
        <v>45735.0</v>
      </c>
      <c r="I8" s="66"/>
      <c r="J8" s="59">
        <v>2740.0</v>
      </c>
      <c r="K8" s="66"/>
      <c r="L8" s="66"/>
      <c r="M8" s="66"/>
      <c r="N8" s="66"/>
      <c r="O8" s="66"/>
      <c r="P8" s="66"/>
      <c r="Q8" s="66"/>
      <c r="R8" s="4"/>
      <c r="S8" s="4"/>
      <c r="T8" s="4"/>
      <c r="U8" s="4"/>
      <c r="V8" s="4"/>
      <c r="W8" s="4"/>
      <c r="X8" s="4"/>
      <c r="Y8" s="4"/>
      <c r="Z8" s="4"/>
    </row>
    <row r="9">
      <c r="A9" s="59">
        <v>3.0</v>
      </c>
      <c r="B9" s="62" t="s">
        <v>52</v>
      </c>
      <c r="C9" s="63" t="s">
        <v>53</v>
      </c>
      <c r="D9" s="59" t="s">
        <v>31</v>
      </c>
      <c r="E9" s="59">
        <v>100.0</v>
      </c>
      <c r="F9" s="59" t="s">
        <v>54</v>
      </c>
      <c r="G9" s="64">
        <v>1.3719978E7</v>
      </c>
      <c r="H9" s="65">
        <v>45737.0</v>
      </c>
      <c r="I9" s="66"/>
      <c r="J9" s="59">
        <v>2719.0</v>
      </c>
      <c r="K9" s="66"/>
      <c r="L9" s="66"/>
      <c r="M9" s="66"/>
      <c r="N9" s="66"/>
      <c r="O9" s="66"/>
      <c r="P9" s="66"/>
      <c r="Q9" s="66"/>
      <c r="R9" s="4"/>
      <c r="S9" s="4"/>
      <c r="T9" s="4"/>
      <c r="U9" s="4"/>
      <c r="V9" s="4"/>
      <c r="W9" s="4"/>
      <c r="X9" s="4"/>
      <c r="Y9" s="4"/>
      <c r="Z9" s="4"/>
    </row>
    <row r="10">
      <c r="A10" s="59">
        <v>4.0</v>
      </c>
      <c r="B10" s="62" t="s">
        <v>56</v>
      </c>
      <c r="C10" s="63" t="s">
        <v>57</v>
      </c>
      <c r="D10" s="59" t="s">
        <v>31</v>
      </c>
      <c r="E10" s="59">
        <v>100.0</v>
      </c>
      <c r="F10" s="59" t="s">
        <v>32</v>
      </c>
      <c r="G10" s="64">
        <v>1.4119927E7</v>
      </c>
      <c r="H10" s="65">
        <v>45747.0</v>
      </c>
      <c r="I10" s="66"/>
      <c r="J10" s="59">
        <v>2731.0</v>
      </c>
      <c r="K10" s="66"/>
      <c r="L10" s="66"/>
      <c r="M10" s="70" t="s">
        <v>58</v>
      </c>
      <c r="N10" s="66"/>
      <c r="O10" s="66"/>
      <c r="P10" s="66"/>
      <c r="Q10" s="66"/>
      <c r="R10" s="4"/>
      <c r="S10" s="4"/>
      <c r="T10" s="4"/>
      <c r="U10" s="4"/>
      <c r="V10" s="4"/>
      <c r="W10" s="4"/>
      <c r="X10" s="4"/>
      <c r="Y10" s="4"/>
      <c r="Z10" s="4"/>
    </row>
    <row r="11">
      <c r="A11" s="59">
        <v>5.0</v>
      </c>
      <c r="B11" s="62" t="s">
        <v>62</v>
      </c>
      <c r="C11" s="63" t="s">
        <v>63</v>
      </c>
      <c r="D11" s="59" t="s">
        <v>31</v>
      </c>
      <c r="E11" s="59">
        <v>100.0</v>
      </c>
      <c r="F11" s="59" t="s">
        <v>32</v>
      </c>
      <c r="G11" s="64">
        <v>1.4119761E7</v>
      </c>
      <c r="H11" s="65">
        <v>45747.0</v>
      </c>
      <c r="I11" s="66"/>
      <c r="J11" s="59">
        <v>2731.0</v>
      </c>
      <c r="K11" s="66"/>
      <c r="L11" s="66"/>
      <c r="M11" s="72"/>
      <c r="N11" s="66"/>
      <c r="O11" s="66"/>
      <c r="P11" s="66"/>
      <c r="Q11" s="66"/>
      <c r="R11" s="4"/>
      <c r="S11" s="4"/>
      <c r="T11" s="4"/>
      <c r="U11" s="4"/>
      <c r="V11" s="4"/>
      <c r="W11" s="4"/>
      <c r="X11" s="4"/>
      <c r="Y11" s="4"/>
      <c r="Z11" s="4"/>
    </row>
    <row r="12">
      <c r="A12" s="59">
        <v>6.0</v>
      </c>
      <c r="B12" s="62" t="s">
        <v>65</v>
      </c>
      <c r="C12" s="63" t="s">
        <v>66</v>
      </c>
      <c r="D12" s="59" t="s">
        <v>31</v>
      </c>
      <c r="E12" s="59">
        <v>500.0</v>
      </c>
      <c r="F12" s="59" t="s">
        <v>32</v>
      </c>
      <c r="G12" s="64">
        <v>1.4119172E7</v>
      </c>
      <c r="H12" s="65">
        <v>45747.0</v>
      </c>
      <c r="I12" s="66"/>
      <c r="J12" s="59">
        <v>2731.0</v>
      </c>
      <c r="K12" s="66"/>
      <c r="L12" s="66"/>
      <c r="M12" s="72"/>
      <c r="N12" s="66"/>
      <c r="O12" s="66"/>
      <c r="P12" s="66"/>
      <c r="Q12" s="66"/>
      <c r="R12" s="4"/>
      <c r="S12" s="4"/>
      <c r="T12" s="4"/>
      <c r="U12" s="4"/>
      <c r="V12" s="4"/>
      <c r="W12" s="4"/>
      <c r="X12" s="4"/>
      <c r="Y12" s="4"/>
      <c r="Z12" s="4"/>
    </row>
    <row r="13">
      <c r="A13" s="59">
        <v>7.0</v>
      </c>
      <c r="B13" s="62" t="s">
        <v>67</v>
      </c>
      <c r="C13" s="63" t="s">
        <v>68</v>
      </c>
      <c r="D13" s="59" t="s">
        <v>31</v>
      </c>
      <c r="E13" s="59">
        <v>100.0</v>
      </c>
      <c r="F13" s="59" t="s">
        <v>32</v>
      </c>
      <c r="G13" s="64">
        <v>1.4118815E7</v>
      </c>
      <c r="H13" s="65">
        <v>45747.0</v>
      </c>
      <c r="I13" s="66"/>
      <c r="J13" s="59">
        <v>2731.0</v>
      </c>
      <c r="K13" s="66"/>
      <c r="L13" s="66"/>
      <c r="M13" s="72"/>
      <c r="N13" s="66"/>
      <c r="O13" s="66"/>
      <c r="P13" s="66"/>
      <c r="Q13" s="66"/>
      <c r="R13" s="4"/>
      <c r="S13" s="4"/>
      <c r="T13" s="4"/>
      <c r="U13" s="4"/>
      <c r="V13" s="4"/>
      <c r="W13" s="4"/>
      <c r="X13" s="4"/>
      <c r="Y13" s="4"/>
      <c r="Z13" s="4"/>
    </row>
    <row r="14">
      <c r="A14" s="59">
        <v>8.0</v>
      </c>
      <c r="B14" s="62" t="s">
        <v>69</v>
      </c>
      <c r="C14" s="63" t="s">
        <v>68</v>
      </c>
      <c r="D14" s="59" t="s">
        <v>31</v>
      </c>
      <c r="E14" s="59">
        <v>1.0</v>
      </c>
      <c r="F14" s="59" t="s">
        <v>32</v>
      </c>
      <c r="G14" s="64">
        <v>1.4118717E7</v>
      </c>
      <c r="H14" s="65">
        <v>45747.0</v>
      </c>
      <c r="I14" s="66"/>
      <c r="J14" s="59">
        <v>2731.0</v>
      </c>
      <c r="K14" s="66"/>
      <c r="L14" s="66"/>
      <c r="M14" s="72"/>
      <c r="N14" s="66"/>
      <c r="O14" s="66"/>
      <c r="P14" s="66"/>
      <c r="Q14" s="66"/>
      <c r="R14" s="4"/>
      <c r="S14" s="4"/>
      <c r="T14" s="4"/>
      <c r="U14" s="4"/>
      <c r="V14" s="4"/>
      <c r="W14" s="4"/>
      <c r="X14" s="4"/>
      <c r="Y14" s="4"/>
      <c r="Z14" s="4"/>
    </row>
    <row r="15">
      <c r="A15" s="59">
        <v>9.0</v>
      </c>
      <c r="B15" s="62" t="s">
        <v>70</v>
      </c>
      <c r="C15" s="63" t="s">
        <v>68</v>
      </c>
      <c r="D15" s="59" t="s">
        <v>31</v>
      </c>
      <c r="E15" s="59">
        <v>1.0</v>
      </c>
      <c r="F15" s="59" t="s">
        <v>32</v>
      </c>
      <c r="G15" s="64">
        <v>1.4118631E7</v>
      </c>
      <c r="H15" s="65">
        <v>45747.0</v>
      </c>
      <c r="I15" s="66"/>
      <c r="J15" s="59">
        <v>2731.0</v>
      </c>
      <c r="K15" s="66"/>
      <c r="L15" s="66"/>
      <c r="M15" s="72"/>
      <c r="N15" s="66"/>
      <c r="O15" s="66"/>
      <c r="P15" s="66"/>
      <c r="Q15" s="66"/>
      <c r="R15" s="4"/>
      <c r="S15" s="4"/>
      <c r="T15" s="4"/>
      <c r="U15" s="4"/>
      <c r="V15" s="4"/>
      <c r="W15" s="4"/>
      <c r="X15" s="4"/>
      <c r="Y15" s="4"/>
      <c r="Z15" s="4"/>
    </row>
    <row r="16">
      <c r="A16" s="59">
        <v>10.0</v>
      </c>
      <c r="B16" s="62" t="s">
        <v>72</v>
      </c>
      <c r="C16" s="63" t="s">
        <v>68</v>
      </c>
      <c r="D16" s="59" t="s">
        <v>31</v>
      </c>
      <c r="E16" s="59">
        <v>1.0</v>
      </c>
      <c r="F16" s="59" t="s">
        <v>32</v>
      </c>
      <c r="G16" s="64">
        <v>1.4118223E7</v>
      </c>
      <c r="H16" s="65">
        <v>45747.0</v>
      </c>
      <c r="I16" s="66"/>
      <c r="J16" s="59">
        <v>2731.0</v>
      </c>
      <c r="K16" s="66"/>
      <c r="L16" s="66"/>
      <c r="M16" s="72"/>
      <c r="N16" s="66"/>
      <c r="O16" s="66"/>
      <c r="P16" s="66"/>
      <c r="Q16" s="66"/>
      <c r="R16" s="4"/>
      <c r="S16" s="4"/>
      <c r="T16" s="4"/>
      <c r="U16" s="4"/>
      <c r="V16" s="4"/>
      <c r="W16" s="4"/>
      <c r="X16" s="4"/>
      <c r="Y16" s="4"/>
      <c r="Z16" s="4"/>
    </row>
    <row r="17">
      <c r="A17" s="59">
        <v>11.0</v>
      </c>
      <c r="B17" s="62" t="s">
        <v>73</v>
      </c>
      <c r="C17" s="63" t="s">
        <v>66</v>
      </c>
      <c r="D17" s="59" t="s">
        <v>31</v>
      </c>
      <c r="E17" s="59">
        <v>50.0</v>
      </c>
      <c r="F17" s="59" t="s">
        <v>32</v>
      </c>
      <c r="G17" s="64">
        <v>1.4117687E7</v>
      </c>
      <c r="H17" s="65">
        <v>45747.0</v>
      </c>
      <c r="I17" s="66"/>
      <c r="J17" s="59">
        <v>2731.0</v>
      </c>
      <c r="K17" s="66"/>
      <c r="L17" s="66"/>
      <c r="M17" s="80"/>
      <c r="N17" s="66"/>
      <c r="O17" s="66"/>
      <c r="P17" s="66"/>
      <c r="Q17" s="66"/>
      <c r="R17" s="4"/>
      <c r="S17" s="4"/>
      <c r="T17" s="4"/>
      <c r="U17" s="4"/>
      <c r="V17" s="4"/>
      <c r="W17" s="4"/>
      <c r="X17" s="4"/>
      <c r="Y17" s="4"/>
      <c r="Z17" s="4"/>
    </row>
    <row r="18">
      <c r="A18" s="59">
        <v>12.0</v>
      </c>
      <c r="B18" s="62" t="s">
        <v>79</v>
      </c>
      <c r="C18" s="63" t="s">
        <v>80</v>
      </c>
      <c r="D18" s="59" t="s">
        <v>31</v>
      </c>
      <c r="E18" s="59">
        <v>1.0</v>
      </c>
      <c r="F18" s="59" t="s">
        <v>81</v>
      </c>
      <c r="G18" s="64">
        <v>1.4305088E7</v>
      </c>
      <c r="H18" s="65">
        <v>45762.0</v>
      </c>
      <c r="I18" s="66"/>
      <c r="J18" s="59">
        <v>2739.0</v>
      </c>
      <c r="K18" s="66"/>
      <c r="L18" s="66"/>
      <c r="M18" s="66"/>
      <c r="N18" s="66"/>
      <c r="O18" s="66"/>
      <c r="P18" s="66"/>
      <c r="Q18" s="66"/>
      <c r="R18" s="4"/>
      <c r="S18" s="4"/>
      <c r="T18" s="4"/>
      <c r="U18" s="4"/>
      <c r="V18" s="4"/>
      <c r="W18" s="4"/>
      <c r="X18" s="4"/>
      <c r="Y18" s="4"/>
      <c r="Z18" s="4"/>
    </row>
    <row r="19">
      <c r="A19" s="59">
        <v>13.0</v>
      </c>
      <c r="B19" s="62" t="s">
        <v>87</v>
      </c>
      <c r="C19" s="63" t="s">
        <v>88</v>
      </c>
      <c r="D19" s="59" t="s">
        <v>31</v>
      </c>
      <c r="E19" s="59">
        <v>1.0</v>
      </c>
      <c r="F19" s="59" t="s">
        <v>32</v>
      </c>
      <c r="G19" s="64">
        <v>1.4309534E7</v>
      </c>
      <c r="H19" s="65">
        <v>45763.0</v>
      </c>
      <c r="I19" s="66"/>
      <c r="J19" s="59">
        <v>2722.0</v>
      </c>
      <c r="K19" s="66"/>
      <c r="L19" s="66"/>
      <c r="M19" s="66"/>
      <c r="N19" s="66"/>
      <c r="O19" s="66"/>
      <c r="P19" s="66"/>
      <c r="Q19" s="66"/>
      <c r="R19" s="4"/>
      <c r="S19" s="4"/>
      <c r="T19" s="4"/>
      <c r="U19" s="4"/>
      <c r="V19" s="4"/>
      <c r="W19" s="4"/>
      <c r="X19" s="4"/>
      <c r="Y19" s="4"/>
      <c r="Z19" s="4"/>
    </row>
    <row r="20">
      <c r="A20" s="59">
        <v>14.0</v>
      </c>
      <c r="B20" s="62" t="s">
        <v>89</v>
      </c>
      <c r="C20" s="63" t="s">
        <v>88</v>
      </c>
      <c r="D20" s="59" t="s">
        <v>31</v>
      </c>
      <c r="E20" s="59">
        <v>1.0</v>
      </c>
      <c r="F20" s="59" t="s">
        <v>32</v>
      </c>
      <c r="G20" s="64">
        <v>1.4316808E7</v>
      </c>
      <c r="H20" s="65">
        <v>45763.0</v>
      </c>
      <c r="I20" s="66"/>
      <c r="J20" s="59">
        <v>2722.0</v>
      </c>
      <c r="K20" s="66"/>
      <c r="L20" s="66"/>
      <c r="M20" s="66"/>
      <c r="N20" s="66"/>
      <c r="O20" s="66"/>
      <c r="P20" s="66"/>
      <c r="Q20" s="66"/>
      <c r="R20" s="4"/>
      <c r="S20" s="4"/>
      <c r="T20" s="4"/>
      <c r="U20" s="4"/>
      <c r="V20" s="4"/>
      <c r="W20" s="4"/>
      <c r="X20" s="4"/>
      <c r="Y20" s="4"/>
      <c r="Z20" s="4"/>
    </row>
    <row r="21">
      <c r="A21" s="59">
        <v>15.0</v>
      </c>
      <c r="B21" s="62" t="s">
        <v>96</v>
      </c>
      <c r="C21" s="63" t="s">
        <v>97</v>
      </c>
      <c r="D21" s="59" t="s">
        <v>31</v>
      </c>
      <c r="E21" s="59">
        <v>2.0</v>
      </c>
      <c r="F21" s="59" t="s">
        <v>32</v>
      </c>
      <c r="G21" s="64">
        <v>1.4478457E7</v>
      </c>
      <c r="H21" s="65">
        <v>45783.0</v>
      </c>
      <c r="I21" s="66"/>
      <c r="J21" s="59">
        <v>2709.0</v>
      </c>
      <c r="K21" s="66"/>
      <c r="L21" s="66"/>
      <c r="M21" s="66"/>
      <c r="N21" s="66"/>
      <c r="O21" s="66"/>
      <c r="P21" s="66"/>
      <c r="Q21" s="66"/>
      <c r="R21" s="4"/>
      <c r="S21" s="4"/>
      <c r="T21" s="4"/>
      <c r="U21" s="4"/>
      <c r="V21" s="4"/>
      <c r="W21" s="4"/>
      <c r="X21" s="4"/>
      <c r="Y21" s="4"/>
      <c r="Z21" s="4"/>
    </row>
    <row r="22">
      <c r="A22" s="59">
        <v>16.0</v>
      </c>
      <c r="B22" s="62">
        <v>523919.0</v>
      </c>
      <c r="C22" s="63" t="s">
        <v>101</v>
      </c>
      <c r="D22" s="59" t="s">
        <v>31</v>
      </c>
      <c r="E22" s="59">
        <v>2.0</v>
      </c>
      <c r="F22" s="59" t="s">
        <v>32</v>
      </c>
      <c r="G22" s="64">
        <v>1.4478396E7</v>
      </c>
      <c r="H22" s="65">
        <v>45783.0</v>
      </c>
      <c r="I22" s="66"/>
      <c r="J22" s="59">
        <v>2709.0</v>
      </c>
      <c r="K22" s="66"/>
      <c r="L22" s="66"/>
      <c r="M22" s="66"/>
      <c r="N22" s="66"/>
      <c r="O22" s="66"/>
      <c r="P22" s="66"/>
      <c r="Q22" s="66"/>
      <c r="R22" s="4"/>
      <c r="S22" s="4"/>
      <c r="T22" s="4"/>
      <c r="U22" s="4"/>
      <c r="V22" s="4"/>
      <c r="W22" s="4"/>
      <c r="X22" s="4"/>
      <c r="Y22" s="4"/>
      <c r="Z22" s="4"/>
    </row>
    <row r="23">
      <c r="A23" s="59">
        <v>17.0</v>
      </c>
      <c r="B23" s="62" t="s">
        <v>102</v>
      </c>
      <c r="C23" s="63" t="s">
        <v>103</v>
      </c>
      <c r="D23" s="59" t="s">
        <v>31</v>
      </c>
      <c r="E23" s="59">
        <v>1.0</v>
      </c>
      <c r="F23" s="59" t="s">
        <v>81</v>
      </c>
      <c r="G23" s="64">
        <v>6.85240004653E11</v>
      </c>
      <c r="H23" s="65">
        <v>45784.0</v>
      </c>
      <c r="I23" s="66"/>
      <c r="J23" s="59">
        <v>2722.0</v>
      </c>
      <c r="K23" s="66"/>
      <c r="L23" s="62" t="s">
        <v>102</v>
      </c>
      <c r="M23" s="59" t="s">
        <v>104</v>
      </c>
      <c r="N23" s="62" t="s">
        <v>105</v>
      </c>
      <c r="O23" s="66"/>
      <c r="P23" s="87">
        <v>45845.0</v>
      </c>
      <c r="Q23" s="66"/>
      <c r="R23" s="4"/>
      <c r="S23" s="4"/>
      <c r="T23" s="4"/>
      <c r="U23" s="4"/>
      <c r="V23" s="4"/>
      <c r="W23" s="4"/>
      <c r="X23" s="4"/>
      <c r="Y23" s="4"/>
      <c r="Z23" s="4"/>
    </row>
    <row r="24">
      <c r="A24" s="59">
        <v>18.0</v>
      </c>
      <c r="B24" s="62" t="s">
        <v>111</v>
      </c>
      <c r="C24" s="63" t="s">
        <v>112</v>
      </c>
      <c r="D24" s="59" t="s">
        <v>31</v>
      </c>
      <c r="E24" s="59">
        <v>1.0</v>
      </c>
      <c r="F24" s="59" t="s">
        <v>32</v>
      </c>
      <c r="G24" s="64">
        <v>6.85250006026E11</v>
      </c>
      <c r="H24" s="65">
        <v>45784.0</v>
      </c>
      <c r="I24" s="66"/>
      <c r="J24" s="59">
        <v>2728.0</v>
      </c>
      <c r="K24" s="66"/>
      <c r="L24" s="66"/>
      <c r="M24" s="66"/>
      <c r="N24" s="66"/>
      <c r="O24" s="66"/>
      <c r="P24" s="66"/>
      <c r="Q24" s="66"/>
      <c r="R24" s="4"/>
      <c r="S24" s="4"/>
      <c r="T24" s="4"/>
      <c r="U24" s="4"/>
      <c r="V24" s="4"/>
      <c r="W24" s="4"/>
      <c r="X24" s="4"/>
      <c r="Y24" s="4"/>
      <c r="Z24" s="4"/>
    </row>
    <row r="25">
      <c r="A25" s="59">
        <v>19.0</v>
      </c>
      <c r="B25" s="62" t="s">
        <v>114</v>
      </c>
      <c r="C25" s="63" t="s">
        <v>115</v>
      </c>
      <c r="D25" s="59" t="s">
        <v>31</v>
      </c>
      <c r="E25" s="59">
        <v>16.0</v>
      </c>
      <c r="F25" s="59" t="s">
        <v>32</v>
      </c>
      <c r="G25" s="64">
        <v>1.4481761E7</v>
      </c>
      <c r="H25" s="65">
        <v>45784.0</v>
      </c>
      <c r="I25" s="66"/>
      <c r="J25" s="59" t="s">
        <v>116</v>
      </c>
      <c r="K25" s="66"/>
      <c r="L25" s="66"/>
      <c r="M25" s="66"/>
      <c r="N25" s="66"/>
      <c r="O25" s="66"/>
      <c r="P25" s="66"/>
      <c r="Q25" s="66"/>
      <c r="R25" s="4"/>
      <c r="S25" s="4"/>
      <c r="T25" s="4"/>
      <c r="U25" s="4"/>
      <c r="V25" s="4"/>
      <c r="W25" s="4"/>
      <c r="X25" s="4"/>
      <c r="Y25" s="4"/>
      <c r="Z25" s="4"/>
    </row>
    <row r="26">
      <c r="A26" s="59">
        <v>20.0</v>
      </c>
      <c r="B26" s="62" t="s">
        <v>114</v>
      </c>
      <c r="C26" s="63" t="s">
        <v>115</v>
      </c>
      <c r="D26" s="59" t="s">
        <v>31</v>
      </c>
      <c r="E26" s="59">
        <v>8.0</v>
      </c>
      <c r="F26" s="59" t="s">
        <v>32</v>
      </c>
      <c r="G26" s="64">
        <v>1.4482166E7</v>
      </c>
      <c r="H26" s="65">
        <v>45784.0</v>
      </c>
      <c r="I26" s="66"/>
      <c r="J26" s="59">
        <v>2729.0</v>
      </c>
      <c r="K26" s="66"/>
      <c r="L26" s="62" t="s">
        <v>118</v>
      </c>
      <c r="M26" s="59" t="s">
        <v>119</v>
      </c>
      <c r="N26" s="62" t="s">
        <v>120</v>
      </c>
      <c r="O26" s="66"/>
      <c r="P26" s="87">
        <v>45938.0</v>
      </c>
      <c r="Q26" s="66"/>
      <c r="R26" s="4"/>
      <c r="S26" s="4"/>
      <c r="T26" s="4"/>
      <c r="U26" s="4"/>
      <c r="V26" s="4"/>
      <c r="W26" s="4"/>
      <c r="X26" s="4"/>
      <c r="Y26" s="4"/>
      <c r="Z26" s="4"/>
    </row>
    <row r="27">
      <c r="A27" s="59">
        <v>21.0</v>
      </c>
      <c r="B27" s="62" t="s">
        <v>122</v>
      </c>
      <c r="C27" s="63" t="s">
        <v>123</v>
      </c>
      <c r="D27" s="59" t="s">
        <v>31</v>
      </c>
      <c r="E27" s="59">
        <v>1.0</v>
      </c>
      <c r="F27" s="59" t="s">
        <v>32</v>
      </c>
      <c r="G27" s="64">
        <v>1.4530282E7</v>
      </c>
      <c r="H27" s="65">
        <v>45789.0</v>
      </c>
      <c r="I27" s="66"/>
      <c r="J27" s="59">
        <v>2709.0</v>
      </c>
      <c r="K27" s="66"/>
      <c r="L27" s="62" t="s">
        <v>122</v>
      </c>
      <c r="M27" s="59" t="s">
        <v>125</v>
      </c>
      <c r="N27" s="62" t="s">
        <v>126</v>
      </c>
      <c r="O27" s="66"/>
      <c r="P27" s="87">
        <v>45868.0</v>
      </c>
      <c r="Q27" s="66"/>
      <c r="R27" s="4"/>
      <c r="S27" s="4"/>
      <c r="T27" s="4"/>
      <c r="U27" s="4"/>
      <c r="V27" s="4"/>
      <c r="W27" s="4"/>
      <c r="X27" s="4"/>
      <c r="Y27" s="4"/>
      <c r="Z27" s="4"/>
    </row>
    <row r="28">
      <c r="A28" s="59">
        <v>22.0</v>
      </c>
      <c r="B28" s="62" t="s">
        <v>127</v>
      </c>
      <c r="C28" s="63" t="s">
        <v>128</v>
      </c>
      <c r="D28" s="59" t="s">
        <v>31</v>
      </c>
      <c r="E28" s="59">
        <v>1.0</v>
      </c>
      <c r="F28" s="59" t="s">
        <v>54</v>
      </c>
      <c r="G28" s="64">
        <v>1.4530445E7</v>
      </c>
      <c r="H28" s="65">
        <v>45789.0</v>
      </c>
      <c r="I28" s="66"/>
      <c r="J28" s="59">
        <v>2709.0</v>
      </c>
      <c r="K28" s="66"/>
      <c r="L28" s="62" t="s">
        <v>127</v>
      </c>
      <c r="M28" s="59" t="s">
        <v>130</v>
      </c>
      <c r="N28" s="62" t="s">
        <v>131</v>
      </c>
      <c r="O28" s="66"/>
      <c r="P28" s="89">
        <v>45982.0</v>
      </c>
      <c r="Q28" s="66"/>
      <c r="R28" s="4"/>
      <c r="S28" s="4"/>
      <c r="T28" s="4"/>
      <c r="U28" s="4"/>
      <c r="V28" s="4"/>
      <c r="W28" s="4"/>
      <c r="X28" s="4"/>
      <c r="Y28" s="4"/>
      <c r="Z28" s="4"/>
    </row>
    <row r="29">
      <c r="A29" s="59">
        <v>23.0</v>
      </c>
      <c r="B29" s="62" t="s">
        <v>138</v>
      </c>
      <c r="C29" s="63" t="s">
        <v>140</v>
      </c>
      <c r="D29" s="59">
        <v>1876.0</v>
      </c>
      <c r="E29" s="59">
        <v>1.0</v>
      </c>
      <c r="F29" s="59" t="s">
        <v>81</v>
      </c>
      <c r="G29" s="64">
        <v>6.9425000186E11</v>
      </c>
      <c r="H29" s="65">
        <v>45791.0</v>
      </c>
      <c r="I29" s="66"/>
      <c r="J29" s="59">
        <v>2708.0</v>
      </c>
      <c r="K29" s="66"/>
      <c r="L29" s="66"/>
      <c r="M29" s="66"/>
      <c r="N29" s="66"/>
      <c r="O29" s="66"/>
      <c r="P29" s="66"/>
      <c r="Q29" s="66"/>
      <c r="R29" s="4"/>
      <c r="S29" s="4"/>
      <c r="T29" s="4"/>
      <c r="U29" s="4"/>
      <c r="V29" s="4"/>
      <c r="W29" s="4"/>
      <c r="X29" s="4"/>
      <c r="Y29" s="4"/>
      <c r="Z29" s="4"/>
    </row>
    <row r="30">
      <c r="A30" s="59">
        <v>24.0</v>
      </c>
      <c r="B30" s="62" t="s">
        <v>147</v>
      </c>
      <c r="C30" s="63" t="s">
        <v>148</v>
      </c>
      <c r="D30" s="59" t="s">
        <v>149</v>
      </c>
      <c r="E30" s="59">
        <v>1.0</v>
      </c>
      <c r="F30" s="59" t="s">
        <v>81</v>
      </c>
      <c r="G30" s="64">
        <v>1.4741958E7</v>
      </c>
      <c r="H30" s="65">
        <v>45814.0</v>
      </c>
      <c r="I30" s="66"/>
      <c r="J30" s="59" t="s">
        <v>150</v>
      </c>
      <c r="K30" s="66"/>
      <c r="L30" s="66"/>
      <c r="M30" s="66"/>
      <c r="N30" s="66"/>
      <c r="O30" s="66"/>
      <c r="P30" s="66"/>
      <c r="Q30" s="66"/>
      <c r="R30" s="4"/>
      <c r="S30" s="4"/>
      <c r="T30" s="4"/>
      <c r="U30" s="4"/>
      <c r="V30" s="4"/>
      <c r="W30" s="4"/>
      <c r="X30" s="4"/>
      <c r="Y30" s="4"/>
      <c r="Z30" s="4"/>
    </row>
    <row r="31">
      <c r="A31" s="59">
        <v>25.0</v>
      </c>
      <c r="B31" s="62" t="s">
        <v>153</v>
      </c>
      <c r="C31" s="63" t="s">
        <v>154</v>
      </c>
      <c r="D31" s="66"/>
      <c r="E31" s="59">
        <v>4.0</v>
      </c>
      <c r="F31" s="59" t="s">
        <v>32</v>
      </c>
      <c r="G31" s="64">
        <v>6.8525000789E11</v>
      </c>
      <c r="H31" s="65">
        <v>45819.0</v>
      </c>
      <c r="I31" s="66"/>
      <c r="J31" s="59">
        <v>2719.0</v>
      </c>
      <c r="K31" s="66"/>
      <c r="L31" s="66"/>
      <c r="M31" s="66"/>
      <c r="N31" s="66"/>
      <c r="O31" s="66"/>
      <c r="P31" s="66"/>
      <c r="Q31" s="66"/>
      <c r="R31" s="4"/>
      <c r="S31" s="4"/>
      <c r="T31" s="4"/>
      <c r="U31" s="4"/>
      <c r="V31" s="4"/>
      <c r="W31" s="4"/>
      <c r="X31" s="4"/>
      <c r="Y31" s="4"/>
      <c r="Z31" s="4"/>
    </row>
    <row r="32">
      <c r="A32" s="59">
        <v>26.0</v>
      </c>
      <c r="B32" s="62" t="s">
        <v>156</v>
      </c>
      <c r="C32" s="63" t="s">
        <v>157</v>
      </c>
      <c r="D32" s="66"/>
      <c r="E32" s="59">
        <v>1.0</v>
      </c>
      <c r="F32" s="59" t="s">
        <v>81</v>
      </c>
      <c r="G32" s="64">
        <v>6.93250000848E11</v>
      </c>
      <c r="H32" s="65">
        <v>45821.0</v>
      </c>
      <c r="I32" s="66"/>
      <c r="J32" s="59">
        <v>2732.0</v>
      </c>
      <c r="K32" s="66"/>
      <c r="L32" s="62" t="s">
        <v>158</v>
      </c>
      <c r="M32" s="59" t="s">
        <v>159</v>
      </c>
      <c r="N32" s="62" t="s">
        <v>160</v>
      </c>
      <c r="O32" s="66"/>
      <c r="P32" s="87">
        <v>45876.0</v>
      </c>
      <c r="Q32" s="66"/>
      <c r="R32" s="4"/>
      <c r="S32" s="4"/>
      <c r="T32" s="4"/>
      <c r="U32" s="4"/>
      <c r="V32" s="4"/>
      <c r="W32" s="4"/>
      <c r="X32" s="4"/>
      <c r="Y32" s="4"/>
      <c r="Z32" s="4"/>
    </row>
    <row r="33">
      <c r="A33" s="59">
        <v>27.0</v>
      </c>
      <c r="B33" s="62" t="s">
        <v>161</v>
      </c>
      <c r="C33" s="63" t="s">
        <v>162</v>
      </c>
      <c r="D33" s="59" t="s">
        <v>31</v>
      </c>
      <c r="E33" s="59">
        <v>1.0</v>
      </c>
      <c r="F33" s="59" t="s">
        <v>32</v>
      </c>
      <c r="G33" s="64">
        <v>3.13250016636E11</v>
      </c>
      <c r="H33" s="65">
        <v>45824.0</v>
      </c>
      <c r="I33" s="66"/>
      <c r="J33" s="59">
        <v>2740.0</v>
      </c>
      <c r="K33" s="66"/>
      <c r="L33" s="66"/>
      <c r="M33" s="66"/>
      <c r="N33" s="66"/>
      <c r="O33" s="66"/>
      <c r="P33" s="66"/>
      <c r="Q33" s="66"/>
      <c r="R33" s="4"/>
      <c r="S33" s="4"/>
      <c r="T33" s="4"/>
      <c r="U33" s="4"/>
      <c r="V33" s="4"/>
      <c r="W33" s="4"/>
      <c r="X33" s="4"/>
      <c r="Y33" s="4"/>
      <c r="Z33" s="4"/>
    </row>
    <row r="34">
      <c r="A34" s="59">
        <v>28.0</v>
      </c>
      <c r="B34" s="62" t="s">
        <v>165</v>
      </c>
      <c r="C34" s="63" t="s">
        <v>167</v>
      </c>
      <c r="D34" s="59">
        <v>890716.0</v>
      </c>
      <c r="E34" s="59">
        <v>1.0</v>
      </c>
      <c r="F34" s="59" t="s">
        <v>81</v>
      </c>
      <c r="G34" s="64">
        <v>1.4791313E7</v>
      </c>
      <c r="H34" s="65">
        <v>45825.0</v>
      </c>
      <c r="I34" s="66"/>
      <c r="J34" s="59">
        <v>2720.0</v>
      </c>
      <c r="K34" s="66"/>
      <c r="L34" s="66"/>
      <c r="M34" s="66"/>
      <c r="N34" s="66"/>
      <c r="O34" s="66"/>
      <c r="P34" s="66"/>
      <c r="Q34" s="66"/>
      <c r="R34" s="4"/>
      <c r="S34" s="4"/>
      <c r="T34" s="4"/>
      <c r="U34" s="4"/>
      <c r="V34" s="4"/>
      <c r="W34" s="4"/>
      <c r="X34" s="4"/>
      <c r="Y34" s="4"/>
      <c r="Z34" s="4"/>
    </row>
    <row r="35">
      <c r="A35" s="92">
        <v>29.0</v>
      </c>
      <c r="B35" s="94" t="s">
        <v>172</v>
      </c>
      <c r="C35" s="95" t="s">
        <v>174</v>
      </c>
      <c r="D35" s="92" t="s">
        <v>31</v>
      </c>
      <c r="E35" s="92">
        <v>1.0</v>
      </c>
      <c r="F35" s="92" t="s">
        <v>32</v>
      </c>
      <c r="G35" s="96">
        <v>1.4915782E7</v>
      </c>
      <c r="H35" s="97">
        <v>45836.0</v>
      </c>
      <c r="I35" s="100"/>
      <c r="J35" s="92">
        <v>2740.0</v>
      </c>
      <c r="K35" s="100"/>
      <c r="L35" s="100"/>
      <c r="M35" s="100"/>
      <c r="N35" s="100"/>
      <c r="O35" s="100"/>
      <c r="P35" s="100"/>
      <c r="Q35" s="100"/>
      <c r="R35" s="103"/>
      <c r="S35" s="103"/>
      <c r="T35" s="103"/>
      <c r="U35" s="103"/>
      <c r="V35" s="103"/>
      <c r="W35" s="103"/>
      <c r="X35" s="103"/>
      <c r="Y35" s="103"/>
      <c r="Z35" s="103"/>
    </row>
    <row r="36">
      <c r="A36" s="59">
        <v>30.0</v>
      </c>
      <c r="B36" s="62" t="s">
        <v>179</v>
      </c>
      <c r="C36" s="63" t="s">
        <v>180</v>
      </c>
      <c r="D36" s="59" t="s">
        <v>31</v>
      </c>
      <c r="E36" s="59">
        <v>2.0</v>
      </c>
      <c r="F36" s="59" t="s">
        <v>32</v>
      </c>
      <c r="G36" s="64">
        <v>3.96250014839E11</v>
      </c>
      <c r="H36" s="65">
        <v>45839.0</v>
      </c>
      <c r="I36" s="66"/>
      <c r="J36" s="59">
        <v>2733.0</v>
      </c>
      <c r="K36" s="66"/>
      <c r="L36" s="62" t="s">
        <v>181</v>
      </c>
      <c r="M36" s="59" t="s">
        <v>182</v>
      </c>
      <c r="N36" s="62" t="s">
        <v>184</v>
      </c>
      <c r="O36" s="66"/>
      <c r="P36" s="87">
        <v>45912.0</v>
      </c>
      <c r="Q36" s="66"/>
      <c r="R36" s="4"/>
      <c r="S36" s="4"/>
      <c r="T36" s="4"/>
      <c r="U36" s="4"/>
      <c r="V36" s="4"/>
      <c r="W36" s="4"/>
      <c r="X36" s="4"/>
      <c r="Y36" s="4"/>
      <c r="Z36" s="4"/>
    </row>
    <row r="37">
      <c r="A37" s="59">
        <v>31.0</v>
      </c>
      <c r="B37" s="62" t="s">
        <v>185</v>
      </c>
      <c r="C37" s="63" t="s">
        <v>180</v>
      </c>
      <c r="D37" s="59" t="s">
        <v>31</v>
      </c>
      <c r="E37" s="59">
        <v>2.0</v>
      </c>
      <c r="F37" s="59" t="s">
        <v>32</v>
      </c>
      <c r="G37" s="64">
        <v>3.9625001484E11</v>
      </c>
      <c r="H37" s="65">
        <v>45839.0</v>
      </c>
      <c r="I37" s="66"/>
      <c r="J37" s="59">
        <v>2733.0</v>
      </c>
      <c r="K37" s="66"/>
      <c r="L37" s="66"/>
      <c r="M37" s="66"/>
      <c r="N37" s="66"/>
      <c r="O37" s="66"/>
      <c r="P37" s="66"/>
      <c r="Q37" s="66"/>
      <c r="R37" s="4"/>
      <c r="S37" s="4"/>
      <c r="T37" s="4"/>
      <c r="U37" s="4"/>
      <c r="V37" s="4"/>
      <c r="W37" s="4"/>
      <c r="X37" s="4"/>
      <c r="Y37" s="4"/>
      <c r="Z37" s="4"/>
    </row>
    <row r="38">
      <c r="A38" s="59">
        <v>32.0</v>
      </c>
      <c r="B38" s="62" t="s">
        <v>189</v>
      </c>
      <c r="C38" s="63" t="s">
        <v>190</v>
      </c>
      <c r="D38" s="59" t="s">
        <v>31</v>
      </c>
      <c r="E38" s="59">
        <v>1.0</v>
      </c>
      <c r="F38" s="59" t="s">
        <v>32</v>
      </c>
      <c r="G38" s="64">
        <v>1.4966758E7</v>
      </c>
      <c r="H38" s="65">
        <v>45845.0</v>
      </c>
      <c r="I38" s="66"/>
      <c r="J38" s="59">
        <v>2703.0</v>
      </c>
      <c r="K38" s="66"/>
      <c r="L38" s="62" t="s">
        <v>189</v>
      </c>
      <c r="M38" s="59" t="s">
        <v>191</v>
      </c>
      <c r="N38" s="62" t="s">
        <v>192</v>
      </c>
      <c r="O38" s="66"/>
      <c r="P38" s="87">
        <v>45912.0</v>
      </c>
      <c r="Q38" s="66"/>
      <c r="R38" s="4"/>
      <c r="S38" s="4"/>
      <c r="T38" s="4"/>
      <c r="U38" s="4"/>
      <c r="V38" s="4"/>
      <c r="W38" s="4"/>
      <c r="X38" s="4"/>
      <c r="Y38" s="4"/>
      <c r="Z38" s="4"/>
    </row>
    <row r="39">
      <c r="A39" s="59">
        <v>33.0</v>
      </c>
      <c r="B39" s="62" t="s">
        <v>194</v>
      </c>
      <c r="C39" s="63" t="s">
        <v>195</v>
      </c>
      <c r="D39" s="59" t="s">
        <v>31</v>
      </c>
      <c r="E39" s="59">
        <v>1.0</v>
      </c>
      <c r="F39" s="59" t="s">
        <v>32</v>
      </c>
      <c r="G39" s="64">
        <v>1.5057806E7</v>
      </c>
      <c r="H39" s="65">
        <v>45856.0</v>
      </c>
      <c r="I39" s="66"/>
      <c r="J39" s="59">
        <v>2709.0</v>
      </c>
      <c r="K39" s="66"/>
      <c r="L39" s="66"/>
      <c r="M39" s="66"/>
      <c r="N39" s="66"/>
      <c r="O39" s="66"/>
      <c r="P39" s="66"/>
      <c r="Q39" s="66"/>
      <c r="R39" s="4"/>
      <c r="S39" s="4"/>
      <c r="T39" s="4"/>
      <c r="U39" s="4"/>
      <c r="V39" s="4"/>
      <c r="W39" s="4"/>
      <c r="X39" s="4"/>
      <c r="Y39" s="4"/>
      <c r="Z39" s="4"/>
    </row>
    <row r="40">
      <c r="A40" s="59">
        <v>34.0</v>
      </c>
      <c r="B40" s="62" t="s">
        <v>198</v>
      </c>
      <c r="C40" s="63" t="s">
        <v>200</v>
      </c>
      <c r="D40" s="59" t="s">
        <v>31</v>
      </c>
      <c r="E40" s="59">
        <v>1.0</v>
      </c>
      <c r="F40" s="59" t="s">
        <v>32</v>
      </c>
      <c r="G40" s="64">
        <v>1.5057808E7</v>
      </c>
      <c r="H40" s="65">
        <v>45856.0</v>
      </c>
      <c r="I40" s="66"/>
      <c r="J40" s="59">
        <v>2709.0</v>
      </c>
      <c r="K40" s="66"/>
      <c r="L40" s="62" t="s">
        <v>198</v>
      </c>
      <c r="M40" s="59" t="s">
        <v>201</v>
      </c>
      <c r="N40" s="62" t="s">
        <v>203</v>
      </c>
      <c r="O40" s="66"/>
      <c r="P40" s="87">
        <v>45912.0</v>
      </c>
      <c r="Q40" s="66"/>
      <c r="R40" s="4"/>
      <c r="S40" s="4"/>
      <c r="T40" s="4"/>
      <c r="U40" s="4"/>
      <c r="V40" s="4"/>
      <c r="W40" s="4"/>
      <c r="X40" s="4"/>
      <c r="Y40" s="4"/>
      <c r="Z40" s="4"/>
    </row>
    <row r="41">
      <c r="A41" s="59">
        <v>35.0</v>
      </c>
      <c r="B41" s="62" t="s">
        <v>205</v>
      </c>
      <c r="C41" s="63" t="s">
        <v>206</v>
      </c>
      <c r="D41" s="59" t="s">
        <v>31</v>
      </c>
      <c r="E41" s="59">
        <v>2.0</v>
      </c>
      <c r="F41" s="59" t="s">
        <v>32</v>
      </c>
      <c r="G41" s="64">
        <v>1.5062865E7</v>
      </c>
      <c r="H41" s="65">
        <v>45856.0</v>
      </c>
      <c r="I41" s="66"/>
      <c r="J41" s="59">
        <v>2709.0</v>
      </c>
      <c r="K41" s="66"/>
      <c r="L41" s="62" t="s">
        <v>205</v>
      </c>
      <c r="M41" s="59" t="s">
        <v>208</v>
      </c>
      <c r="N41" s="62" t="s">
        <v>203</v>
      </c>
      <c r="O41" s="66"/>
      <c r="P41" s="87">
        <v>45912.0</v>
      </c>
      <c r="Q41" s="66"/>
      <c r="R41" s="4"/>
      <c r="S41" s="4"/>
      <c r="T41" s="4"/>
      <c r="U41" s="4"/>
      <c r="V41" s="4"/>
      <c r="W41" s="4"/>
      <c r="X41" s="4"/>
      <c r="Y41" s="4"/>
      <c r="Z41" s="4"/>
    </row>
    <row r="42">
      <c r="A42" s="59">
        <v>36.0</v>
      </c>
      <c r="B42" s="62" t="s">
        <v>209</v>
      </c>
      <c r="C42" s="63" t="s">
        <v>206</v>
      </c>
      <c r="D42" s="59" t="s">
        <v>31</v>
      </c>
      <c r="E42" s="59">
        <v>3.0</v>
      </c>
      <c r="F42" s="59" t="s">
        <v>32</v>
      </c>
      <c r="G42" s="64">
        <v>1.5062866E7</v>
      </c>
      <c r="H42" s="65">
        <v>45856.0</v>
      </c>
      <c r="I42" s="66"/>
      <c r="J42" s="59">
        <v>2709.0</v>
      </c>
      <c r="K42" s="66"/>
      <c r="L42" s="62" t="s">
        <v>209</v>
      </c>
      <c r="M42" s="59" t="s">
        <v>211</v>
      </c>
      <c r="N42" s="62" t="s">
        <v>203</v>
      </c>
      <c r="O42" s="66"/>
      <c r="P42" s="87">
        <v>45912.0</v>
      </c>
      <c r="Q42" s="66"/>
      <c r="R42" s="4"/>
      <c r="S42" s="4"/>
      <c r="T42" s="4"/>
      <c r="U42" s="4"/>
      <c r="V42" s="4"/>
      <c r="W42" s="4"/>
      <c r="X42" s="4"/>
      <c r="Y42" s="4"/>
      <c r="Z42" s="4"/>
    </row>
    <row r="43">
      <c r="A43" s="59">
        <v>37.0</v>
      </c>
      <c r="B43" s="62" t="s">
        <v>213</v>
      </c>
      <c r="C43" s="63" t="s">
        <v>214</v>
      </c>
      <c r="D43" s="59" t="s">
        <v>31</v>
      </c>
      <c r="E43" s="59">
        <v>10.0</v>
      </c>
      <c r="F43" s="59" t="s">
        <v>32</v>
      </c>
      <c r="G43" s="64">
        <v>1.5062867E7</v>
      </c>
      <c r="H43" s="65">
        <v>45856.0</v>
      </c>
      <c r="I43" s="66"/>
      <c r="J43" s="59">
        <v>2709.0</v>
      </c>
      <c r="K43" s="66"/>
      <c r="L43" s="62" t="s">
        <v>213</v>
      </c>
      <c r="M43" s="59" t="s">
        <v>216</v>
      </c>
      <c r="N43" s="62" t="s">
        <v>203</v>
      </c>
      <c r="O43" s="66"/>
      <c r="P43" s="87">
        <v>45912.0</v>
      </c>
      <c r="Q43" s="66"/>
      <c r="R43" s="4"/>
      <c r="S43" s="4"/>
      <c r="T43" s="4"/>
      <c r="U43" s="4"/>
      <c r="V43" s="4"/>
      <c r="W43" s="4"/>
      <c r="X43" s="4"/>
      <c r="Y43" s="4"/>
      <c r="Z43" s="4"/>
    </row>
    <row r="44">
      <c r="A44" s="59">
        <v>38.0</v>
      </c>
      <c r="B44" s="62" t="s">
        <v>217</v>
      </c>
      <c r="C44" s="63" t="s">
        <v>218</v>
      </c>
      <c r="D44" s="59" t="s">
        <v>31</v>
      </c>
      <c r="E44" s="59">
        <v>3.0</v>
      </c>
      <c r="F44" s="59" t="s">
        <v>32</v>
      </c>
      <c r="G44" s="64">
        <v>1.506179E7</v>
      </c>
      <c r="H44" s="65">
        <v>45856.0</v>
      </c>
      <c r="I44" s="66"/>
      <c r="J44" s="59">
        <v>2709.0</v>
      </c>
      <c r="K44" s="66"/>
      <c r="L44" s="62" t="s">
        <v>217</v>
      </c>
      <c r="M44" s="59" t="s">
        <v>201</v>
      </c>
      <c r="N44" s="62" t="s">
        <v>203</v>
      </c>
      <c r="O44" s="66"/>
      <c r="P44" s="87">
        <v>45912.0</v>
      </c>
      <c r="Q44" s="66"/>
      <c r="R44" s="4"/>
      <c r="S44" s="4"/>
      <c r="T44" s="4"/>
      <c r="U44" s="4"/>
      <c r="V44" s="4"/>
      <c r="W44" s="4"/>
      <c r="X44" s="4"/>
      <c r="Y44" s="4"/>
      <c r="Z44" s="4"/>
    </row>
    <row r="45">
      <c r="A45" s="59">
        <v>39.0</v>
      </c>
      <c r="B45" s="62" t="s">
        <v>222</v>
      </c>
      <c r="C45" s="63" t="s">
        <v>223</v>
      </c>
      <c r="D45" s="59" t="s">
        <v>31</v>
      </c>
      <c r="E45" s="59">
        <v>10.0</v>
      </c>
      <c r="F45" s="59" t="s">
        <v>32</v>
      </c>
      <c r="G45" s="64">
        <v>1.514398E7</v>
      </c>
      <c r="H45" s="65">
        <v>45866.0</v>
      </c>
      <c r="I45" s="66"/>
      <c r="J45" s="59">
        <v>2709.0</v>
      </c>
      <c r="K45" s="66"/>
      <c r="L45" s="62" t="s">
        <v>222</v>
      </c>
      <c r="M45" s="59" t="s">
        <v>225</v>
      </c>
      <c r="N45" s="62" t="s">
        <v>226</v>
      </c>
      <c r="O45" s="66"/>
      <c r="P45" s="87">
        <v>45916.0</v>
      </c>
      <c r="Q45" s="66"/>
      <c r="R45" s="4"/>
      <c r="S45" s="4"/>
      <c r="T45" s="4"/>
      <c r="U45" s="4"/>
      <c r="V45" s="4"/>
      <c r="W45" s="4"/>
      <c r="X45" s="4"/>
      <c r="Y45" s="4"/>
      <c r="Z45" s="4"/>
    </row>
    <row r="46">
      <c r="A46" s="59">
        <v>40.0</v>
      </c>
      <c r="B46" s="62" t="s">
        <v>87</v>
      </c>
      <c r="C46" s="63" t="s">
        <v>88</v>
      </c>
      <c r="D46" s="59" t="s">
        <v>31</v>
      </c>
      <c r="E46" s="59">
        <v>2.0</v>
      </c>
      <c r="F46" s="59" t="s">
        <v>32</v>
      </c>
      <c r="G46" s="64">
        <v>1.5143981E7</v>
      </c>
      <c r="H46" s="65">
        <v>45866.0</v>
      </c>
      <c r="I46" s="66"/>
      <c r="J46" s="59">
        <v>2709.0</v>
      </c>
      <c r="K46" s="66"/>
      <c r="L46" s="66"/>
      <c r="M46" s="66"/>
      <c r="N46" s="66"/>
      <c r="O46" s="66"/>
      <c r="P46" s="66"/>
      <c r="Q46" s="66"/>
      <c r="R46" s="4"/>
      <c r="S46" s="4"/>
      <c r="T46" s="4"/>
      <c r="U46" s="4"/>
      <c r="V46" s="4"/>
      <c r="W46" s="4"/>
      <c r="X46" s="4"/>
      <c r="Y46" s="4"/>
      <c r="Z46" s="4"/>
    </row>
    <row r="47">
      <c r="A47" s="59">
        <v>41.0</v>
      </c>
      <c r="B47" s="62" t="s">
        <v>217</v>
      </c>
      <c r="C47" s="63" t="s">
        <v>218</v>
      </c>
      <c r="D47" s="59" t="s">
        <v>31</v>
      </c>
      <c r="E47" s="59">
        <v>2.0</v>
      </c>
      <c r="F47" s="59" t="s">
        <v>32</v>
      </c>
      <c r="G47" s="64">
        <v>1.5143982E7</v>
      </c>
      <c r="H47" s="65">
        <v>45866.0</v>
      </c>
      <c r="I47" s="66"/>
      <c r="J47" s="59">
        <v>2709.0</v>
      </c>
      <c r="K47" s="66"/>
      <c r="L47" s="62" t="s">
        <v>217</v>
      </c>
      <c r="M47" s="59" t="s">
        <v>201</v>
      </c>
      <c r="N47" s="62" t="s">
        <v>203</v>
      </c>
      <c r="O47" s="66"/>
      <c r="P47" s="87">
        <v>45912.0</v>
      </c>
      <c r="Q47" s="66"/>
      <c r="R47" s="4"/>
      <c r="S47" s="4"/>
      <c r="T47" s="4"/>
      <c r="U47" s="4"/>
      <c r="V47" s="4"/>
      <c r="W47" s="4"/>
      <c r="X47" s="4"/>
      <c r="Y47" s="4"/>
      <c r="Z47" s="4"/>
    </row>
    <row r="48">
      <c r="A48" s="59">
        <v>42.0</v>
      </c>
      <c r="B48" s="62" t="s">
        <v>235</v>
      </c>
      <c r="C48" s="63" t="s">
        <v>236</v>
      </c>
      <c r="D48" s="59">
        <v>17365.0</v>
      </c>
      <c r="E48" s="59">
        <v>1.0</v>
      </c>
      <c r="F48" s="59" t="s">
        <v>81</v>
      </c>
      <c r="G48" s="64">
        <v>1.5143983E7</v>
      </c>
      <c r="H48" s="65">
        <v>45866.0</v>
      </c>
      <c r="I48" s="66"/>
      <c r="J48" s="59">
        <v>2709.0</v>
      </c>
      <c r="K48" s="66"/>
      <c r="L48" s="66"/>
      <c r="M48" s="66"/>
      <c r="N48" s="66"/>
      <c r="O48" s="66"/>
      <c r="P48" s="66"/>
      <c r="Q48" s="66"/>
      <c r="R48" s="4"/>
      <c r="S48" s="4"/>
      <c r="T48" s="4"/>
      <c r="U48" s="4"/>
      <c r="V48" s="4"/>
      <c r="W48" s="4"/>
      <c r="X48" s="4"/>
      <c r="Y48" s="4"/>
      <c r="Z48" s="4"/>
    </row>
    <row r="49">
      <c r="A49" s="59">
        <v>43.0</v>
      </c>
      <c r="B49" s="62" t="s">
        <v>238</v>
      </c>
      <c r="C49" s="63" t="s">
        <v>239</v>
      </c>
      <c r="D49" s="59">
        <v>6966.0</v>
      </c>
      <c r="E49" s="59">
        <v>1.0</v>
      </c>
      <c r="F49" s="59" t="s">
        <v>81</v>
      </c>
      <c r="G49" s="64">
        <v>1.5143998E7</v>
      </c>
      <c r="H49" s="65">
        <v>45866.0</v>
      </c>
      <c r="I49" s="66"/>
      <c r="J49" s="59">
        <v>2709.0</v>
      </c>
      <c r="K49" s="66"/>
      <c r="L49" s="62" t="s">
        <v>243</v>
      </c>
      <c r="M49" s="59" t="s">
        <v>244</v>
      </c>
      <c r="N49" s="62" t="s">
        <v>245</v>
      </c>
      <c r="O49" s="66"/>
      <c r="P49" s="89">
        <v>46002.0</v>
      </c>
      <c r="Q49" s="66"/>
      <c r="R49" s="4"/>
      <c r="S49" s="4"/>
      <c r="T49" s="4"/>
      <c r="U49" s="4"/>
      <c r="V49" s="4"/>
      <c r="W49" s="4"/>
      <c r="X49" s="4"/>
      <c r="Y49" s="4"/>
      <c r="Z49" s="4"/>
    </row>
    <row r="50">
      <c r="A50" s="59">
        <v>44.0</v>
      </c>
      <c r="B50" s="62" t="s">
        <v>247</v>
      </c>
      <c r="C50" s="63" t="s">
        <v>248</v>
      </c>
      <c r="D50" s="59">
        <v>2.200519E7</v>
      </c>
      <c r="E50" s="59">
        <v>1.0</v>
      </c>
      <c r="F50" s="59" t="s">
        <v>81</v>
      </c>
      <c r="G50" s="64">
        <v>3.13250016954E11</v>
      </c>
      <c r="H50" s="65">
        <v>45882.0</v>
      </c>
      <c r="I50" s="66"/>
      <c r="J50" s="59">
        <v>2740.0</v>
      </c>
      <c r="K50" s="66"/>
      <c r="L50" s="66"/>
      <c r="M50" s="66"/>
      <c r="N50" s="66"/>
      <c r="O50" s="66"/>
      <c r="P50" s="66"/>
      <c r="Q50" s="66"/>
      <c r="R50" s="4"/>
      <c r="S50" s="4"/>
      <c r="T50" s="4"/>
      <c r="U50" s="4"/>
      <c r="V50" s="4"/>
      <c r="W50" s="4"/>
      <c r="X50" s="4"/>
      <c r="Y50" s="4"/>
      <c r="Z50" s="4"/>
    </row>
    <row r="51">
      <c r="A51" s="59">
        <v>45.0</v>
      </c>
      <c r="B51" s="62" t="s">
        <v>250</v>
      </c>
      <c r="C51" s="63" t="s">
        <v>251</v>
      </c>
      <c r="D51" s="59" t="s">
        <v>31</v>
      </c>
      <c r="E51" s="59">
        <v>4.0</v>
      </c>
      <c r="F51" s="59" t="s">
        <v>32</v>
      </c>
      <c r="G51" s="64">
        <v>1.5274927E7</v>
      </c>
      <c r="H51" s="65">
        <v>45882.0</v>
      </c>
      <c r="I51" s="66"/>
      <c r="J51" s="59">
        <v>2709.0</v>
      </c>
      <c r="K51" s="66"/>
      <c r="L51" s="66"/>
      <c r="M51" s="66"/>
      <c r="N51" s="66"/>
      <c r="O51" s="66"/>
      <c r="P51" s="66"/>
      <c r="Q51" s="66"/>
      <c r="R51" s="4"/>
      <c r="S51" s="4"/>
      <c r="T51" s="4"/>
      <c r="U51" s="4"/>
      <c r="V51" s="4"/>
      <c r="W51" s="4"/>
      <c r="X51" s="4"/>
      <c r="Y51" s="4"/>
      <c r="Z51" s="4"/>
    </row>
    <row r="52">
      <c r="A52" s="59">
        <v>46.0</v>
      </c>
      <c r="B52" s="62" t="s">
        <v>253</v>
      </c>
      <c r="C52" s="63" t="s">
        <v>255</v>
      </c>
      <c r="D52" s="59" t="s">
        <v>31</v>
      </c>
      <c r="E52" s="59">
        <v>2.0</v>
      </c>
      <c r="F52" s="59" t="s">
        <v>32</v>
      </c>
      <c r="G52" s="64">
        <v>1.5329914E7</v>
      </c>
      <c r="H52" s="65">
        <v>45890.0</v>
      </c>
      <c r="I52" s="66"/>
      <c r="J52" s="59">
        <v>2723.0</v>
      </c>
      <c r="K52" s="66"/>
      <c r="L52" s="62" t="s">
        <v>257</v>
      </c>
      <c r="M52" s="59" t="s">
        <v>130</v>
      </c>
      <c r="N52" s="62" t="s">
        <v>258</v>
      </c>
      <c r="O52" s="66"/>
      <c r="P52" s="89">
        <v>45944.0</v>
      </c>
      <c r="Q52" s="66"/>
      <c r="R52" s="4"/>
      <c r="S52" s="4"/>
      <c r="T52" s="4"/>
      <c r="U52" s="4"/>
      <c r="V52" s="4"/>
      <c r="W52" s="4"/>
      <c r="X52" s="4"/>
      <c r="Y52" s="4"/>
      <c r="Z52" s="4"/>
    </row>
    <row r="53">
      <c r="A53" s="59">
        <v>47.0</v>
      </c>
      <c r="B53" s="62" t="s">
        <v>260</v>
      </c>
      <c r="C53" s="63" t="s">
        <v>261</v>
      </c>
      <c r="D53" s="59" t="s">
        <v>31</v>
      </c>
      <c r="E53" s="59">
        <v>1.0</v>
      </c>
      <c r="F53" s="59" t="s">
        <v>32</v>
      </c>
      <c r="G53" s="64">
        <v>3.13250016991E11</v>
      </c>
      <c r="H53" s="65">
        <v>45903.0</v>
      </c>
      <c r="I53" s="66"/>
      <c r="J53" s="59">
        <v>2737.0</v>
      </c>
      <c r="K53" s="66"/>
      <c r="L53" s="66"/>
      <c r="M53" s="66"/>
      <c r="N53" s="66"/>
      <c r="O53" s="66"/>
      <c r="P53" s="66"/>
      <c r="Q53" s="66"/>
      <c r="R53" s="4"/>
      <c r="S53" s="4"/>
      <c r="T53" s="4"/>
      <c r="U53" s="4"/>
      <c r="V53" s="4"/>
      <c r="W53" s="4"/>
      <c r="X53" s="4"/>
      <c r="Y53" s="4"/>
      <c r="Z53" s="4"/>
    </row>
    <row r="54">
      <c r="A54" s="59">
        <v>48.0</v>
      </c>
      <c r="B54" s="62" t="s">
        <v>264</v>
      </c>
      <c r="C54" s="63" t="s">
        <v>265</v>
      </c>
      <c r="D54" s="59" t="s">
        <v>31</v>
      </c>
      <c r="E54" s="59">
        <v>1.0</v>
      </c>
      <c r="F54" s="59" t="s">
        <v>32</v>
      </c>
      <c r="G54" s="64">
        <v>1.5453227E7</v>
      </c>
      <c r="H54" s="65">
        <v>45904.0</v>
      </c>
      <c r="I54" s="66"/>
      <c r="J54" s="59">
        <v>2722.0</v>
      </c>
      <c r="K54" s="66"/>
      <c r="L54" s="66"/>
      <c r="M54" s="66"/>
      <c r="N54" s="66"/>
      <c r="O54" s="66"/>
      <c r="P54" s="66"/>
      <c r="Q54" s="66"/>
      <c r="R54" s="4"/>
      <c r="S54" s="4"/>
      <c r="T54" s="4"/>
      <c r="U54" s="4"/>
      <c r="V54" s="4"/>
      <c r="W54" s="4"/>
      <c r="X54" s="4"/>
      <c r="Y54" s="4"/>
      <c r="Z54" s="4"/>
    </row>
    <row r="55">
      <c r="A55" s="59">
        <v>49.0</v>
      </c>
      <c r="B55" s="62" t="s">
        <v>267</v>
      </c>
      <c r="C55" s="63" t="s">
        <v>269</v>
      </c>
      <c r="D55" s="59" t="s">
        <v>270</v>
      </c>
      <c r="E55" s="59">
        <v>1.0</v>
      </c>
      <c r="F55" s="59" t="s">
        <v>81</v>
      </c>
      <c r="G55" s="64">
        <v>1.5576074E7</v>
      </c>
      <c r="H55" s="65">
        <v>45912.0</v>
      </c>
      <c r="I55" s="66"/>
      <c r="J55" s="59">
        <v>2728.0</v>
      </c>
      <c r="K55" s="66"/>
      <c r="L55" s="66"/>
      <c r="M55" s="66"/>
      <c r="N55" s="66"/>
      <c r="O55" s="66"/>
      <c r="P55" s="66"/>
      <c r="Q55" s="66"/>
      <c r="R55" s="4"/>
      <c r="S55" s="4"/>
      <c r="T55" s="4"/>
      <c r="U55" s="4"/>
      <c r="V55" s="4"/>
      <c r="W55" s="4"/>
      <c r="X55" s="4"/>
      <c r="Y55" s="4"/>
      <c r="Z55" s="4"/>
    </row>
    <row r="56">
      <c r="A56" s="59">
        <v>50.0</v>
      </c>
      <c r="B56" s="62" t="s">
        <v>275</v>
      </c>
      <c r="C56" s="63" t="s">
        <v>276</v>
      </c>
      <c r="D56" s="59" t="s">
        <v>31</v>
      </c>
      <c r="E56" s="59">
        <v>10.0</v>
      </c>
      <c r="F56" s="59" t="s">
        <v>32</v>
      </c>
      <c r="G56" s="64">
        <v>3.86250012764E11</v>
      </c>
      <c r="H56" s="65">
        <v>45925.0</v>
      </c>
      <c r="I56" s="66"/>
      <c r="J56" s="59">
        <v>2743.0</v>
      </c>
      <c r="K56" s="66"/>
      <c r="L56" s="66"/>
      <c r="M56" s="66"/>
      <c r="N56" s="66"/>
      <c r="O56" s="66"/>
      <c r="P56" s="66"/>
      <c r="Q56" s="66"/>
      <c r="R56" s="4"/>
      <c r="S56" s="4"/>
      <c r="T56" s="4"/>
      <c r="U56" s="4"/>
      <c r="V56" s="4"/>
      <c r="W56" s="4"/>
      <c r="X56" s="4"/>
      <c r="Y56" s="4"/>
      <c r="Z56" s="4"/>
    </row>
    <row r="57">
      <c r="A57" s="59">
        <v>51.0</v>
      </c>
      <c r="B57" s="62" t="s">
        <v>282</v>
      </c>
      <c r="C57" s="63" t="s">
        <v>283</v>
      </c>
      <c r="D57" s="59" t="s">
        <v>284</v>
      </c>
      <c r="E57" s="59">
        <v>1.0</v>
      </c>
      <c r="F57" s="59" t="s">
        <v>32</v>
      </c>
      <c r="G57" s="64">
        <v>3.1325001706E11</v>
      </c>
      <c r="H57" s="65">
        <v>45924.0</v>
      </c>
      <c r="I57" s="66"/>
      <c r="J57" s="59">
        <v>2737.0</v>
      </c>
      <c r="K57" s="66"/>
      <c r="L57" s="66"/>
      <c r="M57" s="66"/>
      <c r="N57" s="66"/>
      <c r="O57" s="66"/>
      <c r="P57" s="66"/>
      <c r="Q57" s="66"/>
      <c r="R57" s="4"/>
      <c r="S57" s="4"/>
      <c r="T57" s="4"/>
      <c r="U57" s="4"/>
      <c r="V57" s="4"/>
      <c r="W57" s="4"/>
      <c r="X57" s="4"/>
      <c r="Y57" s="4"/>
      <c r="Z57" s="4"/>
    </row>
    <row r="58">
      <c r="A58" s="59">
        <v>52.0</v>
      </c>
      <c r="B58" s="62" t="s">
        <v>288</v>
      </c>
      <c r="C58" s="63" t="s">
        <v>289</v>
      </c>
      <c r="D58" s="59" t="s">
        <v>31</v>
      </c>
      <c r="E58" s="59">
        <v>1.0</v>
      </c>
      <c r="F58" s="59" t="s">
        <v>32</v>
      </c>
      <c r="G58" s="64">
        <v>3.13250017063E11</v>
      </c>
      <c r="H58" s="65">
        <v>45930.0</v>
      </c>
      <c r="I58" s="66"/>
      <c r="J58" s="59">
        <v>2736.0</v>
      </c>
      <c r="K58" s="66"/>
      <c r="L58" s="66"/>
      <c r="M58" s="66"/>
      <c r="N58" s="66"/>
      <c r="O58" s="66"/>
      <c r="P58" s="66"/>
      <c r="Q58" s="66"/>
      <c r="R58" s="4"/>
      <c r="S58" s="4"/>
      <c r="T58" s="4"/>
      <c r="U58" s="4"/>
      <c r="V58" s="4"/>
      <c r="W58" s="4"/>
      <c r="X58" s="4"/>
      <c r="Y58" s="4"/>
      <c r="Z58" s="4"/>
    </row>
    <row r="59">
      <c r="A59" s="59">
        <v>53.0</v>
      </c>
      <c r="B59" s="62" t="s">
        <v>292</v>
      </c>
      <c r="C59" s="63" t="s">
        <v>293</v>
      </c>
      <c r="D59" s="59" t="s">
        <v>31</v>
      </c>
      <c r="E59" s="59">
        <v>1.0</v>
      </c>
      <c r="F59" s="59" t="s">
        <v>32</v>
      </c>
      <c r="G59" s="64">
        <v>6.85250009964E11</v>
      </c>
      <c r="H59" s="65">
        <v>45930.0</v>
      </c>
      <c r="I59" s="66"/>
      <c r="J59" s="59">
        <v>2728.0</v>
      </c>
      <c r="K59" s="66"/>
      <c r="L59" s="66"/>
      <c r="M59" s="66"/>
      <c r="N59" s="66"/>
      <c r="O59" s="66"/>
      <c r="P59" s="66"/>
      <c r="Q59" s="66"/>
      <c r="R59" s="4"/>
      <c r="S59" s="4"/>
      <c r="T59" s="4"/>
      <c r="U59" s="4"/>
      <c r="V59" s="4"/>
      <c r="W59" s="4"/>
      <c r="X59" s="4"/>
      <c r="Y59" s="4"/>
      <c r="Z59" s="4"/>
    </row>
    <row r="60">
      <c r="A60" s="59">
        <v>54.0</v>
      </c>
      <c r="B60" s="62" t="s">
        <v>297</v>
      </c>
      <c r="C60" s="63" t="s">
        <v>299</v>
      </c>
      <c r="D60" s="59">
        <v>729.0</v>
      </c>
      <c r="E60" s="59">
        <v>1.0</v>
      </c>
      <c r="F60" s="59" t="s">
        <v>81</v>
      </c>
      <c r="G60" s="64">
        <v>1.5737266E7</v>
      </c>
      <c r="H60" s="65">
        <v>45931.0</v>
      </c>
      <c r="I60" s="66"/>
      <c r="J60" s="59">
        <v>2719.0</v>
      </c>
      <c r="K60" s="66"/>
      <c r="L60" s="66"/>
      <c r="M60" s="66"/>
      <c r="N60" s="66"/>
      <c r="O60" s="66"/>
      <c r="P60" s="66"/>
      <c r="Q60" s="66"/>
      <c r="R60" s="4"/>
      <c r="S60" s="4"/>
      <c r="T60" s="4"/>
      <c r="U60" s="4"/>
      <c r="V60" s="4"/>
      <c r="W60" s="4"/>
      <c r="X60" s="4"/>
      <c r="Y60" s="4"/>
      <c r="Z60" s="4"/>
    </row>
    <row r="61">
      <c r="A61" s="59">
        <v>55.0</v>
      </c>
      <c r="B61" s="62" t="s">
        <v>301</v>
      </c>
      <c r="C61" s="63" t="s">
        <v>302</v>
      </c>
      <c r="D61" s="59">
        <v>10.0</v>
      </c>
      <c r="E61" s="59">
        <v>1.0</v>
      </c>
      <c r="F61" s="59" t="s">
        <v>81</v>
      </c>
      <c r="G61" s="64">
        <v>1.5737271E7</v>
      </c>
      <c r="H61" s="65">
        <v>45931.0</v>
      </c>
      <c r="I61" s="66"/>
      <c r="J61" s="59">
        <v>2719.0</v>
      </c>
      <c r="K61" s="66"/>
      <c r="L61" s="66"/>
      <c r="M61" s="66"/>
      <c r="N61" s="66"/>
      <c r="O61" s="66"/>
      <c r="P61" s="66"/>
      <c r="Q61" s="66"/>
      <c r="R61" s="4"/>
      <c r="S61" s="4"/>
      <c r="T61" s="4"/>
      <c r="U61" s="4"/>
      <c r="V61" s="4"/>
      <c r="W61" s="4"/>
      <c r="X61" s="4"/>
      <c r="Y61" s="4"/>
      <c r="Z61" s="4"/>
    </row>
    <row r="62">
      <c r="A62" s="59">
        <v>56.0</v>
      </c>
      <c r="B62" s="62">
        <v>52283.0</v>
      </c>
      <c r="C62" s="63" t="s">
        <v>306</v>
      </c>
      <c r="D62" s="59" t="s">
        <v>31</v>
      </c>
      <c r="E62" s="59">
        <v>2.0</v>
      </c>
      <c r="F62" s="59" t="s">
        <v>32</v>
      </c>
      <c r="G62" s="64">
        <v>1.5735958E7</v>
      </c>
      <c r="H62" s="65">
        <v>45931.0</v>
      </c>
      <c r="I62" s="66"/>
      <c r="J62" s="59">
        <v>2719.0</v>
      </c>
      <c r="K62" s="66"/>
      <c r="L62" s="66"/>
      <c r="M62" s="66"/>
      <c r="N62" s="66"/>
      <c r="O62" s="66"/>
      <c r="P62" s="66"/>
      <c r="Q62" s="66"/>
      <c r="R62" s="4"/>
      <c r="S62" s="4"/>
      <c r="T62" s="4"/>
      <c r="U62" s="4"/>
      <c r="V62" s="4"/>
      <c r="W62" s="4"/>
      <c r="X62" s="4"/>
      <c r="Y62" s="4"/>
      <c r="Z62" s="4"/>
    </row>
    <row r="63">
      <c r="A63" s="59">
        <v>57.0</v>
      </c>
      <c r="B63" s="62" t="s">
        <v>310</v>
      </c>
      <c r="C63" s="63" t="s">
        <v>311</v>
      </c>
      <c r="D63" s="59" t="s">
        <v>31</v>
      </c>
      <c r="E63" s="59">
        <v>1.0</v>
      </c>
      <c r="F63" s="59" t="s">
        <v>32</v>
      </c>
      <c r="G63" s="64">
        <v>1.5746456E7</v>
      </c>
      <c r="H63" s="65">
        <v>45931.0</v>
      </c>
      <c r="I63" s="66"/>
      <c r="J63" s="59">
        <v>2723.0</v>
      </c>
      <c r="K63" s="66"/>
      <c r="L63" s="66"/>
      <c r="M63" s="66"/>
      <c r="N63" s="66"/>
      <c r="O63" s="66"/>
      <c r="P63" s="66"/>
      <c r="Q63" s="66"/>
      <c r="R63" s="4"/>
      <c r="S63" s="4"/>
      <c r="T63" s="4"/>
      <c r="U63" s="4"/>
      <c r="V63" s="4"/>
      <c r="W63" s="4"/>
      <c r="X63" s="4"/>
      <c r="Y63" s="4"/>
      <c r="Z63" s="4"/>
    </row>
    <row r="64">
      <c r="A64" s="59">
        <v>58.0</v>
      </c>
      <c r="B64" s="62" t="s">
        <v>313</v>
      </c>
      <c r="C64" s="63" t="s">
        <v>314</v>
      </c>
      <c r="D64" s="59" t="s">
        <v>315</v>
      </c>
      <c r="E64" s="59">
        <v>1.0</v>
      </c>
      <c r="F64" s="59" t="s">
        <v>81</v>
      </c>
      <c r="G64" s="64">
        <v>1.5787463E7</v>
      </c>
      <c r="H64" s="65">
        <v>45937.0</v>
      </c>
      <c r="I64" s="66"/>
      <c r="J64" s="59">
        <v>2728.0</v>
      </c>
      <c r="K64" s="66"/>
      <c r="L64" s="62" t="s">
        <v>313</v>
      </c>
      <c r="M64" s="59" t="s">
        <v>317</v>
      </c>
      <c r="N64" s="62" t="s">
        <v>318</v>
      </c>
      <c r="O64" s="66"/>
      <c r="P64" s="87">
        <v>45965.0</v>
      </c>
      <c r="Q64" s="66"/>
      <c r="R64" s="4"/>
      <c r="S64" s="4"/>
      <c r="T64" s="4"/>
      <c r="U64" s="4"/>
      <c r="V64" s="4"/>
      <c r="W64" s="4"/>
      <c r="X64" s="4"/>
      <c r="Y64" s="4"/>
      <c r="Z64" s="4"/>
    </row>
    <row r="65">
      <c r="A65" s="59">
        <v>59.0</v>
      </c>
      <c r="B65" s="62" t="s">
        <v>322</v>
      </c>
      <c r="C65" s="63" t="s">
        <v>283</v>
      </c>
      <c r="D65" s="59" t="s">
        <v>31</v>
      </c>
      <c r="E65" s="59">
        <v>1.0</v>
      </c>
      <c r="F65" s="59" t="s">
        <v>32</v>
      </c>
      <c r="G65" s="64">
        <v>3.13250017009E11</v>
      </c>
      <c r="H65" s="65">
        <v>45938.0</v>
      </c>
      <c r="I65" s="66"/>
      <c r="J65" s="59">
        <v>2737.0</v>
      </c>
      <c r="K65" s="66"/>
      <c r="L65" s="66"/>
      <c r="M65" s="66"/>
      <c r="N65" s="66"/>
      <c r="O65" s="66"/>
      <c r="P65" s="66"/>
      <c r="Q65" s="66"/>
      <c r="R65" s="4"/>
      <c r="S65" s="4"/>
      <c r="T65" s="4"/>
      <c r="U65" s="4"/>
      <c r="V65" s="4"/>
      <c r="W65" s="4"/>
      <c r="X65" s="4"/>
      <c r="Y65" s="4"/>
      <c r="Z65" s="4"/>
    </row>
    <row r="66">
      <c r="A66" s="59">
        <v>60.0</v>
      </c>
      <c r="B66" s="62" t="s">
        <v>325</v>
      </c>
      <c r="C66" s="63" t="s">
        <v>326</v>
      </c>
      <c r="D66" s="59" t="s">
        <v>31</v>
      </c>
      <c r="E66" s="59">
        <v>1.0</v>
      </c>
      <c r="F66" s="59" t="s">
        <v>32</v>
      </c>
      <c r="G66" s="64">
        <v>1.578152E7</v>
      </c>
      <c r="H66" s="65">
        <v>45939.0</v>
      </c>
      <c r="I66" s="66"/>
      <c r="J66" s="59">
        <v>2719.0</v>
      </c>
      <c r="K66" s="66"/>
      <c r="L66" s="66"/>
      <c r="M66" s="66"/>
      <c r="N66" s="66"/>
      <c r="O66" s="66"/>
      <c r="P66" s="66"/>
      <c r="Q66" s="66"/>
      <c r="R66" s="4"/>
      <c r="S66" s="4"/>
      <c r="T66" s="4"/>
      <c r="U66" s="4"/>
      <c r="V66" s="4"/>
      <c r="W66" s="4"/>
      <c r="X66" s="4"/>
      <c r="Y66" s="4"/>
      <c r="Z66" s="4"/>
    </row>
    <row r="67">
      <c r="A67" s="59">
        <v>61.0</v>
      </c>
      <c r="B67" s="62" t="s">
        <v>327</v>
      </c>
      <c r="C67" s="63" t="s">
        <v>328</v>
      </c>
      <c r="D67" s="59" t="s">
        <v>31</v>
      </c>
      <c r="E67" s="59">
        <v>2.0</v>
      </c>
      <c r="F67" s="59" t="s">
        <v>32</v>
      </c>
      <c r="G67" s="64">
        <v>1.5781491E7</v>
      </c>
      <c r="H67" s="65">
        <v>45939.0</v>
      </c>
      <c r="I67" s="66"/>
      <c r="J67" s="59">
        <v>2719.0</v>
      </c>
      <c r="K67" s="66"/>
      <c r="L67" s="66"/>
      <c r="M67" s="66"/>
      <c r="N67" s="66"/>
      <c r="O67" s="66"/>
      <c r="P67" s="66"/>
      <c r="Q67" s="66"/>
      <c r="R67" s="4"/>
      <c r="S67" s="4"/>
      <c r="T67" s="4"/>
      <c r="U67" s="4"/>
      <c r="V67" s="4"/>
      <c r="W67" s="4"/>
      <c r="X67" s="4"/>
      <c r="Y67" s="4"/>
      <c r="Z67" s="4"/>
    </row>
    <row r="68">
      <c r="A68" s="59">
        <v>62.0</v>
      </c>
      <c r="B68" s="62" t="s">
        <v>327</v>
      </c>
      <c r="C68" s="63" t="s">
        <v>328</v>
      </c>
      <c r="D68" s="59" t="s">
        <v>31</v>
      </c>
      <c r="E68" s="59">
        <v>2.0</v>
      </c>
      <c r="F68" s="59" t="s">
        <v>32</v>
      </c>
      <c r="G68" s="64">
        <v>1.5781465E7</v>
      </c>
      <c r="H68" s="65">
        <v>45939.0</v>
      </c>
      <c r="I68" s="66"/>
      <c r="J68" s="59">
        <v>2728.0</v>
      </c>
      <c r="K68" s="66"/>
      <c r="L68" s="66"/>
      <c r="M68" s="66"/>
      <c r="N68" s="66"/>
      <c r="O68" s="66"/>
      <c r="P68" s="66"/>
      <c r="Q68" s="66"/>
      <c r="R68" s="4"/>
      <c r="S68" s="4"/>
      <c r="T68" s="4"/>
      <c r="U68" s="4"/>
      <c r="V68" s="4"/>
      <c r="W68" s="4"/>
      <c r="X68" s="4"/>
      <c r="Y68" s="4"/>
      <c r="Z68" s="4"/>
    </row>
    <row r="69">
      <c r="A69" s="59">
        <v>63.0</v>
      </c>
      <c r="B69" s="62" t="s">
        <v>331</v>
      </c>
      <c r="C69" s="63" t="s">
        <v>332</v>
      </c>
      <c r="D69" s="59" t="s">
        <v>31</v>
      </c>
      <c r="E69" s="59">
        <v>8.0</v>
      </c>
      <c r="F69" s="59" t="s">
        <v>32</v>
      </c>
      <c r="G69" s="64">
        <v>1.5815693E7</v>
      </c>
      <c r="H69" s="124">
        <v>45940.0</v>
      </c>
      <c r="I69" s="66"/>
      <c r="J69" s="59">
        <v>2719.0</v>
      </c>
      <c r="K69" s="66"/>
      <c r="L69" s="66"/>
      <c r="M69" s="66"/>
      <c r="N69" s="66"/>
      <c r="O69" s="66"/>
      <c r="P69" s="66"/>
      <c r="Q69" s="66"/>
      <c r="R69" s="4"/>
      <c r="S69" s="4"/>
      <c r="T69" s="4"/>
      <c r="U69" s="4"/>
      <c r="V69" s="4"/>
      <c r="W69" s="4"/>
      <c r="X69" s="4"/>
      <c r="Y69" s="4"/>
      <c r="Z69" s="4"/>
    </row>
    <row r="70">
      <c r="A70" s="59">
        <v>64.0</v>
      </c>
      <c r="B70" s="62" t="s">
        <v>335</v>
      </c>
      <c r="C70" s="63" t="s">
        <v>336</v>
      </c>
      <c r="D70" s="59" t="s">
        <v>31</v>
      </c>
      <c r="E70" s="59">
        <v>40.0</v>
      </c>
      <c r="F70" s="59" t="s">
        <v>32</v>
      </c>
      <c r="G70" s="64">
        <v>3.86250012806E11</v>
      </c>
      <c r="H70" s="124">
        <v>45943.0</v>
      </c>
      <c r="I70" s="66"/>
      <c r="J70" s="59">
        <v>2743.0</v>
      </c>
      <c r="K70" s="66"/>
      <c r="L70" s="66"/>
      <c r="M70" s="66"/>
      <c r="N70" s="66"/>
      <c r="O70" s="66"/>
      <c r="P70" s="66"/>
      <c r="Q70" s="66"/>
      <c r="R70" s="4"/>
      <c r="S70" s="4"/>
      <c r="T70" s="4"/>
      <c r="U70" s="4"/>
      <c r="V70" s="4"/>
      <c r="W70" s="4"/>
      <c r="X70" s="4"/>
      <c r="Y70" s="4"/>
      <c r="Z70" s="4"/>
    </row>
    <row r="71">
      <c r="A71" s="59">
        <v>65.0</v>
      </c>
      <c r="B71" s="62" t="s">
        <v>337</v>
      </c>
      <c r="C71" s="63" t="s">
        <v>339</v>
      </c>
      <c r="D71" s="59" t="s">
        <v>31</v>
      </c>
      <c r="E71" s="59">
        <v>1.0</v>
      </c>
      <c r="F71" s="59" t="s">
        <v>81</v>
      </c>
      <c r="G71" s="64">
        <v>1.5832582E7</v>
      </c>
      <c r="H71" s="124">
        <v>45943.0</v>
      </c>
      <c r="I71" s="66"/>
      <c r="J71" s="59">
        <v>2708.0</v>
      </c>
      <c r="K71" s="66"/>
      <c r="L71" s="66"/>
      <c r="M71" s="66"/>
      <c r="N71" s="66"/>
      <c r="O71" s="66"/>
      <c r="P71" s="66"/>
      <c r="Q71" s="66"/>
      <c r="R71" s="4"/>
      <c r="S71" s="4"/>
      <c r="T71" s="4"/>
      <c r="U71" s="4"/>
      <c r="V71" s="4"/>
      <c r="W71" s="4"/>
      <c r="X71" s="4"/>
      <c r="Y71" s="4"/>
      <c r="Z71" s="4"/>
    </row>
    <row r="72">
      <c r="A72" s="59">
        <v>66.0</v>
      </c>
      <c r="B72" s="62" t="s">
        <v>341</v>
      </c>
      <c r="C72" s="63" t="s">
        <v>342</v>
      </c>
      <c r="D72" s="59" t="s">
        <v>31</v>
      </c>
      <c r="E72" s="59">
        <v>2.0</v>
      </c>
      <c r="F72" s="59" t="s">
        <v>32</v>
      </c>
      <c r="G72" s="64">
        <v>1.5820993E7</v>
      </c>
      <c r="H72" s="124">
        <v>45943.0</v>
      </c>
      <c r="I72" s="66"/>
      <c r="J72" s="59">
        <v>2709.0</v>
      </c>
      <c r="K72" s="66"/>
      <c r="L72" s="66"/>
      <c r="M72" s="66"/>
      <c r="N72" s="66"/>
      <c r="O72" s="66"/>
      <c r="P72" s="66"/>
      <c r="Q72" s="66"/>
      <c r="R72" s="4"/>
      <c r="S72" s="4"/>
      <c r="T72" s="4"/>
      <c r="U72" s="4"/>
      <c r="V72" s="4"/>
      <c r="W72" s="4"/>
      <c r="X72" s="4"/>
      <c r="Y72" s="4"/>
      <c r="Z72" s="4"/>
    </row>
    <row r="73">
      <c r="A73" s="59">
        <v>67.0</v>
      </c>
      <c r="B73" s="62" t="s">
        <v>344</v>
      </c>
      <c r="C73" s="63" t="s">
        <v>345</v>
      </c>
      <c r="D73" s="59">
        <v>3.4173442E7</v>
      </c>
      <c r="E73" s="59">
        <v>1.0</v>
      </c>
      <c r="F73" s="59" t="s">
        <v>54</v>
      </c>
      <c r="G73" s="64">
        <v>1.5983589E7</v>
      </c>
      <c r="H73" s="124">
        <v>45961.0</v>
      </c>
      <c r="I73" s="66"/>
      <c r="J73" s="59">
        <v>2739.0</v>
      </c>
      <c r="K73" s="66"/>
      <c r="L73" s="66"/>
      <c r="M73" s="66"/>
      <c r="N73" s="66"/>
      <c r="O73" s="66"/>
      <c r="P73" s="66"/>
      <c r="Q73" s="66"/>
      <c r="R73" s="4"/>
      <c r="S73" s="4"/>
      <c r="T73" s="4"/>
      <c r="U73" s="4"/>
      <c r="V73" s="4"/>
      <c r="W73" s="4"/>
      <c r="X73" s="4"/>
      <c r="Y73" s="4"/>
      <c r="Z73" s="4"/>
    </row>
    <row r="74">
      <c r="A74" s="59">
        <v>68.0</v>
      </c>
      <c r="B74" s="62" t="s">
        <v>348</v>
      </c>
      <c r="C74" s="63" t="s">
        <v>349</v>
      </c>
      <c r="D74" s="59" t="s">
        <v>31</v>
      </c>
      <c r="E74" s="59">
        <v>2.0</v>
      </c>
      <c r="F74" s="59" t="s">
        <v>32</v>
      </c>
      <c r="G74" s="64">
        <v>1.5996602E7</v>
      </c>
      <c r="H74" s="65">
        <v>45965.0</v>
      </c>
      <c r="I74" s="66"/>
      <c r="J74" s="59">
        <v>2727.0</v>
      </c>
      <c r="K74" s="66"/>
      <c r="L74" s="66"/>
      <c r="M74" s="66"/>
      <c r="N74" s="66"/>
      <c r="O74" s="66"/>
      <c r="P74" s="66"/>
      <c r="Q74" s="66"/>
      <c r="R74" s="4"/>
      <c r="S74" s="4"/>
      <c r="T74" s="4"/>
      <c r="U74" s="4"/>
      <c r="V74" s="4"/>
      <c r="W74" s="4"/>
      <c r="X74" s="4"/>
      <c r="Y74" s="4"/>
      <c r="Z74" s="4"/>
    </row>
    <row r="75">
      <c r="A75" s="59">
        <v>69.0</v>
      </c>
      <c r="B75" s="62" t="s">
        <v>352</v>
      </c>
      <c r="C75" s="63" t="s">
        <v>353</v>
      </c>
      <c r="D75" s="59" t="s">
        <v>31</v>
      </c>
      <c r="E75" s="59">
        <v>1.0</v>
      </c>
      <c r="F75" s="59" t="s">
        <v>32</v>
      </c>
      <c r="G75" s="64">
        <v>6.90250002091E11</v>
      </c>
      <c r="H75" s="65">
        <v>45965.0</v>
      </c>
      <c r="I75" s="66"/>
      <c r="J75" s="59">
        <v>2727.0</v>
      </c>
      <c r="K75" s="66"/>
      <c r="L75" s="66"/>
      <c r="M75" s="66"/>
      <c r="N75" s="66"/>
      <c r="O75" s="66"/>
      <c r="P75" s="66"/>
      <c r="Q75" s="66"/>
      <c r="R75" s="4"/>
      <c r="S75" s="4"/>
      <c r="T75" s="4"/>
      <c r="U75" s="4"/>
      <c r="V75" s="4"/>
      <c r="W75" s="4"/>
      <c r="X75" s="4"/>
      <c r="Y75" s="4"/>
      <c r="Z75" s="4"/>
    </row>
    <row r="76">
      <c r="A76" s="59">
        <v>70.0</v>
      </c>
      <c r="B76" s="62" t="s">
        <v>355</v>
      </c>
      <c r="C76" s="63" t="s">
        <v>356</v>
      </c>
      <c r="D76" s="59" t="s">
        <v>31</v>
      </c>
      <c r="E76" s="59">
        <v>1.0</v>
      </c>
      <c r="F76" s="59" t="s">
        <v>81</v>
      </c>
      <c r="G76" s="64">
        <v>3.86250012861E11</v>
      </c>
      <c r="H76" s="65">
        <v>45965.0</v>
      </c>
      <c r="I76" s="66"/>
      <c r="J76" s="59">
        <v>2743.0</v>
      </c>
      <c r="K76" s="66"/>
      <c r="L76" s="66"/>
      <c r="M76" s="66"/>
      <c r="N76" s="66"/>
      <c r="O76" s="66"/>
      <c r="P76" s="66"/>
      <c r="Q76" s="66"/>
      <c r="R76" s="4"/>
      <c r="S76" s="4"/>
      <c r="T76" s="4"/>
      <c r="U76" s="4"/>
      <c r="V76" s="4"/>
      <c r="W76" s="4"/>
      <c r="X76" s="4"/>
      <c r="Y76" s="4"/>
      <c r="Z76" s="4"/>
    </row>
    <row r="77">
      <c r="A77" s="59">
        <v>71.0</v>
      </c>
      <c r="B77" s="62" t="s">
        <v>358</v>
      </c>
      <c r="C77" s="63" t="s">
        <v>360</v>
      </c>
      <c r="D77" s="59" t="s">
        <v>31</v>
      </c>
      <c r="E77" s="59">
        <v>2.0</v>
      </c>
      <c r="F77" s="59" t="s">
        <v>32</v>
      </c>
      <c r="G77" s="64">
        <v>1.6026728E7</v>
      </c>
      <c r="H77" s="65">
        <v>45967.0</v>
      </c>
      <c r="I77" s="66"/>
      <c r="J77" s="59">
        <v>2709.0</v>
      </c>
      <c r="K77" s="66"/>
      <c r="L77" s="66"/>
      <c r="M77" s="66"/>
      <c r="N77" s="66"/>
      <c r="O77" s="66"/>
      <c r="P77" s="66"/>
      <c r="Q77" s="66"/>
      <c r="R77" s="4"/>
      <c r="S77" s="4"/>
      <c r="T77" s="4"/>
      <c r="U77" s="4"/>
      <c r="V77" s="4"/>
      <c r="W77" s="4"/>
      <c r="X77" s="4"/>
      <c r="Y77" s="4"/>
      <c r="Z77" s="4"/>
    </row>
    <row r="78">
      <c r="A78" s="59">
        <v>72.0</v>
      </c>
      <c r="B78" s="62" t="s">
        <v>362</v>
      </c>
      <c r="C78" s="63" t="s">
        <v>363</v>
      </c>
      <c r="D78" s="59" t="s">
        <v>31</v>
      </c>
      <c r="E78" s="59">
        <v>2.0</v>
      </c>
      <c r="F78" s="59" t="s">
        <v>32</v>
      </c>
      <c r="G78" s="64">
        <v>6.85250010171E11</v>
      </c>
      <c r="H78" s="65">
        <v>45967.0</v>
      </c>
      <c r="I78" s="66"/>
      <c r="J78" s="59">
        <v>2728.0</v>
      </c>
      <c r="K78" s="66"/>
      <c r="L78" s="66"/>
      <c r="M78" s="66"/>
      <c r="N78" s="66"/>
      <c r="O78" s="66"/>
      <c r="P78" s="66"/>
      <c r="Q78" s="66"/>
      <c r="R78" s="4"/>
      <c r="S78" s="4"/>
      <c r="T78" s="4"/>
      <c r="U78" s="4"/>
      <c r="V78" s="4"/>
      <c r="W78" s="4"/>
      <c r="X78" s="4"/>
      <c r="Y78" s="4"/>
      <c r="Z78" s="4"/>
    </row>
    <row r="79">
      <c r="A79" s="59">
        <v>73.0</v>
      </c>
      <c r="B79" s="62" t="s">
        <v>364</v>
      </c>
      <c r="C79" s="63" t="s">
        <v>363</v>
      </c>
      <c r="D79" s="59" t="s">
        <v>31</v>
      </c>
      <c r="E79" s="59">
        <v>2.0</v>
      </c>
      <c r="F79" s="59" t="s">
        <v>32</v>
      </c>
      <c r="G79" s="64">
        <v>1.6016631E7</v>
      </c>
      <c r="H79" s="65">
        <v>45967.0</v>
      </c>
      <c r="I79" s="66"/>
      <c r="J79" s="59">
        <v>2728.0</v>
      </c>
      <c r="K79" s="66"/>
      <c r="L79" s="66"/>
      <c r="M79" s="66"/>
      <c r="N79" s="66"/>
      <c r="O79" s="66"/>
      <c r="P79" s="66"/>
      <c r="Q79" s="66"/>
      <c r="R79" s="4"/>
      <c r="S79" s="4"/>
      <c r="T79" s="4"/>
      <c r="U79" s="4"/>
      <c r="V79" s="4"/>
      <c r="W79" s="4"/>
      <c r="X79" s="4"/>
      <c r="Y79" s="4"/>
      <c r="Z79" s="4"/>
    </row>
    <row r="80">
      <c r="A80" s="59">
        <v>74.0</v>
      </c>
      <c r="B80" s="62" t="s">
        <v>366</v>
      </c>
      <c r="C80" s="63" t="s">
        <v>367</v>
      </c>
      <c r="D80" s="59" t="s">
        <v>31</v>
      </c>
      <c r="E80" s="59">
        <v>2.0</v>
      </c>
      <c r="F80" s="59" t="s">
        <v>32</v>
      </c>
      <c r="G80" s="64">
        <v>3.13250017133E11</v>
      </c>
      <c r="H80" s="65">
        <v>45967.0</v>
      </c>
      <c r="I80" s="66"/>
      <c r="J80" s="59">
        <v>2736.0</v>
      </c>
      <c r="K80" s="66"/>
      <c r="L80" s="66"/>
      <c r="M80" s="66"/>
      <c r="N80" s="66"/>
      <c r="O80" s="66"/>
      <c r="P80" s="66"/>
      <c r="Q80" s="66"/>
      <c r="R80" s="4"/>
      <c r="S80" s="4"/>
      <c r="T80" s="4"/>
      <c r="U80" s="4"/>
      <c r="V80" s="4"/>
      <c r="W80" s="4"/>
      <c r="X80" s="4"/>
      <c r="Y80" s="4"/>
      <c r="Z80" s="4"/>
    </row>
    <row r="81">
      <c r="A81" s="59">
        <v>75.0</v>
      </c>
      <c r="B81" s="62" t="s">
        <v>369</v>
      </c>
      <c r="C81" s="63" t="s">
        <v>370</v>
      </c>
      <c r="D81" s="59" t="s">
        <v>31</v>
      </c>
      <c r="E81" s="59">
        <v>1.0</v>
      </c>
      <c r="F81" s="59" t="s">
        <v>81</v>
      </c>
      <c r="G81" s="64">
        <v>1.6043185E7</v>
      </c>
      <c r="H81" s="65">
        <v>45968.0</v>
      </c>
      <c r="I81" s="66"/>
      <c r="J81" s="59" t="s">
        <v>372</v>
      </c>
      <c r="K81" s="66"/>
      <c r="L81" s="66"/>
      <c r="M81" s="66"/>
      <c r="N81" s="66"/>
      <c r="O81" s="66"/>
      <c r="P81" s="66"/>
      <c r="Q81" s="66"/>
      <c r="R81" s="4"/>
      <c r="S81" s="4"/>
      <c r="T81" s="4"/>
      <c r="U81" s="4"/>
      <c r="V81" s="4"/>
      <c r="W81" s="4"/>
      <c r="X81" s="4"/>
      <c r="Y81" s="4"/>
      <c r="Z81" s="4"/>
    </row>
    <row r="82">
      <c r="A82" s="59">
        <v>76.0</v>
      </c>
      <c r="B82" s="62" t="s">
        <v>374</v>
      </c>
      <c r="C82" s="63" t="s">
        <v>370</v>
      </c>
      <c r="D82" s="59" t="s">
        <v>31</v>
      </c>
      <c r="E82" s="59">
        <v>3.0</v>
      </c>
      <c r="F82" s="59" t="s">
        <v>81</v>
      </c>
      <c r="G82" s="64">
        <v>1.6043186E7</v>
      </c>
      <c r="H82" s="65">
        <v>45968.0</v>
      </c>
      <c r="I82" s="66"/>
      <c r="J82" s="59" t="s">
        <v>372</v>
      </c>
      <c r="K82" s="66"/>
      <c r="L82" s="66"/>
      <c r="M82" s="66"/>
      <c r="N82" s="66"/>
      <c r="O82" s="66"/>
      <c r="P82" s="66"/>
      <c r="Q82" s="66"/>
      <c r="R82" s="4"/>
      <c r="S82" s="4"/>
      <c r="T82" s="4"/>
      <c r="U82" s="4"/>
      <c r="V82" s="4"/>
      <c r="W82" s="4"/>
      <c r="X82" s="4"/>
      <c r="Y82" s="4"/>
      <c r="Z82" s="4"/>
    </row>
    <row r="83">
      <c r="A83" s="59">
        <v>77.0</v>
      </c>
      <c r="B83" s="62" t="s">
        <v>378</v>
      </c>
      <c r="C83" s="63" t="s">
        <v>370</v>
      </c>
      <c r="D83" s="59" t="s">
        <v>31</v>
      </c>
      <c r="E83" s="59">
        <v>1.0</v>
      </c>
      <c r="F83" s="59" t="s">
        <v>81</v>
      </c>
      <c r="G83" s="64">
        <v>1.6043187E7</v>
      </c>
      <c r="H83" s="65">
        <v>45968.0</v>
      </c>
      <c r="I83" s="66"/>
      <c r="J83" s="59" t="s">
        <v>372</v>
      </c>
      <c r="K83" s="66"/>
      <c r="L83" s="66"/>
      <c r="M83" s="66"/>
      <c r="N83" s="66"/>
      <c r="O83" s="66"/>
      <c r="P83" s="66"/>
      <c r="Q83" s="66"/>
      <c r="R83" s="4"/>
      <c r="S83" s="4"/>
      <c r="T83" s="4"/>
      <c r="U83" s="4"/>
      <c r="V83" s="4"/>
      <c r="W83" s="4"/>
      <c r="X83" s="4"/>
      <c r="Y83" s="4"/>
      <c r="Z83" s="4"/>
    </row>
    <row r="84">
      <c r="A84" s="59">
        <v>78.0</v>
      </c>
      <c r="B84" s="62" t="s">
        <v>379</v>
      </c>
      <c r="C84" s="63" t="s">
        <v>370</v>
      </c>
      <c r="D84" s="59" t="s">
        <v>31</v>
      </c>
      <c r="E84" s="59">
        <v>1.0</v>
      </c>
      <c r="F84" s="59" t="s">
        <v>81</v>
      </c>
      <c r="G84" s="64">
        <v>1.6043188E7</v>
      </c>
      <c r="H84" s="65">
        <v>45968.0</v>
      </c>
      <c r="I84" s="66"/>
      <c r="J84" s="59" t="s">
        <v>372</v>
      </c>
      <c r="K84" s="66"/>
      <c r="L84" s="66"/>
      <c r="M84" s="66"/>
      <c r="N84" s="66"/>
      <c r="O84" s="66"/>
      <c r="P84" s="66"/>
      <c r="Q84" s="66"/>
      <c r="R84" s="4"/>
      <c r="S84" s="4"/>
      <c r="T84" s="4"/>
      <c r="U84" s="4"/>
      <c r="V84" s="4"/>
      <c r="W84" s="4"/>
      <c r="X84" s="4"/>
      <c r="Y84" s="4"/>
      <c r="Z84" s="4"/>
    </row>
    <row r="85">
      <c r="A85" s="59">
        <v>79.0</v>
      </c>
      <c r="B85" s="62" t="s">
        <v>383</v>
      </c>
      <c r="C85" s="63" t="s">
        <v>384</v>
      </c>
      <c r="D85" s="59" t="s">
        <v>31</v>
      </c>
      <c r="E85" s="59">
        <v>1.0</v>
      </c>
      <c r="F85" s="59" t="s">
        <v>32</v>
      </c>
      <c r="G85" s="64">
        <v>1.6043189E7</v>
      </c>
      <c r="H85" s="65">
        <v>45968.0</v>
      </c>
      <c r="I85" s="66"/>
      <c r="J85" s="59" t="s">
        <v>372</v>
      </c>
      <c r="K85" s="66"/>
      <c r="L85" s="66"/>
      <c r="M85" s="66"/>
      <c r="N85" s="66"/>
      <c r="O85" s="66"/>
      <c r="P85" s="66"/>
      <c r="Q85" s="66"/>
      <c r="R85" s="4"/>
      <c r="S85" s="4"/>
      <c r="T85" s="4"/>
      <c r="U85" s="4"/>
      <c r="V85" s="4"/>
      <c r="W85" s="4"/>
      <c r="X85" s="4"/>
      <c r="Y85" s="4"/>
      <c r="Z85" s="4"/>
    </row>
    <row r="86">
      <c r="A86" s="59">
        <v>80.0</v>
      </c>
      <c r="B86" s="62" t="s">
        <v>386</v>
      </c>
      <c r="C86" s="63" t="s">
        <v>388</v>
      </c>
      <c r="D86" s="59" t="s">
        <v>31</v>
      </c>
      <c r="E86" s="59">
        <v>1.0</v>
      </c>
      <c r="F86" s="59" t="s">
        <v>32</v>
      </c>
      <c r="G86" s="64">
        <v>1.605536E7</v>
      </c>
      <c r="H86" s="65">
        <v>45973.0</v>
      </c>
      <c r="I86" s="66"/>
      <c r="J86" s="59">
        <v>2738.0</v>
      </c>
      <c r="K86" s="66"/>
      <c r="L86" s="66"/>
      <c r="M86" s="66"/>
      <c r="N86" s="66"/>
      <c r="O86" s="66"/>
      <c r="P86" s="66"/>
      <c r="Q86" s="66"/>
      <c r="R86" s="4"/>
      <c r="S86" s="4"/>
      <c r="T86" s="4"/>
      <c r="U86" s="4"/>
      <c r="V86" s="4"/>
      <c r="W86" s="4"/>
      <c r="X86" s="4"/>
      <c r="Y86" s="4"/>
      <c r="Z86" s="4"/>
    </row>
    <row r="87">
      <c r="A87" s="59">
        <v>81.0</v>
      </c>
      <c r="B87" s="62" t="s">
        <v>390</v>
      </c>
      <c r="C87" s="63" t="s">
        <v>391</v>
      </c>
      <c r="D87" s="59" t="s">
        <v>31</v>
      </c>
      <c r="E87" s="59">
        <v>1.0</v>
      </c>
      <c r="F87" s="59" t="s">
        <v>32</v>
      </c>
      <c r="G87" s="64">
        <v>1.6075059E7</v>
      </c>
      <c r="H87" s="65">
        <v>45974.0</v>
      </c>
      <c r="I87" s="66"/>
      <c r="J87" s="59">
        <v>2742.0</v>
      </c>
      <c r="K87" s="66"/>
      <c r="L87" s="66"/>
      <c r="M87" s="66"/>
      <c r="N87" s="66"/>
      <c r="O87" s="66"/>
      <c r="P87" s="66"/>
      <c r="Q87" s="66"/>
      <c r="R87" s="4"/>
      <c r="S87" s="4"/>
      <c r="T87" s="4"/>
      <c r="U87" s="4"/>
      <c r="V87" s="4"/>
      <c r="W87" s="4"/>
      <c r="X87" s="4"/>
      <c r="Y87" s="4"/>
      <c r="Z87" s="4"/>
    </row>
    <row r="88">
      <c r="A88" s="59">
        <v>82.0</v>
      </c>
      <c r="B88" s="62" t="s">
        <v>394</v>
      </c>
      <c r="C88" s="63" t="s">
        <v>395</v>
      </c>
      <c r="D88" s="59" t="s">
        <v>31</v>
      </c>
      <c r="E88" s="59">
        <v>10.0</v>
      </c>
      <c r="F88" s="59" t="s">
        <v>32</v>
      </c>
      <c r="G88" s="64">
        <v>1.6026082E7</v>
      </c>
      <c r="H88" s="65">
        <v>45975.0</v>
      </c>
      <c r="I88" s="66"/>
      <c r="J88" s="59">
        <v>2722.0</v>
      </c>
      <c r="K88" s="66"/>
      <c r="L88" s="66"/>
      <c r="M88" s="66"/>
      <c r="N88" s="66"/>
      <c r="O88" s="66"/>
      <c r="P88" s="66"/>
      <c r="Q88" s="66"/>
      <c r="R88" s="4"/>
      <c r="S88" s="4"/>
      <c r="T88" s="4"/>
      <c r="U88" s="4"/>
      <c r="V88" s="4"/>
      <c r="W88" s="4"/>
      <c r="X88" s="4"/>
      <c r="Y88" s="4"/>
      <c r="Z88" s="4"/>
    </row>
    <row r="89">
      <c r="A89" s="59">
        <v>83.0</v>
      </c>
      <c r="B89" s="62" t="s">
        <v>397</v>
      </c>
      <c r="C89" s="63" t="s">
        <v>398</v>
      </c>
      <c r="D89" s="59" t="s">
        <v>31</v>
      </c>
      <c r="E89" s="59">
        <v>50.0</v>
      </c>
      <c r="F89" s="59" t="s">
        <v>32</v>
      </c>
      <c r="G89" s="64">
        <v>1.6089349E7</v>
      </c>
      <c r="H89" s="65">
        <v>45975.0</v>
      </c>
      <c r="I89" s="66"/>
      <c r="J89" s="59">
        <v>2722.0</v>
      </c>
      <c r="K89" s="66"/>
      <c r="L89" s="66"/>
      <c r="M89" s="66"/>
      <c r="N89" s="66"/>
      <c r="O89" s="66"/>
      <c r="P89" s="66"/>
      <c r="Q89" s="66"/>
      <c r="R89" s="4"/>
      <c r="S89" s="4"/>
      <c r="T89" s="4"/>
      <c r="U89" s="4"/>
      <c r="V89" s="4"/>
      <c r="W89" s="4"/>
      <c r="X89" s="4"/>
      <c r="Y89" s="4"/>
      <c r="Z89" s="4"/>
    </row>
    <row r="90">
      <c r="A90" s="59">
        <v>84.0</v>
      </c>
      <c r="B90" s="62" t="s">
        <v>400</v>
      </c>
      <c r="C90" s="63" t="s">
        <v>401</v>
      </c>
      <c r="D90" s="59">
        <v>35125.0</v>
      </c>
      <c r="E90" s="59">
        <v>1.0</v>
      </c>
      <c r="F90" s="59" t="s">
        <v>81</v>
      </c>
      <c r="G90" s="64">
        <v>1.6134646E7</v>
      </c>
      <c r="H90" s="65">
        <v>45982.0</v>
      </c>
      <c r="I90" s="66"/>
      <c r="J90" s="59">
        <v>2723.0</v>
      </c>
      <c r="K90" s="66"/>
      <c r="L90" s="66"/>
      <c r="M90" s="66"/>
      <c r="N90" s="66"/>
      <c r="O90" s="66"/>
      <c r="P90" s="66"/>
      <c r="Q90" s="66"/>
      <c r="R90" s="4"/>
      <c r="S90" s="4"/>
      <c r="T90" s="4"/>
      <c r="U90" s="4"/>
      <c r="V90" s="4"/>
      <c r="W90" s="4"/>
      <c r="X90" s="4"/>
      <c r="Y90" s="4"/>
      <c r="Z90" s="4"/>
    </row>
    <row r="91">
      <c r="A91" s="59">
        <v>85.0</v>
      </c>
      <c r="B91" s="62" t="s">
        <v>405</v>
      </c>
      <c r="C91" s="63" t="s">
        <v>406</v>
      </c>
      <c r="D91" s="59">
        <v>35104.0</v>
      </c>
      <c r="E91" s="59">
        <v>1.0</v>
      </c>
      <c r="F91" s="59" t="s">
        <v>81</v>
      </c>
      <c r="G91" s="64">
        <v>1.6134346E7</v>
      </c>
      <c r="H91" s="65">
        <v>45982.0</v>
      </c>
      <c r="I91" s="66"/>
      <c r="J91" s="59">
        <v>2723.0</v>
      </c>
      <c r="K91" s="66"/>
      <c r="L91" s="66"/>
      <c r="M91" s="66"/>
      <c r="N91" s="66"/>
      <c r="O91" s="66"/>
      <c r="P91" s="66"/>
      <c r="Q91" s="66"/>
      <c r="R91" s="4"/>
      <c r="S91" s="4"/>
      <c r="T91" s="4"/>
      <c r="U91" s="4"/>
      <c r="V91" s="4"/>
      <c r="W91" s="4"/>
      <c r="X91" s="4"/>
      <c r="Y91" s="4"/>
      <c r="Z91" s="4"/>
    </row>
    <row r="92">
      <c r="A92" s="59">
        <v>86.0</v>
      </c>
      <c r="B92" s="62" t="s">
        <v>409</v>
      </c>
      <c r="C92" s="63" t="s">
        <v>314</v>
      </c>
      <c r="D92" s="59" t="s">
        <v>410</v>
      </c>
      <c r="E92" s="59">
        <v>1.0</v>
      </c>
      <c r="F92" s="59" t="s">
        <v>81</v>
      </c>
      <c r="G92" s="64">
        <v>1.6146341E7</v>
      </c>
      <c r="H92" s="65">
        <v>45985.0</v>
      </c>
      <c r="I92" s="66"/>
      <c r="J92" s="59">
        <v>2709.0</v>
      </c>
      <c r="K92" s="66"/>
      <c r="L92" s="66"/>
      <c r="M92" s="66"/>
      <c r="N92" s="66"/>
      <c r="O92" s="66"/>
      <c r="P92" s="66"/>
      <c r="Q92" s="66"/>
      <c r="R92" s="4"/>
      <c r="S92" s="4"/>
      <c r="T92" s="4"/>
      <c r="U92" s="4"/>
      <c r="V92" s="4"/>
      <c r="W92" s="4"/>
      <c r="X92" s="4"/>
      <c r="Y92" s="4"/>
      <c r="Z92" s="4"/>
    </row>
    <row r="93">
      <c r="A93" s="59">
        <v>87.0</v>
      </c>
      <c r="B93" s="62" t="s">
        <v>172</v>
      </c>
      <c r="C93" s="63" t="s">
        <v>174</v>
      </c>
      <c r="D93" s="59" t="s">
        <v>414</v>
      </c>
      <c r="E93" s="59">
        <v>1.0</v>
      </c>
      <c r="F93" s="59" t="s">
        <v>32</v>
      </c>
      <c r="G93" s="64">
        <v>3.96250015798E11</v>
      </c>
      <c r="H93" s="65">
        <v>45985.0</v>
      </c>
      <c r="I93" s="66"/>
      <c r="J93" s="59">
        <v>2733.0</v>
      </c>
      <c r="K93" s="66"/>
      <c r="L93" s="66"/>
      <c r="M93" s="66"/>
      <c r="N93" s="66"/>
      <c r="O93" s="66"/>
      <c r="P93" s="66"/>
      <c r="Q93" s="66"/>
      <c r="R93" s="4"/>
      <c r="S93" s="4"/>
      <c r="T93" s="4"/>
      <c r="U93" s="4"/>
      <c r="V93" s="4"/>
      <c r="W93" s="4"/>
      <c r="X93" s="4"/>
      <c r="Y93" s="4"/>
      <c r="Z93" s="4"/>
    </row>
    <row r="94">
      <c r="A94" s="59">
        <v>88.0</v>
      </c>
      <c r="B94" s="62" t="s">
        <v>416</v>
      </c>
      <c r="C94" s="128"/>
      <c r="D94" s="66"/>
      <c r="E94" s="66"/>
      <c r="F94" s="66"/>
      <c r="G94" s="129"/>
      <c r="H94" s="130"/>
      <c r="I94" s="66"/>
      <c r="J94" s="66"/>
      <c r="K94" s="66"/>
      <c r="L94" s="66"/>
      <c r="M94" s="66"/>
      <c r="N94" s="62" t="s">
        <v>419</v>
      </c>
      <c r="O94" s="66"/>
      <c r="P94" s="66"/>
      <c r="Q94" s="66"/>
      <c r="R94" s="4"/>
      <c r="S94" s="4"/>
      <c r="T94" s="4"/>
      <c r="U94" s="4"/>
      <c r="V94" s="4"/>
      <c r="W94" s="4"/>
      <c r="X94" s="4"/>
      <c r="Y94" s="4"/>
      <c r="Z94" s="4"/>
    </row>
    <row r="95">
      <c r="A95" s="59">
        <v>89.0</v>
      </c>
      <c r="B95" s="66"/>
      <c r="C95" s="128"/>
      <c r="D95" s="66"/>
      <c r="E95" s="66"/>
      <c r="F95" s="66"/>
      <c r="G95" s="129"/>
      <c r="H95" s="130"/>
      <c r="I95" s="66"/>
      <c r="J95" s="66"/>
      <c r="K95" s="66"/>
      <c r="L95" s="66"/>
      <c r="M95" s="66"/>
      <c r="N95" s="62" t="s">
        <v>419</v>
      </c>
      <c r="O95" s="66"/>
      <c r="P95" s="66"/>
      <c r="Q95" s="66"/>
      <c r="R95" s="4"/>
      <c r="S95" s="4"/>
      <c r="T95" s="4"/>
      <c r="U95" s="4"/>
      <c r="V95" s="4"/>
      <c r="W95" s="4"/>
      <c r="X95" s="4"/>
      <c r="Y95" s="4"/>
      <c r="Z95" s="4"/>
    </row>
    <row r="96">
      <c r="A96" s="59">
        <v>90.0</v>
      </c>
      <c r="B96" s="66"/>
      <c r="C96" s="128"/>
      <c r="D96" s="66"/>
      <c r="E96" s="66"/>
      <c r="F96" s="66"/>
      <c r="G96" s="129"/>
      <c r="H96" s="130"/>
      <c r="I96" s="66"/>
      <c r="J96" s="66"/>
      <c r="K96" s="66"/>
      <c r="L96" s="66"/>
      <c r="M96" s="66"/>
      <c r="N96" s="62" t="s">
        <v>426</v>
      </c>
      <c r="O96" s="66"/>
      <c r="P96" s="66"/>
      <c r="Q96" s="66"/>
      <c r="R96" s="4"/>
      <c r="S96" s="4"/>
      <c r="T96" s="4"/>
      <c r="U96" s="4"/>
      <c r="V96" s="4"/>
      <c r="W96" s="4"/>
      <c r="X96" s="4"/>
      <c r="Y96" s="4"/>
      <c r="Z96" s="4"/>
    </row>
    <row r="97">
      <c r="A97" s="59">
        <v>91.0</v>
      </c>
      <c r="B97" s="62" t="s">
        <v>400</v>
      </c>
      <c r="C97" s="63" t="s">
        <v>401</v>
      </c>
      <c r="D97" s="59">
        <v>21697.0</v>
      </c>
      <c r="E97" s="59">
        <v>1.0</v>
      </c>
      <c r="F97" s="59" t="s">
        <v>81</v>
      </c>
      <c r="G97" s="64">
        <v>1.615863E7</v>
      </c>
      <c r="H97" s="65">
        <v>45986.0</v>
      </c>
      <c r="I97" s="66"/>
      <c r="J97" s="59">
        <v>2709.0</v>
      </c>
      <c r="K97" s="66"/>
      <c r="L97" s="66"/>
      <c r="M97" s="66"/>
      <c r="N97" s="66"/>
      <c r="O97" s="66"/>
      <c r="P97" s="66"/>
      <c r="Q97" s="66"/>
      <c r="R97" s="4"/>
      <c r="S97" s="4"/>
      <c r="T97" s="4"/>
      <c r="U97" s="4"/>
      <c r="V97" s="4"/>
      <c r="W97" s="4"/>
      <c r="X97" s="4"/>
      <c r="Y97" s="4"/>
      <c r="Z97" s="4"/>
    </row>
    <row r="98">
      <c r="A98" s="59">
        <v>92.0</v>
      </c>
      <c r="B98" s="62" t="s">
        <v>429</v>
      </c>
      <c r="C98" s="63" t="s">
        <v>430</v>
      </c>
      <c r="D98" s="59">
        <v>22739.0</v>
      </c>
      <c r="E98" s="59">
        <v>1.0</v>
      </c>
      <c r="F98" s="59" t="s">
        <v>81</v>
      </c>
      <c r="G98" s="64">
        <v>1.6243997E7</v>
      </c>
      <c r="H98" s="65">
        <v>45996.0</v>
      </c>
      <c r="I98" s="66"/>
      <c r="J98" s="59">
        <v>2709.0</v>
      </c>
      <c r="K98" s="66"/>
      <c r="L98" s="62" t="s">
        <v>429</v>
      </c>
      <c r="M98" s="59" t="s">
        <v>432</v>
      </c>
      <c r="N98" s="62" t="s">
        <v>220</v>
      </c>
      <c r="O98" s="66"/>
      <c r="P98" s="131">
        <v>45979.0</v>
      </c>
      <c r="Q98" s="66"/>
      <c r="R98" s="4"/>
      <c r="S98" s="4"/>
      <c r="T98" s="4"/>
      <c r="U98" s="4"/>
      <c r="V98" s="4"/>
      <c r="W98" s="4"/>
      <c r="X98" s="4"/>
      <c r="Y98" s="4"/>
      <c r="Z98" s="4"/>
    </row>
    <row r="99">
      <c r="A99" s="59">
        <v>93.0</v>
      </c>
      <c r="B99" s="62" t="s">
        <v>435</v>
      </c>
      <c r="C99" s="63" t="s">
        <v>436</v>
      </c>
      <c r="D99" s="59">
        <v>2.3361188E8</v>
      </c>
      <c r="E99" s="59">
        <v>1.0</v>
      </c>
      <c r="F99" s="59" t="s">
        <v>81</v>
      </c>
      <c r="G99" s="64">
        <v>1.6275401E7</v>
      </c>
      <c r="H99" s="65">
        <v>46002.0</v>
      </c>
      <c r="I99" s="66"/>
      <c r="J99" s="59">
        <v>2742.0</v>
      </c>
      <c r="K99" s="66"/>
      <c r="L99" s="66"/>
      <c r="M99" s="66"/>
      <c r="N99" s="66"/>
      <c r="O99" s="66"/>
      <c r="P99" s="66"/>
      <c r="Q99" s="66"/>
      <c r="R99" s="4"/>
      <c r="S99" s="4"/>
      <c r="T99" s="4"/>
      <c r="U99" s="4"/>
      <c r="V99" s="4"/>
      <c r="W99" s="4"/>
      <c r="X99" s="4"/>
      <c r="Y99" s="4"/>
      <c r="Z99" s="4"/>
    </row>
    <row r="100">
      <c r="A100" s="59">
        <v>94.0</v>
      </c>
      <c r="B100" s="62" t="s">
        <v>438</v>
      </c>
      <c r="C100" s="63" t="s">
        <v>439</v>
      </c>
      <c r="D100" s="59" t="s">
        <v>31</v>
      </c>
      <c r="E100" s="59">
        <v>2.0</v>
      </c>
      <c r="F100" s="59" t="s">
        <v>32</v>
      </c>
      <c r="G100" s="64">
        <v>3.86250012959E11</v>
      </c>
      <c r="H100" s="65">
        <v>46007.0</v>
      </c>
      <c r="I100" s="66"/>
      <c r="J100" s="59">
        <v>2743.0</v>
      </c>
      <c r="K100" s="66"/>
      <c r="L100" s="66"/>
      <c r="M100" s="66"/>
      <c r="N100" s="66"/>
      <c r="O100" s="66"/>
      <c r="P100" s="66"/>
      <c r="Q100" s="66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59">
        <v>95.0</v>
      </c>
      <c r="B101" s="62" t="s">
        <v>441</v>
      </c>
      <c r="C101" s="63" t="s">
        <v>442</v>
      </c>
      <c r="D101" s="59" t="s">
        <v>31</v>
      </c>
      <c r="E101" s="59">
        <v>1.0</v>
      </c>
      <c r="F101" s="59" t="s">
        <v>32</v>
      </c>
      <c r="G101" s="64">
        <v>3.86250012963E11</v>
      </c>
      <c r="H101" s="65">
        <v>46007.0</v>
      </c>
      <c r="I101" s="66"/>
      <c r="J101" s="59">
        <v>2743.0</v>
      </c>
      <c r="K101" s="66"/>
      <c r="L101" s="66"/>
      <c r="M101" s="66"/>
      <c r="N101" s="66"/>
      <c r="O101" s="66"/>
      <c r="P101" s="66"/>
      <c r="Q101" s="66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59">
        <v>96.0</v>
      </c>
      <c r="B102" s="62" t="s">
        <v>444</v>
      </c>
      <c r="C102" s="63" t="s">
        <v>445</v>
      </c>
      <c r="D102" s="59" t="s">
        <v>31</v>
      </c>
      <c r="E102" s="59">
        <v>1.0</v>
      </c>
      <c r="F102" s="59" t="s">
        <v>32</v>
      </c>
      <c r="G102" s="64">
        <v>1.6326465E7</v>
      </c>
      <c r="H102" s="65">
        <v>46008.0</v>
      </c>
      <c r="I102" s="66"/>
      <c r="J102" s="59">
        <v>2720.0</v>
      </c>
      <c r="K102" s="66"/>
      <c r="L102" s="66"/>
      <c r="M102" s="66"/>
      <c r="N102" s="66"/>
      <c r="O102" s="66"/>
      <c r="P102" s="66"/>
      <c r="Q102" s="66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59">
        <v>97.0</v>
      </c>
      <c r="B103" s="62" t="s">
        <v>447</v>
      </c>
      <c r="C103" s="63" t="s">
        <v>448</v>
      </c>
      <c r="D103" s="59" t="s">
        <v>31</v>
      </c>
      <c r="E103" s="59">
        <v>1.0</v>
      </c>
      <c r="F103" s="59" t="s">
        <v>32</v>
      </c>
      <c r="G103" s="64">
        <v>3.13250017311E11</v>
      </c>
      <c r="H103" s="65">
        <v>46029.0</v>
      </c>
      <c r="I103" s="66"/>
      <c r="J103" s="59">
        <v>2741.0</v>
      </c>
      <c r="K103" s="66"/>
      <c r="L103" s="62" t="s">
        <v>447</v>
      </c>
      <c r="M103" s="66"/>
      <c r="N103" s="62" t="s">
        <v>449</v>
      </c>
      <c r="O103" s="66"/>
      <c r="P103" s="131">
        <v>46030.0</v>
      </c>
      <c r="Q103" s="66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59">
        <v>98.0</v>
      </c>
      <c r="B104" s="62" t="s">
        <v>451</v>
      </c>
      <c r="C104" s="63" t="s">
        <v>452</v>
      </c>
      <c r="D104" s="59" t="s">
        <v>31</v>
      </c>
      <c r="E104" s="59">
        <v>1.0</v>
      </c>
      <c r="F104" s="59" t="s">
        <v>81</v>
      </c>
      <c r="G104" s="64">
        <v>3.13250017551E11</v>
      </c>
      <c r="H104" s="65">
        <v>46029.0</v>
      </c>
      <c r="I104" s="66"/>
      <c r="J104" s="59">
        <v>2740.0</v>
      </c>
      <c r="K104" s="66"/>
      <c r="L104" s="66"/>
      <c r="M104" s="66"/>
      <c r="N104" s="66"/>
      <c r="O104" s="66"/>
      <c r="P104" s="66"/>
      <c r="Q104" s="66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59">
        <v>99.0</v>
      </c>
      <c r="B105" s="62" t="s">
        <v>453</v>
      </c>
      <c r="C105" s="63" t="s">
        <v>454</v>
      </c>
      <c r="D105" s="59" t="s">
        <v>31</v>
      </c>
      <c r="E105" s="59">
        <v>1.0</v>
      </c>
      <c r="F105" s="59" t="s">
        <v>81</v>
      </c>
      <c r="G105" s="64">
        <v>1.642849E7</v>
      </c>
      <c r="H105" s="65">
        <v>46034.0</v>
      </c>
      <c r="I105" s="66"/>
      <c r="J105" s="59">
        <v>2720.0</v>
      </c>
      <c r="K105" s="66"/>
      <c r="L105" s="66"/>
      <c r="M105" s="66"/>
      <c r="N105" s="66"/>
      <c r="O105" s="66"/>
      <c r="P105" s="66"/>
      <c r="Q105" s="66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59">
        <v>100.0</v>
      </c>
      <c r="B106" s="62" t="s">
        <v>458</v>
      </c>
      <c r="C106" s="63" t="s">
        <v>459</v>
      </c>
      <c r="D106" s="59" t="s">
        <v>31</v>
      </c>
      <c r="E106" s="59">
        <v>1.0</v>
      </c>
      <c r="F106" s="59" t="s">
        <v>81</v>
      </c>
      <c r="G106" s="64">
        <v>1.6428515E7</v>
      </c>
      <c r="H106" s="65">
        <v>46034.0</v>
      </c>
      <c r="I106" s="66"/>
      <c r="J106" s="59">
        <v>2739.0</v>
      </c>
      <c r="K106" s="66"/>
      <c r="L106" s="66"/>
      <c r="M106" s="66"/>
      <c r="N106" s="66"/>
      <c r="O106" s="66"/>
      <c r="P106" s="66"/>
      <c r="Q106" s="66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59">
        <v>101.0</v>
      </c>
      <c r="B107" s="62" t="s">
        <v>460</v>
      </c>
      <c r="C107" s="63" t="s">
        <v>461</v>
      </c>
      <c r="D107" s="66"/>
      <c r="E107" s="59">
        <v>1.0</v>
      </c>
      <c r="F107" s="59" t="s">
        <v>32</v>
      </c>
      <c r="G107" s="64">
        <v>1.6436319E7</v>
      </c>
      <c r="H107" s="65">
        <v>46035.0</v>
      </c>
      <c r="I107" s="66"/>
      <c r="J107" s="59">
        <v>2720.0</v>
      </c>
      <c r="K107" s="66"/>
      <c r="L107" s="66"/>
      <c r="M107" s="66"/>
      <c r="N107" s="66"/>
      <c r="O107" s="66"/>
      <c r="P107" s="66"/>
      <c r="Q107" s="66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59">
        <v>102.0</v>
      </c>
      <c r="B108" s="62">
        <v>4626.0</v>
      </c>
      <c r="C108" s="63" t="s">
        <v>463</v>
      </c>
      <c r="D108" s="66"/>
      <c r="E108" s="59">
        <v>1.0</v>
      </c>
      <c r="F108" s="59" t="s">
        <v>32</v>
      </c>
      <c r="G108" s="64">
        <v>6.9026E11</v>
      </c>
      <c r="H108" s="65">
        <v>46036.0</v>
      </c>
      <c r="I108" s="66"/>
      <c r="J108" s="59">
        <v>2727.0</v>
      </c>
      <c r="K108" s="66"/>
      <c r="L108" s="66"/>
      <c r="M108" s="66"/>
      <c r="N108" s="66"/>
      <c r="O108" s="66"/>
      <c r="P108" s="66"/>
      <c r="Q108" s="66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59">
        <v>103.0</v>
      </c>
      <c r="B109" s="62" t="s">
        <v>466</v>
      </c>
      <c r="C109" s="63" t="s">
        <v>467</v>
      </c>
      <c r="D109" s="66"/>
      <c r="E109" s="59">
        <v>1.0</v>
      </c>
      <c r="F109" s="59" t="s">
        <v>32</v>
      </c>
      <c r="G109" s="64">
        <v>6.9026E11</v>
      </c>
      <c r="H109" s="65">
        <v>46036.0</v>
      </c>
      <c r="I109" s="66"/>
      <c r="J109" s="59">
        <v>2727.0</v>
      </c>
      <c r="K109" s="66"/>
      <c r="L109" s="66"/>
      <c r="M109" s="66"/>
      <c r="N109" s="66"/>
      <c r="O109" s="66"/>
      <c r="P109" s="66"/>
      <c r="Q109" s="66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59">
        <v>104.0</v>
      </c>
      <c r="B110" s="62" t="s">
        <v>469</v>
      </c>
      <c r="C110" s="63" t="s">
        <v>470</v>
      </c>
      <c r="D110" s="66"/>
      <c r="E110" s="59">
        <v>1.0</v>
      </c>
      <c r="F110" s="59" t="s">
        <v>32</v>
      </c>
      <c r="G110" s="64">
        <v>3.9626E11</v>
      </c>
      <c r="H110" s="65">
        <v>46036.0</v>
      </c>
      <c r="I110" s="66"/>
      <c r="J110" s="59">
        <v>2733.0</v>
      </c>
      <c r="K110" s="66"/>
      <c r="L110" s="66"/>
      <c r="M110" s="66"/>
      <c r="N110" s="66"/>
      <c r="O110" s="66"/>
      <c r="P110" s="66"/>
      <c r="Q110" s="66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59">
        <v>105.0</v>
      </c>
      <c r="B111" s="62" t="s">
        <v>473</v>
      </c>
      <c r="C111" s="63" t="s">
        <v>367</v>
      </c>
      <c r="D111" s="66"/>
      <c r="E111" s="59">
        <v>1.0</v>
      </c>
      <c r="F111" s="59" t="s">
        <v>32</v>
      </c>
      <c r="G111" s="64" t="s">
        <v>475</v>
      </c>
      <c r="H111" s="65">
        <v>46036.0</v>
      </c>
      <c r="I111" s="66"/>
      <c r="J111" s="59">
        <v>2738.0</v>
      </c>
      <c r="K111" s="66"/>
      <c r="L111" s="66"/>
      <c r="M111" s="66"/>
      <c r="N111" s="66"/>
      <c r="O111" s="66"/>
      <c r="P111" s="66"/>
      <c r="Q111" s="66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59">
        <v>106.0</v>
      </c>
      <c r="B112" s="62" t="s">
        <v>161</v>
      </c>
      <c r="C112" s="63" t="s">
        <v>162</v>
      </c>
      <c r="D112" s="66"/>
      <c r="E112" s="59">
        <v>1.0</v>
      </c>
      <c r="F112" s="59" t="s">
        <v>32</v>
      </c>
      <c r="G112" s="64">
        <v>1.6455693E7</v>
      </c>
      <c r="H112" s="65">
        <v>46036.0</v>
      </c>
      <c r="I112" s="66"/>
      <c r="J112" s="59">
        <v>2738.0</v>
      </c>
      <c r="K112" s="66"/>
      <c r="L112" s="66"/>
      <c r="M112" s="66"/>
      <c r="N112" s="66"/>
      <c r="O112" s="66"/>
      <c r="P112" s="66"/>
      <c r="Q112" s="66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59">
        <v>107.0</v>
      </c>
      <c r="B113" s="62" t="s">
        <v>477</v>
      </c>
      <c r="C113" s="63" t="s">
        <v>478</v>
      </c>
      <c r="D113" s="66"/>
      <c r="E113" s="59">
        <v>1.0</v>
      </c>
      <c r="F113" s="59" t="s">
        <v>32</v>
      </c>
      <c r="G113" s="64">
        <v>1.6463749E7</v>
      </c>
      <c r="H113" s="65">
        <v>46036.0</v>
      </c>
      <c r="I113" s="66"/>
      <c r="J113" s="59">
        <v>2720.0</v>
      </c>
      <c r="K113" s="66"/>
      <c r="L113" s="66"/>
      <c r="M113" s="66"/>
      <c r="N113" s="66"/>
      <c r="O113" s="66"/>
      <c r="P113" s="66"/>
      <c r="Q113" s="66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59">
        <v>108.0</v>
      </c>
      <c r="B114" s="62" t="s">
        <v>477</v>
      </c>
      <c r="C114" s="63" t="s">
        <v>478</v>
      </c>
      <c r="D114" s="66"/>
      <c r="E114" s="59">
        <v>1.0</v>
      </c>
      <c r="F114" s="59" t="s">
        <v>32</v>
      </c>
      <c r="G114" s="64">
        <v>1.6479594E7</v>
      </c>
      <c r="H114" s="65">
        <v>46043.0</v>
      </c>
      <c r="I114" s="66"/>
      <c r="J114" s="59">
        <v>2733.0</v>
      </c>
      <c r="K114" s="66"/>
      <c r="L114" s="66"/>
      <c r="M114" s="66"/>
      <c r="N114" s="66"/>
      <c r="O114" s="66"/>
      <c r="P114" s="66"/>
      <c r="Q114" s="66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59">
        <v>109.0</v>
      </c>
      <c r="B115" s="62" t="s">
        <v>481</v>
      </c>
      <c r="C115" s="63" t="s">
        <v>482</v>
      </c>
      <c r="D115" s="66"/>
      <c r="E115" s="59">
        <v>1.0</v>
      </c>
      <c r="F115" s="66"/>
      <c r="G115" s="64">
        <v>3.29260018825E11</v>
      </c>
      <c r="H115" s="65">
        <v>46043.0</v>
      </c>
      <c r="I115" s="66"/>
      <c r="J115" s="59">
        <v>2720.0</v>
      </c>
      <c r="K115" s="66"/>
      <c r="L115" s="66"/>
      <c r="M115" s="66"/>
      <c r="N115" s="66"/>
      <c r="O115" s="66"/>
      <c r="P115" s="66"/>
      <c r="Q115" s="66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59">
        <v>110.0</v>
      </c>
      <c r="B116" s="62" t="s">
        <v>484</v>
      </c>
      <c r="C116" s="63" t="s">
        <v>485</v>
      </c>
      <c r="D116" s="66"/>
      <c r="E116" s="59">
        <v>1.0</v>
      </c>
      <c r="F116" s="66"/>
      <c r="G116" s="64">
        <v>3.29260018826E11</v>
      </c>
      <c r="H116" s="65">
        <v>46043.0</v>
      </c>
      <c r="I116" s="66"/>
      <c r="J116" s="59">
        <v>2720.0</v>
      </c>
      <c r="K116" s="66"/>
      <c r="L116" s="62" t="s">
        <v>484</v>
      </c>
      <c r="M116" s="59" t="s">
        <v>486</v>
      </c>
      <c r="N116" s="62" t="s">
        <v>487</v>
      </c>
      <c r="O116" s="66"/>
      <c r="P116" s="62" t="s">
        <v>488</v>
      </c>
      <c r="Q116" s="66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59">
        <v>111.0</v>
      </c>
      <c r="B117" s="62" t="s">
        <v>489</v>
      </c>
      <c r="C117" s="63" t="s">
        <v>490</v>
      </c>
      <c r="D117" s="66"/>
      <c r="E117" s="59">
        <v>1.0</v>
      </c>
      <c r="F117" s="59" t="s">
        <v>81</v>
      </c>
      <c r="G117" s="64">
        <v>1.6494618E7</v>
      </c>
      <c r="H117" s="65">
        <v>46043.0</v>
      </c>
      <c r="I117" s="66"/>
      <c r="J117" s="59">
        <v>2722.0</v>
      </c>
      <c r="K117" s="66"/>
      <c r="L117" s="62" t="s">
        <v>491</v>
      </c>
      <c r="M117" s="59" t="s">
        <v>492</v>
      </c>
      <c r="N117" s="62" t="s">
        <v>494</v>
      </c>
      <c r="O117" s="66"/>
      <c r="P117" s="89">
        <v>45959.0</v>
      </c>
      <c r="Q117" s="66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59">
        <v>112.0</v>
      </c>
      <c r="B118" s="62" t="s">
        <v>495</v>
      </c>
      <c r="C118" s="63" t="s">
        <v>496</v>
      </c>
      <c r="D118" s="66"/>
      <c r="E118" s="59">
        <v>1.0</v>
      </c>
      <c r="F118" s="59" t="s">
        <v>81</v>
      </c>
      <c r="G118" s="64">
        <v>1.6502E7</v>
      </c>
      <c r="H118" s="65">
        <v>46044.0</v>
      </c>
      <c r="I118" s="66"/>
      <c r="J118" s="59">
        <v>2719.0</v>
      </c>
      <c r="K118" s="66"/>
      <c r="L118" s="62" t="s">
        <v>497</v>
      </c>
      <c r="M118" s="59" t="s">
        <v>498</v>
      </c>
      <c r="N118" s="62" t="s">
        <v>499</v>
      </c>
      <c r="O118" s="66"/>
      <c r="P118" s="87">
        <v>46052.0</v>
      </c>
      <c r="Q118" s="66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59">
        <v>113.0</v>
      </c>
      <c r="B119" s="62" t="s">
        <v>500</v>
      </c>
      <c r="C119" s="63" t="s">
        <v>501</v>
      </c>
      <c r="D119" s="66"/>
      <c r="E119" s="59">
        <v>1.0</v>
      </c>
      <c r="F119" s="59" t="s">
        <v>32</v>
      </c>
      <c r="G119" s="64">
        <v>1.6525969E7</v>
      </c>
      <c r="H119" s="65">
        <v>46049.0</v>
      </c>
      <c r="I119" s="66"/>
      <c r="J119" s="59">
        <v>2727.0</v>
      </c>
      <c r="K119" s="66"/>
      <c r="L119" s="66"/>
      <c r="M119" s="66"/>
      <c r="N119" s="66"/>
      <c r="O119" s="66"/>
      <c r="P119" s="66"/>
      <c r="Q119" s="66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59">
        <v>114.0</v>
      </c>
      <c r="B120" s="62" t="s">
        <v>503</v>
      </c>
      <c r="C120" s="63" t="s">
        <v>504</v>
      </c>
      <c r="D120" s="66"/>
      <c r="E120" s="59">
        <v>1.0</v>
      </c>
      <c r="F120" s="59" t="s">
        <v>32</v>
      </c>
      <c r="G120" s="64">
        <v>1.6525969E7</v>
      </c>
      <c r="H120" s="65">
        <v>46049.0</v>
      </c>
      <c r="I120" s="66"/>
      <c r="J120" s="59">
        <v>2743.0</v>
      </c>
      <c r="K120" s="66"/>
      <c r="L120" s="66"/>
      <c r="M120" s="66"/>
      <c r="N120" s="66"/>
      <c r="O120" s="66"/>
      <c r="P120" s="66"/>
      <c r="Q120" s="66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59">
        <v>115.0</v>
      </c>
      <c r="B121" s="62" t="s">
        <v>506</v>
      </c>
      <c r="C121" s="63" t="s">
        <v>507</v>
      </c>
      <c r="D121" s="66"/>
      <c r="E121" s="59">
        <v>1.0</v>
      </c>
      <c r="F121" s="59" t="s">
        <v>32</v>
      </c>
      <c r="G121" s="64">
        <v>1.6559873E7</v>
      </c>
      <c r="H121" s="65">
        <v>46050.0</v>
      </c>
      <c r="I121" s="66"/>
      <c r="J121" s="59">
        <v>2743.0</v>
      </c>
      <c r="K121" s="66"/>
      <c r="L121" s="66"/>
      <c r="M121" s="66"/>
      <c r="N121" s="66"/>
      <c r="O121" s="66"/>
      <c r="P121" s="66"/>
      <c r="Q121" s="66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59">
        <v>116.0</v>
      </c>
      <c r="B122" s="62" t="s">
        <v>509</v>
      </c>
      <c r="C122" s="63" t="s">
        <v>510</v>
      </c>
      <c r="D122" s="66"/>
      <c r="E122" s="59">
        <v>2.0</v>
      </c>
      <c r="F122" s="59" t="s">
        <v>32</v>
      </c>
      <c r="G122" s="64">
        <v>1.6559874E7</v>
      </c>
      <c r="H122" s="65">
        <v>46050.0</v>
      </c>
      <c r="I122" s="66"/>
      <c r="J122" s="59">
        <v>2743.0</v>
      </c>
      <c r="K122" s="66"/>
      <c r="L122" s="62" t="s">
        <v>509</v>
      </c>
      <c r="M122" s="59" t="s">
        <v>511</v>
      </c>
      <c r="N122" s="62" t="s">
        <v>512</v>
      </c>
      <c r="O122" s="66"/>
      <c r="P122" s="87">
        <v>46048.0</v>
      </c>
      <c r="Q122" s="66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59">
        <v>117.0</v>
      </c>
      <c r="B123" s="62" t="s">
        <v>514</v>
      </c>
      <c r="C123" s="63" t="s">
        <v>515</v>
      </c>
      <c r="D123" s="66"/>
      <c r="E123" s="59">
        <v>2.0</v>
      </c>
      <c r="F123" s="59" t="s">
        <v>32</v>
      </c>
      <c r="G123" s="64">
        <v>1.6559875E7</v>
      </c>
      <c r="H123" s="65">
        <v>46050.0</v>
      </c>
      <c r="I123" s="66"/>
      <c r="J123" s="59">
        <v>2743.0</v>
      </c>
      <c r="K123" s="66"/>
      <c r="L123" s="66"/>
      <c r="M123" s="66"/>
      <c r="N123" s="66"/>
      <c r="O123" s="66"/>
      <c r="P123" s="66"/>
      <c r="Q123" s="66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59">
        <v>118.0</v>
      </c>
      <c r="B124" s="62" t="s">
        <v>518</v>
      </c>
      <c r="C124" s="63" t="s">
        <v>519</v>
      </c>
      <c r="D124" s="59" t="s">
        <v>31</v>
      </c>
      <c r="E124" s="59">
        <v>10.0</v>
      </c>
      <c r="F124" s="59" t="s">
        <v>32</v>
      </c>
      <c r="G124" s="64">
        <v>3.86260013052E11</v>
      </c>
      <c r="H124" s="65">
        <v>46063.0</v>
      </c>
      <c r="I124" s="66"/>
      <c r="J124" s="59">
        <v>2743.0</v>
      </c>
      <c r="K124" s="62" t="s">
        <v>423</v>
      </c>
      <c r="L124" s="66"/>
      <c r="M124" s="66"/>
      <c r="N124" s="66"/>
      <c r="O124" s="66"/>
      <c r="P124" s="66"/>
      <c r="Q124" s="66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59">
        <v>119.0</v>
      </c>
      <c r="B125" s="62" t="s">
        <v>521</v>
      </c>
      <c r="C125" s="63" t="s">
        <v>522</v>
      </c>
      <c r="D125" s="59" t="s">
        <v>31</v>
      </c>
      <c r="E125" s="59">
        <v>1.0</v>
      </c>
      <c r="F125" s="59" t="s">
        <v>32</v>
      </c>
      <c r="G125" s="64">
        <v>3.1325001755E11</v>
      </c>
      <c r="H125" s="65">
        <v>46028.0</v>
      </c>
      <c r="I125" s="66"/>
      <c r="J125" s="59">
        <v>2732.0</v>
      </c>
      <c r="K125" s="62" t="s">
        <v>51</v>
      </c>
      <c r="L125" s="66"/>
      <c r="M125" s="66"/>
      <c r="N125" s="66"/>
      <c r="O125" s="66"/>
      <c r="P125" s="66"/>
      <c r="Q125" s="66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59">
        <v>120.0</v>
      </c>
      <c r="B126" s="62" t="s">
        <v>524</v>
      </c>
      <c r="C126" s="63" t="s">
        <v>525</v>
      </c>
      <c r="D126" s="59">
        <v>2056.0</v>
      </c>
      <c r="E126" s="59">
        <v>1.0</v>
      </c>
      <c r="F126" s="59" t="s">
        <v>81</v>
      </c>
      <c r="G126" s="64" t="s">
        <v>526</v>
      </c>
      <c r="H126" s="65">
        <v>46065.0</v>
      </c>
      <c r="I126" s="66"/>
      <c r="J126" s="59">
        <v>2728.0</v>
      </c>
      <c r="K126" s="62" t="s">
        <v>61</v>
      </c>
      <c r="L126" s="66"/>
      <c r="M126" s="66"/>
      <c r="N126" s="66"/>
      <c r="O126" s="66"/>
      <c r="P126" s="66"/>
      <c r="Q126" s="66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59">
        <v>121.0</v>
      </c>
      <c r="B127" s="62" t="s">
        <v>527</v>
      </c>
      <c r="C127" s="63" t="s">
        <v>528</v>
      </c>
      <c r="D127" s="59" t="s">
        <v>529</v>
      </c>
      <c r="E127" s="59">
        <v>1.0</v>
      </c>
      <c r="F127" s="59" t="s">
        <v>81</v>
      </c>
      <c r="G127" s="64" t="s">
        <v>530</v>
      </c>
      <c r="H127" s="65">
        <v>46065.0</v>
      </c>
      <c r="I127" s="66"/>
      <c r="J127" s="59">
        <v>2728.0</v>
      </c>
      <c r="K127" s="62" t="s">
        <v>61</v>
      </c>
      <c r="L127" s="62" t="s">
        <v>527</v>
      </c>
      <c r="M127" s="59" t="s">
        <v>532</v>
      </c>
      <c r="N127" s="62" t="s">
        <v>533</v>
      </c>
      <c r="O127" s="66"/>
      <c r="P127" s="87">
        <v>45926.0</v>
      </c>
      <c r="Q127" s="66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59">
        <v>122.0</v>
      </c>
      <c r="B128" s="62" t="s">
        <v>534</v>
      </c>
      <c r="C128" s="63" t="s">
        <v>535</v>
      </c>
      <c r="D128" s="59" t="s">
        <v>31</v>
      </c>
      <c r="E128" s="59">
        <v>1.0</v>
      </c>
      <c r="F128" s="59" t="s">
        <v>32</v>
      </c>
      <c r="G128" s="64">
        <v>6.8526001085E11</v>
      </c>
      <c r="H128" s="65">
        <v>46065.0</v>
      </c>
      <c r="I128" s="66"/>
      <c r="J128" s="59">
        <v>2719.0</v>
      </c>
      <c r="K128" s="62" t="s">
        <v>61</v>
      </c>
      <c r="L128" s="66"/>
      <c r="M128" s="66"/>
      <c r="N128" s="66"/>
      <c r="O128" s="66"/>
      <c r="P128" s="66"/>
      <c r="Q128" s="66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59">
        <v>123.0</v>
      </c>
      <c r="B129" s="62" t="s">
        <v>534</v>
      </c>
      <c r="C129" s="63" t="s">
        <v>535</v>
      </c>
      <c r="D129" s="59" t="s">
        <v>31</v>
      </c>
      <c r="E129" s="59">
        <v>1.0</v>
      </c>
      <c r="F129" s="59" t="s">
        <v>32</v>
      </c>
      <c r="G129" s="64">
        <v>6.85260010851E11</v>
      </c>
      <c r="H129" s="65">
        <v>46065.0</v>
      </c>
      <c r="I129" s="66"/>
      <c r="J129" s="59">
        <v>2728.0</v>
      </c>
      <c r="K129" s="62" t="s">
        <v>61</v>
      </c>
      <c r="L129" s="66"/>
      <c r="M129" s="66"/>
      <c r="N129" s="66"/>
      <c r="O129" s="66"/>
      <c r="P129" s="66"/>
      <c r="Q129" s="66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59">
        <v>124.0</v>
      </c>
      <c r="B130" s="62">
        <v>5.040033933E9</v>
      </c>
      <c r="C130" s="128"/>
      <c r="D130" s="135">
        <v>5.0400339332521E14</v>
      </c>
      <c r="E130" s="59">
        <v>1.0</v>
      </c>
      <c r="F130" s="59" t="s">
        <v>81</v>
      </c>
      <c r="G130" s="64" t="s">
        <v>545</v>
      </c>
      <c r="H130" s="65">
        <v>46066.0</v>
      </c>
      <c r="I130" s="66"/>
      <c r="J130" s="59">
        <v>2709.0</v>
      </c>
      <c r="K130" s="62" t="s">
        <v>169</v>
      </c>
      <c r="L130" s="66"/>
      <c r="M130" s="66"/>
      <c r="N130" s="66"/>
      <c r="O130" s="66"/>
      <c r="P130" s="66"/>
      <c r="Q130" s="66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59">
        <v>125.0</v>
      </c>
      <c r="B131" s="62" t="s">
        <v>547</v>
      </c>
      <c r="C131" s="63" t="s">
        <v>548</v>
      </c>
      <c r="D131" s="66"/>
      <c r="E131" s="59">
        <v>1.0</v>
      </c>
      <c r="F131" s="59" t="s">
        <v>32</v>
      </c>
      <c r="G131" s="64">
        <v>3.84260009358E11</v>
      </c>
      <c r="H131" s="65">
        <v>46073.0</v>
      </c>
      <c r="I131" s="66"/>
      <c r="J131" s="59">
        <v>2742.0</v>
      </c>
      <c r="K131" s="62" t="s">
        <v>549</v>
      </c>
      <c r="L131" s="66"/>
      <c r="M131" s="66"/>
      <c r="N131" s="66"/>
      <c r="O131" s="66"/>
      <c r="P131" s="66"/>
      <c r="Q131" s="66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59">
        <v>126.0</v>
      </c>
      <c r="B132" s="62" t="s">
        <v>369</v>
      </c>
      <c r="C132" s="63" t="s">
        <v>552</v>
      </c>
      <c r="D132" s="66"/>
      <c r="E132" s="59">
        <v>1.0</v>
      </c>
      <c r="F132" s="59" t="s">
        <v>81</v>
      </c>
      <c r="G132" s="64">
        <v>1.6737719E7</v>
      </c>
      <c r="H132" s="65">
        <v>46073.0</v>
      </c>
      <c r="I132" s="66"/>
      <c r="J132" s="59">
        <v>2709.0</v>
      </c>
      <c r="K132" s="62" t="s">
        <v>169</v>
      </c>
      <c r="L132" s="62" t="s">
        <v>369</v>
      </c>
      <c r="M132" s="59" t="s">
        <v>553</v>
      </c>
      <c r="N132" s="62" t="s">
        <v>554</v>
      </c>
      <c r="O132" s="66"/>
      <c r="P132" s="87">
        <v>45889.0</v>
      </c>
      <c r="Q132" s="66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59">
        <v>127.0</v>
      </c>
      <c r="B133" s="62" t="s">
        <v>374</v>
      </c>
      <c r="C133" s="63" t="s">
        <v>555</v>
      </c>
      <c r="D133" s="66"/>
      <c r="E133" s="59">
        <v>1.0</v>
      </c>
      <c r="F133" s="59" t="s">
        <v>81</v>
      </c>
      <c r="G133" s="64">
        <v>1.673772E7</v>
      </c>
      <c r="H133" s="65">
        <v>46073.0</v>
      </c>
      <c r="I133" s="66"/>
      <c r="J133" s="59">
        <v>2709.0</v>
      </c>
      <c r="K133" s="62" t="s">
        <v>169</v>
      </c>
      <c r="L133" s="66"/>
      <c r="M133" s="66"/>
      <c r="N133" s="66"/>
      <c r="O133" s="66"/>
      <c r="P133" s="66"/>
      <c r="Q133" s="66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59">
        <v>128.0</v>
      </c>
      <c r="B134" s="62" t="s">
        <v>257</v>
      </c>
      <c r="C134" s="63" t="s">
        <v>558</v>
      </c>
      <c r="D134" s="66"/>
      <c r="E134" s="59">
        <v>1.0</v>
      </c>
      <c r="F134" s="59" t="s">
        <v>32</v>
      </c>
      <c r="G134" s="64">
        <v>1.6737722E7</v>
      </c>
      <c r="H134" s="65">
        <v>46073.0</v>
      </c>
      <c r="I134" s="66"/>
      <c r="J134" s="59">
        <v>2709.0</v>
      </c>
      <c r="K134" s="62" t="s">
        <v>169</v>
      </c>
      <c r="L134" s="66"/>
      <c r="M134" s="66"/>
      <c r="N134" s="66"/>
      <c r="O134" s="66"/>
      <c r="P134" s="66"/>
      <c r="Q134" s="66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59">
        <v>129.0</v>
      </c>
      <c r="B135" s="62" t="s">
        <v>240</v>
      </c>
      <c r="C135" s="63" t="s">
        <v>561</v>
      </c>
      <c r="D135" s="66"/>
      <c r="E135" s="59">
        <v>1.0</v>
      </c>
      <c r="F135" s="59" t="s">
        <v>32</v>
      </c>
      <c r="G135" s="64">
        <v>1.6737723E7</v>
      </c>
      <c r="H135" s="65">
        <v>46073.0</v>
      </c>
      <c r="I135" s="66"/>
      <c r="J135" s="59">
        <v>2709.0</v>
      </c>
      <c r="K135" s="62" t="s">
        <v>169</v>
      </c>
      <c r="L135" s="66"/>
      <c r="M135" s="66"/>
      <c r="N135" s="66"/>
      <c r="O135" s="66"/>
      <c r="P135" s="66"/>
      <c r="Q135" s="66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59">
        <v>130.0</v>
      </c>
      <c r="B136" s="62" t="s">
        <v>563</v>
      </c>
      <c r="C136" s="63" t="s">
        <v>564</v>
      </c>
      <c r="D136" s="66"/>
      <c r="E136" s="59">
        <v>6.0</v>
      </c>
      <c r="F136" s="59" t="s">
        <v>32</v>
      </c>
      <c r="G136" s="64">
        <v>1.6737724E7</v>
      </c>
      <c r="H136" s="65">
        <v>46073.0</v>
      </c>
      <c r="I136" s="66"/>
      <c r="J136" s="59">
        <v>2709.0</v>
      </c>
      <c r="K136" s="62" t="s">
        <v>169</v>
      </c>
      <c r="L136" s="66"/>
      <c r="M136" s="66"/>
      <c r="N136" s="66"/>
      <c r="O136" s="66"/>
      <c r="P136" s="66"/>
      <c r="Q136" s="66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59">
        <v>131.0</v>
      </c>
      <c r="B137" s="62" t="s">
        <v>566</v>
      </c>
      <c r="C137" s="63" t="s">
        <v>567</v>
      </c>
      <c r="D137" s="59" t="s">
        <v>568</v>
      </c>
      <c r="E137" s="59">
        <v>1.0</v>
      </c>
      <c r="F137" s="59" t="s">
        <v>32</v>
      </c>
      <c r="G137" s="64" t="s">
        <v>569</v>
      </c>
      <c r="H137" s="65">
        <v>46077.0</v>
      </c>
      <c r="I137" s="66"/>
      <c r="J137" s="59">
        <v>2702.0</v>
      </c>
      <c r="K137" s="62" t="s">
        <v>570</v>
      </c>
      <c r="L137" s="66"/>
      <c r="M137" s="66"/>
      <c r="N137" s="66"/>
      <c r="O137" s="66"/>
      <c r="P137" s="66"/>
      <c r="Q137" s="66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59">
        <v>132.0</v>
      </c>
      <c r="B138" s="62" t="s">
        <v>572</v>
      </c>
      <c r="C138" s="63" t="s">
        <v>573</v>
      </c>
      <c r="D138" s="66"/>
      <c r="E138" s="59">
        <v>1.0</v>
      </c>
      <c r="F138" s="59" t="s">
        <v>32</v>
      </c>
      <c r="G138" s="64">
        <v>3.13260017745E11</v>
      </c>
      <c r="H138" s="65">
        <v>46079.0</v>
      </c>
      <c r="I138" s="66"/>
      <c r="J138" s="59">
        <v>2730.0</v>
      </c>
      <c r="K138" s="62" t="s">
        <v>51</v>
      </c>
      <c r="L138" s="66"/>
      <c r="M138" s="66"/>
      <c r="N138" s="66"/>
      <c r="O138" s="66"/>
      <c r="P138" s="66"/>
      <c r="Q138" s="66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59">
        <v>133.0</v>
      </c>
      <c r="B139" s="62" t="s">
        <v>378</v>
      </c>
      <c r="C139" s="63" t="s">
        <v>575</v>
      </c>
      <c r="D139" s="66"/>
      <c r="E139" s="59">
        <v>1.0</v>
      </c>
      <c r="F139" s="59" t="s">
        <v>81</v>
      </c>
      <c r="G139" s="64">
        <v>1.6843794E7</v>
      </c>
      <c r="H139" s="65">
        <v>46080.0</v>
      </c>
      <c r="I139" s="66"/>
      <c r="J139" s="59">
        <v>2742.0</v>
      </c>
      <c r="K139" s="62" t="s">
        <v>549</v>
      </c>
      <c r="L139" s="66"/>
      <c r="M139" s="66"/>
      <c r="N139" s="66"/>
      <c r="O139" s="66"/>
      <c r="P139" s="66"/>
      <c r="Q139" s="66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59">
        <v>134.0</v>
      </c>
      <c r="B140" s="62" t="s">
        <v>379</v>
      </c>
      <c r="C140" s="63" t="s">
        <v>579</v>
      </c>
      <c r="D140" s="66"/>
      <c r="E140" s="59">
        <v>1.0</v>
      </c>
      <c r="F140" s="59" t="s">
        <v>81</v>
      </c>
      <c r="G140" s="64" t="s">
        <v>580</v>
      </c>
      <c r="H140" s="65">
        <v>46080.0</v>
      </c>
      <c r="I140" s="66"/>
      <c r="J140" s="59">
        <v>2742.0</v>
      </c>
      <c r="K140" s="62" t="s">
        <v>549</v>
      </c>
      <c r="L140" s="66"/>
      <c r="M140" s="66"/>
      <c r="N140" s="66"/>
      <c r="O140" s="66"/>
      <c r="P140" s="66"/>
      <c r="Q140" s="66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59">
        <v>135.0</v>
      </c>
      <c r="B141" s="62" t="s">
        <v>582</v>
      </c>
      <c r="C141" s="63" t="s">
        <v>112</v>
      </c>
      <c r="D141" s="66"/>
      <c r="E141" s="59">
        <v>1.0</v>
      </c>
      <c r="F141" s="59" t="s">
        <v>32</v>
      </c>
      <c r="G141" s="64">
        <v>1.6843796E7</v>
      </c>
      <c r="H141" s="65">
        <v>46080.0</v>
      </c>
      <c r="I141" s="66"/>
      <c r="J141" s="59">
        <v>2742.0</v>
      </c>
      <c r="K141" s="62" t="s">
        <v>549</v>
      </c>
      <c r="L141" s="66"/>
      <c r="M141" s="66"/>
      <c r="N141" s="66"/>
      <c r="O141" s="66"/>
      <c r="P141" s="66"/>
      <c r="Q141" s="66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59">
        <v>136.0</v>
      </c>
      <c r="B142" s="62" t="s">
        <v>585</v>
      </c>
      <c r="C142" s="63" t="s">
        <v>586</v>
      </c>
      <c r="D142" s="66"/>
      <c r="E142" s="59">
        <v>10.0</v>
      </c>
      <c r="F142" s="59" t="s">
        <v>32</v>
      </c>
      <c r="G142" s="64" t="s">
        <v>587</v>
      </c>
      <c r="H142" s="65">
        <v>46080.0</v>
      </c>
      <c r="I142" s="66"/>
      <c r="J142" s="59" t="s">
        <v>588</v>
      </c>
      <c r="K142" s="62" t="s">
        <v>61</v>
      </c>
      <c r="L142" s="66"/>
      <c r="M142" s="66"/>
      <c r="N142" s="66"/>
      <c r="O142" s="66"/>
      <c r="P142" s="66"/>
      <c r="Q142" s="66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59">
        <v>137.0</v>
      </c>
      <c r="B143" s="62" t="s">
        <v>590</v>
      </c>
      <c r="C143" s="63" t="s">
        <v>592</v>
      </c>
      <c r="D143" s="66"/>
      <c r="E143" s="59">
        <v>2.0</v>
      </c>
      <c r="F143" s="59" t="s">
        <v>32</v>
      </c>
      <c r="G143" s="64">
        <v>1.6766558E7</v>
      </c>
      <c r="H143" s="65">
        <v>46080.0</v>
      </c>
      <c r="I143" s="66"/>
      <c r="J143" s="59" t="s">
        <v>588</v>
      </c>
      <c r="K143" s="62" t="s">
        <v>61</v>
      </c>
      <c r="L143" s="66"/>
      <c r="M143" s="66"/>
      <c r="N143" s="66"/>
      <c r="O143" s="66"/>
      <c r="P143" s="66"/>
      <c r="Q143" s="66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59">
        <v>138.0</v>
      </c>
      <c r="B144" s="62" t="s">
        <v>572</v>
      </c>
      <c r="C144" s="63" t="s">
        <v>573</v>
      </c>
      <c r="D144" s="66"/>
      <c r="E144" s="59">
        <v>1.0</v>
      </c>
      <c r="F144" s="59" t="s">
        <v>32</v>
      </c>
      <c r="G144" s="64">
        <v>3.13260017745E11</v>
      </c>
      <c r="H144" s="65">
        <v>46078.0</v>
      </c>
      <c r="I144" s="66"/>
      <c r="J144" s="59">
        <v>2730.0</v>
      </c>
      <c r="K144" s="62" t="s">
        <v>51</v>
      </c>
      <c r="L144" s="66"/>
      <c r="M144" s="66"/>
      <c r="N144" s="66"/>
      <c r="O144" s="66"/>
      <c r="P144" s="66"/>
      <c r="Q144" s="66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59" t="s">
        <v>595</v>
      </c>
      <c r="B145" s="62" t="s">
        <v>596</v>
      </c>
      <c r="C145" s="63" t="s">
        <v>597</v>
      </c>
      <c r="D145" s="66"/>
      <c r="E145" s="59">
        <v>1.0</v>
      </c>
      <c r="F145" s="59" t="s">
        <v>32</v>
      </c>
      <c r="G145" s="64">
        <v>1.6907743E7</v>
      </c>
      <c r="H145" s="65">
        <v>46092.0</v>
      </c>
      <c r="I145" s="62" t="s">
        <v>599</v>
      </c>
      <c r="J145" s="59" t="s">
        <v>133</v>
      </c>
      <c r="K145" s="62" t="s">
        <v>76</v>
      </c>
      <c r="L145" s="66"/>
      <c r="M145" s="66"/>
      <c r="N145" s="66"/>
      <c r="O145" s="66"/>
      <c r="P145" s="66"/>
      <c r="Q145" s="66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59" t="s">
        <v>601</v>
      </c>
      <c r="B146" s="62" t="s">
        <v>602</v>
      </c>
      <c r="C146" s="63" t="s">
        <v>603</v>
      </c>
      <c r="D146" s="66"/>
      <c r="E146" s="59">
        <v>1.0</v>
      </c>
      <c r="F146" s="59" t="s">
        <v>32</v>
      </c>
      <c r="G146" s="64">
        <v>1.690776E7</v>
      </c>
      <c r="H146" s="65">
        <v>46092.0</v>
      </c>
      <c r="I146" s="62" t="s">
        <v>599</v>
      </c>
      <c r="J146" s="59" t="s">
        <v>133</v>
      </c>
      <c r="K146" s="62" t="s">
        <v>76</v>
      </c>
      <c r="L146" s="66"/>
      <c r="M146" s="66"/>
      <c r="N146" s="66"/>
      <c r="O146" s="66"/>
      <c r="P146" s="66"/>
      <c r="Q146" s="66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59" t="s">
        <v>606</v>
      </c>
      <c r="B147" s="62" t="s">
        <v>607</v>
      </c>
      <c r="C147" s="63" t="s">
        <v>608</v>
      </c>
      <c r="D147" s="66"/>
      <c r="E147" s="59">
        <v>1.0</v>
      </c>
      <c r="F147" s="59" t="s">
        <v>32</v>
      </c>
      <c r="G147" s="64">
        <v>1.690778E7</v>
      </c>
      <c r="H147" s="65">
        <v>46092.0</v>
      </c>
      <c r="I147" s="62" t="s">
        <v>599</v>
      </c>
      <c r="J147" s="59" t="s">
        <v>133</v>
      </c>
      <c r="K147" s="62" t="s">
        <v>76</v>
      </c>
      <c r="L147" s="66"/>
      <c r="M147" s="66"/>
      <c r="N147" s="66"/>
      <c r="O147" s="66"/>
      <c r="P147" s="66"/>
      <c r="Q147" s="66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59" t="s">
        <v>609</v>
      </c>
      <c r="B148" s="62" t="s">
        <v>610</v>
      </c>
      <c r="C148" s="138" t="str">
        <f>IF(B148="","",(VLOOKUP(B148,'[3]Dados de PN'!$A:$B,2,0)))</f>
        <v>#REF!</v>
      </c>
      <c r="D148" s="59" t="s">
        <v>615</v>
      </c>
      <c r="E148" s="59">
        <v>1.0</v>
      </c>
      <c r="F148" s="59" t="s">
        <v>81</v>
      </c>
      <c r="G148" s="64">
        <v>1.6920585E7</v>
      </c>
      <c r="H148" s="65">
        <v>46092.0</v>
      </c>
      <c r="I148" s="62" t="s">
        <v>616</v>
      </c>
      <c r="J148" s="59" t="s">
        <v>133</v>
      </c>
      <c r="K148" s="62" t="s">
        <v>76</v>
      </c>
      <c r="L148" s="66"/>
      <c r="M148" s="66"/>
      <c r="N148" s="66"/>
      <c r="O148" s="66"/>
      <c r="P148" s="66"/>
      <c r="Q148" s="66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59" t="s">
        <v>618</v>
      </c>
      <c r="B149" s="62" t="s">
        <v>111</v>
      </c>
      <c r="C149" s="63" t="s">
        <v>112</v>
      </c>
      <c r="D149" s="66"/>
      <c r="E149" s="59">
        <v>1.0</v>
      </c>
      <c r="F149" s="59" t="s">
        <v>32</v>
      </c>
      <c r="G149" s="64" t="s">
        <v>619</v>
      </c>
      <c r="H149" s="65">
        <v>46090.0</v>
      </c>
      <c r="I149" s="62" t="s">
        <v>620</v>
      </c>
      <c r="J149" s="59">
        <v>2709.0</v>
      </c>
      <c r="K149" s="62" t="s">
        <v>169</v>
      </c>
      <c r="L149" s="66"/>
      <c r="M149" s="66"/>
      <c r="N149" s="66"/>
      <c r="O149" s="66"/>
      <c r="P149" s="66"/>
      <c r="Q149" s="66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59" t="s">
        <v>621</v>
      </c>
      <c r="B150" s="62" t="s">
        <v>378</v>
      </c>
      <c r="C150" s="63" t="s">
        <v>623</v>
      </c>
      <c r="D150" s="66"/>
      <c r="E150" s="59">
        <v>1.0</v>
      </c>
      <c r="F150" s="59" t="s">
        <v>81</v>
      </c>
      <c r="G150" s="64" t="s">
        <v>626</v>
      </c>
      <c r="H150" s="65">
        <v>46094.0</v>
      </c>
      <c r="I150" s="62" t="s">
        <v>627</v>
      </c>
      <c r="J150" s="59" t="s">
        <v>422</v>
      </c>
      <c r="K150" s="62" t="s">
        <v>423</v>
      </c>
      <c r="L150" s="66"/>
      <c r="M150" s="66"/>
      <c r="N150" s="66"/>
      <c r="O150" s="66"/>
      <c r="P150" s="66"/>
      <c r="Q150" s="66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59" t="s">
        <v>629</v>
      </c>
      <c r="B151" s="62" t="s">
        <v>379</v>
      </c>
      <c r="C151" s="63" t="s">
        <v>630</v>
      </c>
      <c r="D151" s="66"/>
      <c r="E151" s="59">
        <v>1.0</v>
      </c>
      <c r="F151" s="59" t="s">
        <v>81</v>
      </c>
      <c r="G151" s="64" t="s">
        <v>631</v>
      </c>
      <c r="H151" s="65">
        <v>46094.0</v>
      </c>
      <c r="I151" s="62" t="s">
        <v>627</v>
      </c>
      <c r="J151" s="59" t="s">
        <v>422</v>
      </c>
      <c r="K151" s="62" t="s">
        <v>423</v>
      </c>
      <c r="L151" s="66"/>
      <c r="M151" s="66"/>
      <c r="N151" s="66"/>
      <c r="O151" s="66"/>
      <c r="P151" s="66"/>
      <c r="Q151" s="66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59" t="s">
        <v>632</v>
      </c>
      <c r="B152" s="62" t="s">
        <v>633</v>
      </c>
      <c r="C152" s="63" t="s">
        <v>634</v>
      </c>
      <c r="D152" s="66"/>
      <c r="E152" s="59">
        <v>1.0</v>
      </c>
      <c r="F152" s="59" t="s">
        <v>81</v>
      </c>
      <c r="G152" s="64" t="s">
        <v>635</v>
      </c>
      <c r="H152" s="65">
        <v>46094.0</v>
      </c>
      <c r="I152" s="62" t="s">
        <v>627</v>
      </c>
      <c r="J152" s="59" t="s">
        <v>422</v>
      </c>
      <c r="K152" s="62" t="s">
        <v>423</v>
      </c>
      <c r="L152" s="66"/>
      <c r="M152" s="66"/>
      <c r="N152" s="66"/>
      <c r="O152" s="66"/>
      <c r="P152" s="66"/>
      <c r="Q152" s="66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59" t="s">
        <v>637</v>
      </c>
      <c r="B153" s="62" t="s">
        <v>484</v>
      </c>
      <c r="C153" s="63" t="s">
        <v>638</v>
      </c>
      <c r="D153" s="66"/>
      <c r="E153" s="59">
        <v>2.0</v>
      </c>
      <c r="F153" s="59" t="s">
        <v>81</v>
      </c>
      <c r="G153" s="64">
        <v>1.6908363E7</v>
      </c>
      <c r="H153" s="65">
        <v>46097.0</v>
      </c>
      <c r="I153" s="62" t="s">
        <v>639</v>
      </c>
      <c r="J153" s="59" t="s">
        <v>290</v>
      </c>
      <c r="K153" s="62" t="s">
        <v>169</v>
      </c>
      <c r="L153" s="66"/>
      <c r="M153" s="66"/>
      <c r="N153" s="66"/>
      <c r="O153" s="66"/>
      <c r="P153" s="66"/>
      <c r="Q153" s="66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59" t="s">
        <v>641</v>
      </c>
      <c r="B154" s="62" t="s">
        <v>489</v>
      </c>
      <c r="C154" s="63" t="s">
        <v>642</v>
      </c>
      <c r="D154" s="66"/>
      <c r="E154" s="59">
        <v>1.0</v>
      </c>
      <c r="F154" s="59" t="s">
        <v>81</v>
      </c>
      <c r="G154" s="64">
        <v>1.6953491E7</v>
      </c>
      <c r="H154" s="65">
        <v>46097.0</v>
      </c>
      <c r="I154" s="62" t="s">
        <v>643</v>
      </c>
      <c r="J154" s="59" t="s">
        <v>290</v>
      </c>
      <c r="K154" s="62" t="s">
        <v>169</v>
      </c>
      <c r="L154" s="66"/>
      <c r="M154" s="66"/>
      <c r="N154" s="66"/>
      <c r="O154" s="66"/>
      <c r="P154" s="66"/>
      <c r="Q154" s="66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59" t="s">
        <v>645</v>
      </c>
      <c r="B155" s="62" t="s">
        <v>646</v>
      </c>
      <c r="C155" s="63" t="s">
        <v>647</v>
      </c>
      <c r="D155" s="66"/>
      <c r="E155" s="59">
        <v>1.0</v>
      </c>
      <c r="F155" s="59" t="s">
        <v>32</v>
      </c>
      <c r="G155" s="64">
        <v>1.6959989E7</v>
      </c>
      <c r="H155" s="65">
        <v>46098.0</v>
      </c>
      <c r="I155" s="62" t="s">
        <v>648</v>
      </c>
      <c r="J155" s="59" t="s">
        <v>133</v>
      </c>
      <c r="K155" s="62" t="s">
        <v>76</v>
      </c>
      <c r="L155" s="66"/>
      <c r="M155" s="66"/>
      <c r="N155" s="66"/>
      <c r="O155" s="66"/>
      <c r="P155" s="66"/>
      <c r="Q155" s="66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59" t="s">
        <v>650</v>
      </c>
      <c r="B156" s="62" t="s">
        <v>378</v>
      </c>
      <c r="C156" s="63" t="s">
        <v>575</v>
      </c>
      <c r="D156" s="66"/>
      <c r="E156" s="59">
        <v>2.0</v>
      </c>
      <c r="F156" s="59" t="s">
        <v>81</v>
      </c>
      <c r="G156" s="64" t="s">
        <v>651</v>
      </c>
      <c r="H156" s="65">
        <v>46100.0</v>
      </c>
      <c r="I156" s="62" t="s">
        <v>652</v>
      </c>
      <c r="J156" s="59" t="s">
        <v>588</v>
      </c>
      <c r="K156" s="62" t="s">
        <v>61</v>
      </c>
      <c r="L156" s="66"/>
      <c r="M156" s="66"/>
      <c r="N156" s="66"/>
      <c r="O156" s="66"/>
      <c r="P156" s="66"/>
      <c r="Q156" s="66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59" t="s">
        <v>654</v>
      </c>
      <c r="B157" s="62" t="s">
        <v>379</v>
      </c>
      <c r="C157" s="63" t="s">
        <v>579</v>
      </c>
      <c r="D157" s="66"/>
      <c r="E157" s="59">
        <v>2.0</v>
      </c>
      <c r="F157" s="59" t="s">
        <v>81</v>
      </c>
      <c r="G157" s="64" t="s">
        <v>655</v>
      </c>
      <c r="H157" s="65">
        <v>46100.0</v>
      </c>
      <c r="I157" s="62" t="s">
        <v>652</v>
      </c>
      <c r="J157" s="59" t="s">
        <v>588</v>
      </c>
      <c r="K157" s="62" t="s">
        <v>61</v>
      </c>
      <c r="L157" s="66"/>
      <c r="M157" s="66"/>
      <c r="N157" s="66"/>
      <c r="O157" s="66"/>
      <c r="P157" s="66"/>
      <c r="Q157" s="66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59" t="s">
        <v>658</v>
      </c>
      <c r="B158" s="62" t="s">
        <v>659</v>
      </c>
      <c r="C158" s="63" t="s">
        <v>660</v>
      </c>
      <c r="D158" s="66"/>
      <c r="E158" s="59">
        <v>1.0</v>
      </c>
      <c r="F158" s="59" t="s">
        <v>54</v>
      </c>
      <c r="G158" s="64" t="s">
        <v>661</v>
      </c>
      <c r="H158" s="65">
        <v>46100.0</v>
      </c>
      <c r="I158" s="62" t="s">
        <v>652</v>
      </c>
      <c r="J158" s="59" t="s">
        <v>612</v>
      </c>
      <c r="K158" s="62" t="s">
        <v>549</v>
      </c>
      <c r="L158" s="66"/>
      <c r="M158" s="66"/>
      <c r="N158" s="66"/>
      <c r="O158" s="66"/>
      <c r="P158" s="66"/>
      <c r="Q158" s="66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59" t="s">
        <v>663</v>
      </c>
      <c r="B159" s="62" t="s">
        <v>665</v>
      </c>
      <c r="C159" s="63" t="s">
        <v>666</v>
      </c>
      <c r="D159" s="66"/>
      <c r="E159" s="59">
        <v>1.0</v>
      </c>
      <c r="F159" s="59" t="s">
        <v>81</v>
      </c>
      <c r="G159" s="64" t="s">
        <v>667</v>
      </c>
      <c r="H159" s="65">
        <v>46101.0</v>
      </c>
      <c r="I159" s="62" t="s">
        <v>668</v>
      </c>
      <c r="J159" s="59" t="s">
        <v>403</v>
      </c>
      <c r="K159" s="62" t="s">
        <v>404</v>
      </c>
      <c r="L159" s="66"/>
      <c r="M159" s="66"/>
      <c r="N159" s="66"/>
      <c r="O159" s="66"/>
      <c r="P159" s="66"/>
      <c r="Q159" s="66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59" t="s">
        <v>669</v>
      </c>
      <c r="B160" s="62" t="s">
        <v>670</v>
      </c>
      <c r="C160" s="63" t="s">
        <v>671</v>
      </c>
      <c r="D160" s="66"/>
      <c r="E160" s="59">
        <v>1.0</v>
      </c>
      <c r="F160" s="59" t="s">
        <v>81</v>
      </c>
      <c r="G160" s="64" t="s">
        <v>672</v>
      </c>
      <c r="H160" s="65">
        <v>46101.0</v>
      </c>
      <c r="I160" s="62" t="s">
        <v>668</v>
      </c>
      <c r="J160" s="59" t="s">
        <v>403</v>
      </c>
      <c r="K160" s="62" t="s">
        <v>404</v>
      </c>
      <c r="L160" s="66"/>
      <c r="M160" s="66"/>
      <c r="N160" s="66"/>
      <c r="O160" s="66"/>
      <c r="P160" s="66"/>
      <c r="Q160" s="66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59" t="s">
        <v>673</v>
      </c>
      <c r="B161" s="62" t="s">
        <v>674</v>
      </c>
      <c r="C161" s="63" t="s">
        <v>675</v>
      </c>
      <c r="D161" s="66"/>
      <c r="E161" s="59">
        <v>1.0</v>
      </c>
      <c r="F161" s="59" t="s">
        <v>81</v>
      </c>
      <c r="G161" s="64" t="s">
        <v>676</v>
      </c>
      <c r="H161" s="65">
        <v>46101.0</v>
      </c>
      <c r="I161" s="62" t="s">
        <v>668</v>
      </c>
      <c r="J161" s="59" t="s">
        <v>403</v>
      </c>
      <c r="K161" s="62" t="s">
        <v>404</v>
      </c>
      <c r="L161" s="66"/>
      <c r="M161" s="66"/>
      <c r="N161" s="66"/>
      <c r="O161" s="66"/>
      <c r="P161" s="66"/>
      <c r="Q161" s="66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59" t="s">
        <v>678</v>
      </c>
      <c r="B162" s="62" t="s">
        <v>473</v>
      </c>
      <c r="C162" s="63" t="s">
        <v>367</v>
      </c>
      <c r="D162" s="66"/>
      <c r="E162" s="59">
        <v>1.0</v>
      </c>
      <c r="F162" s="59" t="s">
        <v>32</v>
      </c>
      <c r="G162" s="64" t="s">
        <v>680</v>
      </c>
      <c r="H162" s="65">
        <v>46101.0</v>
      </c>
      <c r="I162" s="62" t="s">
        <v>681</v>
      </c>
      <c r="J162" s="59" t="s">
        <v>75</v>
      </c>
      <c r="K162" s="62" t="s">
        <v>76</v>
      </c>
      <c r="L162" s="66"/>
      <c r="M162" s="66"/>
      <c r="N162" s="66"/>
      <c r="O162" s="66"/>
      <c r="P162" s="66"/>
      <c r="Q162" s="66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59" t="s">
        <v>682</v>
      </c>
      <c r="B163" s="62" t="s">
        <v>683</v>
      </c>
      <c r="C163" s="63" t="s">
        <v>564</v>
      </c>
      <c r="D163" s="66"/>
      <c r="E163" s="59">
        <v>2.0</v>
      </c>
      <c r="F163" s="59" t="s">
        <v>32</v>
      </c>
      <c r="G163" s="64" t="s">
        <v>684</v>
      </c>
      <c r="H163" s="65">
        <v>46101.0</v>
      </c>
      <c r="I163" s="62" t="s">
        <v>685</v>
      </c>
      <c r="J163" s="59" t="s">
        <v>60</v>
      </c>
      <c r="K163" s="62" t="s">
        <v>61</v>
      </c>
      <c r="L163" s="66"/>
      <c r="M163" s="66"/>
      <c r="N163" s="66"/>
      <c r="O163" s="66"/>
      <c r="P163" s="66"/>
      <c r="Q163" s="66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59" t="s">
        <v>686</v>
      </c>
      <c r="B164" s="62" t="s">
        <v>687</v>
      </c>
      <c r="C164" s="63" t="s">
        <v>689</v>
      </c>
      <c r="D164" s="66"/>
      <c r="E164" s="59">
        <v>2.0</v>
      </c>
      <c r="F164" s="59" t="s">
        <v>32</v>
      </c>
      <c r="G164" s="64" t="s">
        <v>690</v>
      </c>
      <c r="H164" s="65">
        <v>46101.0</v>
      </c>
      <c r="I164" s="62" t="s">
        <v>685</v>
      </c>
      <c r="J164" s="59" t="s">
        <v>60</v>
      </c>
      <c r="K164" s="62" t="s">
        <v>61</v>
      </c>
      <c r="L164" s="66"/>
      <c r="M164" s="66"/>
      <c r="N164" s="66"/>
      <c r="O164" s="66"/>
      <c r="P164" s="66"/>
      <c r="Q164" s="66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59" t="s">
        <v>692</v>
      </c>
      <c r="B165" s="62" t="s">
        <v>693</v>
      </c>
      <c r="C165" s="63" t="s">
        <v>665</v>
      </c>
      <c r="D165" s="66"/>
      <c r="E165" s="59">
        <v>1.0</v>
      </c>
      <c r="F165" s="59" t="s">
        <v>32</v>
      </c>
      <c r="G165" s="64" t="s">
        <v>694</v>
      </c>
      <c r="H165" s="65">
        <v>46101.0</v>
      </c>
      <c r="I165" s="62" t="s">
        <v>685</v>
      </c>
      <c r="J165" s="59" t="s">
        <v>60</v>
      </c>
      <c r="K165" s="62" t="s">
        <v>61</v>
      </c>
      <c r="L165" s="66"/>
      <c r="M165" s="66"/>
      <c r="N165" s="66"/>
      <c r="O165" s="66"/>
      <c r="P165" s="66"/>
      <c r="Q165" s="66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59" t="s">
        <v>697</v>
      </c>
      <c r="B166" s="62" t="s">
        <v>698</v>
      </c>
      <c r="C166" s="63" t="s">
        <v>699</v>
      </c>
      <c r="D166" s="66"/>
      <c r="E166" s="59">
        <v>1.0</v>
      </c>
      <c r="F166" s="59" t="s">
        <v>81</v>
      </c>
      <c r="G166" s="64" t="s">
        <v>700</v>
      </c>
      <c r="H166" s="65">
        <v>46101.0</v>
      </c>
      <c r="I166" s="62" t="s">
        <v>701</v>
      </c>
      <c r="J166" s="59" t="s">
        <v>183</v>
      </c>
      <c r="K166" s="62" t="s">
        <v>61</v>
      </c>
      <c r="L166" s="66"/>
      <c r="M166" s="66"/>
      <c r="N166" s="66"/>
      <c r="O166" s="66"/>
      <c r="P166" s="66"/>
      <c r="Q166" s="66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59" t="s">
        <v>609</v>
      </c>
      <c r="B167" s="62" t="s">
        <v>610</v>
      </c>
      <c r="C167" s="63" t="s">
        <v>703</v>
      </c>
      <c r="D167" s="66"/>
      <c r="E167" s="59">
        <v>1.0</v>
      </c>
      <c r="F167" s="59" t="s">
        <v>81</v>
      </c>
      <c r="G167" s="64">
        <v>1.713128E7</v>
      </c>
      <c r="H167" s="65">
        <v>46113.0</v>
      </c>
      <c r="I167" s="62" t="s">
        <v>705</v>
      </c>
      <c r="J167" s="59" t="s">
        <v>304</v>
      </c>
      <c r="K167" s="62" t="s">
        <v>76</v>
      </c>
      <c r="L167" s="66"/>
      <c r="M167" s="66"/>
      <c r="N167" s="66"/>
      <c r="O167" s="66"/>
      <c r="P167" s="66"/>
      <c r="Q167" s="66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59" t="s">
        <v>708</v>
      </c>
      <c r="B168" s="62" t="s">
        <v>181</v>
      </c>
      <c r="C168" s="63" t="s">
        <v>709</v>
      </c>
      <c r="D168" s="66"/>
      <c r="E168" s="59" t="s">
        <v>164</v>
      </c>
      <c r="F168" s="59" t="s">
        <v>32</v>
      </c>
      <c r="G168" s="64">
        <v>1.7155047E7</v>
      </c>
      <c r="H168" s="65">
        <v>46120.0</v>
      </c>
      <c r="I168" s="62" t="s">
        <v>710</v>
      </c>
      <c r="J168" s="59">
        <v>2702.0</v>
      </c>
      <c r="K168" s="62" t="s">
        <v>570</v>
      </c>
      <c r="L168" s="66"/>
      <c r="M168" s="66"/>
      <c r="N168" s="66"/>
      <c r="O168" s="66"/>
      <c r="P168" s="66"/>
      <c r="Q168" s="66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59" t="s">
        <v>712</v>
      </c>
      <c r="B169" s="62" t="s">
        <v>713</v>
      </c>
      <c r="C169" s="63" t="s">
        <v>714</v>
      </c>
      <c r="D169" s="66"/>
      <c r="E169" s="59" t="s">
        <v>164</v>
      </c>
      <c r="F169" s="59" t="s">
        <v>32</v>
      </c>
      <c r="G169" s="64">
        <v>1.7154695E7</v>
      </c>
      <c r="H169" s="65">
        <v>46120.0</v>
      </c>
      <c r="I169" s="62" t="s">
        <v>710</v>
      </c>
      <c r="J169" s="59">
        <v>2702.0</v>
      </c>
      <c r="K169" s="62" t="s">
        <v>570</v>
      </c>
      <c r="L169" s="66"/>
      <c r="M169" s="66"/>
      <c r="N169" s="66"/>
      <c r="O169" s="66"/>
      <c r="P169" s="66"/>
      <c r="Q169" s="66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59" t="s">
        <v>716</v>
      </c>
      <c r="B170" s="62" t="s">
        <v>717</v>
      </c>
      <c r="C170" s="63" t="s">
        <v>718</v>
      </c>
      <c r="D170" s="66"/>
      <c r="E170" s="59" t="s">
        <v>164</v>
      </c>
      <c r="F170" s="59" t="s">
        <v>32</v>
      </c>
      <c r="G170" s="64">
        <v>1.7154706E7</v>
      </c>
      <c r="H170" s="65">
        <v>46120.0</v>
      </c>
      <c r="I170" s="62" t="s">
        <v>710</v>
      </c>
      <c r="J170" s="59">
        <v>2702.0</v>
      </c>
      <c r="K170" s="62" t="s">
        <v>570</v>
      </c>
      <c r="L170" s="66"/>
      <c r="M170" s="66"/>
      <c r="N170" s="66"/>
      <c r="O170" s="66"/>
      <c r="P170" s="66"/>
      <c r="Q170" s="66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59" t="s">
        <v>720</v>
      </c>
      <c r="B171" s="62" t="s">
        <v>721</v>
      </c>
      <c r="C171" s="63" t="s">
        <v>722</v>
      </c>
      <c r="D171" s="66"/>
      <c r="E171" s="59" t="s">
        <v>252</v>
      </c>
      <c r="F171" s="59" t="s">
        <v>32</v>
      </c>
      <c r="G171" s="64">
        <v>1.715475E7</v>
      </c>
      <c r="H171" s="65">
        <v>46120.0</v>
      </c>
      <c r="I171" s="62" t="s">
        <v>710</v>
      </c>
      <c r="J171" s="59">
        <v>2702.0</v>
      </c>
      <c r="K171" s="62" t="s">
        <v>570</v>
      </c>
      <c r="L171" s="66"/>
      <c r="M171" s="66"/>
      <c r="N171" s="66"/>
      <c r="O171" s="66"/>
      <c r="P171" s="66"/>
      <c r="Q171" s="66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59" t="s">
        <v>725</v>
      </c>
      <c r="B172" s="62" t="s">
        <v>726</v>
      </c>
      <c r="C172" s="63" t="s">
        <v>439</v>
      </c>
      <c r="D172" s="66"/>
      <c r="E172" s="59" t="s">
        <v>34</v>
      </c>
      <c r="F172" s="59" t="s">
        <v>32</v>
      </c>
      <c r="G172" s="64">
        <v>1.7154753E7</v>
      </c>
      <c r="H172" s="65">
        <v>46120.0</v>
      </c>
      <c r="I172" s="62" t="s">
        <v>710</v>
      </c>
      <c r="J172" s="59">
        <v>2702.0</v>
      </c>
      <c r="K172" s="62" t="s">
        <v>570</v>
      </c>
      <c r="L172" s="66"/>
      <c r="M172" s="66"/>
      <c r="N172" s="66"/>
      <c r="O172" s="66"/>
      <c r="P172" s="66"/>
      <c r="Q172" s="66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59" t="s">
        <v>728</v>
      </c>
      <c r="B173" s="62" t="s">
        <v>729</v>
      </c>
      <c r="C173" s="63" t="s">
        <v>718</v>
      </c>
      <c r="D173" s="66"/>
      <c r="E173" s="59" t="s">
        <v>164</v>
      </c>
      <c r="F173" s="59" t="s">
        <v>32</v>
      </c>
      <c r="G173" s="64">
        <v>1.7154695E7</v>
      </c>
      <c r="H173" s="65">
        <v>46120.0</v>
      </c>
      <c r="I173" s="62" t="s">
        <v>710</v>
      </c>
      <c r="J173" s="59">
        <v>2702.0</v>
      </c>
      <c r="K173" s="62" t="s">
        <v>570</v>
      </c>
      <c r="L173" s="66"/>
      <c r="M173" s="66"/>
      <c r="N173" s="66"/>
      <c r="O173" s="66"/>
      <c r="P173" s="66"/>
      <c r="Q173" s="66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59" t="s">
        <v>733</v>
      </c>
      <c r="B174" s="62" t="s">
        <v>734</v>
      </c>
      <c r="C174" s="63" t="s">
        <v>735</v>
      </c>
      <c r="D174" s="66"/>
      <c r="E174" s="59" t="s">
        <v>34</v>
      </c>
      <c r="F174" s="59" t="s">
        <v>32</v>
      </c>
      <c r="G174" s="64">
        <v>1.715499E7</v>
      </c>
      <c r="H174" s="65">
        <v>46120.0</v>
      </c>
      <c r="I174" s="62" t="s">
        <v>710</v>
      </c>
      <c r="J174" s="59">
        <v>2702.0</v>
      </c>
      <c r="K174" s="62" t="s">
        <v>570</v>
      </c>
      <c r="L174" s="66"/>
      <c r="M174" s="66"/>
      <c r="N174" s="66"/>
      <c r="O174" s="66"/>
      <c r="P174" s="66"/>
      <c r="Q174" s="66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59" t="s">
        <v>738</v>
      </c>
      <c r="B175" s="62" t="s">
        <v>739</v>
      </c>
      <c r="C175" s="63" t="s">
        <v>740</v>
      </c>
      <c r="D175" s="66"/>
      <c r="E175" s="59" t="s">
        <v>34</v>
      </c>
      <c r="F175" s="59" t="s">
        <v>32</v>
      </c>
      <c r="G175" s="64">
        <v>1.7154998E7</v>
      </c>
      <c r="H175" s="65">
        <v>46120.0</v>
      </c>
      <c r="I175" s="62" t="s">
        <v>710</v>
      </c>
      <c r="J175" s="59">
        <v>2702.0</v>
      </c>
      <c r="K175" s="62" t="s">
        <v>570</v>
      </c>
      <c r="L175" s="66"/>
      <c r="M175" s="66"/>
      <c r="N175" s="66"/>
      <c r="O175" s="66"/>
      <c r="P175" s="66"/>
      <c r="Q175" s="66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59" t="s">
        <v>742</v>
      </c>
      <c r="B176" s="62" t="s">
        <v>185</v>
      </c>
      <c r="C176" s="63" t="s">
        <v>180</v>
      </c>
      <c r="D176" s="66"/>
      <c r="E176" s="59" t="s">
        <v>164</v>
      </c>
      <c r="F176" s="59" t="s">
        <v>32</v>
      </c>
      <c r="G176" s="64">
        <v>1.7155038E7</v>
      </c>
      <c r="H176" s="65">
        <v>46120.0</v>
      </c>
      <c r="I176" s="62" t="s">
        <v>710</v>
      </c>
      <c r="J176" s="59">
        <v>2702.0</v>
      </c>
      <c r="K176" s="62" t="s">
        <v>570</v>
      </c>
      <c r="L176" s="66"/>
      <c r="M176" s="66"/>
      <c r="N176" s="66"/>
      <c r="O176" s="66"/>
      <c r="P176" s="66"/>
      <c r="Q176" s="66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59" t="s">
        <v>744</v>
      </c>
      <c r="B177" s="62" t="s">
        <v>659</v>
      </c>
      <c r="C177" s="63" t="s">
        <v>660</v>
      </c>
      <c r="D177" s="66"/>
      <c r="E177" s="59" t="s">
        <v>34</v>
      </c>
      <c r="F177" s="59" t="s">
        <v>54</v>
      </c>
      <c r="G177" s="64">
        <v>1.7183414E7</v>
      </c>
      <c r="H177" s="65">
        <v>46121.0</v>
      </c>
      <c r="I177" s="62" t="s">
        <v>652</v>
      </c>
      <c r="J177" s="59">
        <v>2743.0</v>
      </c>
      <c r="K177" s="62" t="s">
        <v>423</v>
      </c>
      <c r="L177" s="66"/>
      <c r="M177" s="66"/>
      <c r="N177" s="66"/>
      <c r="O177" s="66"/>
      <c r="P177" s="66"/>
      <c r="Q177" s="66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59" t="s">
        <v>747</v>
      </c>
      <c r="B178" s="62" t="s">
        <v>235</v>
      </c>
      <c r="C178" s="63" t="s">
        <v>236</v>
      </c>
      <c r="D178" s="66"/>
      <c r="E178" s="59" t="s">
        <v>34</v>
      </c>
      <c r="F178" s="59" t="s">
        <v>81</v>
      </c>
      <c r="G178" s="64">
        <v>1.7185685E7</v>
      </c>
      <c r="H178" s="65">
        <v>46121.0</v>
      </c>
      <c r="I178" s="62" t="s">
        <v>749</v>
      </c>
      <c r="J178" s="59">
        <v>2721.0</v>
      </c>
      <c r="K178" s="62" t="s">
        <v>61</v>
      </c>
      <c r="L178" s="66"/>
      <c r="M178" s="66"/>
      <c r="N178" s="66"/>
      <c r="O178" s="66"/>
      <c r="P178" s="66"/>
      <c r="Q178" s="66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59" t="s">
        <v>751</v>
      </c>
      <c r="B179" s="62" t="s">
        <v>752</v>
      </c>
      <c r="C179" s="63" t="s">
        <v>753</v>
      </c>
      <c r="D179" s="66"/>
      <c r="E179" s="59" t="s">
        <v>34</v>
      </c>
      <c r="F179" s="59" t="s">
        <v>81</v>
      </c>
      <c r="G179" s="64">
        <v>1.7185686E7</v>
      </c>
      <c r="H179" s="65">
        <v>46121.0</v>
      </c>
      <c r="I179" s="62" t="s">
        <v>749</v>
      </c>
      <c r="J179" s="59">
        <v>2728.0</v>
      </c>
      <c r="K179" s="62" t="s">
        <v>61</v>
      </c>
      <c r="L179" s="66"/>
      <c r="M179" s="66"/>
      <c r="N179" s="66"/>
      <c r="O179" s="66"/>
      <c r="P179" s="66"/>
      <c r="Q179" s="66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59" t="s">
        <v>755</v>
      </c>
      <c r="B180" s="62" t="s">
        <v>756</v>
      </c>
      <c r="C180" s="63" t="s">
        <v>757</v>
      </c>
      <c r="D180" s="66"/>
      <c r="E180" s="59" t="s">
        <v>164</v>
      </c>
      <c r="F180" s="59" t="s">
        <v>81</v>
      </c>
      <c r="G180" s="64">
        <v>1.7185687E7</v>
      </c>
      <c r="H180" s="65">
        <v>46121.0</v>
      </c>
      <c r="I180" s="62" t="s">
        <v>749</v>
      </c>
      <c r="J180" s="59" t="s">
        <v>759</v>
      </c>
      <c r="K180" s="62" t="s">
        <v>61</v>
      </c>
      <c r="L180" s="66"/>
      <c r="M180" s="66"/>
      <c r="N180" s="66"/>
      <c r="O180" s="66"/>
      <c r="P180" s="66"/>
      <c r="Q180" s="66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59" t="s">
        <v>761</v>
      </c>
      <c r="B181" s="62" t="s">
        <v>762</v>
      </c>
      <c r="C181" s="63" t="s">
        <v>763</v>
      </c>
      <c r="D181" s="66"/>
      <c r="E181" s="59" t="s">
        <v>34</v>
      </c>
      <c r="F181" s="59" t="s">
        <v>81</v>
      </c>
      <c r="G181" s="64">
        <v>1.7185688E7</v>
      </c>
      <c r="H181" s="65">
        <v>46121.0</v>
      </c>
      <c r="I181" s="62" t="s">
        <v>749</v>
      </c>
      <c r="J181" s="59">
        <v>2728.0</v>
      </c>
      <c r="K181" s="62" t="s">
        <v>61</v>
      </c>
      <c r="L181" s="66"/>
      <c r="M181" s="66"/>
      <c r="N181" s="66"/>
      <c r="O181" s="66"/>
      <c r="P181" s="66"/>
      <c r="Q181" s="66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59" t="s">
        <v>764</v>
      </c>
      <c r="B182" s="62" t="s">
        <v>765</v>
      </c>
      <c r="C182" s="63" t="s">
        <v>766</v>
      </c>
      <c r="D182" s="66"/>
      <c r="E182" s="59" t="s">
        <v>34</v>
      </c>
      <c r="F182" s="59" t="s">
        <v>32</v>
      </c>
      <c r="G182" s="64">
        <v>1.7161078E7</v>
      </c>
      <c r="H182" s="65">
        <v>46122.0</v>
      </c>
      <c r="I182" s="62" t="s">
        <v>767</v>
      </c>
      <c r="J182" s="59">
        <v>2720.0</v>
      </c>
      <c r="K182" s="62" t="s">
        <v>169</v>
      </c>
      <c r="L182" s="66"/>
      <c r="M182" s="66"/>
      <c r="N182" s="66"/>
      <c r="O182" s="66"/>
      <c r="P182" s="66"/>
      <c r="Q182" s="66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59" t="s">
        <v>769</v>
      </c>
      <c r="B183" s="62" t="s">
        <v>765</v>
      </c>
      <c r="C183" s="63" t="s">
        <v>766</v>
      </c>
      <c r="D183" s="66"/>
      <c r="E183" s="59" t="s">
        <v>34</v>
      </c>
      <c r="F183" s="59" t="s">
        <v>32</v>
      </c>
      <c r="G183" s="64">
        <v>1.7185015E7</v>
      </c>
      <c r="H183" s="65">
        <v>46122.0</v>
      </c>
      <c r="I183" s="62" t="s">
        <v>767</v>
      </c>
      <c r="J183" s="59">
        <v>2720.0</v>
      </c>
      <c r="K183" s="62" t="s">
        <v>169</v>
      </c>
      <c r="L183" s="66"/>
      <c r="M183" s="66"/>
      <c r="N183" s="66"/>
      <c r="O183" s="66"/>
      <c r="P183" s="66"/>
      <c r="Q183" s="66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59" t="s">
        <v>773</v>
      </c>
      <c r="B184" s="62" t="s">
        <v>774</v>
      </c>
      <c r="C184" s="63" t="s">
        <v>775</v>
      </c>
      <c r="D184" s="66"/>
      <c r="E184" s="59" t="s">
        <v>124</v>
      </c>
      <c r="F184" s="59" t="s">
        <v>32</v>
      </c>
      <c r="G184" s="64">
        <v>1.7159745E7</v>
      </c>
      <c r="H184" s="65">
        <v>46122.0</v>
      </c>
      <c r="I184" s="62" t="s">
        <v>767</v>
      </c>
      <c r="J184" s="59">
        <v>2720.0</v>
      </c>
      <c r="K184" s="62" t="s">
        <v>169</v>
      </c>
      <c r="L184" s="66"/>
      <c r="M184" s="66"/>
      <c r="N184" s="66"/>
      <c r="O184" s="66"/>
      <c r="P184" s="66"/>
      <c r="Q184" s="66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59" t="s">
        <v>778</v>
      </c>
      <c r="B185" s="62" t="s">
        <v>779</v>
      </c>
      <c r="C185" s="63" t="s">
        <v>709</v>
      </c>
      <c r="D185" s="66"/>
      <c r="E185" s="59" t="s">
        <v>34</v>
      </c>
      <c r="F185" s="59" t="s">
        <v>32</v>
      </c>
      <c r="G185" s="64">
        <v>1.7187137E7</v>
      </c>
      <c r="H185" s="65">
        <v>46122.0</v>
      </c>
      <c r="I185" s="62" t="s">
        <v>767</v>
      </c>
      <c r="J185" s="59">
        <v>2702.0</v>
      </c>
      <c r="K185" s="62" t="s">
        <v>570</v>
      </c>
      <c r="L185" s="66"/>
      <c r="M185" s="66"/>
      <c r="N185" s="66"/>
      <c r="O185" s="66"/>
      <c r="P185" s="66"/>
      <c r="Q185" s="66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59" t="s">
        <v>780</v>
      </c>
      <c r="B186" s="62" t="s">
        <v>781</v>
      </c>
      <c r="C186" s="63" t="s">
        <v>180</v>
      </c>
      <c r="D186" s="66"/>
      <c r="E186" s="59" t="s">
        <v>164</v>
      </c>
      <c r="F186" s="59" t="s">
        <v>32</v>
      </c>
      <c r="G186" s="64">
        <v>1.7187145E7</v>
      </c>
      <c r="H186" s="65">
        <v>46122.0</v>
      </c>
      <c r="I186" s="62" t="s">
        <v>767</v>
      </c>
      <c r="J186" s="59">
        <v>2702.0</v>
      </c>
      <c r="K186" s="62" t="s">
        <v>570</v>
      </c>
      <c r="L186" s="66"/>
      <c r="M186" s="66"/>
      <c r="N186" s="66"/>
      <c r="O186" s="66"/>
      <c r="P186" s="66"/>
      <c r="Q186" s="66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59" t="s">
        <v>783</v>
      </c>
      <c r="B187" s="62" t="s">
        <v>784</v>
      </c>
      <c r="C187" s="63" t="s">
        <v>115</v>
      </c>
      <c r="D187" s="66"/>
      <c r="E187" s="59" t="s">
        <v>252</v>
      </c>
      <c r="F187" s="59" t="s">
        <v>32</v>
      </c>
      <c r="G187" s="64">
        <v>1.7187148E7</v>
      </c>
      <c r="H187" s="65">
        <v>46122.0</v>
      </c>
      <c r="I187" s="62" t="s">
        <v>767</v>
      </c>
      <c r="J187" s="59">
        <v>2702.0</v>
      </c>
      <c r="K187" s="62" t="s">
        <v>570</v>
      </c>
      <c r="L187" s="66"/>
      <c r="M187" s="66"/>
      <c r="N187" s="66"/>
      <c r="O187" s="66"/>
      <c r="P187" s="66"/>
      <c r="Q187" s="66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59" t="s">
        <v>787</v>
      </c>
      <c r="B188" s="62" t="s">
        <v>788</v>
      </c>
      <c r="C188" s="63" t="s">
        <v>180</v>
      </c>
      <c r="D188" s="66"/>
      <c r="E188" s="59" t="s">
        <v>34</v>
      </c>
      <c r="F188" s="59" t="s">
        <v>32</v>
      </c>
      <c r="G188" s="64">
        <v>1.7187154E7</v>
      </c>
      <c r="H188" s="65">
        <v>46122.0</v>
      </c>
      <c r="I188" s="62" t="s">
        <v>767</v>
      </c>
      <c r="J188" s="59">
        <v>2702.0</v>
      </c>
      <c r="K188" s="62" t="s">
        <v>570</v>
      </c>
      <c r="L188" s="66"/>
      <c r="M188" s="66"/>
      <c r="N188" s="66"/>
      <c r="O188" s="66"/>
      <c r="P188" s="66"/>
      <c r="Q188" s="66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59" t="s">
        <v>791</v>
      </c>
      <c r="B189" s="62" t="s">
        <v>792</v>
      </c>
      <c r="C189" s="63" t="s">
        <v>793</v>
      </c>
      <c r="D189" s="66"/>
      <c r="E189" s="59" t="s">
        <v>794</v>
      </c>
      <c r="F189" s="59" t="s">
        <v>32</v>
      </c>
      <c r="G189" s="64">
        <v>1.7187163E7</v>
      </c>
      <c r="H189" s="65">
        <v>46122.0</v>
      </c>
      <c r="I189" s="62" t="s">
        <v>767</v>
      </c>
      <c r="J189" s="59">
        <v>2702.0</v>
      </c>
      <c r="K189" s="62" t="s">
        <v>570</v>
      </c>
      <c r="L189" s="66"/>
      <c r="M189" s="66"/>
      <c r="N189" s="66"/>
      <c r="O189" s="66"/>
      <c r="P189" s="66"/>
      <c r="Q189" s="66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59" t="s">
        <v>796</v>
      </c>
      <c r="B190" s="62" t="s">
        <v>797</v>
      </c>
      <c r="C190" s="63" t="s">
        <v>709</v>
      </c>
      <c r="D190" s="66"/>
      <c r="E190" s="59" t="s">
        <v>34</v>
      </c>
      <c r="F190" s="59" t="s">
        <v>32</v>
      </c>
      <c r="G190" s="64">
        <v>1.7187176E7</v>
      </c>
      <c r="H190" s="65">
        <v>46122.0</v>
      </c>
      <c r="I190" s="62" t="s">
        <v>767</v>
      </c>
      <c r="J190" s="59">
        <v>2702.0</v>
      </c>
      <c r="K190" s="62" t="s">
        <v>570</v>
      </c>
      <c r="L190" s="66"/>
      <c r="M190" s="66"/>
      <c r="N190" s="66"/>
      <c r="O190" s="66"/>
      <c r="P190" s="66"/>
      <c r="Q190" s="66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59" t="s">
        <v>799</v>
      </c>
      <c r="B191" s="62" t="s">
        <v>800</v>
      </c>
      <c r="C191" s="63" t="s">
        <v>801</v>
      </c>
      <c r="D191" s="66"/>
      <c r="E191" s="59" t="s">
        <v>340</v>
      </c>
      <c r="F191" s="59" t="s">
        <v>32</v>
      </c>
      <c r="G191" s="64">
        <v>1.7187179E7</v>
      </c>
      <c r="H191" s="65">
        <v>46122.0</v>
      </c>
      <c r="I191" s="62" t="s">
        <v>767</v>
      </c>
      <c r="J191" s="59">
        <v>2702.0</v>
      </c>
      <c r="K191" s="62" t="s">
        <v>570</v>
      </c>
      <c r="L191" s="66"/>
      <c r="M191" s="66"/>
      <c r="N191" s="66"/>
      <c r="O191" s="66"/>
      <c r="P191" s="66"/>
      <c r="Q191" s="66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59" t="s">
        <v>803</v>
      </c>
      <c r="B192" s="62" t="s">
        <v>800</v>
      </c>
      <c r="C192" s="63" t="s">
        <v>801</v>
      </c>
      <c r="D192" s="66"/>
      <c r="E192" s="59" t="s">
        <v>340</v>
      </c>
      <c r="F192" s="59" t="s">
        <v>32</v>
      </c>
      <c r="G192" s="64">
        <v>1.7191995E7</v>
      </c>
      <c r="H192" s="65">
        <v>46122.0</v>
      </c>
      <c r="I192" s="62" t="s">
        <v>767</v>
      </c>
      <c r="J192" s="59">
        <v>2702.0</v>
      </c>
      <c r="K192" s="62" t="s">
        <v>570</v>
      </c>
      <c r="L192" s="66"/>
      <c r="M192" s="66"/>
      <c r="N192" s="66"/>
      <c r="O192" s="66"/>
      <c r="P192" s="66"/>
      <c r="Q192" s="66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59" t="s">
        <v>806</v>
      </c>
      <c r="B193" s="62" t="s">
        <v>807</v>
      </c>
      <c r="C193" s="63" t="s">
        <v>809</v>
      </c>
      <c r="D193" s="66"/>
      <c r="E193" s="59" t="s">
        <v>34</v>
      </c>
      <c r="F193" s="59" t="s">
        <v>32</v>
      </c>
      <c r="G193" s="64">
        <v>3.13260018206E11</v>
      </c>
      <c r="H193" s="65">
        <v>46126.0</v>
      </c>
      <c r="I193" s="62" t="s">
        <v>810</v>
      </c>
      <c r="J193" s="59">
        <v>2737.0</v>
      </c>
      <c r="K193" s="62" t="s">
        <v>51</v>
      </c>
      <c r="L193" s="66"/>
      <c r="M193" s="66"/>
      <c r="N193" s="66"/>
      <c r="O193" s="66"/>
      <c r="P193" s="66"/>
      <c r="Q193" s="66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59" t="s">
        <v>812</v>
      </c>
      <c r="B194" s="62" t="s">
        <v>491</v>
      </c>
      <c r="C194" s="63" t="s">
        <v>813</v>
      </c>
      <c r="D194" s="59">
        <v>60637.0</v>
      </c>
      <c r="E194" s="59" t="s">
        <v>34</v>
      </c>
      <c r="F194" s="59" t="s">
        <v>81</v>
      </c>
      <c r="G194" s="64">
        <v>1.7244405E7</v>
      </c>
      <c r="H194" s="65">
        <v>46128.0</v>
      </c>
      <c r="I194" s="62" t="s">
        <v>814</v>
      </c>
      <c r="J194" s="59">
        <v>2723.0</v>
      </c>
      <c r="K194" s="62" t="s">
        <v>404</v>
      </c>
      <c r="L194" s="66"/>
      <c r="M194" s="66"/>
      <c r="N194" s="66"/>
      <c r="O194" s="66"/>
      <c r="P194" s="66"/>
      <c r="Q194" s="66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59" t="s">
        <v>816</v>
      </c>
      <c r="B195" s="62" t="s">
        <v>489</v>
      </c>
      <c r="C195" s="63" t="s">
        <v>818</v>
      </c>
      <c r="D195" s="59">
        <v>4741.0</v>
      </c>
      <c r="E195" s="59" t="s">
        <v>34</v>
      </c>
      <c r="F195" s="59" t="s">
        <v>81</v>
      </c>
      <c r="G195" s="64">
        <v>3.29260019063E11</v>
      </c>
      <c r="H195" s="65">
        <v>46128.0</v>
      </c>
      <c r="I195" s="62" t="s">
        <v>819</v>
      </c>
      <c r="J195" s="59">
        <v>2720.0</v>
      </c>
      <c r="K195" s="62" t="s">
        <v>169</v>
      </c>
      <c r="L195" s="66"/>
      <c r="M195" s="66"/>
      <c r="N195" s="66"/>
      <c r="O195" s="66"/>
      <c r="P195" s="66"/>
      <c r="Q195" s="66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59" t="s">
        <v>823</v>
      </c>
      <c r="B196" s="62" t="s">
        <v>824</v>
      </c>
      <c r="C196" s="63" t="s">
        <v>825</v>
      </c>
      <c r="D196" s="66"/>
      <c r="E196" s="59" t="s">
        <v>826</v>
      </c>
      <c r="F196" s="59" t="s">
        <v>32</v>
      </c>
      <c r="G196" s="64">
        <v>1.7261012E7</v>
      </c>
      <c r="H196" s="65">
        <v>46128.0</v>
      </c>
      <c r="I196" s="62" t="s">
        <v>827</v>
      </c>
      <c r="J196" s="59">
        <v>2739.0</v>
      </c>
      <c r="K196" s="62" t="s">
        <v>76</v>
      </c>
      <c r="L196" s="66"/>
      <c r="M196" s="66"/>
      <c r="N196" s="66"/>
      <c r="O196" s="66"/>
      <c r="P196" s="66"/>
      <c r="Q196" s="66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59" t="s">
        <v>829</v>
      </c>
      <c r="B197" s="62">
        <v>3240572.0</v>
      </c>
      <c r="C197" s="63" t="s">
        <v>328</v>
      </c>
      <c r="D197" s="66"/>
      <c r="E197" s="59" t="s">
        <v>164</v>
      </c>
      <c r="F197" s="59" t="s">
        <v>32</v>
      </c>
      <c r="G197" s="64">
        <v>1.7276994E7</v>
      </c>
      <c r="H197" s="65">
        <v>46129.0</v>
      </c>
      <c r="I197" s="62" t="s">
        <v>831</v>
      </c>
      <c r="J197" s="59">
        <v>2739.0</v>
      </c>
      <c r="K197" s="62" t="s">
        <v>76</v>
      </c>
      <c r="L197" s="66"/>
      <c r="M197" s="66"/>
      <c r="N197" s="66"/>
      <c r="O197" s="66"/>
      <c r="P197" s="66"/>
      <c r="Q197" s="66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59" t="s">
        <v>833</v>
      </c>
      <c r="B198" s="62" t="s">
        <v>310</v>
      </c>
      <c r="C198" s="63" t="s">
        <v>311</v>
      </c>
      <c r="D198" s="66"/>
      <c r="E198" s="59" t="s">
        <v>164</v>
      </c>
      <c r="F198" s="59" t="s">
        <v>32</v>
      </c>
      <c r="G198" s="64">
        <v>1.7254045E7</v>
      </c>
      <c r="H198" s="65">
        <v>46135.0</v>
      </c>
      <c r="I198" s="62" t="s">
        <v>749</v>
      </c>
      <c r="J198" s="59">
        <v>2703.0</v>
      </c>
      <c r="K198" s="62" t="s">
        <v>61</v>
      </c>
      <c r="L198" s="66"/>
      <c r="M198" s="66"/>
      <c r="N198" s="66"/>
      <c r="O198" s="66"/>
      <c r="P198" s="66"/>
      <c r="Q198" s="66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59" t="s">
        <v>834</v>
      </c>
      <c r="B199" s="62" t="s">
        <v>835</v>
      </c>
      <c r="C199" s="63" t="s">
        <v>564</v>
      </c>
      <c r="D199" s="66"/>
      <c r="E199" s="59" t="s">
        <v>252</v>
      </c>
      <c r="F199" s="59" t="s">
        <v>32</v>
      </c>
      <c r="G199" s="64">
        <v>1.7331826E7</v>
      </c>
      <c r="H199" s="65">
        <v>46139.0</v>
      </c>
      <c r="I199" s="62" t="s">
        <v>837</v>
      </c>
      <c r="J199" s="59">
        <v>2727.0</v>
      </c>
      <c r="K199" s="62" t="s">
        <v>544</v>
      </c>
      <c r="L199" s="66"/>
      <c r="M199" s="66"/>
      <c r="N199" s="66"/>
      <c r="O199" s="66"/>
      <c r="P199" s="66"/>
      <c r="Q199" s="66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59" t="s">
        <v>839</v>
      </c>
      <c r="B200" s="62" t="s">
        <v>840</v>
      </c>
      <c r="C200" s="63" t="s">
        <v>154</v>
      </c>
      <c r="D200" s="66"/>
      <c r="E200" s="59" t="s">
        <v>164</v>
      </c>
      <c r="F200" s="59" t="s">
        <v>32</v>
      </c>
      <c r="G200" s="64">
        <v>1.7331914E7</v>
      </c>
      <c r="H200" s="65">
        <v>46139.0</v>
      </c>
      <c r="I200" s="62" t="s">
        <v>837</v>
      </c>
      <c r="J200" s="59">
        <v>2727.0</v>
      </c>
      <c r="K200" s="62" t="s">
        <v>544</v>
      </c>
      <c r="L200" s="66"/>
      <c r="M200" s="66"/>
      <c r="N200" s="66"/>
      <c r="O200" s="66"/>
      <c r="P200" s="66"/>
      <c r="Q200" s="66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59" t="s">
        <v>844</v>
      </c>
      <c r="B201" s="62" t="s">
        <v>845</v>
      </c>
      <c r="C201" s="63" t="s">
        <v>846</v>
      </c>
      <c r="D201" s="66"/>
      <c r="E201" s="59" t="s">
        <v>34</v>
      </c>
      <c r="F201" s="59" t="s">
        <v>81</v>
      </c>
      <c r="G201" s="64">
        <v>3.29260019092E11</v>
      </c>
      <c r="H201" s="65">
        <v>46139.0</v>
      </c>
      <c r="I201" s="62" t="s">
        <v>819</v>
      </c>
      <c r="J201" s="59">
        <v>2721.0</v>
      </c>
      <c r="K201" s="62" t="s">
        <v>169</v>
      </c>
      <c r="L201" s="66"/>
      <c r="M201" s="66"/>
      <c r="N201" s="66"/>
      <c r="O201" s="66"/>
      <c r="P201" s="66"/>
      <c r="Q201" s="66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59" t="s">
        <v>848</v>
      </c>
      <c r="B202" s="62" t="s">
        <v>849</v>
      </c>
      <c r="C202" s="63" t="s">
        <v>850</v>
      </c>
      <c r="D202" s="66"/>
      <c r="E202" s="59" t="s">
        <v>34</v>
      </c>
      <c r="F202" s="59" t="s">
        <v>81</v>
      </c>
      <c r="G202" s="64">
        <v>3.29260019093E11</v>
      </c>
      <c r="H202" s="65">
        <v>46139.0</v>
      </c>
      <c r="I202" s="62" t="s">
        <v>819</v>
      </c>
      <c r="J202" s="59">
        <v>2721.0</v>
      </c>
      <c r="K202" s="62" t="s">
        <v>169</v>
      </c>
      <c r="L202" s="66"/>
      <c r="M202" s="66"/>
      <c r="N202" s="66"/>
      <c r="O202" s="66"/>
      <c r="P202" s="66"/>
      <c r="Q202" s="66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59" t="s">
        <v>853</v>
      </c>
      <c r="B203" s="62" t="s">
        <v>854</v>
      </c>
      <c r="C203" s="63" t="s">
        <v>855</v>
      </c>
      <c r="D203" s="59">
        <v>610.0</v>
      </c>
      <c r="E203" s="59" t="s">
        <v>34</v>
      </c>
      <c r="F203" s="59" t="s">
        <v>81</v>
      </c>
      <c r="G203" s="64">
        <v>1.7354192E7</v>
      </c>
      <c r="H203" s="65">
        <v>46139.0</v>
      </c>
      <c r="I203" s="62" t="s">
        <v>857</v>
      </c>
      <c r="J203" s="59">
        <v>2719.0</v>
      </c>
      <c r="K203" s="62" t="s">
        <v>61</v>
      </c>
      <c r="L203" s="66"/>
      <c r="M203" s="66"/>
      <c r="N203" s="66"/>
      <c r="O203" s="66"/>
      <c r="P203" s="66"/>
      <c r="Q203" s="66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59" t="s">
        <v>859</v>
      </c>
      <c r="B204" s="62" t="s">
        <v>860</v>
      </c>
      <c r="C204" s="63" t="s">
        <v>861</v>
      </c>
      <c r="D204" s="59">
        <v>228.0</v>
      </c>
      <c r="E204" s="59" t="s">
        <v>862</v>
      </c>
      <c r="F204" s="59" t="s">
        <v>54</v>
      </c>
      <c r="G204" s="64">
        <v>6.85260011675E11</v>
      </c>
      <c r="H204" s="65">
        <v>46141.0</v>
      </c>
      <c r="I204" s="62" t="s">
        <v>863</v>
      </c>
      <c r="J204" s="59">
        <v>2719.0</v>
      </c>
      <c r="K204" s="62" t="s">
        <v>61</v>
      </c>
      <c r="L204" s="66"/>
      <c r="M204" s="66"/>
      <c r="N204" s="66"/>
      <c r="O204" s="66"/>
      <c r="P204" s="66"/>
      <c r="Q204" s="66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59" t="s">
        <v>865</v>
      </c>
      <c r="B205" s="62" t="s">
        <v>429</v>
      </c>
      <c r="C205" s="63" t="s">
        <v>430</v>
      </c>
      <c r="D205" s="66"/>
      <c r="E205" s="59" t="s">
        <v>862</v>
      </c>
      <c r="F205" s="59" t="s">
        <v>81</v>
      </c>
      <c r="G205" s="64">
        <v>1.7354719E7</v>
      </c>
      <c r="H205" s="65">
        <v>46141.0</v>
      </c>
      <c r="I205" s="62" t="s">
        <v>867</v>
      </c>
      <c r="J205" s="59">
        <v>2719.0</v>
      </c>
      <c r="K205" s="62" t="s">
        <v>61</v>
      </c>
      <c r="L205" s="66"/>
      <c r="M205" s="66"/>
      <c r="N205" s="66"/>
      <c r="O205" s="66"/>
      <c r="P205" s="66"/>
      <c r="Q205" s="66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59" t="s">
        <v>868</v>
      </c>
      <c r="B206" s="62">
        <v>3014226.0</v>
      </c>
      <c r="C206" s="63" t="s">
        <v>870</v>
      </c>
      <c r="D206" s="66"/>
      <c r="E206" s="59" t="s">
        <v>862</v>
      </c>
      <c r="F206" s="59" t="s">
        <v>32</v>
      </c>
      <c r="G206" s="64">
        <v>1.7355665E7</v>
      </c>
      <c r="H206" s="65">
        <v>46141.0</v>
      </c>
      <c r="I206" s="62" t="s">
        <v>867</v>
      </c>
      <c r="J206" s="59">
        <v>2719.0</v>
      </c>
      <c r="K206" s="62" t="s">
        <v>61</v>
      </c>
      <c r="L206" s="66"/>
      <c r="M206" s="66"/>
      <c r="N206" s="66"/>
      <c r="O206" s="66"/>
      <c r="P206" s="66"/>
      <c r="Q206" s="66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59" t="s">
        <v>872</v>
      </c>
      <c r="B207" s="62" t="s">
        <v>873</v>
      </c>
      <c r="C207" s="63" t="s">
        <v>735</v>
      </c>
      <c r="D207" s="66"/>
      <c r="E207" s="59" t="s">
        <v>874</v>
      </c>
      <c r="F207" s="59" t="s">
        <v>32</v>
      </c>
      <c r="G207" s="64">
        <v>1.736211E7</v>
      </c>
      <c r="H207" s="65">
        <v>46141.0</v>
      </c>
      <c r="I207" s="62" t="s">
        <v>867</v>
      </c>
      <c r="J207" s="59">
        <v>2719.0</v>
      </c>
      <c r="K207" s="62" t="s">
        <v>61</v>
      </c>
      <c r="L207" s="66"/>
      <c r="M207" s="66"/>
      <c r="N207" s="66"/>
      <c r="O207" s="66"/>
      <c r="P207" s="66"/>
      <c r="Q207" s="66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59" t="s">
        <v>877</v>
      </c>
      <c r="B208" s="62" t="s">
        <v>878</v>
      </c>
      <c r="C208" s="63" t="s">
        <v>880</v>
      </c>
      <c r="D208" s="66"/>
      <c r="E208" s="59" t="s">
        <v>874</v>
      </c>
      <c r="F208" s="59" t="s">
        <v>32</v>
      </c>
      <c r="G208" s="64">
        <v>1.7361676E7</v>
      </c>
      <c r="H208" s="65">
        <v>46141.0</v>
      </c>
      <c r="I208" s="62" t="s">
        <v>867</v>
      </c>
      <c r="J208" s="59">
        <v>2719.0</v>
      </c>
      <c r="K208" s="62" t="s">
        <v>61</v>
      </c>
      <c r="L208" s="66"/>
      <c r="M208" s="66"/>
      <c r="N208" s="66"/>
      <c r="O208" s="66"/>
      <c r="P208" s="66"/>
      <c r="Q208" s="66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59" t="s">
        <v>882</v>
      </c>
      <c r="B209" s="62" t="s">
        <v>883</v>
      </c>
      <c r="C209" s="63" t="s">
        <v>884</v>
      </c>
      <c r="D209" s="66"/>
      <c r="E209" s="59" t="s">
        <v>885</v>
      </c>
      <c r="F209" s="59" t="s">
        <v>32</v>
      </c>
      <c r="G209" s="64">
        <v>1.7355571E7</v>
      </c>
      <c r="H209" s="65">
        <v>46141.0</v>
      </c>
      <c r="I209" s="62" t="s">
        <v>867</v>
      </c>
      <c r="J209" s="59">
        <v>2719.0</v>
      </c>
      <c r="K209" s="62" t="s">
        <v>61</v>
      </c>
      <c r="L209" s="66"/>
      <c r="M209" s="66"/>
      <c r="N209" s="66"/>
      <c r="O209" s="66"/>
      <c r="P209" s="66"/>
      <c r="Q209" s="66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59" t="s">
        <v>886</v>
      </c>
      <c r="B210" s="62" t="s">
        <v>887</v>
      </c>
      <c r="C210" s="63" t="s">
        <v>888</v>
      </c>
      <c r="D210" s="66"/>
      <c r="E210" s="59" t="s">
        <v>874</v>
      </c>
      <c r="F210" s="59" t="s">
        <v>32</v>
      </c>
      <c r="G210" s="64">
        <v>1.7355562E7</v>
      </c>
      <c r="H210" s="65">
        <v>46141.0</v>
      </c>
      <c r="I210" s="62" t="s">
        <v>889</v>
      </c>
      <c r="J210" s="59">
        <v>2719.0</v>
      </c>
      <c r="K210" s="62" t="s">
        <v>61</v>
      </c>
      <c r="L210" s="66"/>
      <c r="M210" s="66"/>
      <c r="N210" s="66"/>
      <c r="O210" s="66"/>
      <c r="P210" s="66"/>
      <c r="Q210" s="66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59" t="s">
        <v>890</v>
      </c>
      <c r="B211" s="62" t="s">
        <v>887</v>
      </c>
      <c r="C211" s="63" t="s">
        <v>888</v>
      </c>
      <c r="D211" s="66"/>
      <c r="E211" s="59" t="s">
        <v>758</v>
      </c>
      <c r="F211" s="59" t="s">
        <v>32</v>
      </c>
      <c r="G211" s="64">
        <v>1.7355553E7</v>
      </c>
      <c r="H211" s="65">
        <v>46141.0</v>
      </c>
      <c r="I211" s="62" t="s">
        <v>891</v>
      </c>
      <c r="J211" s="59">
        <v>2719.0</v>
      </c>
      <c r="K211" s="62" t="s">
        <v>61</v>
      </c>
      <c r="L211" s="66"/>
      <c r="M211" s="66"/>
      <c r="N211" s="66"/>
      <c r="O211" s="66"/>
      <c r="P211" s="66"/>
      <c r="Q211" s="66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59" t="s">
        <v>893</v>
      </c>
      <c r="B212" s="62" t="s">
        <v>887</v>
      </c>
      <c r="C212" s="63" t="s">
        <v>888</v>
      </c>
      <c r="D212" s="66"/>
      <c r="E212" s="59" t="s">
        <v>758</v>
      </c>
      <c r="F212" s="59" t="s">
        <v>32</v>
      </c>
      <c r="G212" s="64">
        <v>1.7355563E7</v>
      </c>
      <c r="H212" s="65">
        <v>46141.0</v>
      </c>
      <c r="I212" s="62" t="s">
        <v>894</v>
      </c>
      <c r="J212" s="59">
        <v>2719.0</v>
      </c>
      <c r="K212" s="62" t="s">
        <v>61</v>
      </c>
      <c r="L212" s="66"/>
      <c r="M212" s="66"/>
      <c r="N212" s="66"/>
      <c r="O212" s="66"/>
      <c r="P212" s="66"/>
      <c r="Q212" s="66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59" t="s">
        <v>896</v>
      </c>
      <c r="B213" s="62" t="s">
        <v>122</v>
      </c>
      <c r="C213" s="63" t="s">
        <v>123</v>
      </c>
      <c r="D213" s="66"/>
      <c r="E213" s="59" t="s">
        <v>758</v>
      </c>
      <c r="F213" s="59" t="s">
        <v>32</v>
      </c>
      <c r="G213" s="64">
        <v>1.7377917E7</v>
      </c>
      <c r="H213" s="65">
        <v>46142.0</v>
      </c>
      <c r="I213" s="62" t="s">
        <v>898</v>
      </c>
      <c r="J213" s="59">
        <v>2732.0</v>
      </c>
      <c r="K213" s="62" t="s">
        <v>51</v>
      </c>
      <c r="L213" s="66"/>
      <c r="M213" s="66"/>
      <c r="N213" s="66"/>
      <c r="O213" s="66"/>
      <c r="P213" s="66"/>
      <c r="Q213" s="66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59" t="s">
        <v>900</v>
      </c>
      <c r="B214" s="62" t="s">
        <v>901</v>
      </c>
      <c r="C214" s="63" t="s">
        <v>902</v>
      </c>
      <c r="D214" s="66"/>
      <c r="E214" s="59" t="s">
        <v>903</v>
      </c>
      <c r="F214" s="59" t="s">
        <v>32</v>
      </c>
      <c r="G214" s="64">
        <v>1.7401193E7</v>
      </c>
      <c r="H214" s="65">
        <v>46146.0</v>
      </c>
      <c r="I214" s="62" t="s">
        <v>906</v>
      </c>
      <c r="J214" s="59">
        <v>2739.0</v>
      </c>
      <c r="K214" s="62" t="s">
        <v>76</v>
      </c>
      <c r="L214" s="66"/>
      <c r="M214" s="66"/>
      <c r="N214" s="66"/>
      <c r="O214" s="66"/>
      <c r="P214" s="66"/>
      <c r="Q214" s="66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59" t="s">
        <v>909</v>
      </c>
      <c r="B215" s="62" t="s">
        <v>910</v>
      </c>
      <c r="C215" s="63" t="s">
        <v>911</v>
      </c>
      <c r="D215" s="66"/>
      <c r="E215" s="59" t="s">
        <v>34</v>
      </c>
      <c r="F215" s="59" t="s">
        <v>32</v>
      </c>
      <c r="G215" s="64">
        <v>1.7333541E7</v>
      </c>
      <c r="H215" s="65">
        <v>46148.0</v>
      </c>
      <c r="I215" s="62" t="s">
        <v>912</v>
      </c>
      <c r="J215" s="59">
        <v>2721.0</v>
      </c>
      <c r="K215" s="62" t="s">
        <v>169</v>
      </c>
      <c r="L215" s="66"/>
      <c r="M215" s="66"/>
      <c r="N215" s="66"/>
      <c r="O215" s="66"/>
      <c r="P215" s="66"/>
      <c r="Q215" s="66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59" t="s">
        <v>914</v>
      </c>
      <c r="B216" s="62" t="s">
        <v>915</v>
      </c>
      <c r="C216" s="63" t="s">
        <v>916</v>
      </c>
      <c r="D216" s="66"/>
      <c r="E216" s="59" t="s">
        <v>252</v>
      </c>
      <c r="F216" s="59" t="s">
        <v>32</v>
      </c>
      <c r="G216" s="64">
        <v>1.742819E7</v>
      </c>
      <c r="H216" s="65">
        <v>46148.0</v>
      </c>
      <c r="I216" s="62" t="s">
        <v>912</v>
      </c>
      <c r="J216" s="59">
        <v>2721.0</v>
      </c>
      <c r="K216" s="62" t="s">
        <v>169</v>
      </c>
      <c r="L216" s="66"/>
      <c r="M216" s="66"/>
      <c r="N216" s="66"/>
      <c r="O216" s="66"/>
      <c r="P216" s="66"/>
      <c r="Q216" s="66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59" t="s">
        <v>919</v>
      </c>
      <c r="B217" s="62" t="s">
        <v>920</v>
      </c>
      <c r="C217" s="63" t="s">
        <v>921</v>
      </c>
      <c r="D217" s="66"/>
      <c r="E217" s="59" t="s">
        <v>252</v>
      </c>
      <c r="F217" s="59" t="s">
        <v>32</v>
      </c>
      <c r="G217" s="64">
        <v>1.7384283E7</v>
      </c>
      <c r="H217" s="65">
        <v>46148.0</v>
      </c>
      <c r="I217" s="62" t="s">
        <v>912</v>
      </c>
      <c r="J217" s="59">
        <v>2721.0</v>
      </c>
      <c r="K217" s="62" t="s">
        <v>169</v>
      </c>
      <c r="L217" s="66"/>
      <c r="M217" s="66"/>
      <c r="N217" s="66"/>
      <c r="O217" s="66"/>
      <c r="P217" s="66"/>
      <c r="Q217" s="66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59" t="s">
        <v>924</v>
      </c>
      <c r="B218" s="62" t="s">
        <v>925</v>
      </c>
      <c r="C218" s="63" t="s">
        <v>154</v>
      </c>
      <c r="D218" s="66"/>
      <c r="E218" s="59" t="s">
        <v>758</v>
      </c>
      <c r="F218" s="59" t="s">
        <v>32</v>
      </c>
      <c r="G218" s="64">
        <v>1.7433843E7</v>
      </c>
      <c r="H218" s="65">
        <v>46148.0</v>
      </c>
      <c r="I218" s="62" t="s">
        <v>927</v>
      </c>
      <c r="J218" s="59">
        <v>2742.0</v>
      </c>
      <c r="K218" s="62" t="s">
        <v>423</v>
      </c>
      <c r="L218" s="66"/>
      <c r="M218" s="66"/>
      <c r="N218" s="66"/>
      <c r="O218" s="66"/>
      <c r="P218" s="66"/>
      <c r="Q218" s="66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59" t="s">
        <v>928</v>
      </c>
      <c r="B219" s="62" t="s">
        <v>118</v>
      </c>
      <c r="C219" s="63" t="s">
        <v>115</v>
      </c>
      <c r="D219" s="66"/>
      <c r="E219" s="59" t="s">
        <v>929</v>
      </c>
      <c r="F219" s="59" t="s">
        <v>32</v>
      </c>
      <c r="G219" s="64">
        <v>1.7433844E7</v>
      </c>
      <c r="H219" s="65">
        <v>46148.0</v>
      </c>
      <c r="I219" s="62" t="s">
        <v>927</v>
      </c>
      <c r="J219" s="59">
        <v>2742.0</v>
      </c>
      <c r="K219" s="62" t="s">
        <v>423</v>
      </c>
      <c r="L219" s="66"/>
      <c r="M219" s="66"/>
      <c r="N219" s="66"/>
      <c r="O219" s="66"/>
      <c r="P219" s="66"/>
      <c r="Q219" s="66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59" t="s">
        <v>932</v>
      </c>
      <c r="B220" s="62" t="s">
        <v>784</v>
      </c>
      <c r="C220" s="63" t="s">
        <v>115</v>
      </c>
      <c r="D220" s="66"/>
      <c r="E220" s="59" t="s">
        <v>933</v>
      </c>
      <c r="F220" s="59" t="s">
        <v>32</v>
      </c>
      <c r="G220" s="64">
        <v>1.7433845E7</v>
      </c>
      <c r="H220" s="65">
        <v>46148.0</v>
      </c>
      <c r="I220" s="62" t="s">
        <v>927</v>
      </c>
      <c r="J220" s="59">
        <v>2742.0</v>
      </c>
      <c r="K220" s="62" t="s">
        <v>423</v>
      </c>
      <c r="L220" s="66"/>
      <c r="M220" s="66"/>
      <c r="N220" s="66"/>
      <c r="O220" s="66"/>
      <c r="P220" s="66"/>
      <c r="Q220" s="66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59" t="s">
        <v>935</v>
      </c>
      <c r="B221" s="62" t="s">
        <v>936</v>
      </c>
      <c r="C221" s="63" t="s">
        <v>154</v>
      </c>
      <c r="D221" s="66"/>
      <c r="E221" s="59" t="s">
        <v>758</v>
      </c>
      <c r="F221" s="59" t="s">
        <v>32</v>
      </c>
      <c r="G221" s="64">
        <v>1.7433846E7</v>
      </c>
      <c r="H221" s="65">
        <v>46148.0</v>
      </c>
      <c r="I221" s="62" t="s">
        <v>927</v>
      </c>
      <c r="J221" s="59">
        <v>2742.0</v>
      </c>
      <c r="K221" s="62" t="s">
        <v>423</v>
      </c>
      <c r="L221" s="66"/>
      <c r="M221" s="66"/>
      <c r="N221" s="66"/>
      <c r="O221" s="66"/>
      <c r="P221" s="66"/>
      <c r="Q221" s="66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59" t="s">
        <v>939</v>
      </c>
      <c r="B222" s="62" t="s">
        <v>940</v>
      </c>
      <c r="C222" s="63" t="s">
        <v>941</v>
      </c>
      <c r="D222" s="66"/>
      <c r="E222" s="59" t="s">
        <v>758</v>
      </c>
      <c r="F222" s="59" t="s">
        <v>32</v>
      </c>
      <c r="G222" s="64">
        <v>1.7433847E7</v>
      </c>
      <c r="H222" s="65">
        <v>46148.0</v>
      </c>
      <c r="I222" s="62" t="s">
        <v>927</v>
      </c>
      <c r="J222" s="59">
        <v>2742.0</v>
      </c>
      <c r="K222" s="62" t="s">
        <v>423</v>
      </c>
      <c r="L222" s="66"/>
      <c r="M222" s="66"/>
      <c r="N222" s="66"/>
      <c r="O222" s="66"/>
      <c r="P222" s="66"/>
      <c r="Q222" s="66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59" t="s">
        <v>943</v>
      </c>
      <c r="B223" s="62" t="s">
        <v>721</v>
      </c>
      <c r="C223" s="63" t="s">
        <v>722</v>
      </c>
      <c r="D223" s="66"/>
      <c r="E223" s="59" t="s">
        <v>933</v>
      </c>
      <c r="F223" s="59" t="s">
        <v>32</v>
      </c>
      <c r="G223" s="64">
        <v>1.7433848E7</v>
      </c>
      <c r="H223" s="65">
        <v>46148.0</v>
      </c>
      <c r="I223" s="62" t="s">
        <v>927</v>
      </c>
      <c r="J223" s="59">
        <v>2742.0</v>
      </c>
      <c r="K223" s="62" t="s">
        <v>423</v>
      </c>
      <c r="L223" s="66"/>
      <c r="M223" s="66"/>
      <c r="N223" s="66"/>
      <c r="O223" s="66"/>
      <c r="P223" s="66"/>
      <c r="Q223" s="66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59" t="s">
        <v>945</v>
      </c>
      <c r="B224" s="62" t="s">
        <v>788</v>
      </c>
      <c r="C224" s="63" t="s">
        <v>180</v>
      </c>
      <c r="D224" s="66"/>
      <c r="E224" s="59" t="s">
        <v>758</v>
      </c>
      <c r="F224" s="59" t="s">
        <v>32</v>
      </c>
      <c r="G224" s="64">
        <v>1.7433849E7</v>
      </c>
      <c r="H224" s="65">
        <v>46148.0</v>
      </c>
      <c r="I224" s="62" t="s">
        <v>927</v>
      </c>
      <c r="J224" s="59">
        <v>2742.0</v>
      </c>
      <c r="K224" s="62" t="s">
        <v>423</v>
      </c>
      <c r="L224" s="66"/>
      <c r="M224" s="66"/>
      <c r="N224" s="66"/>
      <c r="O224" s="66"/>
      <c r="P224" s="66"/>
      <c r="Q224" s="66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59" t="s">
        <v>947</v>
      </c>
      <c r="B225" s="62" t="s">
        <v>477</v>
      </c>
      <c r="C225" s="63" t="s">
        <v>478</v>
      </c>
      <c r="D225" s="66"/>
      <c r="E225" s="59" t="s">
        <v>758</v>
      </c>
      <c r="F225" s="59" t="s">
        <v>32</v>
      </c>
      <c r="G225" s="64">
        <v>1.743385E7</v>
      </c>
      <c r="H225" s="65">
        <v>46148.0</v>
      </c>
      <c r="I225" s="62" t="s">
        <v>927</v>
      </c>
      <c r="J225" s="59">
        <v>2742.0</v>
      </c>
      <c r="K225" s="62" t="s">
        <v>423</v>
      </c>
      <c r="L225" s="66"/>
      <c r="M225" s="66"/>
      <c r="N225" s="66"/>
      <c r="O225" s="66"/>
      <c r="P225" s="66"/>
      <c r="Q225" s="66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59" t="s">
        <v>950</v>
      </c>
      <c r="B226" s="62" t="s">
        <v>951</v>
      </c>
      <c r="C226" s="63" t="s">
        <v>154</v>
      </c>
      <c r="D226" s="66"/>
      <c r="E226" s="59" t="s">
        <v>758</v>
      </c>
      <c r="F226" s="59" t="s">
        <v>32</v>
      </c>
      <c r="G226" s="64">
        <v>1.7433851E7</v>
      </c>
      <c r="H226" s="65">
        <v>46148.0</v>
      </c>
      <c r="I226" s="62" t="s">
        <v>927</v>
      </c>
      <c r="J226" s="59">
        <v>2742.0</v>
      </c>
      <c r="K226" s="62" t="s">
        <v>423</v>
      </c>
      <c r="L226" s="66"/>
      <c r="M226" s="66"/>
      <c r="N226" s="66"/>
      <c r="O226" s="66"/>
      <c r="P226" s="66"/>
      <c r="Q226" s="66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59" t="s">
        <v>954</v>
      </c>
      <c r="B227" s="62" t="s">
        <v>955</v>
      </c>
      <c r="C227" s="63" t="s">
        <v>956</v>
      </c>
      <c r="D227" s="66"/>
      <c r="E227" s="59" t="s">
        <v>758</v>
      </c>
      <c r="F227" s="59" t="s">
        <v>32</v>
      </c>
      <c r="G227" s="64">
        <v>1.7433852E7</v>
      </c>
      <c r="H227" s="65">
        <v>46148.0</v>
      </c>
      <c r="I227" s="62" t="s">
        <v>927</v>
      </c>
      <c r="J227" s="59">
        <v>2742.0</v>
      </c>
      <c r="K227" s="62" t="s">
        <v>423</v>
      </c>
      <c r="L227" s="66"/>
      <c r="M227" s="66"/>
      <c r="N227" s="66"/>
      <c r="O227" s="66"/>
      <c r="P227" s="66"/>
      <c r="Q227" s="66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59" t="s">
        <v>958</v>
      </c>
      <c r="B228" s="62" t="s">
        <v>960</v>
      </c>
      <c r="C228" s="63" t="s">
        <v>154</v>
      </c>
      <c r="D228" s="66"/>
      <c r="E228" s="59" t="s">
        <v>758</v>
      </c>
      <c r="F228" s="59" t="s">
        <v>32</v>
      </c>
      <c r="G228" s="64">
        <v>1.7433853E7</v>
      </c>
      <c r="H228" s="65">
        <v>46148.0</v>
      </c>
      <c r="I228" s="62" t="s">
        <v>927</v>
      </c>
      <c r="J228" s="59">
        <v>2742.0</v>
      </c>
      <c r="K228" s="62" t="s">
        <v>423</v>
      </c>
      <c r="L228" s="66"/>
      <c r="M228" s="66"/>
      <c r="N228" s="66"/>
      <c r="O228" s="66"/>
      <c r="P228" s="66"/>
      <c r="Q228" s="66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59" t="s">
        <v>963</v>
      </c>
      <c r="B229" s="62" t="s">
        <v>964</v>
      </c>
      <c r="C229" s="63" t="s">
        <v>306</v>
      </c>
      <c r="D229" s="66"/>
      <c r="E229" s="59" t="s">
        <v>933</v>
      </c>
      <c r="F229" s="59" t="s">
        <v>32</v>
      </c>
      <c r="G229" s="64">
        <v>1.7433854E7</v>
      </c>
      <c r="H229" s="65">
        <v>46148.0</v>
      </c>
      <c r="I229" s="62" t="s">
        <v>927</v>
      </c>
      <c r="J229" s="59">
        <v>2742.0</v>
      </c>
      <c r="K229" s="62" t="s">
        <v>423</v>
      </c>
      <c r="L229" s="66"/>
      <c r="M229" s="66"/>
      <c r="N229" s="66"/>
      <c r="O229" s="66"/>
      <c r="P229" s="66"/>
      <c r="Q229" s="66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59" t="s">
        <v>966</v>
      </c>
      <c r="B230" s="62" t="s">
        <v>781</v>
      </c>
      <c r="C230" s="63" t="s">
        <v>180</v>
      </c>
      <c r="D230" s="66"/>
      <c r="E230" s="59" t="s">
        <v>967</v>
      </c>
      <c r="F230" s="59" t="s">
        <v>32</v>
      </c>
      <c r="G230" s="64">
        <v>1.7433855E7</v>
      </c>
      <c r="H230" s="65">
        <v>46148.0</v>
      </c>
      <c r="I230" s="62" t="s">
        <v>927</v>
      </c>
      <c r="J230" s="59">
        <v>2742.0</v>
      </c>
      <c r="K230" s="62" t="s">
        <v>423</v>
      </c>
      <c r="L230" s="66"/>
      <c r="M230" s="66"/>
      <c r="N230" s="66"/>
      <c r="O230" s="66"/>
      <c r="P230" s="66"/>
      <c r="Q230" s="66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59" t="s">
        <v>969</v>
      </c>
      <c r="B231" s="62" t="s">
        <v>779</v>
      </c>
      <c r="C231" s="63" t="s">
        <v>709</v>
      </c>
      <c r="D231" s="66"/>
      <c r="E231" s="59" t="s">
        <v>758</v>
      </c>
      <c r="F231" s="59" t="s">
        <v>32</v>
      </c>
      <c r="G231" s="64">
        <v>1.7433856E7</v>
      </c>
      <c r="H231" s="65">
        <v>46148.0</v>
      </c>
      <c r="I231" s="62" t="s">
        <v>927</v>
      </c>
      <c r="J231" s="59">
        <v>2742.0</v>
      </c>
      <c r="K231" s="62" t="s">
        <v>423</v>
      </c>
      <c r="L231" s="66"/>
      <c r="M231" s="66"/>
      <c r="N231" s="66"/>
      <c r="O231" s="66"/>
      <c r="P231" s="66"/>
      <c r="Q231" s="66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66"/>
      <c r="B232" s="66"/>
      <c r="C232" s="128"/>
      <c r="D232" s="66"/>
      <c r="E232" s="66"/>
      <c r="F232" s="66"/>
      <c r="G232" s="129"/>
      <c r="H232" s="130"/>
      <c r="I232" s="66"/>
      <c r="J232" s="66"/>
      <c r="K232" s="66"/>
      <c r="L232" s="66"/>
      <c r="M232" s="66"/>
      <c r="N232" s="66"/>
      <c r="O232" s="66"/>
      <c r="P232" s="66"/>
      <c r="Q232" s="66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66"/>
      <c r="B233" s="66"/>
      <c r="C233" s="128"/>
      <c r="D233" s="66"/>
      <c r="E233" s="66"/>
      <c r="F233" s="66"/>
      <c r="G233" s="129"/>
      <c r="H233" s="130"/>
      <c r="I233" s="66"/>
      <c r="J233" s="66"/>
      <c r="K233" s="66"/>
      <c r="L233" s="66"/>
      <c r="M233" s="66"/>
      <c r="N233" s="66"/>
      <c r="O233" s="66"/>
      <c r="P233" s="66"/>
      <c r="Q233" s="66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66"/>
      <c r="B234" s="66"/>
      <c r="C234" s="128"/>
      <c r="D234" s="66"/>
      <c r="E234" s="66"/>
      <c r="F234" s="66"/>
      <c r="G234" s="129"/>
      <c r="H234" s="130"/>
      <c r="I234" s="66"/>
      <c r="J234" s="66"/>
      <c r="K234" s="66"/>
      <c r="L234" s="66"/>
      <c r="M234" s="66"/>
      <c r="N234" s="66"/>
      <c r="O234" s="66"/>
      <c r="P234" s="66"/>
      <c r="Q234" s="66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66"/>
      <c r="B235" s="66"/>
      <c r="C235" s="128"/>
      <c r="D235" s="66"/>
      <c r="E235" s="66"/>
      <c r="F235" s="66"/>
      <c r="G235" s="129"/>
      <c r="H235" s="130"/>
      <c r="I235" s="66"/>
      <c r="J235" s="66"/>
      <c r="K235" s="66"/>
      <c r="L235" s="66"/>
      <c r="M235" s="66"/>
      <c r="N235" s="128"/>
      <c r="O235" s="66"/>
      <c r="P235" s="66"/>
      <c r="Q235" s="66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166" t="s">
        <v>974</v>
      </c>
      <c r="B236" s="22"/>
      <c r="C236" s="22"/>
      <c r="D236" s="22"/>
      <c r="E236" s="22"/>
      <c r="F236" s="22"/>
      <c r="G236" s="18"/>
      <c r="H236" s="167" t="s">
        <v>978</v>
      </c>
      <c r="I236" s="167">
        <f>ROW(A162)</f>
        <v>162</v>
      </c>
      <c r="J236" s="168"/>
      <c r="K236" s="22"/>
      <c r="L236" s="22"/>
      <c r="M236" s="22"/>
      <c r="N236" s="22"/>
      <c r="O236" s="22"/>
      <c r="P236" s="22"/>
      <c r="Q236" s="18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61" t="s">
        <v>46</v>
      </c>
      <c r="D1" s="61" t="s">
        <v>48</v>
      </c>
    </row>
    <row r="2">
      <c r="C2" s="77"/>
      <c r="D2" s="77"/>
    </row>
    <row r="3">
      <c r="C3" s="77"/>
      <c r="D3" s="77"/>
    </row>
    <row r="4">
      <c r="C4" s="77"/>
      <c r="D4" s="77"/>
    </row>
    <row r="5">
      <c r="C5" s="77"/>
      <c r="D5" s="77"/>
    </row>
    <row r="6">
      <c r="C6" s="61" t="s">
        <v>78</v>
      </c>
      <c r="D6" s="77">
        <f>SUM(B3:B6)</f>
        <v>11</v>
      </c>
    </row>
    <row r="7">
      <c r="C7" s="77"/>
      <c r="D7" s="77"/>
    </row>
    <row r="8">
      <c r="C8" s="61" t="s">
        <v>82</v>
      </c>
      <c r="D8" s="77">
        <f>SUM(B7:B8)</f>
        <v>3</v>
      </c>
    </row>
    <row r="9">
      <c r="C9" s="77"/>
      <c r="D9" s="77"/>
    </row>
    <row r="10">
      <c r="C10" s="77"/>
      <c r="D10" s="77"/>
    </row>
    <row r="11">
      <c r="C11" s="77"/>
      <c r="D11" s="77"/>
    </row>
    <row r="12">
      <c r="C12" s="61" t="s">
        <v>84</v>
      </c>
      <c r="D12" s="77">
        <f>SUM(B9:B12)</f>
        <v>9</v>
      </c>
    </row>
    <row r="13">
      <c r="C13" s="77"/>
      <c r="D13" s="77"/>
    </row>
    <row r="14">
      <c r="C14" s="77"/>
      <c r="D14" s="77"/>
    </row>
    <row r="15">
      <c r="C15" s="77"/>
      <c r="D15" s="77"/>
    </row>
    <row r="16">
      <c r="C16" s="77"/>
      <c r="D16" s="77"/>
    </row>
    <row r="17">
      <c r="C17" s="77"/>
      <c r="D17" s="77"/>
    </row>
    <row r="18">
      <c r="C18" s="61" t="s">
        <v>90</v>
      </c>
      <c r="D18" s="77">
        <f>SUM(B13:B18)</f>
        <v>6</v>
      </c>
    </row>
    <row r="19">
      <c r="C19" s="77"/>
      <c r="D19" s="77"/>
    </row>
    <row r="20">
      <c r="C20" s="77"/>
      <c r="D20" s="77"/>
    </row>
    <row r="21">
      <c r="C21" s="77"/>
      <c r="D21" s="77"/>
    </row>
    <row r="22">
      <c r="C22" s="61" t="s">
        <v>92</v>
      </c>
      <c r="D22" s="77">
        <f>SUM(B19:B22)</f>
        <v>14</v>
      </c>
    </row>
    <row r="23">
      <c r="C23" s="77"/>
      <c r="D23" s="77"/>
    </row>
    <row r="24">
      <c r="C24" s="61" t="s">
        <v>94</v>
      </c>
      <c r="D24" s="77">
        <f>SUM(B23:B24)</f>
        <v>3</v>
      </c>
    </row>
    <row r="25">
      <c r="C25" s="77"/>
      <c r="D25" s="77"/>
    </row>
    <row r="26">
      <c r="C26" s="77"/>
      <c r="D26" s="77"/>
    </row>
    <row r="27">
      <c r="C27" s="77"/>
      <c r="D27" s="77"/>
    </row>
    <row r="28">
      <c r="C28" s="77"/>
      <c r="D28" s="77"/>
    </row>
    <row r="29">
      <c r="C29" s="77"/>
      <c r="D29" s="77"/>
    </row>
    <row r="30">
      <c r="C30" s="61" t="s">
        <v>99</v>
      </c>
      <c r="D30" s="77">
        <f>SUM(B25:B30)</f>
        <v>7</v>
      </c>
    </row>
    <row r="31">
      <c r="C31" s="77"/>
      <c r="D31" s="77"/>
    </row>
    <row r="32">
      <c r="C32" s="77"/>
      <c r="D32" s="77"/>
    </row>
    <row r="33">
      <c r="C33" s="77"/>
      <c r="D33" s="77"/>
    </row>
    <row r="34">
      <c r="C34" s="77"/>
      <c r="D34" s="77"/>
    </row>
    <row r="35">
      <c r="C35" s="77"/>
      <c r="D35" s="77"/>
    </row>
    <row r="36">
      <c r="C36" s="77"/>
      <c r="D36" s="77"/>
    </row>
    <row r="37">
      <c r="C37" s="61" t="s">
        <v>106</v>
      </c>
      <c r="D37" s="77">
        <f>SUM(B31:B37)</f>
        <v>14</v>
      </c>
    </row>
    <row r="38">
      <c r="C38" s="77"/>
      <c r="D38" s="77"/>
    </row>
    <row r="39">
      <c r="C39" s="77"/>
      <c r="D39" s="77"/>
    </row>
    <row r="40">
      <c r="C40" s="77"/>
      <c r="D40" s="77"/>
    </row>
    <row r="41">
      <c r="C41" s="77"/>
      <c r="D41" s="77"/>
    </row>
    <row r="42">
      <c r="C42" s="77"/>
      <c r="D42" s="77"/>
    </row>
    <row r="43">
      <c r="C43" s="77"/>
      <c r="D43" s="77"/>
    </row>
    <row r="44">
      <c r="C44" s="77"/>
      <c r="D44" s="77"/>
    </row>
    <row r="45">
      <c r="C45" s="77"/>
      <c r="D45" s="77"/>
    </row>
    <row r="46">
      <c r="C46" s="61" t="s">
        <v>109</v>
      </c>
      <c r="D46" s="77">
        <f>SUM(B38:B46)</f>
        <v>21</v>
      </c>
    </row>
    <row r="47">
      <c r="C47" s="77"/>
      <c r="D47" s="77"/>
    </row>
    <row r="48"/>
    <row r="49"/>
    <row r="50"/>
    <row r="51">
      <c r="C51" s="88" t="s">
        <v>113</v>
      </c>
      <c r="D51" s="57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106" t="s">
        <v>76</v>
      </c>
      <c r="F1" s="107"/>
      <c r="G1" s="4"/>
      <c r="H1" s="106" t="s">
        <v>51</v>
      </c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109" t="s">
        <v>227</v>
      </c>
      <c r="B2" s="110" t="s">
        <v>229</v>
      </c>
      <c r="C2" s="110" t="s">
        <v>230</v>
      </c>
      <c r="D2" s="111" t="s">
        <v>11</v>
      </c>
      <c r="E2" s="111" t="s">
        <v>233</v>
      </c>
      <c r="F2" s="107"/>
      <c r="G2" s="4"/>
      <c r="H2" s="112" t="s">
        <v>227</v>
      </c>
      <c r="I2" s="110" t="s">
        <v>229</v>
      </c>
      <c r="J2" s="110" t="s">
        <v>230</v>
      </c>
      <c r="K2" s="111" t="s">
        <v>11</v>
      </c>
      <c r="L2" s="111" t="s">
        <v>233</v>
      </c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113" t="s">
        <v>240</v>
      </c>
      <c r="B3" s="114" t="s">
        <v>241</v>
      </c>
      <c r="C3" s="115">
        <v>5.1780222E7</v>
      </c>
      <c r="D3" s="115">
        <v>1.0</v>
      </c>
      <c r="E3" s="116" t="s">
        <v>246</v>
      </c>
      <c r="F3" s="107"/>
      <c r="G3" s="4"/>
      <c r="H3" s="117" t="s">
        <v>240</v>
      </c>
      <c r="I3" s="114" t="s">
        <v>241</v>
      </c>
      <c r="J3" s="115">
        <v>5.1770271E7</v>
      </c>
      <c r="K3" s="115">
        <v>1.0</v>
      </c>
      <c r="L3" s="116" t="s">
        <v>246</v>
      </c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113" t="s">
        <v>240</v>
      </c>
      <c r="B4" s="114" t="s">
        <v>241</v>
      </c>
      <c r="C4" s="115">
        <v>5.1780213E7</v>
      </c>
      <c r="D4" s="115">
        <v>1.0</v>
      </c>
      <c r="E4" s="116" t="s">
        <v>246</v>
      </c>
      <c r="F4" s="107"/>
      <c r="G4" s="4"/>
      <c r="H4" s="117" t="s">
        <v>240</v>
      </c>
      <c r="I4" s="114" t="s">
        <v>241</v>
      </c>
      <c r="J4" s="115">
        <v>5.1770267E7</v>
      </c>
      <c r="K4" s="115">
        <v>1.0</v>
      </c>
      <c r="L4" s="116" t="s">
        <v>246</v>
      </c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113" t="s">
        <v>240</v>
      </c>
      <c r="B5" s="114" t="s">
        <v>241</v>
      </c>
      <c r="C5" s="115">
        <v>5.1740102E7</v>
      </c>
      <c r="D5" s="115">
        <v>1.0</v>
      </c>
      <c r="E5" s="116" t="s">
        <v>246</v>
      </c>
      <c r="F5" s="107"/>
      <c r="G5" s="4"/>
      <c r="H5" s="117" t="s">
        <v>240</v>
      </c>
      <c r="I5" s="114" t="s">
        <v>241</v>
      </c>
      <c r="J5" s="115">
        <v>5.1740133E7</v>
      </c>
      <c r="K5" s="115">
        <v>1.0</v>
      </c>
      <c r="L5" s="116" t="s">
        <v>246</v>
      </c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113" t="s">
        <v>240</v>
      </c>
      <c r="B6" s="114" t="s">
        <v>241</v>
      </c>
      <c r="C6" s="115">
        <v>5.1700194E7</v>
      </c>
      <c r="D6" s="115">
        <v>1.0</v>
      </c>
      <c r="E6" s="116" t="s">
        <v>246</v>
      </c>
      <c r="F6" s="107"/>
      <c r="G6" s="4"/>
      <c r="H6" s="117" t="s">
        <v>240</v>
      </c>
      <c r="I6" s="114" t="s">
        <v>241</v>
      </c>
      <c r="J6" s="115">
        <v>5.1690177E7</v>
      </c>
      <c r="K6" s="115">
        <v>1.0</v>
      </c>
      <c r="L6" s="116" t="s">
        <v>246</v>
      </c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113" t="s">
        <v>240</v>
      </c>
      <c r="B7" s="114" t="s">
        <v>241</v>
      </c>
      <c r="C7" s="115">
        <v>5.1690187E7</v>
      </c>
      <c r="D7" s="115">
        <v>1.0</v>
      </c>
      <c r="E7" s="116" t="s">
        <v>246</v>
      </c>
      <c r="F7" s="107"/>
      <c r="G7" s="4"/>
      <c r="H7" s="117" t="s">
        <v>240</v>
      </c>
      <c r="I7" s="114" t="s">
        <v>241</v>
      </c>
      <c r="J7" s="115">
        <v>5.1690157E7</v>
      </c>
      <c r="K7" s="115">
        <v>1.0</v>
      </c>
      <c r="L7" s="116" t="s">
        <v>246</v>
      </c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113" t="s">
        <v>240</v>
      </c>
      <c r="B8" s="114" t="s">
        <v>241</v>
      </c>
      <c r="C8" s="115">
        <v>5.1680222E7</v>
      </c>
      <c r="D8" s="115">
        <v>1.0</v>
      </c>
      <c r="E8" s="116" t="s">
        <v>246</v>
      </c>
      <c r="F8" s="107"/>
      <c r="G8" s="4"/>
      <c r="H8" s="117" t="s">
        <v>240</v>
      </c>
      <c r="I8" s="114" t="s">
        <v>241</v>
      </c>
      <c r="J8" s="115">
        <v>5.1680218E7</v>
      </c>
      <c r="K8" s="115">
        <v>1.0</v>
      </c>
      <c r="L8" s="116" t="s">
        <v>246</v>
      </c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113" t="s">
        <v>240</v>
      </c>
      <c r="B9" s="114" t="s">
        <v>272</v>
      </c>
      <c r="C9" s="115">
        <v>5.1650167E7</v>
      </c>
      <c r="D9" s="115">
        <v>1.0</v>
      </c>
      <c r="E9" s="116" t="s">
        <v>246</v>
      </c>
      <c r="F9" s="107"/>
      <c r="G9" s="4"/>
      <c r="H9" s="117" t="s">
        <v>273</v>
      </c>
      <c r="I9" s="114" t="s">
        <v>274</v>
      </c>
      <c r="J9" s="115">
        <v>5.1490314E7</v>
      </c>
      <c r="K9" s="115">
        <v>1.0</v>
      </c>
      <c r="L9" s="116" t="s">
        <v>246</v>
      </c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113" t="s">
        <v>240</v>
      </c>
      <c r="B10" s="114" t="s">
        <v>241</v>
      </c>
      <c r="C10" s="115">
        <v>5.1620366E7</v>
      </c>
      <c r="D10" s="115">
        <v>1.0</v>
      </c>
      <c r="E10" s="116" t="s">
        <v>246</v>
      </c>
      <c r="F10" s="107"/>
      <c r="G10" s="4"/>
      <c r="H10" s="117" t="s">
        <v>273</v>
      </c>
      <c r="I10" s="114" t="s">
        <v>274</v>
      </c>
      <c r="J10" s="115">
        <v>5.1470312E7</v>
      </c>
      <c r="K10" s="115">
        <v>1.0</v>
      </c>
      <c r="L10" s="116" t="s">
        <v>246</v>
      </c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113" t="s">
        <v>278</v>
      </c>
      <c r="B11" s="114" t="s">
        <v>279</v>
      </c>
      <c r="C11" s="115" t="s">
        <v>280</v>
      </c>
      <c r="D11" s="115">
        <v>2.0</v>
      </c>
      <c r="E11" s="116" t="s">
        <v>246</v>
      </c>
      <c r="F11" s="107"/>
      <c r="G11" s="4"/>
      <c r="H11" s="117" t="s">
        <v>273</v>
      </c>
      <c r="I11" s="114" t="s">
        <v>274</v>
      </c>
      <c r="J11" s="115">
        <v>5.1410316E7</v>
      </c>
      <c r="K11" s="115">
        <v>1.0</v>
      </c>
      <c r="L11" s="116" t="s">
        <v>246</v>
      </c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113" t="s">
        <v>273</v>
      </c>
      <c r="B12" s="114" t="s">
        <v>274</v>
      </c>
      <c r="C12" s="115">
        <v>5.1410315E7</v>
      </c>
      <c r="D12" s="115">
        <v>1.0</v>
      </c>
      <c r="E12" s="116" t="s">
        <v>246</v>
      </c>
      <c r="F12" s="107"/>
      <c r="G12" s="4"/>
      <c r="H12" s="117" t="s">
        <v>285</v>
      </c>
      <c r="I12" s="114" t="s">
        <v>286</v>
      </c>
      <c r="J12" s="115" t="s">
        <v>280</v>
      </c>
      <c r="K12" s="115">
        <v>1.0</v>
      </c>
      <c r="L12" s="116" t="s">
        <v>246</v>
      </c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113" t="s">
        <v>273</v>
      </c>
      <c r="B13" s="114" t="s">
        <v>274</v>
      </c>
      <c r="C13" s="115">
        <v>5.0930348E7</v>
      </c>
      <c r="D13" s="115">
        <v>1.0</v>
      </c>
      <c r="E13" s="116" t="s">
        <v>246</v>
      </c>
      <c r="F13" s="107"/>
      <c r="G13" s="4"/>
      <c r="H13" s="117" t="s">
        <v>285</v>
      </c>
      <c r="I13" s="114" t="s">
        <v>286</v>
      </c>
      <c r="J13" s="115" t="s">
        <v>280</v>
      </c>
      <c r="K13" s="115">
        <v>9.0</v>
      </c>
      <c r="L13" s="116" t="s">
        <v>246</v>
      </c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113" t="s">
        <v>257</v>
      </c>
      <c r="B14" s="114" t="s">
        <v>294</v>
      </c>
      <c r="C14" s="115" t="s">
        <v>280</v>
      </c>
      <c r="D14" s="115">
        <v>8.0</v>
      </c>
      <c r="E14" s="116" t="s">
        <v>246</v>
      </c>
      <c r="F14" s="107"/>
      <c r="G14" s="4"/>
      <c r="H14" s="117" t="s">
        <v>257</v>
      </c>
      <c r="I14" s="114" t="s">
        <v>294</v>
      </c>
      <c r="J14" s="115" t="s">
        <v>280</v>
      </c>
      <c r="K14" s="115">
        <v>6.0</v>
      </c>
      <c r="L14" s="116" t="s">
        <v>246</v>
      </c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113" t="s">
        <v>296</v>
      </c>
      <c r="B15" s="114" t="s">
        <v>298</v>
      </c>
      <c r="C15" s="115" t="s">
        <v>280</v>
      </c>
      <c r="D15" s="115">
        <v>80.0</v>
      </c>
      <c r="E15" s="116" t="s">
        <v>246</v>
      </c>
      <c r="F15" s="107"/>
      <c r="G15" s="4"/>
      <c r="H15" s="117" t="s">
        <v>278</v>
      </c>
      <c r="I15" s="114" t="s">
        <v>279</v>
      </c>
      <c r="J15" s="115" t="s">
        <v>280</v>
      </c>
      <c r="K15" s="115">
        <v>3.0</v>
      </c>
      <c r="L15" s="116" t="s">
        <v>246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107"/>
      <c r="B16" s="107"/>
      <c r="C16" s="107"/>
      <c r="D16" s="121"/>
      <c r="E16" s="121"/>
      <c r="F16" s="107"/>
      <c r="G16" s="4"/>
      <c r="H16" s="117" t="s">
        <v>296</v>
      </c>
      <c r="I16" s="114" t="s">
        <v>298</v>
      </c>
      <c r="J16" s="115" t="s">
        <v>280</v>
      </c>
      <c r="K16" s="115">
        <v>50.0</v>
      </c>
      <c r="L16" s="116" t="s">
        <v>246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107"/>
      <c r="B17" s="122" t="s">
        <v>307</v>
      </c>
      <c r="C17" s="107"/>
      <c r="D17" s="121"/>
      <c r="E17" s="121"/>
      <c r="F17" s="107"/>
      <c r="G17" s="4"/>
      <c r="H17" s="123"/>
      <c r="I17" s="107"/>
      <c r="J17" s="107"/>
      <c r="K17" s="121"/>
      <c r="L17" s="121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4"/>
      <c r="B18" s="4"/>
      <c r="C18" s="4"/>
      <c r="D18" s="4"/>
      <c r="E18" s="4"/>
      <c r="F18" s="4"/>
      <c r="G18" s="4"/>
      <c r="H18" s="123"/>
      <c r="I18" s="107"/>
      <c r="J18" s="107"/>
      <c r="K18" s="121"/>
      <c r="L18" s="121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4"/>
      <c r="B19" s="4"/>
      <c r="C19" s="4"/>
      <c r="D19" s="4"/>
      <c r="E19" s="4"/>
      <c r="F19" s="4"/>
      <c r="G19" s="4"/>
      <c r="H19" s="123"/>
      <c r="I19" s="122" t="s">
        <v>316</v>
      </c>
      <c r="J19" s="107"/>
      <c r="K19" s="121"/>
      <c r="L19" s="121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103"/>
      <c r="B28" s="103"/>
      <c r="C28" s="103"/>
      <c r="D28" s="103"/>
      <c r="E28" s="103"/>
      <c r="F28" s="103"/>
      <c r="G28" s="103"/>
      <c r="H28" s="103"/>
      <c r="I28" s="103"/>
      <c r="J28" s="103"/>
      <c r="K28" s="103"/>
      <c r="L28" s="103"/>
      <c r="M28" s="103"/>
      <c r="N28" s="103"/>
      <c r="O28" s="103"/>
      <c r="P28" s="103"/>
      <c r="Q28" s="103"/>
      <c r="R28" s="103"/>
      <c r="S28" s="103"/>
      <c r="T28" s="103"/>
      <c r="U28" s="103"/>
      <c r="V28" s="103"/>
      <c r="W28" s="103"/>
      <c r="X28" s="103"/>
      <c r="Y28" s="103"/>
      <c r="Z28" s="103"/>
    </row>
    <row r="29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200" t="s">
        <v>1208</v>
      </c>
    </row>
    <row r="2">
      <c r="A2" s="74" t="str">
        <f>IFERROR(__xludf.DUMMYFUNCTION("importrange(""https://docs.google.com/spreadsheets/d/1yzM4YN7M6iOCF-dKT07Z8IEBpi2Vuyin42WxYNVWrVA/edit?usp=sharing"",""Dados de PN!A:B"")"),"PN")</f>
        <v>PN</v>
      </c>
      <c r="B2" s="74" t="str">
        <f>IFERROR(__xludf.DUMMYFUNCTION("""COMPUTED_VALUE"""),"NOMENCLATURA")</f>
        <v>NOMENCLATURA</v>
      </c>
    </row>
    <row r="3">
      <c r="A3" s="74" t="str">
        <f>IFERROR(__xludf.DUMMYFUNCTION("""COMPUTED_VALUE"""),"066-3046-07")</f>
        <v>066-3046-07</v>
      </c>
      <c r="B3" s="74" t="str">
        <f>IFERROR(__xludf.DUMMYFUNCTION("""COMPUTED_VALUE"""),"CONTROL INDICATOR")</f>
        <v>CONTROL INDICATOR</v>
      </c>
    </row>
    <row r="4">
      <c r="A4" s="74" t="str">
        <f>IFERROR(__xludf.DUMMYFUNCTION("""COMPUTED_VALUE"""),"060-0017-00")</f>
        <v>060-0017-00</v>
      </c>
      <c r="B4" s="74" t="str">
        <f>IFERROR(__xludf.DUMMYFUNCTION("""COMPUTED_VALUE"""),"IND DE COMANDO DE VOO")</f>
        <v>IND DE COMANDO DE VOO</v>
      </c>
    </row>
    <row r="5">
      <c r="A5" s="74" t="str">
        <f>IFERROR(__xludf.DUMMYFUNCTION("""COMPUTED_VALUE"""),"MD41-448")</f>
        <v>MD41-448</v>
      </c>
      <c r="B5" s="74" t="str">
        <f>IFERROR(__xludf.DUMMYFUNCTION("""COMPUTED_VALUE"""),"GPS ANNUNCIATION CONTROL")</f>
        <v>GPS ANNUNCIATION CONTROL</v>
      </c>
    </row>
    <row r="6">
      <c r="A6" s="74" t="str">
        <f>IFERROR(__xludf.DUMMYFUNCTION("""COMPUTED_VALUE"""),"3122678-04")</f>
        <v>3122678-04</v>
      </c>
      <c r="B6" s="74" t="str">
        <f>IFERROR(__xludf.DUMMYFUNCTION("""COMPUTED_VALUE"""),"FUEL CONTROL UNIT")</f>
        <v>FUEL CONTROL UNIT</v>
      </c>
    </row>
    <row r="7">
      <c r="A7" s="74" t="str">
        <f>IFERROR(__xludf.DUMMYFUNCTION("""COMPUTED_VALUE"""),"011-00883-20")</f>
        <v>011-00883-20</v>
      </c>
      <c r="B7" s="74" t="str">
        <f>IFERROR(__xludf.DUMMYFUNCTION("""COMPUTED_VALUE"""),"RADAR GWX 68 WEATHER")</f>
        <v>RADAR GWX 68 WEATHER</v>
      </c>
    </row>
    <row r="8">
      <c r="A8" s="74" t="str">
        <f>IFERROR(__xludf.DUMMYFUNCTION("""COMPUTED_VALUE"""),"011-00883-20EX")</f>
        <v>011-00883-20EX</v>
      </c>
      <c r="B8" s="74" t="str">
        <f>IFERROR(__xludf.DUMMYFUNCTION("""COMPUTED_VALUE"""),"RADAR GWX 68 WEATHER (NÃO IMPLANTADO)")</f>
        <v>RADAR GWX 68 WEATHER (NÃO IMPLANTADO)</v>
      </c>
    </row>
    <row r="9">
      <c r="A9" s="74" t="str">
        <f>IFERROR(__xludf.DUMMYFUNCTION("""COMPUTED_VALUE"""),"C611008-0101")</f>
        <v>C611008-0101</v>
      </c>
      <c r="B9" s="74" t="str">
        <f>IFERROR(__xludf.DUMMYFUNCTION("""COMPUTED_VALUE"""),"ALTERNADOR CONTROL UNIT")</f>
        <v>ALTERNADOR CONTROL UNIT</v>
      </c>
    </row>
    <row r="10">
      <c r="A10" s="74" t="str">
        <f>IFERROR(__xludf.DUMMYFUNCTION("""COMPUTED_VALUE"""),"066-3046-01")</f>
        <v>066-3046-01</v>
      </c>
      <c r="B10" s="74" t="str">
        <f>IFERROR(__xludf.DUMMYFUNCTION("""COMPUTED_VALUE"""),"CONTROL INDICATOR")</f>
        <v>CONTROL INDICATOR</v>
      </c>
    </row>
    <row r="11">
      <c r="A11" s="74" t="str">
        <f>IFERROR(__xludf.DUMMYFUNCTION("""COMPUTED_VALUE"""),"066-03064-0005")</f>
        <v>066-03064-0005</v>
      </c>
      <c r="B11" s="74" t="str">
        <f>IFERROR(__xludf.DUMMYFUNCTION("""COMPUTED_VALUE"""),"ENCODING ALTIMETER")</f>
        <v>ENCODING ALTIMETER</v>
      </c>
    </row>
    <row r="12">
      <c r="A12" s="74" t="str">
        <f>IFERROR(__xludf.DUMMYFUNCTION("""COMPUTED_VALUE"""),"C661035-0101")</f>
        <v>C661035-0101</v>
      </c>
      <c r="B12" s="74" t="str">
        <f>IFERROR(__xludf.DUMMYFUNCTION("""COMPUTED_VALUE""")," INDICATOR VERTICAL ")</f>
        <v> INDICATOR VERTICAL </v>
      </c>
    </row>
    <row r="13">
      <c r="A13" s="74" t="str">
        <f>IFERROR(__xludf.DUMMYFUNCTION("""COMPUTED_VALUE"""),"161-12800")</f>
        <v>161-12800</v>
      </c>
      <c r="B13" s="74" t="str">
        <f>IFERROR(__xludf.DUMMYFUNCTION("""COMPUTED_VALUE"""),"WHEEL HALF ASSY")</f>
        <v>WHEEL HALF ASSY</v>
      </c>
    </row>
    <row r="14">
      <c r="A14" s="74" t="str">
        <f>IFERROR(__xludf.DUMMYFUNCTION("""COMPUTED_VALUE"""),"162-11800")</f>
        <v>162-11800</v>
      </c>
      <c r="B14" s="74" t="str">
        <f>IFERROR(__xludf.DUMMYFUNCTION("""COMPUTED_VALUE"""),"WHEEL HALF ASSY")</f>
        <v>WHEEL HALF ASSY</v>
      </c>
    </row>
    <row r="15">
      <c r="A15" s="74" t="str">
        <f>IFERROR(__xludf.DUMMYFUNCTION("""COMPUTED_VALUE"""),"161-11700")</f>
        <v>161-11700</v>
      </c>
      <c r="B15" s="74" t="str">
        <f>IFERROR(__xludf.DUMMYFUNCTION("""COMPUTED_VALUE"""),"WHEEL HALF ASSY")</f>
        <v>WHEEL HALF ASSY</v>
      </c>
    </row>
    <row r="16">
      <c r="A16" s="74" t="str">
        <f>IFERROR(__xludf.DUMMYFUNCTION("""COMPUTED_VALUE"""),"162-10700")</f>
        <v>162-10700</v>
      </c>
      <c r="B16" s="74" t="str">
        <f>IFERROR(__xludf.DUMMYFUNCTION("""COMPUTED_VALUE"""),"WHEEL HALF ASSY")</f>
        <v>WHEEL HALF ASSY</v>
      </c>
    </row>
    <row r="17">
      <c r="A17" s="74" t="str">
        <f>IFERROR(__xludf.DUMMYFUNCTION("""COMPUTED_VALUE"""),"C661003-0506")</f>
        <v>C661003-0506</v>
      </c>
      <c r="B17" s="74" t="str">
        <f>IFERROR(__xludf.DUMMYFUNCTION("""COMPUTED_VALUE"""),"TURN COORD")</f>
        <v>TURN COORD</v>
      </c>
    </row>
    <row r="18">
      <c r="A18" s="74" t="str">
        <f>IFERROR(__xludf.DUMMYFUNCTION("""COMPUTED_VALUE"""),"066-3114-00")</f>
        <v>066-3114-00</v>
      </c>
      <c r="B18" s="74" t="str">
        <f>IFERROR(__xludf.DUMMYFUNCTION("""COMPUTED_VALUE"""),"RECEIVER, RADAR")</f>
        <v>RECEIVER, RADAR</v>
      </c>
    </row>
    <row r="19">
      <c r="A19" s="74" t="str">
        <f>IFERROR(__xludf.DUMMYFUNCTION("""COMPUTED_VALUE"""),"3244809-8")</f>
        <v>3244809-8</v>
      </c>
      <c r="B19" s="74" t="str">
        <f>IFERROR(__xludf.DUMMYFUNCTION("""COMPUTED_VALUE"""),"FUEL CONTROL UNIT")</f>
        <v>FUEL CONTROL UNIT</v>
      </c>
    </row>
    <row r="20">
      <c r="A20" s="74" t="str">
        <f>IFERROR(__xludf.DUMMYFUNCTION("""COMPUTED_VALUE"""),"540-1407-4")</f>
        <v>540-1407-4</v>
      </c>
      <c r="B20" s="74" t="str">
        <f>IFERROR(__xludf.DUMMYFUNCTION("""COMPUTED_VALUE""")," VALVE,BLEED,TURBINEENGINE")</f>
        <v> VALVE,BLEED,TURBINEENGINE</v>
      </c>
    </row>
    <row r="21">
      <c r="A21" s="74" t="str">
        <f>IFERROR(__xludf.DUMMYFUNCTION("""COMPUTED_VALUE"""),"3121248-03")</f>
        <v>3121248-03</v>
      </c>
      <c r="B21" s="74" t="str">
        <f>IFERROR(__xludf.DUMMYFUNCTION("""COMPUTED_VALUE"""),"VALVE ASSEMBLY,COMPRESSOR BLEED")</f>
        <v>VALVE ASSEMBLY,COMPRESSOR BLEED</v>
      </c>
    </row>
    <row r="22">
      <c r="A22" s="74" t="str">
        <f>IFERROR(__xludf.DUMMYFUNCTION("""COMPUTED_VALUE"""),"011-00916-00")</f>
        <v>011-00916-00</v>
      </c>
      <c r="B22" s="74" t="str">
        <f>IFERROR(__xludf.DUMMYFUNCTION("""COMPUTED_VALUE"""),"DISPLAY UNIT GDU")</f>
        <v>DISPLAY UNIT GDU</v>
      </c>
    </row>
    <row r="23">
      <c r="A23" s="74" t="str">
        <f>IFERROR(__xludf.DUMMYFUNCTION("""COMPUTED_VALUE"""),"30-182A")</f>
        <v>30-182A</v>
      </c>
      <c r="B23" s="74" t="str">
        <f>IFERROR(__xludf.DUMMYFUNCTION("""COMPUTED_VALUE"""),"BRAKE ASSEMBLY")</f>
        <v>BRAKE ASSEMBLY</v>
      </c>
    </row>
    <row r="24">
      <c r="A24" s="74" t="str">
        <f>IFERROR(__xludf.DUMMYFUNCTION("""COMPUTED_VALUE"""),"ASG12000-2")</f>
        <v>ASG12000-2</v>
      </c>
      <c r="B24" s="74" t="str">
        <f>IFERROR(__xludf.DUMMYFUNCTION("""COMPUTED_VALUE"""),"ALTERNADOR")</f>
        <v>ALTERNADOR</v>
      </c>
    </row>
    <row r="25">
      <c r="A25" s="74" t="str">
        <f>IFERROR(__xludf.DUMMYFUNCTION("""COMPUTED_VALUE"""),"ASG12000-2RX")</f>
        <v>ASG12000-2RX</v>
      </c>
      <c r="B25" s="74" t="str">
        <f>IFERROR(__xludf.DUMMYFUNCTION("""COMPUTED_VALUE"""),"ALTERNADOR")</f>
        <v>ALTERNADOR</v>
      </c>
    </row>
    <row r="26">
      <c r="A26" s="74" t="str">
        <f>IFERROR(__xludf.DUMMYFUNCTION("""COMPUTED_VALUE"""),"011-00870-00")</f>
        <v>011-00870-00</v>
      </c>
      <c r="B26" s="74" t="str">
        <f>IFERROR(__xludf.DUMMYFUNCTION("""COMPUTED_VALUE"""),"MAGNETOMETER GMU 44 ")</f>
        <v>MAGNETOMETER GMU 44 </v>
      </c>
    </row>
    <row r="27">
      <c r="A27" s="74" t="str">
        <f>IFERROR(__xludf.DUMMYFUNCTION("""COMPUTED_VALUE"""),"2643100-201")</f>
        <v>2643100-201</v>
      </c>
      <c r="B27" s="74" t="str">
        <f>IFERROR(__xludf.DUMMYFUNCTION("""COMPUTED_VALUE"""),"NOSE GEAR STRUT ASSY - TALL FORK")</f>
        <v>NOSE GEAR STRUT ASSY - TALL FORK</v>
      </c>
    </row>
    <row r="28">
      <c r="A28" s="74" t="str">
        <f>IFERROR(__xludf.DUMMYFUNCTION("""COMPUTED_VALUE"""),"011-01105-01")</f>
        <v>011-01105-01</v>
      </c>
      <c r="B28" s="74" t="str">
        <f>IFERROR(__xludf.DUMMYFUNCTION("""COMPUTED_VALUE"""),"INTEGRATED AVIONICS  UNIT")</f>
        <v>INTEGRATED AVIONICS  UNIT</v>
      </c>
    </row>
    <row r="29">
      <c r="A29" s="74" t="str">
        <f>IFERROR(__xludf.DUMMYFUNCTION("""COMPUTED_VALUE"""),"065-0042-03")</f>
        <v>065-0042-03</v>
      </c>
      <c r="B29" s="74" t="str">
        <f>IFERROR(__xludf.DUMMYFUNCTION("""COMPUTED_VALUE"""),"AUTOPILOT COMPUTER/FLIGHT DIRECTOT")</f>
        <v>AUTOPILOT COMPUTER/FLIGHT DIRECTOT</v>
      </c>
    </row>
    <row r="30">
      <c r="A30" s="74" t="str">
        <f>IFERROR(__xludf.DUMMYFUNCTION("""COMPUTED_VALUE"""),"066-3060-00")</f>
        <v>066-3060-00</v>
      </c>
      <c r="B30" s="74" t="str">
        <f>IFERROR(__xludf.DUMMYFUNCTION("""COMPUTED_VALUE"""),"INDICADOR RMI")</f>
        <v>INDICADOR RMI</v>
      </c>
    </row>
    <row r="31">
      <c r="A31" s="74" t="str">
        <f>IFERROR(__xludf.DUMMYFUNCTION("""COMPUTED_VALUE"""),"200SGL153Q-1")</f>
        <v>200SGL153Q-1</v>
      </c>
      <c r="B31" s="74" t="str">
        <f>IFERROR(__xludf.DUMMYFUNCTION("""COMPUTED_VALUE"""),"STARTER-GENERATOR, ENGINE, AIRCRAFT")</f>
        <v>STARTER-GENERATOR, ENGINE, AIRCRAFT</v>
      </c>
    </row>
    <row r="32">
      <c r="A32" s="74" t="str">
        <f>IFERROR(__xludf.DUMMYFUNCTION("""COMPUTED_VALUE"""),"066-1069-00")</f>
        <v>066-1069-00</v>
      </c>
      <c r="B32" s="74" t="str">
        <f>IFERROR(__xludf.DUMMYFUNCTION("""COMPUTED_VALUE"""),"INDICATOR, BEARING-DISTANCE-HEADING")</f>
        <v>INDICATOR, BEARING-DISTANCE-HEADING</v>
      </c>
    </row>
    <row r="33">
      <c r="A33" s="74" t="str">
        <f>IFERROR(__xludf.DUMMYFUNCTION("""COMPUTED_VALUE"""),"066-01141-0101")</f>
        <v>066-01141-0101</v>
      </c>
      <c r="B33" s="74" t="str">
        <f>IFERROR(__xludf.DUMMYFUNCTION("""COMPUTED_VALUE"""),"RECEIVER, RADIO")</f>
        <v>RECEIVER, RADIO</v>
      </c>
    </row>
    <row r="34">
      <c r="A34" s="74" t="str">
        <f>IFERROR(__xludf.DUMMYFUNCTION("""COMPUTED_VALUE"""),"2618510-10")</f>
        <v>2618510-10</v>
      </c>
      <c r="B34" s="74" t="str">
        <f>IFERROR(__xludf.DUMMYFUNCTION("""COMPUTED_VALUE"""),"ALTERNATOR CONTROL UNIT ASSY")</f>
        <v>ALTERNATOR CONTROL UNIT ASSY</v>
      </c>
    </row>
    <row r="35">
      <c r="A35" s="74" t="str">
        <f>IFERROR(__xludf.DUMMYFUNCTION("""COMPUTED_VALUE"""),"2618500-11")</f>
        <v>2618500-11</v>
      </c>
      <c r="B35" s="74" t="str">
        <f>IFERROR(__xludf.DUMMYFUNCTION("""COMPUTED_VALUE"""),"ALTERNATOR CONTROL UNIT")</f>
        <v>ALTERNATOR CONTROL UNIT</v>
      </c>
    </row>
    <row r="36">
      <c r="A36" s="74" t="str">
        <f>IFERROR(__xludf.DUMMYFUNCTION("""COMPUTED_VALUE"""),"30994-001")</f>
        <v>30994-001</v>
      </c>
      <c r="B36" s="74" t="str">
        <f>IFERROR(__xludf.DUMMYFUNCTION("""COMPUTED_VALUE""")," BATTERY-MARATHON TSP410 NICAD")</f>
        <v> BATTERY-MARATHON TSP410 NICAD</v>
      </c>
    </row>
    <row r="37">
      <c r="A37" s="74" t="str">
        <f>IFERROR(__xludf.DUMMYFUNCTION("""COMPUTED_VALUE"""),"065-0065-01")</f>
        <v>065-0065-01</v>
      </c>
      <c r="B37" s="74" t="str">
        <f>IFERROR(__xludf.DUMMYFUNCTION("""COMPUTED_VALUE"""),"SELECTOR ALT")</f>
        <v>SELECTOR ALT</v>
      </c>
    </row>
    <row r="38">
      <c r="A38" s="74" t="str">
        <f>IFERROR(__xludf.DUMMYFUNCTION("""COMPUTED_VALUE"""),"C661030-0301")</f>
        <v>C661030-0301</v>
      </c>
      <c r="B38" s="74" t="str">
        <f>IFERROR(__xludf.DUMMYFUNCTION("""COMPUTED_VALUE"""),"TURN AND BANK")</f>
        <v>TURN AND BANK</v>
      </c>
    </row>
    <row r="39">
      <c r="A39" s="74" t="str">
        <f>IFERROR(__xludf.DUMMYFUNCTION("""COMPUTED_VALUE"""),"799-1")</f>
        <v>799-1</v>
      </c>
      <c r="B39" s="74" t="str">
        <f>IFERROR(__xludf.DUMMYFUNCTION("""COMPUTED_VALUE"""),"TRANSDUCER")</f>
        <v>TRANSDUCER</v>
      </c>
    </row>
    <row r="40">
      <c r="A40" s="74" t="str">
        <f>IFERROR(__xludf.DUMMYFUNCTION("""COMPUTED_VALUE"""),"060-0015-00")</f>
        <v>060-0015-00</v>
      </c>
      <c r="B40" s="74" t="str">
        <f>IFERROR(__xludf.DUMMYFUNCTION("""COMPUTED_VALUE"""),"CONTROL,DIRECTIONAL,AUTOMATIC PILOT")</f>
        <v>CONTROL,DIRECTIONAL,AUTOMATIC PILOT</v>
      </c>
    </row>
    <row r="41">
      <c r="A41" s="74" t="str">
        <f>IFERROR(__xludf.DUMMYFUNCTION("""COMPUTED_VALUE"""),"C662504-0101")</f>
        <v>C662504-0101</v>
      </c>
      <c r="B41" s="74" t="str">
        <f>IFERROR(__xludf.DUMMYFUNCTION("""COMPUTED_VALUE"""),"GAGE VOLT AMME")</f>
        <v>GAGE VOLT AMME</v>
      </c>
    </row>
    <row r="42">
      <c r="A42" s="74" t="str">
        <f>IFERROR(__xludf.DUMMYFUNCTION("""COMPUTED_VALUE"""),"8210-002")</f>
        <v>8210-002</v>
      </c>
      <c r="B42" s="74" t="str">
        <f>IFERROR(__xludf.DUMMYFUNCTION("""COMPUTED_VALUE"""),"GOVERNOR,CONSTANT SPEED DRIVE")</f>
        <v>GOVERNOR,CONSTANT SPEED DRIVE</v>
      </c>
    </row>
    <row r="43">
      <c r="A43" s="74" t="str">
        <f>IFERROR(__xludf.DUMMYFUNCTION("""COMPUTED_VALUE"""),"3244809-4")</f>
        <v>3244809-4</v>
      </c>
      <c r="B43" s="74" t="str">
        <f>IFERROR(__xludf.DUMMYFUNCTION("""COMPUTED_VALUE"""),"FUEL CONTROL UNIT")</f>
        <v>FUEL CONTROL UNIT</v>
      </c>
    </row>
    <row r="44">
      <c r="A44" s="74" t="str">
        <f>IFERROR(__xludf.DUMMYFUNCTION("""COMPUTED_VALUE"""),"069-1025-25")</f>
        <v>069-1025-25</v>
      </c>
      <c r="B44" s="74" t="str">
        <f>IFERROR(__xludf.DUMMYFUNCTION("""COMPUTED_VALUE"""),"RECEIVER TRANSMITTER")</f>
        <v>RECEIVER TRANSMITTER</v>
      </c>
    </row>
    <row r="45">
      <c r="A45" s="74" t="str">
        <f>IFERROR(__xludf.DUMMYFUNCTION("""COMPUTED_VALUE"""),"0901-1")</f>
        <v>0901-1</v>
      </c>
      <c r="B45" s="74" t="str">
        <f>IFERROR(__xludf.DUMMYFUNCTION("""COMPUTED_VALUE"""),"FAN ASSY VENT")</f>
        <v>FAN ASSY VENT</v>
      </c>
    </row>
    <row r="46">
      <c r="A46" s="74" t="str">
        <f>IFERROR(__xludf.DUMMYFUNCTION("""COMPUTED_VALUE"""),"066-1072-00")</f>
        <v>066-1072-00</v>
      </c>
      <c r="B46" s="74" t="str">
        <f>IFERROR(__xludf.DUMMYFUNCTION("""COMPUTED_VALUE"""),"RECEIVER ADF")</f>
        <v>RECEIVER ADF</v>
      </c>
    </row>
    <row r="47">
      <c r="A47" s="74" t="str">
        <f>IFERROR(__xludf.DUMMYFUNCTION("""COMPUTED_VALUE"""),"200SGL119Q-2")</f>
        <v>200SGL119Q-2</v>
      </c>
      <c r="B47" s="74" t="str">
        <f>IFERROR(__xludf.DUMMYFUNCTION("""COMPUTED_VALUE"""),"STARTER GENERATOR")</f>
        <v>STARTER GENERATOR</v>
      </c>
    </row>
    <row r="48">
      <c r="A48" s="74" t="str">
        <f>IFERROR(__xludf.DUMMYFUNCTION("""COMPUTED_VALUE"""),"066-1072-04")</f>
        <v>066-1072-04</v>
      </c>
      <c r="B48" s="74" t="str">
        <f>IFERROR(__xludf.DUMMYFUNCTION("""COMPUTED_VALUE"""),"RECEIVER RADIO")</f>
        <v>RECEIVER RADIO</v>
      </c>
    </row>
    <row r="49">
      <c r="A49" s="74" t="str">
        <f>IFERROR(__xludf.DUMMYFUNCTION("""COMPUTED_VALUE"""),"2643100-206")</f>
        <v>2643100-206</v>
      </c>
      <c r="B49" s="74" t="str">
        <f>IFERROR(__xludf.DUMMYFUNCTION("""COMPUTED_VALUE"""),"NOSE GEAR STRUT ASSY - TALL FORK")</f>
        <v>NOSE GEAR STRUT ASSY - TALL FORK</v>
      </c>
    </row>
    <row r="50">
      <c r="A50" s="74" t="str">
        <f>IFERROR(__xludf.DUMMYFUNCTION("""COMPUTED_VALUE"""),"030-18200")</f>
        <v>030-18200</v>
      </c>
      <c r="B50" s="74" t="str">
        <f>IFERROR(__xludf.DUMMYFUNCTION("""COMPUTED_VALUE"""),"CONJUNTO DE FREIO")</f>
        <v>CONJUNTO DE FREIO</v>
      </c>
    </row>
    <row r="51">
      <c r="A51" s="74" t="str">
        <f>IFERROR(__xludf.DUMMYFUNCTION("""COMPUTED_VALUE"""),"51539-012N")</f>
        <v>51539-012N</v>
      </c>
      <c r="B51" s="74" t="str">
        <f>IFERROR(__xludf.DUMMYFUNCTION("""COMPUTED_VALUE"""),"CONTROL UNIT ASSY-GENERATOR")</f>
        <v>CONTROL UNIT ASSY-GENERATOR</v>
      </c>
    </row>
    <row r="52">
      <c r="A52" s="74" t="str">
        <f>IFERROR(__xludf.DUMMYFUNCTION("""COMPUTED_VALUE"""),"3049038-03")</f>
        <v>3049038-03</v>
      </c>
      <c r="B52" s="74" t="str">
        <f>IFERROR(__xludf.DUMMYFUNCTION("""COMPUTED_VALUE"""),"VALVE,COMPRESSOR BLEED")</f>
        <v>VALVE,COMPRESSOR BLEED</v>
      </c>
    </row>
    <row r="53">
      <c r="A53" s="74" t="str">
        <f>IFERROR(__xludf.DUMMYFUNCTION("""COMPUTED_VALUE"""),"071-01519-0101")</f>
        <v>071-01519-0101</v>
      </c>
      <c r="B53" s="74" t="str">
        <f>IFERROR(__xludf.DUMMYFUNCTION("""COMPUTED_VALUE"""),"RECEPTOR DE RADAR")</f>
        <v>RECEPTOR DE RADAR</v>
      </c>
    </row>
    <row r="54">
      <c r="A54" s="74" t="str">
        <f>IFERROR(__xludf.DUMMYFUNCTION("""COMPUTED_VALUE"""),"9910287-16")</f>
        <v>9910287-16</v>
      </c>
      <c r="B54" s="74" t="str">
        <f>IFERROR(__xludf.DUMMYFUNCTION("""COMPUTED_VALUE"""),"SWITCH OIL PRE")</f>
        <v>SWITCH OIL PRE</v>
      </c>
    </row>
    <row r="55">
      <c r="A55" s="74" t="str">
        <f>IFERROR(__xludf.DUMMYFUNCTION("""COMPUTED_VALUE"""),"DCN4-2270")</f>
        <v>DCN4-2270</v>
      </c>
      <c r="B55" s="74" t="str">
        <f>IFERROR(__xludf.DUMMYFUNCTION("""COMPUTED_VALUE"""),"RING, RETAINING")</f>
        <v>RING, RETAINING</v>
      </c>
    </row>
    <row r="56">
      <c r="A56" s="74" t="str">
        <f>IFERROR(__xludf.DUMMYFUNCTION("""COMPUTED_VALUE"""),"BACR12X1")</f>
        <v>BACR12X1</v>
      </c>
      <c r="B56" s="74" t="str">
        <f>IFERROR(__xludf.DUMMYFUNCTION("""COMPUTED_VALUE"""),"RING, RETAINING")</f>
        <v>RING, RETAINING</v>
      </c>
    </row>
    <row r="57">
      <c r="A57" s="74" t="str">
        <f>IFERROR(__xludf.DUMMYFUNCTION("""COMPUTED_VALUE"""),"EA-5175-52-CES")</f>
        <v>EA-5175-52-CES</v>
      </c>
      <c r="B57" s="74" t="str">
        <f>IFERROR(__xludf.DUMMYFUNCTION("""COMPUTED_VALUE"""),"AIRSPEED INDICATOR")</f>
        <v>AIRSPEED INDICATOR</v>
      </c>
    </row>
    <row r="58">
      <c r="A58" s="74" t="str">
        <f>IFERROR(__xludf.DUMMYFUNCTION("""COMPUTED_VALUE"""),"C661065-0237")</f>
        <v>C661065-0237</v>
      </c>
      <c r="B58" s="74" t="str">
        <f>IFERROR(__xludf.DUMMYFUNCTION("""COMPUTED_VALUE"""),"INDICATOR TRUE")</f>
        <v>INDICATOR TRUE</v>
      </c>
    </row>
    <row r="59">
      <c r="A59" s="74" t="str">
        <f>IFERROR(__xludf.DUMMYFUNCTION("""COMPUTED_VALUE"""),"324843-W020")</f>
        <v>324843-W020</v>
      </c>
      <c r="B59" s="74" t="str">
        <f>IFERROR(__xludf.DUMMYFUNCTION("""COMPUTED_VALUE"""),"HEADSET-MICROPHONE")</f>
        <v>HEADSET-MICROPHONE</v>
      </c>
    </row>
    <row r="60">
      <c r="A60" s="74" t="str">
        <f>IFERROR(__xludf.DUMMYFUNCTION("""COMPUTED_VALUE"""),"C660501-0102")</f>
        <v>C660501-0102</v>
      </c>
      <c r="B60" s="74" t="str">
        <f>IFERROR(__xludf.DUMMYFUNCTION("""COMPUTED_VALUE"""),"COMPASS ASSY")</f>
        <v>COMPASS ASSY</v>
      </c>
    </row>
    <row r="61">
      <c r="A61" s="74" t="str">
        <f>IFERROR(__xludf.DUMMYFUNCTION("""COMPUTED_VALUE"""),"C661064-0237")</f>
        <v>C661064-0237</v>
      </c>
      <c r="B61" s="74" t="str">
        <f>IFERROR(__xludf.DUMMYFUNCTION("""COMPUTED_VALUE"""),"AIRSPEED INDICATOR")</f>
        <v>AIRSPEED INDICATOR</v>
      </c>
    </row>
    <row r="62">
      <c r="A62" s="74" t="str">
        <f>IFERROR(__xludf.DUMMYFUNCTION("""COMPUTED_VALUE"""),"066-3034-04")</f>
        <v>066-3034-04</v>
      </c>
      <c r="B62" s="74" t="str">
        <f>IFERROR(__xludf.DUMMYFUNCTION("""COMPUTED_VALUE"""),"INSTRUMENTO DE NAVEGAÇÃO")</f>
        <v>INSTRUMENTO DE NAVEGAÇÃO</v>
      </c>
    </row>
    <row r="63">
      <c r="A63" s="74" t="str">
        <f>IFERROR(__xludf.DUMMYFUNCTION("""COMPUTED_VALUE"""),"8210-002-01")</f>
        <v>8210-002-01</v>
      </c>
      <c r="B63" s="74" t="str">
        <f>IFERROR(__xludf.DUMMYFUNCTION("""COMPUTED_VALUE"""),"GOVERNADOR DE HÉLICE")</f>
        <v>GOVERNADOR DE HÉLICE</v>
      </c>
    </row>
    <row r="64">
      <c r="A64" s="74" t="str">
        <f>IFERROR(__xludf.DUMMYFUNCTION("""COMPUTED_VALUE"""),"069-01033-0101")</f>
        <v>069-01033-0101</v>
      </c>
      <c r="B64" s="74" t="str">
        <f>IFERROR(__xludf.DUMMYFUNCTION("""COMPUTED_VALUE"""),"TRANSCEIVER")</f>
        <v>TRANSCEIVER</v>
      </c>
    </row>
    <row r="65">
      <c r="A65" s="74" t="str">
        <f>IFERROR(__xludf.DUMMYFUNCTION("""COMPUTED_VALUE"""),"2643062-2")</f>
        <v>2643062-2</v>
      </c>
      <c r="B65" s="74" t="str">
        <f>IFERROR(__xludf.DUMMYFUNCTION("""COMPUTED_VALUE"""),"MOLA DO TREM DO NARIZ")</f>
        <v>MOLA DO TREM DO NARIZ</v>
      </c>
    </row>
    <row r="66">
      <c r="A66" s="74" t="str">
        <f>IFERROR(__xludf.DUMMYFUNCTION("""COMPUTED_VALUE"""),"066-1055-00")</f>
        <v>066-1055-00</v>
      </c>
      <c r="B66" s="74" t="str">
        <f>IFERROR(__xludf.DUMMYFUNCTION("""COMPUTED_VALUE"""),"AUDIO CONTROL PANEL")</f>
        <v>AUDIO CONTROL PANEL</v>
      </c>
    </row>
    <row r="67">
      <c r="A67" s="74" t="str">
        <f>IFERROR(__xludf.DUMMYFUNCTION("""COMPUTED_VALUE"""),"702801-5")</f>
        <v>702801-5</v>
      </c>
      <c r="B67" s="74" t="str">
        <f>IFERROR(__xludf.DUMMYFUNCTION("""COMPUTED_VALUE"""),"BOMBA DE COMBUSTÍVEL")</f>
        <v>BOMBA DE COMBUSTÍVEL</v>
      </c>
    </row>
    <row r="68">
      <c r="A68" s="74" t="str">
        <f>IFERROR(__xludf.DUMMYFUNCTION("""COMPUTED_VALUE"""),"51539-012M")</f>
        <v>51539-012M</v>
      </c>
      <c r="B68" s="74" t="str">
        <f>IFERROR(__xludf.DUMMYFUNCTION("""COMPUTED_VALUE"""),"CONTROL UNIT ASSY-GENERATOR")</f>
        <v>CONTROL UNIT ASSY-GENERATOR</v>
      </c>
    </row>
    <row r="69">
      <c r="A69" s="74" t="str">
        <f>IFERROR(__xludf.DUMMYFUNCTION("""COMPUTED_VALUE"""),"3244897-4")</f>
        <v>3244897-4</v>
      </c>
      <c r="B69" s="74" t="str">
        <f>IFERROR(__xludf.DUMMYFUNCTION("""COMPUTED_VALUE"""),"FUEL CONTROL UNIT")</f>
        <v>FUEL CONTROL UNIT</v>
      </c>
    </row>
    <row r="70">
      <c r="A70" s="74" t="str">
        <f>IFERROR(__xludf.DUMMYFUNCTION("""COMPUTED_VALUE"""),"C611505-0201")</f>
        <v>C611505-0201</v>
      </c>
      <c r="B70" s="74" t="str">
        <f>IFERROR(__xludf.DUMMYFUNCTION("""COMPUTED_VALUE"""),"ALTERNATOR ASSY")</f>
        <v>ALTERNATOR ASSY</v>
      </c>
    </row>
    <row r="71">
      <c r="A71" s="74" t="str">
        <f>IFERROR(__xludf.DUMMYFUNCTION("""COMPUTED_VALUE"""),"025323-150")</f>
        <v>025323-150</v>
      </c>
      <c r="B71" s="74" t="str">
        <f>IFERROR(__xludf.DUMMYFUNCTION("""COMPUTED_VALUE"""),"BOMBA DE COMBUSTÍVEL")</f>
        <v>BOMBA DE COMBUSTÍVEL</v>
      </c>
    </row>
    <row r="72">
      <c r="A72" s="74" t="str">
        <f>IFERROR(__xludf.DUMMYFUNCTION("""COMPUTED_VALUE"""),"065-0059-01")</f>
        <v>065-0059-01</v>
      </c>
      <c r="B72" s="74" t="str">
        <f>IFERROR(__xludf.DUMMYFUNCTION("""COMPUTED_VALUE"""),"SERVO PITCH")</f>
        <v>SERVO PITCH</v>
      </c>
    </row>
    <row r="73">
      <c r="A73" s="74" t="str">
        <f>IFERROR(__xludf.DUMMYFUNCTION("""COMPUTED_VALUE"""),"C661053-0101")</f>
        <v>C661053-0101</v>
      </c>
      <c r="B73" s="74" t="str">
        <f>IFERROR(__xludf.DUMMYFUNCTION("""COMPUTED_VALUE"""),"GYRO DIRECTION")</f>
        <v>GYRO DIRECTION</v>
      </c>
    </row>
    <row r="74">
      <c r="A74" s="74" t="str">
        <f>IFERROR(__xludf.DUMMYFUNCTION("""COMPUTED_VALUE"""),"2643031-7")</f>
        <v>2643031-7</v>
      </c>
      <c r="B74" s="74" t="str">
        <f>IFERROR(__xludf.DUMMYFUNCTION("""COMPUTED_VALUE"""),"MOLA DA ENGRENAGEM DO CONJUNTO DE GARFO")</f>
        <v>MOLA DA ENGRENAGEM DO CONJUNTO DE GARFO</v>
      </c>
    </row>
    <row r="75">
      <c r="A75" s="74" t="str">
        <f>IFERROR(__xludf.DUMMYFUNCTION("""COMPUTED_VALUE"""),"2643031-1")</f>
        <v>2643031-1</v>
      </c>
      <c r="B75" s="74" t="str">
        <f>IFERROR(__xludf.DUMMYFUNCTION("""COMPUTED_VALUE"""),"NARIZ DO CONJUNTO DE FORQUILHA")</f>
        <v>NARIZ DO CONJUNTO DE FORQUILHA</v>
      </c>
    </row>
    <row r="76">
      <c r="A76" s="74" t="str">
        <f>IFERROR(__xludf.DUMMYFUNCTION("""COMPUTED_VALUE"""),"9912034-1")</f>
        <v>9912034-1</v>
      </c>
      <c r="B76" s="74" t="str">
        <f>IFERROR(__xludf.DUMMYFUNCTION("""COMPUTED_VALUE"""),"TACHOMETER GENERATOR")</f>
        <v>TACHOMETER GENERATOR</v>
      </c>
    </row>
    <row r="77">
      <c r="A77" s="74" t="str">
        <f>IFERROR(__xludf.DUMMYFUNCTION("""COMPUTED_VALUE"""),"066-3038-00")</f>
        <v>066-3038-00</v>
      </c>
      <c r="B77" s="74" t="str">
        <f>IFERROR(__xludf.DUMMYFUNCTION("""COMPUTED_VALUE"""),"RMI")</f>
        <v>RMI</v>
      </c>
    </row>
    <row r="78">
      <c r="A78" s="74" t="str">
        <f>IFERROR(__xludf.DUMMYFUNCTION("""COMPUTED_VALUE"""),"200SGL119Q")</f>
        <v>200SGL119Q</v>
      </c>
      <c r="B78" s="74" t="str">
        <f>IFERROR(__xludf.DUMMYFUNCTION("""COMPUTED_VALUE"""),"STARTER GENERATOR")</f>
        <v>STARTER GENERATOR</v>
      </c>
    </row>
    <row r="79">
      <c r="A79" s="74" t="str">
        <f>IFERROR(__xludf.DUMMYFUNCTION("""COMPUTED_VALUE"""),"2661215-9")</f>
        <v>2661215-9</v>
      </c>
      <c r="B79" s="74" t="str">
        <f>IFERROR(__xludf.DUMMYFUNCTION("""COMPUTED_VALUE"""),"ATUADOR")</f>
        <v>ATUADOR</v>
      </c>
    </row>
    <row r="80">
      <c r="A80" s="74" t="str">
        <f>IFERROR(__xludf.DUMMYFUNCTION("""COMPUTED_VALUE"""),"2643100-200")</f>
        <v>2643100-200</v>
      </c>
      <c r="B80" s="74" t="str">
        <f>IFERROR(__xludf.DUMMYFUNCTION("""COMPUTED_VALUE"""),"NOSE GEAR ASSY")</f>
        <v>NOSE GEAR ASSY</v>
      </c>
    </row>
    <row r="81">
      <c r="A81" s="74" t="str">
        <f>IFERROR(__xludf.DUMMYFUNCTION("""COMPUTED_VALUE"""),"5111602-16")</f>
        <v>5111602-16</v>
      </c>
      <c r="B81" s="74" t="str">
        <f>IFERROR(__xludf.DUMMYFUNCTION("""COMPUTED_VALUE"""),"GROMMET")</f>
        <v>GROMMET</v>
      </c>
    </row>
    <row r="82">
      <c r="A82" s="74" t="str">
        <f>IFERROR(__xludf.DUMMYFUNCTION("""COMPUTED_VALUE"""),"3244809-1")</f>
        <v>3244809-1</v>
      </c>
      <c r="B82" s="74" t="str">
        <f>IFERROR(__xludf.DUMMYFUNCTION("""COMPUTED_VALUE"""),"UNIDADE DE CONTROLE DE COMBUSTÍVEL")</f>
        <v>UNIDADE DE CONTROLE DE COMBUSTÍVEL</v>
      </c>
    </row>
    <row r="83">
      <c r="A83" s="74" t="str">
        <f>IFERROR(__xludf.DUMMYFUNCTION("""COMPUTED_VALUE"""),"2641011-5")</f>
        <v>2641011-5</v>
      </c>
      <c r="B83" s="74" t="str">
        <f>IFERROR(__xludf.DUMMYFUNCTION("""COMPUTED_VALUE"""),"AXLE-MAIN GEAR")</f>
        <v>AXLE-MAIN GEAR</v>
      </c>
    </row>
    <row r="84">
      <c r="A84" s="74" t="str">
        <f>IFERROR(__xludf.DUMMYFUNCTION("""COMPUTED_VALUE"""),"9910592-2")</f>
        <v>9910592-2</v>
      </c>
      <c r="B84" s="74" t="str">
        <f>IFERROR(__xludf.DUMMYFUNCTION("""COMPUTED_VALUE"""),"ALTERNATOR ASSY")</f>
        <v>ALTERNATOR ASSY</v>
      </c>
    </row>
    <row r="85">
      <c r="A85" s="74" t="str">
        <f>IFERROR(__xludf.DUMMYFUNCTION("""COMPUTED_VALUE"""),"5040033933")</f>
        <v>5040033933</v>
      </c>
      <c r="B85" s="74" t="str">
        <f>IFERROR(__xludf.DUMMYFUNCTION("""COMPUTED_VALUE"""),"GYRO HORIZON")</f>
        <v>GYRO HORIZON</v>
      </c>
    </row>
    <row r="86">
      <c r="A86" s="74" t="str">
        <f>IFERROR(__xludf.DUMMYFUNCTION("""COMPUTED_VALUE"""),"2670104-2")</f>
        <v>2670104-2</v>
      </c>
      <c r="B86" s="74" t="str">
        <f>IFERROR(__xludf.DUMMYFUNCTION("""COMPUTED_VALUE"""),"ANNUNCIATOR PANEL")</f>
        <v>ANNUNCIATOR PANEL</v>
      </c>
    </row>
    <row r="87">
      <c r="A87" s="74" t="str">
        <f>IFERROR(__xludf.DUMMYFUNCTION("""COMPUTED_VALUE"""),"1134200-28")</f>
        <v>1134200-28</v>
      </c>
      <c r="B87" s="74" t="str">
        <f>IFERROR(__xludf.DUMMYFUNCTION("""COMPUTED_VALUE"""),"FILTRO DE AR - EVAPORADOR")</f>
        <v>FILTRO DE AR - EVAPORADOR</v>
      </c>
    </row>
    <row r="88">
      <c r="A88" s="74" t="str">
        <f>IFERROR(__xludf.DUMMYFUNCTION("""COMPUTED_VALUE"""),"453-5060")</f>
        <v>453-5060</v>
      </c>
      <c r="B88" s="74" t="str">
        <f>IFERROR(__xludf.DUMMYFUNCTION("""COMPUTED_VALUE"""),"TRANSMISSOR LOCALIZADOR DE EMERGÊNCIA")</f>
        <v>TRANSMISSOR LOCALIZADOR DE EMERGÊNCIA</v>
      </c>
    </row>
    <row r="89">
      <c r="A89" s="74" t="str">
        <f>IFERROR(__xludf.DUMMYFUNCTION("""COMPUTED_VALUE"""),"064-1054-30")</f>
        <v>064-1054-30</v>
      </c>
      <c r="B89" s="74" t="str">
        <f>IFERROR(__xludf.DUMMYFUNCTION("""COMPUTED_VALUE"""),"RECEPTOR DE VHF")</f>
        <v>RECEPTOR DE VHF</v>
      </c>
    </row>
    <row r="90">
      <c r="A90" s="74" t="str">
        <f>IFERROR(__xludf.DUMMYFUNCTION("""COMPUTED_VALUE"""),"066-4010-10")</f>
        <v>066-4010-10</v>
      </c>
      <c r="B90" s="74" t="str">
        <f>IFERROR(__xludf.DUMMYFUNCTION("""COMPUTED_VALUE"""),"RECEPTOR")</f>
        <v>RECEPTOR</v>
      </c>
    </row>
    <row r="91">
      <c r="A91" s="74" t="str">
        <f>IFERROR(__xludf.DUMMYFUNCTION("""COMPUTED_VALUE"""),"065-0061-36")</f>
        <v>065-0061-36</v>
      </c>
      <c r="B91" s="74" t="str">
        <f>IFERROR(__xludf.DUMMYFUNCTION("""COMPUTED_VALUE"""),"ACTUATOR TRIM")</f>
        <v>ACTUATOR TRIM</v>
      </c>
    </row>
    <row r="92">
      <c r="A92" s="74" t="str">
        <f>IFERROR(__xludf.DUMMYFUNCTION("""COMPUTED_VALUE"""),"071-1052-00")</f>
        <v>071-1052-00</v>
      </c>
      <c r="B92" s="74" t="str">
        <f>IFERROR(__xludf.DUMMYFUNCTION("""COMPUTED_VALUE"""),"TRANSMITTER")</f>
        <v>TRANSMITTER</v>
      </c>
    </row>
    <row r="93">
      <c r="A93" s="74" t="str">
        <f>IFERROR(__xludf.DUMMYFUNCTION("""COMPUTED_VALUE"""),"011-00831-00")</f>
        <v>011-00831-00</v>
      </c>
      <c r="B93" s="74" t="str">
        <f>IFERROR(__xludf.DUMMYFUNCTION("""COMPUTED_VALUE"""),"ENGINE INTERFA, SPEC")</f>
        <v>ENGINE INTERFA, SPEC</v>
      </c>
    </row>
    <row r="94">
      <c r="A94" s="74" t="str">
        <f>IFERROR(__xludf.DUMMYFUNCTION("""COMPUTED_VALUE"""),"066-3084-32")</f>
        <v>066-3084-32</v>
      </c>
      <c r="B94" s="74" t="str">
        <f>IFERROR(__xludf.DUMMYFUNCTION("""COMPUTED_VALUE"""),"IND RDR 200 IN")</f>
        <v>IND RDR 200 IN</v>
      </c>
    </row>
    <row r="95">
      <c r="A95" s="74" t="str">
        <f>IFERROR(__xludf.DUMMYFUNCTION("""COMPUTED_VALUE"""),"011-00877-00")</f>
        <v>011-00877-00</v>
      </c>
      <c r="B95" s="74" t="str">
        <f>IFERROR(__xludf.DUMMYFUNCTION("""COMPUTED_VALUE"""),"GSA 80 TORQUE SERVO")</f>
        <v>GSA 80 TORQUE SERVO</v>
      </c>
    </row>
    <row r="96">
      <c r="A96" s="74" t="str">
        <f>IFERROR(__xludf.DUMMYFUNCTION("""COMPUTED_VALUE"""),"200SGL153Q")</f>
        <v>200SGL153Q</v>
      </c>
      <c r="B96" s="74" t="str">
        <f>IFERROR(__xludf.DUMMYFUNCTION("""COMPUTED_VALUE"""),"STARTER-GENERATOR")</f>
        <v>STARTER-GENERATOR</v>
      </c>
    </row>
    <row r="97">
      <c r="A97" s="74" t="str">
        <f>IFERROR(__xludf.DUMMYFUNCTION("""COMPUTED_VALUE"""),"011-00882-10")</f>
        <v>011-00882-10</v>
      </c>
      <c r="B97" s="74" t="str">
        <f>IFERROR(__xludf.DUMMYFUNCTION("""COMPUTED_VALUE"""),"COMPUTER, AIR DATA")</f>
        <v>COMPUTER, AIR DATA</v>
      </c>
    </row>
    <row r="98">
      <c r="A98" s="74" t="str">
        <f>IFERROR(__xludf.DUMMYFUNCTION("""COMPUTED_VALUE"""),"5934PAD-3")</f>
        <v>5934PAD-3</v>
      </c>
      <c r="B98" s="74" t="str">
        <f>IFERROR(__xludf.DUMMYFUNCTION("""COMPUTED_VALUE"""),"ALTIMETER")</f>
        <v>ALTIMETER</v>
      </c>
    </row>
    <row r="99">
      <c r="A99" s="74" t="str">
        <f>IFERROR(__xludf.DUMMYFUNCTION("""COMPUTED_VALUE"""),"066-3059-01")</f>
        <v>066-3059-01</v>
      </c>
      <c r="B99" s="74" t="str">
        <f>IFERROR(__xludf.DUMMYFUNCTION("""COMPUTED_VALUE"""),"ADF INDICATOR")</f>
        <v>ADF INDICATOR</v>
      </c>
    </row>
    <row r="100">
      <c r="A100" s="74" t="str">
        <f>IFERROR(__xludf.DUMMYFUNCTION("""COMPUTED_VALUE"""),"065-00180-0800")</f>
        <v>065-00180-0800</v>
      </c>
      <c r="B100" s="74" t="str">
        <f>IFERROR(__xludf.DUMMYFUNCTION("""COMPUTED_VALUE"""),"SERVO PITCH TRIM KS272C")</f>
        <v>SERVO PITCH TRIM KS272C</v>
      </c>
    </row>
    <row r="101">
      <c r="A101" s="74" t="str">
        <f>IFERROR(__xludf.DUMMYFUNCTION("""COMPUTED_VALUE"""),"066-3054-01")</f>
        <v>066-3054-01</v>
      </c>
      <c r="B101" s="74" t="str">
        <f>IFERROR(__xludf.DUMMYFUNCTION("""COMPUTED_VALUE"""),"RADAR ALTIMETER INDICATOR")</f>
        <v>RADAR ALTIMETER INDICATOR</v>
      </c>
    </row>
    <row r="102">
      <c r="A102" s="74" t="str">
        <f>IFERROR(__xludf.DUMMYFUNCTION("""COMPUTED_VALUE"""),"065-0030-00")</f>
        <v>065-0030-00</v>
      </c>
      <c r="B102" s="74" t="str">
        <f>IFERROR(__xludf.DUMMYFUNCTION("""COMPUTED_VALUE"""),"PLATE")</f>
        <v>PLATE</v>
      </c>
    </row>
    <row r="103">
      <c r="A103" s="74" t="str">
        <f>IFERROR(__xludf.DUMMYFUNCTION("""COMPUTED_VALUE"""),"065-0041-00")</f>
        <v>065-0041-00</v>
      </c>
      <c r="B103" s="74" t="str">
        <f>IFERROR(__xludf.DUMMYFUNCTION("""COMPUTED_VALUE"""),"SERVO MOUNT")</f>
        <v>SERVO MOUNT</v>
      </c>
    </row>
    <row r="104">
      <c r="A104" s="74" t="str">
        <f>IFERROR(__xludf.DUMMYFUNCTION("""COMPUTED_VALUE"""),"011-00916-10")</f>
        <v>011-00916-10</v>
      </c>
      <c r="B104" s="74" t="str">
        <f>IFERROR(__xludf.DUMMYFUNCTION("""COMPUTED_VALUE"""),"UNIDADE DE EXIBIÇÃO DE INFORMAÇÕES DE VOO")</f>
        <v>UNIDADE DE EXIBIÇÃO DE INFORMAÇÕES DE VOO</v>
      </c>
    </row>
    <row r="105">
      <c r="A105" s="74" t="str">
        <f>IFERROR(__xludf.DUMMYFUNCTION("""COMPUTED_VALUE"""),"011-00878-10")</f>
        <v>011-00878-10</v>
      </c>
      <c r="B105" s="74" t="str">
        <f>IFERROR(__xludf.DUMMYFUNCTION("""COMPUTED_VALUE"""),"TORQUE SERVO GSA-81")</f>
        <v>TORQUE SERVO GSA-81</v>
      </c>
    </row>
    <row r="106">
      <c r="A106" s="74" t="str">
        <f>IFERROR(__xludf.DUMMYFUNCTION("""COMPUTED_VALUE"""),"065-0058-01")</f>
        <v>065-0058-01</v>
      </c>
      <c r="B106" s="74" t="str">
        <f>IFERROR(__xludf.DUMMYFUNCTION("""COMPUTED_VALUE"""),"ANNUNCIATOR PANEL - BEND/KING")</f>
        <v>ANNUNCIATOR PANEL - BEND/KING</v>
      </c>
    </row>
    <row r="107">
      <c r="A107" s="74" t="str">
        <f>IFERROR(__xludf.DUMMYFUNCTION("""COMPUTED_VALUE"""),"S3325-10")</f>
        <v>S3325-10</v>
      </c>
      <c r="B107" s="74" t="str">
        <f>IFERROR(__xludf.DUMMYFUNCTION("""COMPUTED_VALUE"""),"AIRSPEED INDICATOR")</f>
        <v>AIRSPEED INDICATOR</v>
      </c>
    </row>
    <row r="108">
      <c r="A108" s="74" t="str">
        <f>IFERROR(__xludf.DUMMYFUNCTION("""COMPUTED_VALUE"""),"9910338-4")</f>
        <v>9910338-4</v>
      </c>
      <c r="B108" s="74" t="str">
        <f>IFERROR(__xludf.DUMMYFUNCTION("""COMPUTED_VALUE"""),"FUEL TOTALIZER")</f>
        <v>FUEL TOTALIZER</v>
      </c>
    </row>
    <row r="109">
      <c r="A109" s="74" t="str">
        <f>IFERROR(__xludf.DUMMYFUNCTION("""COMPUTED_VALUE"""),"066-3034-05")</f>
        <v>066-3034-05</v>
      </c>
      <c r="B109" s="74" t="str">
        <f>IFERROR(__xludf.DUMMYFUNCTION("""COMPUTED_VALUE"""),"RECEPTOR TRANSMISSOR")</f>
        <v>RECEPTOR TRANSMISSOR</v>
      </c>
    </row>
    <row r="110">
      <c r="A110" s="74" t="str">
        <f>IFERROR(__xludf.DUMMYFUNCTION("""COMPUTED_VALUE"""),"3034792")</f>
        <v>3034792</v>
      </c>
      <c r="B110" s="74" t="str">
        <f>IFERROR(__xludf.DUMMYFUNCTION("""COMPUTED_VALUE"""),"BOMBA DE COMBUSTÍVEL")</f>
        <v>BOMBA DE COMBUSTÍVEL</v>
      </c>
    </row>
    <row r="111">
      <c r="A111" s="74" t="str">
        <f>IFERROR(__xludf.DUMMYFUNCTION("""COMPUTED_VALUE"""),"30-182")</f>
        <v>30-182</v>
      </c>
      <c r="B111" s="74" t="str">
        <f>IFERROR(__xludf.DUMMYFUNCTION("""COMPUTED_VALUE"""),"MAIN WHEEL BRAKE")</f>
        <v>MAIN WHEEL BRAKE</v>
      </c>
    </row>
    <row r="112">
      <c r="A112" s="74" t="str">
        <f>IFERROR(__xludf.DUMMYFUNCTION("""COMPUTED_VALUE"""),"011-00868-10")</f>
        <v>011-00868-10</v>
      </c>
      <c r="B112" s="74" t="str">
        <f>IFERROR(__xludf.DUMMYFUNCTION("""COMPUTED_VALUE"""),"UNIT AHRS")</f>
        <v>UNIT AHRS</v>
      </c>
    </row>
    <row r="113">
      <c r="A113" s="74" t="str">
        <f>IFERROR(__xludf.DUMMYFUNCTION("""COMPUTED_VALUE"""),"011-01020-10")</f>
        <v>011-01020-10</v>
      </c>
      <c r="B113" s="74" t="str">
        <f>IFERROR(__xludf.DUMMYFUNCTION("""COMPUTED_VALUE"""),"AFCS MODE CONTROLLER GMC 710")</f>
        <v>AFCS MODE CONTROLLER GMC 710</v>
      </c>
    </row>
    <row r="114">
      <c r="A114" s="74" t="str">
        <f>IFERROR(__xludf.DUMMYFUNCTION("""COMPUTED_VALUE"""),"2682001-1")</f>
        <v>2682001-1</v>
      </c>
      <c r="B114" s="74" t="str">
        <f>IFERROR(__xludf.DUMMYFUNCTION("""COMPUTED_VALUE"""),"CILINDRO DE FREIO")</f>
        <v>CILINDRO DE FREIO</v>
      </c>
    </row>
    <row r="115">
      <c r="A115" s="74" t="str">
        <f>IFERROR(__xludf.DUMMYFUNCTION("""COMPUTED_VALUE"""),"C661065-0240")</f>
        <v>C661065-0240</v>
      </c>
      <c r="B115" s="74" t="str">
        <f>IFERROR(__xludf.DUMMYFUNCTION("""COMPUTED_VALUE"""),"AIRSPEED INDICATOR")</f>
        <v>AIRSPEED INDICATOR</v>
      </c>
    </row>
    <row r="116">
      <c r="A116" s="74" t="str">
        <f>IFERROR(__xludf.DUMMYFUNCTION("""COMPUTED_VALUE"""),"2618500-1")</f>
        <v>2618500-1</v>
      </c>
      <c r="B116" s="74" t="str">
        <f>IFERROR(__xludf.DUMMYFUNCTION("""COMPUTED_VALUE"""),"ALTERNATOR CONTROL UNIT ASSY")</f>
        <v>ALTERNATOR CONTROL UNIT ASSY</v>
      </c>
    </row>
    <row r="117">
      <c r="A117" s="74" t="str">
        <f>IFERROR(__xludf.DUMMYFUNCTION("""COMPUTED_VALUE"""),"2641008-200")</f>
        <v>2641008-200</v>
      </c>
      <c r="B117" s="74" t="str">
        <f>IFERROR(__xludf.DUMMYFUNCTION("""COMPUTED_VALUE"""),"PIN-MAIN GEAR ATTACH")</f>
        <v>PIN-MAIN GEAR ATTACH</v>
      </c>
    </row>
    <row r="118">
      <c r="A118" s="74" t="str">
        <f>IFERROR(__xludf.DUMMYFUNCTION("""COMPUTED_VALUE"""),"2641012-14")</f>
        <v>2641012-14</v>
      </c>
      <c r="B118" s="74" t="str">
        <f>IFERROR(__xludf.DUMMYFUNCTION("""COMPUTED_VALUE"""),"TRUNION ASSY-RH-MAIN GEAR")</f>
        <v>TRUNION ASSY-RH-MAIN GEAR</v>
      </c>
    </row>
    <row r="119">
      <c r="A119" s="74" t="str">
        <f>IFERROR(__xludf.DUMMYFUNCTION("""COMPUTED_VALUE"""),"023694-000")</f>
        <v>023694-000</v>
      </c>
      <c r="B119" s="74" t="str">
        <f>IFERROR(__xludf.DUMMYFUNCTION("""COMPUTED_VALUE"""),"BATERIA PRINCIPAL")</f>
        <v>BATERIA PRINCIPAL</v>
      </c>
    </row>
    <row r="120">
      <c r="A120" s="74" t="str">
        <f>IFERROR(__xludf.DUMMYFUNCTION("""COMPUTED_VALUE"""),"D210507")</f>
        <v>D210507</v>
      </c>
      <c r="B120" s="74" t="str">
        <f>IFERROR(__xludf.DUMMYFUNCTION("""COMPUTED_VALUE"""),"GOVERNOR,OVERSPEED")</f>
        <v>GOVERNOR,OVERSPEED</v>
      </c>
    </row>
    <row r="121">
      <c r="A121" s="74" t="str">
        <f>IFERROR(__xludf.DUMMYFUNCTION("""COMPUTED_VALUE"""),"065-0060-01")</f>
        <v>065-0060-01</v>
      </c>
      <c r="B121" s="74" t="str">
        <f>IFERROR(__xludf.DUMMYFUNCTION("""COMPUTED_VALUE"""),"CONTROL SERVO")</f>
        <v>CONTROL SERVO</v>
      </c>
    </row>
    <row r="122">
      <c r="A122" s="74" t="str">
        <f>IFERROR(__xludf.DUMMYFUNCTION("""COMPUTED_VALUE"""),"25140-22A703")</f>
        <v>25140-22A703</v>
      </c>
      <c r="B122" s="74" t="str">
        <f>IFERROR(__xludf.DUMMYFUNCTION("""COMPUTED_VALUE"""),"GERADOR TACOMETRO")</f>
        <v>GERADOR TACOMETRO</v>
      </c>
    </row>
    <row r="123">
      <c r="A123" s="74" t="str">
        <f>IFERROR(__xludf.DUMMYFUNCTION("""COMPUTED_VALUE"""),"C163030-1001")</f>
        <v>C163030-1001</v>
      </c>
      <c r="B123" s="74" t="str">
        <f>IFERROR(__xludf.DUMMYFUNCTION("""COMPUTED_VALUE"""),"MAIN WHEEL BRAKE")</f>
        <v>MAIN WHEEL BRAKE</v>
      </c>
    </row>
    <row r="124">
      <c r="A124" s="74" t="str">
        <f>IFERROR(__xludf.DUMMYFUNCTION("""COMPUTED_VALUE"""),"066-3084-02")</f>
        <v>066-3084-02</v>
      </c>
      <c r="B124" s="74" t="str">
        <f>IFERROR(__xludf.DUMMYFUNCTION("""COMPUTED_VALUE"""),"COLOR RADAR IND")</f>
        <v>COLOR RADAR IND</v>
      </c>
    </row>
    <row r="125">
      <c r="A125" s="74" t="str">
        <f>IFERROR(__xludf.DUMMYFUNCTION("""COMPUTED_VALUE"""),"EA-5172-45-CES")</f>
        <v>EA-5172-45-CES</v>
      </c>
      <c r="B125" s="74" t="str">
        <f>IFERROR(__xludf.DUMMYFUNCTION("""COMPUTED_VALUE"""),"INDICATOR, AIRSPEED")</f>
        <v>INDICATOR, AIRSPEED</v>
      </c>
    </row>
    <row r="126">
      <c r="A126" s="74" t="str">
        <f>IFERROR(__xludf.DUMMYFUNCTION("""COMPUTED_VALUE"""),"2606013-1AM")</f>
        <v>2606013-1AM</v>
      </c>
      <c r="B126" s="74" t="str">
        <f>IFERROR(__xludf.DUMMYFUNCTION("""COMPUTED_VALUE"""),"INDICADOR PERCENTUAL RPM")</f>
        <v>INDICADOR PERCENTUAL RPM</v>
      </c>
    </row>
    <row r="127">
      <c r="A127" s="74" t="str">
        <f>IFERROR(__xludf.DUMMYFUNCTION("""COMPUTED_VALUE"""),"065-0042-15")</f>
        <v>065-0042-15</v>
      </c>
      <c r="B127" s="74" t="str">
        <f>IFERROR(__xludf.DUMMYFUNCTION("""COMPUTED_VALUE"""),"COMPUTADOR DO PILOTO AUTOMÁTICO")</f>
        <v>COMPUTADOR DO PILOTO AUTOMÁTICO</v>
      </c>
    </row>
    <row r="128">
      <c r="A128" s="74" t="str">
        <f>IFERROR(__xludf.DUMMYFUNCTION("""COMPUTED_VALUE"""),"C664511-0102")</f>
        <v>C664511-0102</v>
      </c>
      <c r="B128" s="74" t="str">
        <f>IFERROR(__xludf.DUMMYFUNCTION("""COMPUTED_VALUE"""),"CLOCK")</f>
        <v>CLOCK</v>
      </c>
    </row>
    <row r="129">
      <c r="A129" s="74" t="str">
        <f>IFERROR(__xludf.DUMMYFUNCTION("""COMPUTED_VALUE"""),"2661615-9")</f>
        <v>2661615-9</v>
      </c>
      <c r="B129" s="74" t="str">
        <f>IFERROR(__xludf.DUMMYFUNCTION("""COMPUTED_VALUE"""),"ACTUATOR")</f>
        <v>ACTUATOR</v>
      </c>
    </row>
    <row r="130">
      <c r="A130" s="74" t="str">
        <f>IFERROR(__xludf.DUMMYFUNCTION("""COMPUTED_VALUE"""),"2661215-1")</f>
        <v>2661215-1</v>
      </c>
      <c r="B130" s="74" t="str">
        <f>IFERROR(__xludf.DUMMYFUNCTION("""COMPUTED_VALUE"""),"ATUADOR")</f>
        <v>ATUADOR</v>
      </c>
    </row>
    <row r="131">
      <c r="A131" s="74" t="str">
        <f>IFERROR(__xludf.DUMMYFUNCTION("""COMPUTED_VALUE"""),"2661615-1")</f>
        <v>2661615-1</v>
      </c>
      <c r="B131" s="74" t="str">
        <f>IFERROR(__xludf.DUMMYFUNCTION("""COMPUTED_VALUE"""),"ATUADOR")</f>
        <v>ATUADOR</v>
      </c>
    </row>
    <row r="132">
      <c r="A132" s="74" t="str">
        <f>IFERROR(__xludf.DUMMYFUNCTION("""COMPUTED_VALUE"""),"452-0133")</f>
        <v>452-0133</v>
      </c>
      <c r="B132" s="74" t="str">
        <f>IFERROR(__xludf.DUMMYFUNCTION("""COMPUTED_VALUE"""),"BATTERY")</f>
        <v>BATTERY</v>
      </c>
    </row>
    <row r="133">
      <c r="A133" s="74" t="str">
        <f>IFERROR(__xludf.DUMMYFUNCTION("""COMPUTED_VALUE"""),"200SGL119Q-XL")</f>
        <v>200SGL119Q-XL</v>
      </c>
      <c r="B133" s="74" t="str">
        <f>IFERROR(__xludf.DUMMYFUNCTION("""COMPUTED_VALUE"""),"STARTER GENERATOR")</f>
        <v>STARTER GENERATOR</v>
      </c>
    </row>
    <row r="134">
      <c r="A134" s="74" t="str">
        <f>IFERROR(__xludf.DUMMYFUNCTION("""COMPUTED_VALUE"""),"066-1055-70")</f>
        <v>066-1055-70</v>
      </c>
      <c r="B134" s="74" t="str">
        <f>IFERROR(__xludf.DUMMYFUNCTION("""COMPUTED_VALUE"""),"CONTROL, RADIO SET")</f>
        <v>CONTROL, RADIO SET</v>
      </c>
    </row>
    <row r="135">
      <c r="A135" s="74" t="str">
        <f>IFERROR(__xludf.DUMMYFUNCTION("""COMPUTED_VALUE"""),"1250314-3")</f>
        <v>1250314-3</v>
      </c>
      <c r="B135" s="74" t="str">
        <f>IFERROR(__xludf.DUMMYFUNCTION("""COMPUTED_VALUE"""),"MOTOR EVAPORADOR VENTILADOR ESQUERDO")</f>
        <v>MOTOR EVAPORADOR VENTILADOR ESQUERDO</v>
      </c>
    </row>
    <row r="136">
      <c r="A136" s="74" t="str">
        <f>IFERROR(__xludf.DUMMYFUNCTION("""COMPUTED_VALUE"""),"1250314-4")</f>
        <v>1250314-4</v>
      </c>
      <c r="B136" s="74" t="str">
        <f>IFERROR(__xludf.DUMMYFUNCTION("""COMPUTED_VALUE"""),"MOTOR EVAPORADOR VENTILADOR DIREITO")</f>
        <v>MOTOR EVAPORADOR VENTILADOR DIREITO</v>
      </c>
    </row>
    <row r="137">
      <c r="A137" s="74" t="str">
        <f>IFERROR(__xludf.DUMMYFUNCTION("""COMPUTED_VALUE"""),"066-1061-03")</f>
        <v>066-1061-03</v>
      </c>
      <c r="B137" s="74" t="str">
        <f>IFERROR(__xludf.DUMMYFUNCTION("""COMPUTED_VALUE"""),"RADAR ALTÍMETRO RECEIVER")</f>
        <v>RADAR ALTÍMETRO RECEIVER</v>
      </c>
    </row>
    <row r="138">
      <c r="A138" s="74" t="str">
        <f>IFERROR(__xludf.DUMMYFUNCTION("""COMPUTED_VALUE"""),"1234T100-8ATZ")</f>
        <v>1234T100-8ATZ</v>
      </c>
      <c r="B138" s="74" t="str">
        <f>IFERROR(__xludf.DUMMYFUNCTION("""COMPUTED_VALUE"""),"TURN ABD SLIP INDICATOR")</f>
        <v>TURN ABD SLIP INDICATOR</v>
      </c>
    </row>
    <row r="139">
      <c r="A139" s="74" t="str">
        <f>IFERROR(__xludf.DUMMYFUNCTION("""COMPUTED_VALUE"""),"51539-012MRX")</f>
        <v>51539-012MRX</v>
      </c>
      <c r="B139" s="74" t="str">
        <f>IFERROR(__xludf.DUMMYFUNCTION("""COMPUTED_VALUE"""),"CONTROL UNIT ASSY-GENERATOR")</f>
        <v>CONTROL UNIT ASSY-GENERATOR</v>
      </c>
    </row>
    <row r="140">
      <c r="A140" s="74" t="str">
        <f>IFERROR(__xludf.DUMMYFUNCTION("""COMPUTED_VALUE"""),"C661065-0240RX")</f>
        <v>C661065-0240RX</v>
      </c>
      <c r="B140" s="74" t="str">
        <f>IFERROR(__xludf.DUMMYFUNCTION("""COMPUTED_VALUE"""),"AIRSPEED INDICATOR	")</f>
        <v>AIRSPEED INDICATOR	</v>
      </c>
    </row>
    <row r="141">
      <c r="A141" s="74" t="str">
        <f>IFERROR(__xludf.DUMMYFUNCTION("""COMPUTED_VALUE"""),"22A703")</f>
        <v>22A703</v>
      </c>
      <c r="B141" s="74" t="str">
        <f>IFERROR(__xludf.DUMMYFUNCTION("""COMPUTED_VALUE"""),"GERADOR TACÔMETRO")</f>
        <v>GERADOR TACÔMETRO</v>
      </c>
    </row>
    <row r="142">
      <c r="A142" s="74" t="str">
        <f>IFERROR(__xludf.DUMMYFUNCTION("""COMPUTED_VALUE"""),"9910338-6")</f>
        <v>9910338-6</v>
      </c>
      <c r="B142" s="74" t="str">
        <f>IFERROR(__xludf.DUMMYFUNCTION("""COMPUTED_VALUE"""),"TRANSMITTER")</f>
        <v>TRANSMITTER</v>
      </c>
    </row>
    <row r="143">
      <c r="A143" s="74" t="str">
        <f>IFERROR(__xludf.DUMMYFUNCTION("""COMPUTED_VALUE"""),"2641010-7")</f>
        <v>2641010-7</v>
      </c>
      <c r="B143" s="74" t="str">
        <f>IFERROR(__xludf.DUMMYFUNCTION("""COMPUTED_VALUE"""),"AXLE FITTING")</f>
        <v>AXLE FITTING</v>
      </c>
    </row>
    <row r="144">
      <c r="A144" s="74" t="str">
        <f>IFERROR(__xludf.DUMMYFUNCTION("""COMPUTED_VALUE"""),"R221492")</f>
        <v>R221492</v>
      </c>
      <c r="B144" s="74" t="str">
        <f>IFERROR(__xludf.DUMMYFUNCTION("""COMPUTED_VALUE"""),"MANGUEIRAS DO PITOT")</f>
        <v>MANGUEIRAS DO PITOT</v>
      </c>
    </row>
    <row r="145">
      <c r="A145" s="74" t="str">
        <f>IFERROR(__xludf.DUMMYFUNCTION("""COMPUTED_VALUE"""),"071-1114-01")</f>
        <v>071-1114-01</v>
      </c>
      <c r="B145" s="74" t="str">
        <f>IFERROR(__xludf.DUMMYFUNCTION("""COMPUTED_VALUE"""),"RADAR ALT ANTE")</f>
        <v>RADAR ALT ANTE</v>
      </c>
    </row>
    <row r="146">
      <c r="A146" s="74" t="str">
        <f>IFERROR(__xludf.DUMMYFUNCTION("""COMPUTED_VALUE"""),"2601188-204")</f>
        <v>2601188-204</v>
      </c>
      <c r="B146" s="74" t="str">
        <f>IFERROR(__xludf.DUMMYFUNCTION("""COMPUTED_VALUE"""),"COMPRESSOR DRIVE ASSY")</f>
        <v>COMPRESSOR DRIVE ASSY</v>
      </c>
    </row>
    <row r="147">
      <c r="A147" s="74" t="str">
        <f>IFERROR(__xludf.DUMMYFUNCTION("""COMPUTED_VALUE"""),"3106346-01")</f>
        <v>3106346-01</v>
      </c>
      <c r="B147" s="74" t="str">
        <f>IFERROR(__xludf.DUMMYFUNCTION("""COMPUTED_VALUE"""),"ADAPTER SECUND CON")</f>
        <v>ADAPTER SECUND CON</v>
      </c>
    </row>
    <row r="148">
      <c r="A148" s="74" t="str">
        <f>IFERROR(__xludf.DUMMYFUNCTION("""COMPUTED_VALUE"""),"TRANCA CHATA 1-4")</f>
        <v>TRANCA CHATA 1-4</v>
      </c>
      <c r="B148" s="74" t="str">
        <f>IFERROR(__xludf.DUMMYFUNCTION("""COMPUTED_VALUE"""),"TRANCA CHATA 1-4")</f>
        <v>TRANCA CHATA 1-4</v>
      </c>
    </row>
    <row r="149">
      <c r="A149" s="74" t="str">
        <f>IFERROR(__xludf.DUMMYFUNCTION("""COMPUTED_VALUE"""),"3033737")</f>
        <v>3033737</v>
      </c>
      <c r="B149" s="74" t="str">
        <f>IFERROR(__xludf.DUMMYFUNCTION("""COMPUTED_VALUE"""),"HOSE ASSEMBLY")</f>
        <v>HOSE ASSEMBLY</v>
      </c>
    </row>
    <row r="150">
      <c r="A150" s="74" t="str">
        <f>IFERROR(__xludf.DUMMYFUNCTION("""COMPUTED_VALUE"""),"DLS4-02180")</f>
        <v>DLS4-02180</v>
      </c>
      <c r="B150" s="74" t="str">
        <f>IFERROR(__xludf.DUMMYFUNCTION("""COMPUTED_VALUE"""),"FIO MASSA")</f>
        <v>FIO MASSA</v>
      </c>
    </row>
    <row r="151">
      <c r="A151" s="74" t="str">
        <f>IFERROR(__xludf.DUMMYFUNCTION("""COMPUTED_VALUE"""),"68E101-14")</f>
        <v>68E101-14</v>
      </c>
      <c r="B151" s="74" t="str">
        <f>IFERROR(__xludf.DUMMYFUNCTION("""COMPUTED_VALUE"""),"PUMP EJECTOR")</f>
        <v>PUMP EJECTOR</v>
      </c>
    </row>
    <row r="152">
      <c r="A152" s="74" t="str">
        <f>IFERROR(__xludf.DUMMYFUNCTION("""COMPUTED_VALUE""")," 	AS5178W08")</f>
        <v> 	AS5178W08</v>
      </c>
      <c r="B152" s="74" t="str">
        <f>IFERROR(__xludf.DUMMYFUNCTION("""COMPUTED_VALUE"""),"NUT")</f>
        <v>NUT</v>
      </c>
    </row>
    <row r="153">
      <c r="A153" s="74" t="str">
        <f>IFERROR(__xludf.DUMMYFUNCTION("""COMPUTED_VALUE"""),"P7036368-0154 ")</f>
        <v>P7036368-0154 </v>
      </c>
      <c r="B153" s="74" t="str">
        <f>IFERROR(__xludf.DUMMYFUNCTION("""COMPUTED_VALUE"""),"PROPELLER DEIC - EQP")</f>
        <v>PROPELLER DEIC - EQP</v>
      </c>
    </row>
    <row r="154">
      <c r="A154" s="74" t="str">
        <f>IFERROR(__xludf.DUMMYFUNCTION("""COMPUTED_VALUE"""),"DAF0-0538")</f>
        <v>DAF0-0538</v>
      </c>
      <c r="B154" s="74" t="str">
        <f>IFERROR(__xludf.DUMMYFUNCTION("""COMPUTED_VALUE"""),"CARR TRNSP MOT")</f>
        <v>CARR TRNSP MOT</v>
      </c>
    </row>
    <row r="155">
      <c r="A155" s="74" t="str">
        <f>IFERROR(__xludf.DUMMYFUNCTION("""COMPUTED_VALUE"""),"2651022-20")</f>
        <v>2651022-20</v>
      </c>
      <c r="B155" s="74" t="str">
        <f>IFERROR(__xludf.DUMMYFUNCTION("""COMPUTED_VALUE"""),"RING AY-ENGINE MOUNT")</f>
        <v>RING AY-ENGINE MOUNT</v>
      </c>
    </row>
    <row r="156">
      <c r="A156" s="74" t="str">
        <f>IFERROR(__xludf.DUMMYFUNCTION("""COMPUTED_VALUE"""),"2621000-21")</f>
        <v>2621000-21</v>
      </c>
      <c r="B156" s="74" t="str">
        <f>IFERROR(__xludf.DUMMYFUNCTION("""COMPUTED_VALUE"""),"STRUT ASSY-LH WING - S/CTR")</f>
        <v>STRUT ASSY-LH WING - S/CTR</v>
      </c>
    </row>
    <row r="157">
      <c r="A157" s="74" t="str">
        <f>IFERROR(__xludf.DUMMYFUNCTION("""COMPUTED_VALUE"""),"P7036368-01")</f>
        <v>P7036368-01</v>
      </c>
      <c r="B157" s="74" t="str">
        <f>IFERROR(__xludf.DUMMYFUNCTION("""COMPUTED_VALUE"""),"PROPELLER ASSEMBLY")</f>
        <v>PROPELLER ASSEMBLY</v>
      </c>
    </row>
    <row r="158">
      <c r="A158" s="74" t="str">
        <f>IFERROR(__xludf.DUMMYFUNCTION("""COMPUTED_VALUE"""),"P7036368-0383")</f>
        <v>P7036368-0383</v>
      </c>
      <c r="B158" s="74" t="str">
        <f>IFERROR(__xludf.DUMMYFUNCTION("""COMPUTED_VALUE"""),"PROPELLER ASSEMBLY")</f>
        <v>PROPELLER ASSEMBLY</v>
      </c>
    </row>
    <row r="159">
      <c r="A159" s="74" t="str">
        <f>IFERROR(__xludf.DUMMYFUNCTION("""COMPUTED_VALUE"""),"3044000")</f>
        <v>3044000</v>
      </c>
      <c r="B159" s="74" t="str">
        <f>IFERROR(__xludf.DUMMYFUNCTION("""COMPUTED_VALUE"""),"ENGINE PT6A-114A")</f>
        <v>ENGINE PT6A-114A</v>
      </c>
    </row>
    <row r="160">
      <c r="A160" s="74" t="str">
        <f>IFERROR(__xludf.DUMMYFUNCTION("""COMPUTED_VALUE"""),"3026812")</f>
        <v>3026812</v>
      </c>
      <c r="B160" s="74" t="str">
        <f>IFERROR(__xludf.DUMMYFUNCTION("""COMPUTED_VALUE"""),"DISK,TURBINE,AIRCRAFT GAS TURBINE ENGINE")</f>
        <v>DISK,TURBINE,AIRCRAFT GAS TURBINE ENGINE</v>
      </c>
    </row>
    <row r="161">
      <c r="A161" s="74" t="str">
        <f>IFERROR(__xludf.DUMMYFUNCTION("""COMPUTED_VALUE"""),"	3107453-01")</f>
        <v>	3107453-01</v>
      </c>
      <c r="B161" s="74" t="str">
        <f>IFERROR(__xludf.DUMMYFUNCTION("""COMPUTED_VALUE"""),"HOUSING")</f>
        <v>HOUSING</v>
      </c>
    </row>
    <row r="162">
      <c r="A162" s="74" t="str">
        <f>IFERROR(__xludf.DUMMYFUNCTION("""COMPUTED_VALUE"""),"RFN3934")</f>
        <v>RFN3934</v>
      </c>
      <c r="B162" s="74" t="str">
        <f>IFERROR(__xludf.DUMMYFUNCTION("""COMPUTED_VALUE"""),"T5 SET")</f>
        <v>T5 SET</v>
      </c>
    </row>
    <row r="163">
      <c r="A163" s="74" t="str">
        <f>IFERROR(__xludf.DUMMYFUNCTION("""COMPUTED_VALUE"""),"S2099-12")</f>
        <v>S2099-12</v>
      </c>
      <c r="B163" s="74" t="str">
        <f>IFERROR(__xludf.DUMMYFUNCTION("""COMPUTED_VALUE"""),"TERMINAL ")</f>
        <v>TERMINAL </v>
      </c>
    </row>
    <row r="164">
      <c r="A164" s="74" t="str">
        <f>IFERROR(__xludf.DUMMYFUNCTION("""COMPUTED_VALUE"""),"S2350-3")</f>
        <v>S2350-3</v>
      </c>
      <c r="B164" s="74" t="str">
        <f>IFERROR(__xludf.DUMMYFUNCTION("""COMPUTED_VALUE"""),"CONNECTOR")</f>
        <v>CONNECTOR</v>
      </c>
    </row>
    <row r="165">
      <c r="A165" s="74" t="str">
        <f>IFERROR(__xludf.DUMMYFUNCTION("""COMPUTED_VALUE"""),"3041153")</f>
        <v>3041153</v>
      </c>
      <c r="B165" s="74" t="str">
        <f>IFERROR(__xludf.DUMMYFUNCTION("""COMPUTED_VALUE"""),"PARTS KIT,GAS TURBINE ENGINE,AIRCRAFT")</f>
        <v>PARTS KIT,GAS TURBINE ENGINE,AIRCRAFT</v>
      </c>
    </row>
    <row r="166">
      <c r="A166" s="74" t="str">
        <f>IFERROR(__xludf.DUMMYFUNCTION("""COMPUTED_VALUE"""),"LP-1010-GT")</f>
        <v>LP-1010-GT</v>
      </c>
      <c r="B166" s="74" t="str">
        <f>IFERROR(__xludf.DUMMYFUNCTION("""COMPUTED_VALUE"""),"WINDSHIELD - LH 5/16 ACRYLIC GREEN")</f>
        <v>WINDSHIELD - LH 5/16 ACRYLIC GREEN</v>
      </c>
    </row>
    <row r="167">
      <c r="A167" s="74" t="str">
        <f>IFERROR(__xludf.DUMMYFUNCTION("""COMPUTED_VALUE"""),"2651023-1")</f>
        <v>2651023-1</v>
      </c>
      <c r="B167" s="74" t="str">
        <f>IFERROR(__xludf.DUMMYFUNCTION("""COMPUTED_VALUE"""),"MOUNTY ASSY ENGINE")</f>
        <v>MOUNTY ASSY ENGINE</v>
      </c>
    </row>
    <row r="168">
      <c r="A168" s="74" t="str">
        <f>IFERROR(__xludf.DUMMYFUNCTION("""COMPUTED_VALUE"""),"2651023-19")</f>
        <v>2651023-19</v>
      </c>
      <c r="B168" s="74" t="str">
        <f>IFERROR(__xludf.DUMMYFUNCTION("""COMPUTED_VALUE"""),"ENGINE MOUNT A")</f>
        <v>ENGINE MOUNT A</v>
      </c>
    </row>
    <row r="169">
      <c r="A169" s="74" t="str">
        <f>IFERROR(__xludf.DUMMYFUNCTION("""COMPUTED_VALUE"""),"2651023-23")</f>
        <v>2651023-23</v>
      </c>
      <c r="B169" s="74" t="str">
        <f>IFERROR(__xludf.DUMMYFUNCTION("""COMPUTED_VALUE"""),"ENGINE MOUNT ASSEMBLY")</f>
        <v>ENGINE MOUNT ASSEMBLY</v>
      </c>
    </row>
    <row r="170">
      <c r="A170" s="74" t="str">
        <f>IFERROR(__xludf.DUMMYFUNCTION("""COMPUTED_VALUE"""),"2651040-2")</f>
        <v>2651040-2</v>
      </c>
      <c r="B170" s="74" t="str">
        <f>IFERROR(__xludf.DUMMYFUNCTION("""COMPUTED_VALUE"""),"ENGINE MOUNT WELD ASSEMBLY")</f>
        <v>ENGINE MOUNT WELD ASSEMBLY</v>
      </c>
    </row>
    <row r="171">
      <c r="A171" s="74" t="str">
        <f>IFERROR(__xludf.DUMMYFUNCTION("""COMPUTED_VALUE"""),"2651022-20-1")</f>
        <v>2651022-20-1</v>
      </c>
      <c r="B171" s="74" t="str">
        <f>IFERROR(__xludf.DUMMYFUNCTION("""COMPUTED_VALUE"""),"RING AY-ENGINE MOUNT")</f>
        <v>RING AY-ENGINE MOUNT</v>
      </c>
    </row>
    <row r="172">
      <c r="A172" s="74" t="str">
        <f>IFERROR(__xludf.DUMMYFUNCTION("""COMPUTED_VALUE"""),"DLS3-01931")</f>
        <v>DLS3-01931</v>
      </c>
      <c r="B172" s="74" t="str">
        <f>IFERROR(__xludf.DUMMYFUNCTION("""COMPUTED_VALUE"""),"SACA FITTING")</f>
        <v>SACA FITTING</v>
      </c>
    </row>
    <row r="173">
      <c r="A173" s="74" t="str">
        <f>IFERROR(__xludf.DUMMYFUNCTION("""COMPUTED_VALUE"""),"DLS3-01935")</f>
        <v>DLS3-01935</v>
      </c>
      <c r="B173" s="74" t="str">
        <f>IFERROR(__xludf.DUMMYFUNCTION("""COMPUTED_VALUE"""),"INSERTER AND REMOVER,SPRING")</f>
        <v>INSERTER AND REMOVER,SPRING</v>
      </c>
    </row>
    <row r="174">
      <c r="A174" s="74" t="str">
        <f>IFERROR(__xludf.DUMMYFUNCTION("""COMPUTED_VALUE"""),"DLS4-01930")</f>
        <v>DLS4-01930</v>
      </c>
      <c r="B174" s="74" t="str">
        <f>IFERROR(__xludf.DUMMYFUNCTION("""COMPUTED_VALUE"""),"SACA TRUNNION")</f>
        <v>SACA TRUNNION</v>
      </c>
    </row>
    <row r="175">
      <c r="A175" s="74" t="str">
        <f>IFERROR(__xludf.DUMMYFUNCTION("""COMPUTED_VALUE"""),"FS4291")</f>
        <v>FS4291</v>
      </c>
      <c r="B175" s="74" t="str">
        <f>IFERROR(__xludf.DUMMYFUNCTION("""COMPUTED_VALUE"""),"SELANT TAPE")</f>
        <v>SELANT TAPE</v>
      </c>
    </row>
    <row r="176">
      <c r="A176" s="74" t="str">
        <f>IFERROR(__xludf.DUMMYFUNCTION("""COMPUTED_VALUE"""),"DLS4-02778")</f>
        <v>DLS4-02778</v>
      </c>
      <c r="B176" s="74" t="str">
        <f>IFERROR(__xludf.DUMMYFUNCTION("""COMPUTED_VALUE"""),"CAIXA DE LIMPEZA DE BICO DE COMBUSTIVEL ")</f>
        <v>CAIXA DE LIMPEZA DE BICO DE COMBUSTIVEL </v>
      </c>
    </row>
    <row r="177">
      <c r="A177" s="74" t="str">
        <f>IFERROR(__xludf.DUMMYFUNCTION("""COMPUTED_VALUE"""),"B3-5-1")</f>
        <v>B3-5-1</v>
      </c>
      <c r="B177" s="74" t="str">
        <f>IFERROR(__xludf.DUMMYFUNCTION("""COMPUTED_VALUE"""),"FILTER ELEMENT,INTAKE AIR CLEANER")</f>
        <v>FILTER ELEMENT,INTAKE AIR CLEANER</v>
      </c>
    </row>
    <row r="178">
      <c r="A178" s="74" t="str">
        <f>IFERROR(__xludf.DUMMYFUNCTION("""COMPUTED_VALUE"""),"RA-D9-18-1")</f>
        <v>RA-D9-18-1</v>
      </c>
      <c r="B178" s="74" t="str">
        <f>IFERROR(__xludf.DUMMYFUNCTION("""COMPUTED_VALUE"""),"FILTER VACCUM")</f>
        <v>FILTER VACCUM</v>
      </c>
    </row>
    <row r="179">
      <c r="A179" s="74" t="str">
        <f>IFERROR(__xludf.DUMMYFUNCTION("""COMPUTED_VALUE"""),"9910586-4")</f>
        <v>9910586-4</v>
      </c>
      <c r="B179" s="74" t="str">
        <f>IFERROR(__xludf.DUMMYFUNCTION("""COMPUTED_VALUE"""),"CONJUNTO DE MOTOR E ATUADOR DE FLAP")</f>
        <v>CONJUNTO DE MOTOR E ATUADOR DE FLAP</v>
      </c>
    </row>
    <row r="180">
      <c r="A180" s="74" t="str">
        <f>IFERROR(__xludf.DUMMYFUNCTION("""COMPUTED_VALUE"""),"2013142-18")</f>
        <v>2013142-18</v>
      </c>
      <c r="B180" s="74" t="str">
        <f>IFERROR(__xludf.DUMMYFUNCTION("""COMPUTED_VALUE"""),"VALVE SELECTOR")</f>
        <v>VALVE SELECTOR</v>
      </c>
    </row>
    <row r="181">
      <c r="A181" s="74" t="str">
        <f>IFERROR(__xludf.DUMMYFUNCTION("""COMPUTED_VALUE"""),"2652016-21")</f>
        <v>2652016-21</v>
      </c>
      <c r="B181" s="74" t="str">
        <f>IFERROR(__xludf.DUMMYFUNCTION("""COMPUTED_VALUE"""),"DOOR ASSY COWL LH")</f>
        <v>DOOR ASSY COWL LH</v>
      </c>
    </row>
    <row r="182">
      <c r="A182" s="74" t="str">
        <f>IFERROR(__xludf.DUMMYFUNCTION("""COMPUTED_VALUE"""),"PK2130")</f>
        <v>PK2130</v>
      </c>
      <c r="B182" s="74" t="str">
        <f>IFERROR(__xludf.DUMMYFUNCTION("""COMPUTED_VALUE"""),"SKID BASE ASSEMBLY,SHIPPING CONTAINER")</f>
        <v>SKID BASE ASSEMBLY,SHIPPING CONTAINER</v>
      </c>
    </row>
    <row r="183">
      <c r="A183" s="74" t="str">
        <f>IFERROR(__xludf.DUMMYFUNCTION("""COMPUTED_VALUE"""),"PWC32271")</f>
        <v>PWC32271</v>
      </c>
      <c r="B183" s="74" t="str">
        <f>IFERROR(__xludf.DUMMYFUNCTION("""COMPUTED_VALUE"""),"TUBE-COMPRESSOR TUR")</f>
        <v>TUBE-COMPRESSOR TUR</v>
      </c>
    </row>
    <row r="184">
      <c r="A184" s="74" t="str">
        <f>IFERROR(__xludf.DUMMYFUNCTION("""COMPUTED_VALUE"""),"3107453-01")</f>
        <v>3107453-01</v>
      </c>
      <c r="B184" s="74" t="str">
        <f>IFERROR(__xludf.DUMMYFUNCTION("""COMPUTED_VALUE"""),"HOUSING")</f>
        <v>HOUSING</v>
      </c>
    </row>
    <row r="185">
      <c r="A185" s="74" t="str">
        <f>IFERROR(__xludf.DUMMYFUNCTION("""COMPUTED_VALUE"""),"HSI PT6A-114A")</f>
        <v>HSI PT6A-114A</v>
      </c>
      <c r="B185" s="74" t="str">
        <f>IFERROR(__xludf.DUMMYFUNCTION("""COMPUTED_VALUE"""),"KIT HSI")</f>
        <v>KIT HSI</v>
      </c>
    </row>
    <row r="186">
      <c r="A186" s="74" t="str">
        <f>IFERROR(__xludf.DUMMYFUNCTION("""COMPUTED_VALUE"""),"34788")</f>
        <v>34788</v>
      </c>
      <c r="B186" s="74" t="str">
        <f>IFERROR(__xludf.DUMMYFUNCTION("""COMPUTED_VALUE"""),"MODEL 34778 RECLAIMER, REFRIGERANT")</f>
        <v>MODEL 34778 RECLAIMER, REFRIGERANT</v>
      </c>
    </row>
    <row r="187">
      <c r="A187" s="74" t="str">
        <f>IFERROR(__xludf.DUMMYFUNCTION("""COMPUTED_VALUE"""),"2643065-2")</f>
        <v>2643065-2</v>
      </c>
      <c r="B187" s="74" t="str">
        <f>IFERROR(__xludf.DUMMYFUNCTION("""COMPUTED_VALUE"""),"BUNGEE ASSY")</f>
        <v>BUNGEE ASSY</v>
      </c>
    </row>
    <row r="188">
      <c r="A188" s="74" t="str">
        <f>IFERROR(__xludf.DUMMYFUNCTION("""COMPUTED_VALUE"""),"10652B")</f>
        <v>10652B</v>
      </c>
      <c r="B188" s="74" t="str">
        <f>IFERROR(__xludf.DUMMYFUNCTION("""COMPUTED_VALUE"""),"OIL COOLER")</f>
        <v>OIL COOLER</v>
      </c>
    </row>
    <row r="189">
      <c r="A189" s="74" t="str">
        <f>IFERROR(__xludf.DUMMYFUNCTION("""COMPUTED_VALUE"""),"3109263-02")</f>
        <v>3109263-02</v>
      </c>
      <c r="B189" s="74" t="str">
        <f>IFERROR(__xludf.DUMMYFUNCTION("""COMPUTED_VALUE"""),"LINER,COMBUSTION CHAMBER,AIRCRAFT GAS TURBINE ENGINE")</f>
        <v>LINER,COMBUSTION CHAMBER,AIRCRAFT GAS TURBINE ENGINE</v>
      </c>
    </row>
    <row r="190">
      <c r="A190" s="74" t="str">
        <f>IFERROR(__xludf.DUMMYFUNCTION("""COMPUTED_VALUE"""),"3024862CL13.1")</f>
        <v>3024862CL13.1</v>
      </c>
      <c r="B190" s="74" t="str">
        <f>IFERROR(__xludf.DUMMYFUNCTION("""COMPUTED_VALUE"""),"NOZZLE ASSEMBLY,TURBINE,AIRCRAFT GAS TURBINE ENGINE")</f>
        <v>NOZZLE ASSEMBLY,TURBINE,AIRCRAFT GAS TURBINE ENGINE</v>
      </c>
    </row>
    <row r="191">
      <c r="A191" s="74" t="str">
        <f>IFERROR(__xludf.DUMMYFUNCTION("""COMPUTED_VALUE"""),"LP-1011-GT")</f>
        <v>LP-1011-GT</v>
      </c>
      <c r="B191" s="74" t="str">
        <f>IFERROR(__xludf.DUMMYFUNCTION("""COMPUTED_VALUE"""),"WINDSHIELD-RH 5/16 ACRYLIC GREEN")</f>
        <v>WINDSHIELD-RH 5/16 ACRYLIC GREEN</v>
      </c>
    </row>
    <row r="192">
      <c r="A192" s="74" t="str">
        <f>IFERROR(__xludf.DUMMYFUNCTION("""COMPUTED_VALUE"""),"3135715")</f>
        <v>3135715</v>
      </c>
      <c r="B192" s="74" t="str">
        <f>IFERROR(__xludf.DUMMYFUNCTION("""COMPUTED_VALUE"""),"PARTS KIT SCAVENGE PUMP DRIVE SHAFT")</f>
        <v>PARTS KIT SCAVENGE PUMP DRIVE SHAFT</v>
      </c>
    </row>
    <row r="193">
      <c r="A193" s="74" t="str">
        <f>IFERROR(__xludf.DUMMYFUNCTION("""COMPUTED_VALUE"""),"P70363608-01")</f>
        <v>P70363608-01</v>
      </c>
      <c r="B193" s="74" t="str">
        <f>IFERROR(__xludf.DUMMYFUNCTION("""COMPUTED_VALUE"""),"PROPELLER ASSEMBLY")</f>
        <v>PROPELLER ASSEMBLY</v>
      </c>
    </row>
    <row r="194">
      <c r="A194" s="74" t="str">
        <f>IFERROR(__xludf.DUMMYFUNCTION("""COMPUTED_VALUE"""),"580-219-154")</f>
        <v>580-219-154</v>
      </c>
      <c r="B194" s="74" t="str">
        <f>IFERROR(__xludf.DUMMYFUNCTION("""COMPUTED_VALUE"""),"CONTROL ASSY")</f>
        <v>CONTROL ASSY</v>
      </c>
    </row>
    <row r="195">
      <c r="A195" s="74" t="str">
        <f>IFERROR(__xludf.DUMMYFUNCTION("""COMPUTED_VALUE"""),"C660501-0103")</f>
        <v>C660501-0103</v>
      </c>
      <c r="B195" s="74" t="str">
        <f>IFERROR(__xludf.DUMMYFUNCTION("""COMPUTED_VALUE"""),"COMPASS,SPEC")</f>
        <v>COMPASS,SPEC</v>
      </c>
    </row>
    <row r="196">
      <c r="A196" s="74" t="str">
        <f>IFERROR(__xludf.DUMMYFUNCTION("""COMPUTED_VALUE"""),"2601266-3")</f>
        <v>2601266-3</v>
      </c>
      <c r="B196" s="74" t="str">
        <f>IFERROR(__xludf.DUMMYFUNCTION("""COMPUTED_VALUE"""),"COUPLING SPLINED")</f>
        <v>COUPLING SPLINED</v>
      </c>
    </row>
    <row r="197">
      <c r="A197" s="74" t="str">
        <f>IFERROR(__xludf.DUMMYFUNCTION("""COMPUTED_VALUE"""),"D-436-37")</f>
        <v>D-436-37</v>
      </c>
      <c r="B197" s="74" t="str">
        <f>IFERROR(__xludf.DUMMYFUNCTION("""COMPUTED_VALUE"""),"SPLICE,CONDUCTOR")</f>
        <v>SPLICE,CONDUCTOR</v>
      </c>
    </row>
    <row r="198">
      <c r="A198" s="74" t="str">
        <f>IFERROR(__xludf.DUMMYFUNCTION("""COMPUTED_VALUE"""),"MS24693-S33")</f>
        <v>MS24693-S33</v>
      </c>
      <c r="B198" s="74" t="str">
        <f>IFERROR(__xludf.DUMMYFUNCTION("""COMPUTED_VALUE"""),"SCREW,MACHINE")</f>
        <v>SCREW,MACHINE</v>
      </c>
    </row>
    <row r="199">
      <c r="A199" s="74" t="str">
        <f>IFERROR(__xludf.DUMMYFUNCTION("""COMPUTED_VALUE"""),"S1021Z6-6")</f>
        <v>S1021Z6-6</v>
      </c>
      <c r="B199" s="74" t="str">
        <f>IFERROR(__xludf.DUMMYFUNCTION("""COMPUTED_VALUE"""),"SCREW,TAPPING")</f>
        <v>SCREW,TAPPING</v>
      </c>
    </row>
    <row r="200">
      <c r="A200" s="74" t="str">
        <f>IFERROR(__xludf.DUMMYFUNCTION("""COMPUTED_VALUE"""),"S2209-1")</f>
        <v>S2209-1</v>
      </c>
      <c r="B200" s="74" t="str">
        <f>IFERROR(__xludf.DUMMYFUNCTION("""COMPUTED_VALUE"""),"STRAP TIE")</f>
        <v>STRAP TIE</v>
      </c>
    </row>
    <row r="201">
      <c r="A201" s="74" t="str">
        <f>IFERROR(__xludf.DUMMYFUNCTION("""COMPUTED_VALUE"""),"S3231-5")</f>
        <v>S3231-5</v>
      </c>
      <c r="B201" s="74" t="str">
        <f>IFERROR(__xludf.DUMMYFUNCTION("""COMPUTED_VALUE"""),"NUT,SPEC")</f>
        <v>NUT,SPEC</v>
      </c>
    </row>
    <row r="202">
      <c r="A202" s="74" t="str">
        <f>IFERROR(__xludf.DUMMYFUNCTION("""COMPUTED_VALUE"""),"S4111-2A")</f>
        <v>S4111-2A</v>
      </c>
      <c r="B202" s="74" t="str">
        <f>IFERROR(__xludf.DUMMYFUNCTION("""COMPUTED_VALUE"""),"NAMEPLATE")</f>
        <v>NAMEPLATE</v>
      </c>
    </row>
    <row r="203">
      <c r="A203" s="74" t="str">
        <f>IFERROR(__xludf.DUMMYFUNCTION("""COMPUTED_VALUE"""),"TC4001")</f>
        <v>TC4001</v>
      </c>
      <c r="B203" s="74" t="str">
        <f>IFERROR(__xludf.DUMMYFUNCTION("""COMPUTED_VALUE"""),"END CAP")</f>
        <v>END CAP</v>
      </c>
    </row>
    <row r="204">
      <c r="A204" s="74" t="str">
        <f>IFERROR(__xludf.DUMMYFUNCTION("""COMPUTED_VALUE"""),"01-0790613-91")</f>
        <v>01-0790613-91</v>
      </c>
      <c r="B204" s="74" t="str">
        <f>IFERROR(__xludf.DUMMYFUNCTION("""COMPUTED_VALUE"""),"LED WINGTIP LIGHT-RH")</f>
        <v>LED WINGTIP LIGHT-RH</v>
      </c>
    </row>
    <row r="205">
      <c r="A205" s="74" t="str">
        <f>IFERROR(__xludf.DUMMYFUNCTION("""COMPUTED_VALUE"""),"01-0790613-92")</f>
        <v>01-0790613-92</v>
      </c>
      <c r="B205" s="74" t="str">
        <f>IFERROR(__xludf.DUMMYFUNCTION("""COMPUTED_VALUE"""),"LED WINGTIP LIGHT-LH")</f>
        <v>LED WINGTIP LIGHT-LH</v>
      </c>
    </row>
    <row r="206">
      <c r="A206" s="74" t="str">
        <f>IFERROR(__xludf.DUMMYFUNCTION("""COMPUTED_VALUE"""),"2612115-3")</f>
        <v>2612115-3</v>
      </c>
      <c r="B206" s="74" t="str">
        <f>IFERROR(__xludf.DUMMYFUNCTION("""COMPUTED_VALUE"""),"COVER PLATE")</f>
        <v>COVER PLATE</v>
      </c>
    </row>
    <row r="207">
      <c r="A207" s="74" t="str">
        <f>IFERROR(__xludf.DUMMYFUNCTION("""COMPUTED_VALUE"""),"2628005-3")</f>
        <v>2628005-3</v>
      </c>
      <c r="B207" s="74" t="str">
        <f>IFERROR(__xludf.DUMMYFUNCTION("""COMPUTED_VALUE"""),"LIGHT SPACER-LH")</f>
        <v>LIGHT SPACER-LH</v>
      </c>
    </row>
    <row r="208">
      <c r="A208" s="74" t="str">
        <f>IFERROR(__xludf.DUMMYFUNCTION("""COMPUTED_VALUE"""),"2628005-4")</f>
        <v>2628005-4</v>
      </c>
      <c r="B208" s="74" t="str">
        <f>IFERROR(__xludf.DUMMYFUNCTION("""COMPUTED_VALUE"""),"LIGHT SPACER-RH")</f>
        <v>LIGHT SPACER-RH</v>
      </c>
    </row>
    <row r="209">
      <c r="A209" s="74" t="str">
        <f>IFERROR(__xludf.DUMMYFUNCTION("""COMPUTED_VALUE"""),"83-0057")</f>
        <v>83-0057</v>
      </c>
      <c r="B209" s="74" t="str">
        <f>IFERROR(__xludf.DUMMYFUNCTION("""COMPUTED_VALUE"""),"RESISTOR")</f>
        <v>RESISTOR</v>
      </c>
    </row>
    <row r="210">
      <c r="A210" s="74" t="str">
        <f>IFERROR(__xludf.DUMMYFUNCTION("""COMPUTED_VALUE"""),"504-0111-906")</f>
        <v>504-0111-906</v>
      </c>
      <c r="B210" s="74" t="str">
        <f>IFERROR(__xludf.DUMMYFUNCTION("""COMPUTED_VALUE"""),"GYRO HORIZON")</f>
        <v>GYRO HORIZON</v>
      </c>
    </row>
    <row r="211">
      <c r="A211" s="74" t="str">
        <f>IFERROR(__xludf.DUMMYFUNCTION("""COMPUTED_VALUE"""),"066-01141-5101")</f>
        <v>066-01141-5101</v>
      </c>
      <c r="B211" s="74" t="str">
        <f>IFERROR(__xludf.DUMMYFUNCTION("""COMPUTED_VALUE"""),"RECEIVER-TRANSMITTER,RADIO (KT71)")</f>
        <v>RECEIVER-TRANSMITTER,RADIO (KT71)</v>
      </c>
    </row>
    <row r="212">
      <c r="A212" s="74" t="str">
        <f>IFERROR(__xludf.DUMMYFUNCTION("""COMPUTED_VALUE"""),"285K4")</f>
        <v>285K4</v>
      </c>
      <c r="B212" s="74" t="str">
        <f>IFERROR(__xludf.DUMMYFUNCTION("""COMPUTED_VALUE"""),"BELT")</f>
        <v>BELT</v>
      </c>
    </row>
    <row r="213">
      <c r="A213" s="74" t="str">
        <f>IFERROR(__xludf.DUMMYFUNCTION("""COMPUTED_VALUE"""),"AE3663163K0600")</f>
        <v>AE3663163K0600</v>
      </c>
      <c r="B213" s="74" t="str">
        <f>IFERROR(__xludf.DUMMYFUNCTION("""COMPUTED_VALUE"""),"HOSE ASSY")</f>
        <v>HOSE ASSY</v>
      </c>
    </row>
    <row r="214">
      <c r="A214" s="74" t="str">
        <f>IFERROR(__xludf.DUMMYFUNCTION("""COMPUTED_VALUE"""),"2643062-3")</f>
        <v>2643062-3</v>
      </c>
      <c r="B214" s="74" t="str">
        <f>IFERROR(__xludf.DUMMYFUNCTION("""COMPUTED_VALUE"""),"NOSE GEAR SPRINGER")</f>
        <v>NOSE GEAR SPRINGER</v>
      </c>
    </row>
    <row r="215">
      <c r="A215" s="74" t="str">
        <f>IFERROR(__xludf.DUMMYFUNCTION("""COMPUTED_VALUE"""),"065-00179-0100")</f>
        <v>065-00179-0100</v>
      </c>
      <c r="B215" s="74" t="str">
        <f>IFERROR(__xludf.DUMMYFUNCTION("""COMPUTED_VALUE"""),"PRIMARY SERVO-ROLL/C182 KS271C 3.6RPM")</f>
        <v>PRIMARY SERVO-ROLL/C182 KS271C 3.6RPM</v>
      </c>
    </row>
    <row r="216">
      <c r="A216" s="74" t="str">
        <f>IFERROR(__xludf.DUMMYFUNCTION("""COMPUTED_VALUE"""),"C668050-1103")</f>
        <v>C668050-1103</v>
      </c>
      <c r="B216" s="74" t="str">
        <f>IFERROR(__xludf.DUMMYFUNCTION("""COMPUTED_VALUE"""),"TRANSMITER FUEL")</f>
        <v>TRANSMITER FUEL</v>
      </c>
    </row>
    <row r="217">
      <c r="A217" s="74" t="str">
        <f>IFERROR(__xludf.DUMMYFUNCTION("""COMPUTED_VALUE"""),"S3354-1")</f>
        <v>S3354-1</v>
      </c>
      <c r="B217" s="74" t="str">
        <f>IFERROR(__xludf.DUMMYFUNCTION("""COMPUTED_VALUE"""),"BOLT")</f>
        <v>BOLT</v>
      </c>
    </row>
    <row r="218">
      <c r="A218" s="74" t="str">
        <f>IFERROR(__xludf.DUMMYFUNCTION("""COMPUTED_VALUE"""),"2651022-18")</f>
        <v>2651022-18</v>
      </c>
      <c r="B218" s="74" t="str">
        <f>IFERROR(__xludf.DUMMYFUNCTION("""COMPUTED_VALUE"""),"RING ASSY ENGI")</f>
        <v>RING ASSY ENGI</v>
      </c>
    </row>
    <row r="219">
      <c r="A219" s="74" t="str">
        <f>IFERROR(__xludf.DUMMYFUNCTION("""COMPUTED_VALUE"""),"302-039-402")</f>
        <v>302-039-402</v>
      </c>
      <c r="B219" s="74" t="str">
        <f>IFERROR(__xludf.DUMMYFUNCTION("""COMPUTED_VALUE"""),"650X10 TUBE")</f>
        <v>650X10 TUBE</v>
      </c>
    </row>
    <row r="220">
      <c r="A220" s="74" t="str">
        <f>IFERROR(__xludf.DUMMYFUNCTION("""COMPUTED_VALUE"""),"NAS1739B4-6")</f>
        <v>NAS1739B4-6</v>
      </c>
      <c r="B220" s="74" t="str">
        <f>IFERROR(__xludf.DUMMYFUNCTION("""COMPUTED_VALUE"""),"REBITE, CEGO")</f>
        <v>REBITE, CEGO</v>
      </c>
    </row>
    <row r="221">
      <c r="A221" s="74" t="str">
        <f>IFERROR(__xludf.DUMMYFUNCTION("""COMPUTED_VALUE"""),"CR2248-4-4")</f>
        <v>CR2248-4-4</v>
      </c>
      <c r="B221" s="74" t="str">
        <f>IFERROR(__xludf.DUMMYFUNCTION("""COMPUTED_VALUE"""),"RIVET, BLIND")</f>
        <v>RIVET, BLIND</v>
      </c>
    </row>
    <row r="222">
      <c r="A222" s="74" t="str">
        <f>IFERROR(__xludf.DUMMYFUNCTION("""COMPUTED_VALUE"""),"NAS1097AD6-5")</f>
        <v>NAS1097AD6-5</v>
      </c>
      <c r="B222" s="74" t="str">
        <f>IFERROR(__xludf.DUMMYFUNCTION("""COMPUTED_VALUE"""),"RIVET SOLID")</f>
        <v>RIVET SOLID</v>
      </c>
    </row>
    <row r="223">
      <c r="A223" s="74" t="str">
        <f>IFERROR(__xludf.DUMMYFUNCTION("""COMPUTED_VALUE"""),"NAS1097AD6-4")</f>
        <v>NAS1097AD6-4</v>
      </c>
      <c r="B223" s="74" t="str">
        <f>IFERROR(__xludf.DUMMYFUNCTION("""COMPUTED_VALUE"""),"RIVET, SOLID")</f>
        <v>RIVET, SOLID</v>
      </c>
    </row>
    <row r="224">
      <c r="A224" s="74" t="str">
        <f>IFERROR(__xludf.DUMMYFUNCTION("""COMPUTED_VALUE"""),"NAS1097AD5-4")</f>
        <v>NAS1097AD5-4</v>
      </c>
      <c r="B224" s="74" t="str">
        <f>IFERROR(__xludf.DUMMYFUNCTION("""COMPUTED_VALUE"""),"RIVET, SOLID")</f>
        <v>RIVET, SOLID</v>
      </c>
    </row>
    <row r="225">
      <c r="A225" s="74" t="str">
        <f>IFERROR(__xludf.DUMMYFUNCTION("""COMPUTED_VALUE"""),"NAS1097AD5-7")</f>
        <v>NAS1097AD5-7</v>
      </c>
      <c r="B225" s="74" t="str">
        <f>IFERROR(__xludf.DUMMYFUNCTION("""COMPUTED_VALUE"""),"RIVET, SOLID")</f>
        <v>RIVET, SOLID</v>
      </c>
    </row>
    <row r="226">
      <c r="A226" s="74" t="str">
        <f>IFERROR(__xludf.DUMMYFUNCTION("""COMPUTED_VALUE"""),"NAS1097AD4-3")</f>
        <v>NAS1097AD4-3</v>
      </c>
      <c r="B226" s="74" t="str">
        <f>IFERROR(__xludf.DUMMYFUNCTION("""COMPUTED_VALUE"""),"RIVET, SOLID")</f>
        <v>RIVET, SOLID</v>
      </c>
    </row>
    <row r="227">
      <c r="A227" s="74" t="str">
        <f>IFERROR(__xludf.DUMMYFUNCTION("""COMPUTED_VALUE"""),"NAS1097AD3-7")</f>
        <v>NAS1097AD3-7</v>
      </c>
      <c r="B227" s="74" t="str">
        <f>IFERROR(__xludf.DUMMYFUNCTION("""COMPUTED_VALUE"""),"RIVET SOLID")</f>
        <v>RIVET SOLID</v>
      </c>
    </row>
    <row r="228">
      <c r="A228" s="74" t="str">
        <f>IFERROR(__xludf.DUMMYFUNCTION("""COMPUTED_VALUE"""),"068-02800")</f>
        <v>068-02800</v>
      </c>
      <c r="B228" s="74" t="str">
        <f>IFERROR(__xludf.DUMMYFUNCTION("""COMPUTED_VALUE"""),"INSULATOR")</f>
        <v>INSULATOR</v>
      </c>
    </row>
    <row r="229">
      <c r="A229" s="74" t="str">
        <f>IFERROR(__xludf.DUMMYFUNCTION("""COMPUTED_VALUE"""),"RA068-02800")</f>
        <v>RA068-02800</v>
      </c>
      <c r="B229" s="74" t="str">
        <f>IFERROR(__xludf.DUMMYFUNCTION("""COMPUTED_VALUE"""),"INSULATOR")</f>
        <v>INSULATOR</v>
      </c>
    </row>
    <row r="230">
      <c r="A230" s="74" t="str">
        <f>IFERROR(__xludf.DUMMYFUNCTION("""COMPUTED_VALUE"""),"MS21442-121")</f>
        <v>MS21442-121</v>
      </c>
      <c r="B230" s="74" t="str">
        <f>IFERROR(__xludf.DUMMYFUNCTION("""COMPUTED_VALUE"""),"BEARING,ROLLER,NEEDLE")</f>
        <v>BEARING,ROLLER,NEEDLE</v>
      </c>
    </row>
    <row r="231">
      <c r="A231" s="74" t="str">
        <f>IFERROR(__xludf.DUMMYFUNCTION("""COMPUTED_VALUE"""),"523919")</f>
        <v>523919</v>
      </c>
      <c r="B231" s="74" t="str">
        <f>IFERROR(__xludf.DUMMYFUNCTION("""COMPUTED_VALUE"""),"BUSHING,SLEEVE")</f>
        <v>BUSHING,SLEEVE</v>
      </c>
    </row>
    <row r="232">
      <c r="A232" s="74" t="str">
        <f>IFERROR(__xludf.DUMMYFUNCTION("""COMPUTED_VALUE"""),"MS21044N9")</f>
        <v>MS21044N9</v>
      </c>
      <c r="B232" s="74" t="str">
        <f>IFERROR(__xludf.DUMMYFUNCTION("""COMPUTED_VALUE"""),"NUT,SELF-LOCKING,HEXAGON")</f>
        <v>NUT,SELF-LOCKING,HEXAGON</v>
      </c>
    </row>
    <row r="233">
      <c r="A233" s="74" t="str">
        <f>IFERROR(__xludf.DUMMYFUNCTION("""COMPUTED_VALUE"""),"C145-00-46")</f>
        <v>C145-00-46</v>
      </c>
      <c r="B233" s="74" t="str">
        <f>IFERROR(__xludf.DUMMYFUNCTION("""COMPUTED_VALUE"""),"TRANSMISSION ASSY")</f>
        <v>TRANSMISSION ASSY</v>
      </c>
    </row>
    <row r="234">
      <c r="A234" s="74" t="str">
        <f>IFERROR(__xludf.DUMMYFUNCTION("""COMPUTED_VALUE"""),"62800-001")</f>
        <v>62800-001</v>
      </c>
      <c r="B234" s="74" t="str">
        <f>IFERROR(__xludf.DUMMYFUNCTION("""COMPUTED_VALUE"""),"MICROPHONE,MAGNETIC")</f>
        <v>MICROPHONE,MAGNETIC</v>
      </c>
    </row>
    <row r="235">
      <c r="A235" s="74" t="str">
        <f>IFERROR(__xludf.DUMMYFUNCTION("""COMPUTED_VALUE"""),"CS3247B2")</f>
        <v>CS3247B2</v>
      </c>
      <c r="B235" s="74" t="str">
        <f>IFERROR(__xludf.DUMMYFUNCTION("""COMPUTED_VALUE"""),"SEALING COMPOUND")</f>
        <v>SEALING COMPOUND</v>
      </c>
    </row>
    <row r="236">
      <c r="A236" s="74" t="str">
        <f>IFERROR(__xludf.DUMMYFUNCTION("""COMPUTED_VALUE"""),"3043682CL02")</f>
        <v>3043682CL02</v>
      </c>
      <c r="B236" s="74" t="str">
        <f>IFERROR(__xludf.DUMMYFUNCTION("""COMPUTED_VALUE"""),"STATOR ASSY-POWER TURBINE")</f>
        <v>STATOR ASSY-POWER TURBINE</v>
      </c>
    </row>
    <row r="237">
      <c r="A237" s="74" t="str">
        <f>IFERROR(__xludf.DUMMYFUNCTION("""COMPUTED_VALUE"""),"3043682CL")</f>
        <v>3043682CL</v>
      </c>
      <c r="B237" s="74" t="str">
        <f>IFERROR(__xludf.DUMMYFUNCTION("""COMPUTED_VALUE"""),"STATOR ASSEMBLY, POWER TURB")</f>
        <v>STATOR ASSEMBLY, POWER TURB</v>
      </c>
    </row>
    <row r="238">
      <c r="A238" s="74" t="str">
        <f>IFERROR(__xludf.DUMMYFUNCTION("""COMPUTED_VALUE"""),"3244809-7")</f>
        <v>3244809-7</v>
      </c>
      <c r="B238" s="74" t="str">
        <f>IFERROR(__xludf.DUMMYFUNCTION("""COMPUTED_VALUE"""),"FUEL CONTROL,MAIN,TURBINE ENGINE")</f>
        <v>FUEL CONTROL,MAIN,TURBINE ENGINE</v>
      </c>
    </row>
    <row r="239">
      <c r="A239" s="74" t="str">
        <f>IFERROR(__xludf.DUMMYFUNCTION("""COMPUTED_VALUE"""),"MS29513-338")</f>
        <v>MS29513-338</v>
      </c>
      <c r="B239" s="74" t="str">
        <f>IFERROR(__xludf.DUMMYFUNCTION("""COMPUTED_VALUE"""),"ANEL-O")</f>
        <v>ANEL-O</v>
      </c>
    </row>
    <row r="240">
      <c r="A240" s="74" t="str">
        <f>IFERROR(__xludf.DUMMYFUNCTION("""COMPUTED_VALUE"""),"S3326-2")</f>
        <v>S3326-2</v>
      </c>
      <c r="B240" s="74" t="str">
        <f>IFERROR(__xludf.DUMMYFUNCTION("""COMPUTED_VALUE"""),"INDICATOR,HORIZONTAL SITUATION")</f>
        <v>INDICATOR,HORIZONTAL SITUATION</v>
      </c>
    </row>
    <row r="241">
      <c r="A241" s="74" t="str">
        <f>IFERROR(__xludf.DUMMYFUNCTION("""COMPUTED_VALUE"""),"9864054-7")</f>
        <v>9864054-7</v>
      </c>
      <c r="B241" s="74" t="str">
        <f>IFERROR(__xludf.DUMMYFUNCTION("""COMPUTED_VALUE"""),"CABLE ASSY-FLAP INDICATOR")</f>
        <v>CABLE ASSY-FLAP INDICATOR</v>
      </c>
    </row>
    <row r="242">
      <c r="A242" s="74" t="str">
        <f>IFERROR(__xludf.DUMMYFUNCTION("""COMPUTED_VALUE"""),"MS20007-30")</f>
        <v>MS20007-30</v>
      </c>
      <c r="B242" s="74" t="str">
        <f>IFERROR(__xludf.DUMMYFUNCTION("""COMPUTED_VALUE"""),"BOLT,INTERNAL WRENCHING")</f>
        <v>BOLT,INTERNAL WRENCHING</v>
      </c>
    </row>
    <row r="243">
      <c r="A243" s="74" t="str">
        <f>IFERROR(__xludf.DUMMYFUNCTION("""COMPUTED_VALUE"""),"MS20007-16")</f>
        <v>MS20007-16</v>
      </c>
      <c r="B243" s="74" t="str">
        <f>IFERROR(__xludf.DUMMYFUNCTION("""COMPUTED_VALUE"""),"BOLT,INTERNAL WRENCHING")</f>
        <v>BOLT,INTERNAL WRENCHING</v>
      </c>
    </row>
    <row r="244">
      <c r="A244" s="74" t="str">
        <f>IFERROR(__xludf.DUMMYFUNCTION("""COMPUTED_VALUE"""),"76-207-12")</f>
        <v>76-207-12</v>
      </c>
      <c r="B244" s="74" t="str">
        <f>IFERROR(__xludf.DUMMYFUNCTION("""COMPUTED_VALUE"""),"SENSOR, FUEL LEVEL SHORT")</f>
        <v>SENSOR, FUEL LEVEL SHORT</v>
      </c>
    </row>
    <row r="245">
      <c r="A245" s="74" t="str">
        <f>IFERROR(__xludf.DUMMYFUNCTION("""COMPUTED_VALUE"""),"DCN4-3807")</f>
        <v>DCN4-3807</v>
      </c>
      <c r="B245" s="74" t="str">
        <f>IFERROR(__xludf.DUMMYFUNCTION("""COMPUTED_VALUE"""),"ANEL DE VEDAÇÃO")</f>
        <v>ANEL DE VEDAÇÃO</v>
      </c>
    </row>
    <row r="246">
      <c r="A246" s="74" t="str">
        <f>IFERROR(__xludf.DUMMYFUNCTION("""COMPUTED_VALUE"""),"MS16562-3")</f>
        <v>MS16562-3</v>
      </c>
      <c r="B246" s="74" t="str">
        <f>IFERROR(__xludf.DUMMYFUNCTION("""COMPUTED_VALUE"""),"PIN,SPRING")</f>
        <v>PIN,SPRING</v>
      </c>
    </row>
    <row r="247">
      <c r="A247" s="74" t="str">
        <f>IFERROR(__xludf.DUMMYFUNCTION("""COMPUTED_VALUE"""),"3024862CL")</f>
        <v>3024862CL</v>
      </c>
      <c r="B247" s="74" t="str">
        <f>IFERROR(__xludf.DUMMYFUNCTION("""COMPUTED_VALUE"""),"PTVR")</f>
        <v>PTVR</v>
      </c>
    </row>
    <row r="248">
      <c r="A248" s="74" t="str">
        <f>IFERROR(__xludf.DUMMYFUNCTION("""COMPUTED_VALUE"""),"9910333-1")</f>
        <v>9910333-1</v>
      </c>
      <c r="B248" s="74" t="str">
        <f>IFERROR(__xludf.DUMMYFUNCTION("""COMPUTED_VALUE"""),"ENGINE MOUNT")</f>
        <v>ENGINE MOUNT</v>
      </c>
    </row>
    <row r="249">
      <c r="A249" s="74" t="str">
        <f>IFERROR(__xludf.DUMMYFUNCTION("""COMPUTED_VALUE"""),"066-04035-1101")</f>
        <v>066-04035-1101</v>
      </c>
      <c r="B249" s="74" t="str">
        <f>IFERROR(__xludf.DUMMYFUNCTION("""COMPUTED_VALUE"""),"DISPLAY UNIT,RADAR")</f>
        <v>DISPLAY UNIT,RADAR</v>
      </c>
    </row>
    <row r="250">
      <c r="A250" s="74" t="str">
        <f>IFERROR(__xludf.DUMMYFUNCTION("""COMPUTED_VALUE"""),"1H101-4")</f>
        <v>1H101-4</v>
      </c>
      <c r="B250" s="74" t="str">
        <f>IFERROR(__xludf.DUMMYFUNCTION("""COMPUTED_VALUE"""),"FLOW CONTROL VALVE")</f>
        <v>FLOW CONTROL VALVE</v>
      </c>
    </row>
    <row r="251">
      <c r="A251" s="74" t="str">
        <f>IFERROR(__xludf.DUMMYFUNCTION("""COMPUTED_VALUE"""),"B-5121")</f>
        <v>B-5121</v>
      </c>
      <c r="B251" s="74" t="str">
        <f>IFERROR(__xludf.DUMMYFUNCTION("""COMPUTED_VALUE"""),"FEEDBACK BEARING ASSY")</f>
        <v>FEEDBACK BEARING ASSY</v>
      </c>
    </row>
    <row r="252">
      <c r="A252" s="74" t="str">
        <f>IFERROR(__xludf.DUMMYFUNCTION("""COMPUTED_VALUE"""),"C668050-1104")</f>
        <v>C668050-1104</v>
      </c>
      <c r="B252" s="74" t="str">
        <f>IFERROR(__xludf.DUMMYFUNCTION("""COMPUTED_VALUE"""),"TRANSMITER FUEL")</f>
        <v>TRANSMITER FUEL</v>
      </c>
    </row>
    <row r="253">
      <c r="A253" s="74" t="str">
        <f>IFERROR(__xludf.DUMMYFUNCTION("""COMPUTED_VALUE"""),"431-0101-01")</f>
        <v>431-0101-01</v>
      </c>
      <c r="B253" s="74" t="str">
        <f>IFERROR(__xludf.DUMMYFUNCTION("""COMPUTED_VALUE"""),"SWITCH,PROXIMITY")</f>
        <v>SWITCH,PROXIMITY</v>
      </c>
    </row>
    <row r="254">
      <c r="A254" s="74" t="str">
        <f>IFERROR(__xludf.DUMMYFUNCTION("""COMPUTED_VALUE"""),"2650026-3")</f>
        <v>2650026-3</v>
      </c>
      <c r="B254" s="74" t="str">
        <f>IFERROR(__xludf.DUMMYFUNCTION("""COMPUTED_VALUE"""),"BRACKET")</f>
        <v>BRACKET</v>
      </c>
    </row>
    <row r="255">
      <c r="A255" s="74" t="str">
        <f>IFERROR(__xludf.DUMMYFUNCTION("""COMPUTED_VALUE"""),"S2300-12")</f>
        <v>S2300-12</v>
      </c>
      <c r="B255" s="74" t="str">
        <f>IFERROR(__xludf.DUMMYFUNCTION("""COMPUTED_VALUE"""),"BRACKET")</f>
        <v>BRACKET</v>
      </c>
    </row>
    <row r="256">
      <c r="A256" s="74" t="str">
        <f>IFERROR(__xludf.DUMMYFUNCTION("""COMPUTED_VALUE"""),"S2357-1")</f>
        <v>S2357-1</v>
      </c>
      <c r="B256" s="74" t="str">
        <f>IFERROR(__xludf.DUMMYFUNCTION("""COMPUTED_VALUE"""),"CLAMP,HOSE")</f>
        <v>CLAMP,HOSE</v>
      </c>
    </row>
    <row r="257">
      <c r="A257" s="74" t="str">
        <f>IFERROR(__xludf.DUMMYFUNCTION("""COMPUTED_VALUE"""),"2N6576")</f>
        <v>2N6576</v>
      </c>
      <c r="B257" s="74" t="str">
        <f>IFERROR(__xludf.DUMMYFUNCTION("""COMPUTED_VALUE"""),"TRANSISTOR")</f>
        <v>TRANSISTOR</v>
      </c>
    </row>
    <row r="258">
      <c r="A258" s="74" t="str">
        <f>IFERROR(__xludf.DUMMYFUNCTION("""COMPUTED_VALUE"""),"22827-3")</f>
        <v>22827-3</v>
      </c>
      <c r="B258" s="74" t="str">
        <f>IFERROR(__xludf.DUMMYFUNCTION("""COMPUTED_VALUE"""),"CLIP,ELECTRICAL")</f>
        <v>CLIP,ELECTRICAL</v>
      </c>
    </row>
    <row r="259">
      <c r="A259" s="74" t="str">
        <f>IFERROR(__xludf.DUMMYFUNCTION("""COMPUTED_VALUE"""),"3024973")</f>
        <v>3024973</v>
      </c>
      <c r="B259" s="74" t="str">
        <f>IFERROR(__xludf.DUMMYFUNCTION("""COMPUTED_VALUE"""),"COUPLING,PUMP")</f>
        <v>COUPLING,PUMP</v>
      </c>
    </row>
    <row r="260">
      <c r="A260" s="74" t="str">
        <f>IFERROR(__xludf.DUMMYFUNCTION("""COMPUTED_VALUE"""),"AE3663724E0144")</f>
        <v>AE3663724E0144</v>
      </c>
      <c r="B260" s="74" t="str">
        <f>IFERROR(__xludf.DUMMYFUNCTION("""COMPUTED_VALUE"""),"HOSE ASSEMBLY")</f>
        <v>HOSE ASSEMBLY</v>
      </c>
    </row>
    <row r="261">
      <c r="A261" s="74" t="str">
        <f>IFERROR(__xludf.DUMMYFUNCTION("""COMPUTED_VALUE"""),"2611112-3")</f>
        <v>2611112-3</v>
      </c>
      <c r="B261" s="74" t="str">
        <f>IFERROR(__xludf.DUMMYFUNCTION("""COMPUTED_VALUE"""),"PLATE")</f>
        <v>PLATE</v>
      </c>
    </row>
    <row r="262">
      <c r="A262" s="74" t="str">
        <f>IFERROR(__xludf.DUMMYFUNCTION("""COMPUTED_VALUE"""),"CM2990-G1")</f>
        <v>CM2990-G1</v>
      </c>
      <c r="B262" s="74" t="str">
        <f>IFERROR(__xludf.DUMMYFUNCTION("""COMPUTED_VALUE"""),"POST LIGHT")</f>
        <v>POST LIGHT</v>
      </c>
    </row>
    <row r="263">
      <c r="A263" s="74" t="str">
        <f>IFERROR(__xludf.DUMMYFUNCTION("""COMPUTED_VALUE"""),"A1633-72")</f>
        <v>A1633-72</v>
      </c>
      <c r="B263" s="74" t="str">
        <f>IFERROR(__xludf.DUMMYFUNCTION("""COMPUTED_VALUE"""),"ANEL-O")</f>
        <v>ANEL-O</v>
      </c>
    </row>
    <row r="264">
      <c r="A264" s="74" t="str">
        <f>IFERROR(__xludf.DUMMYFUNCTION("""COMPUTED_VALUE"""),"C262023-0107")</f>
        <v>C262023-0107</v>
      </c>
      <c r="B264" s="74" t="str">
        <f>IFERROR(__xludf.DUMMYFUNCTION("""COMPUTED_VALUE"""),"TUBE 850X10")</f>
        <v>TUBE 850X10</v>
      </c>
    </row>
    <row r="265">
      <c r="A265" s="74" t="str">
        <f>IFERROR(__xludf.DUMMYFUNCTION("""COMPUTED_VALUE"""),"2C6-8")</f>
        <v>2C6-8</v>
      </c>
      <c r="B265" s="74" t="str">
        <f>IFERROR(__xludf.DUMMYFUNCTION("""COMPUTED_VALUE"""),"FUEL BOOST PUMP")</f>
        <v>FUEL BOOST PUMP</v>
      </c>
    </row>
    <row r="266">
      <c r="A266" s="74" t="str">
        <f>IFERROR(__xludf.DUMMYFUNCTION("""COMPUTED_VALUE"""),"2612035-1")</f>
        <v>2612035-1</v>
      </c>
      <c r="B266" s="74" t="str">
        <f>IFERROR(__xludf.DUMMYFUNCTION("""COMPUTED_VALUE"""),"TIE DOWM ASSY")</f>
        <v>TIE DOWM ASSY</v>
      </c>
    </row>
    <row r="267">
      <c r="A267" s="74" t="str">
        <f>IFERROR(__xludf.DUMMYFUNCTION("""COMPUTED_VALUE"""),"2641012-15")</f>
        <v>2641012-15</v>
      </c>
      <c r="B267" s="74" t="str">
        <f>IFERROR(__xludf.DUMMYFUNCTION("""COMPUTED_VALUE"""),"TRUNNION ASSY GEAR LH")</f>
        <v>TRUNNION ASSY GEAR LH</v>
      </c>
    </row>
    <row r="268">
      <c r="A268" s="74" t="str">
        <f>IFERROR(__xludf.DUMMYFUNCTION("""COMPUTED_VALUE"""),"2641012-13")</f>
        <v>2641012-13</v>
      </c>
      <c r="B268" s="74" t="str">
        <f>IFERROR(__xludf.DUMMYFUNCTION("""COMPUTED_VALUE"""),"TRUNNION ASSY GEAR LH")</f>
        <v>TRUNNION ASSY GEAR LH</v>
      </c>
    </row>
    <row r="269">
      <c r="A269" s="74" t="str">
        <f>IFERROR(__xludf.DUMMYFUNCTION("""COMPUTED_VALUE"""),"2641012-9")</f>
        <v>2641012-9</v>
      </c>
      <c r="B269" s="74" t="str">
        <f>IFERROR(__xludf.DUMMYFUNCTION("""COMPUTED_VALUE"""),"TRUNNION ASSY")</f>
        <v>TRUNNION ASSY</v>
      </c>
    </row>
    <row r="270">
      <c r="A270" s="74" t="str">
        <f>IFERROR(__xludf.DUMMYFUNCTION("""COMPUTED_VALUE"""),"DD2W")</f>
        <v>DD2W</v>
      </c>
      <c r="B270" s="74" t="str">
        <f>IFERROR(__xludf.DUMMYFUNCTION("""COMPUTED_VALUE"""),"STATIC WICK")</f>
        <v>STATIC WICK</v>
      </c>
    </row>
    <row r="271">
      <c r="A271" s="74" t="str">
        <f>IFERROR(__xludf.DUMMYFUNCTION("""COMPUTED_VALUE"""),"C592001-0206")</f>
        <v>C592001-0206</v>
      </c>
      <c r="B271" s="74" t="str">
        <f>IFERROR(__xludf.DUMMYFUNCTION("""COMPUTED_VALUE"""),"WICK-STAT DISC")</f>
        <v>WICK-STAT DISC</v>
      </c>
    </row>
    <row r="272">
      <c r="A272" s="74" t="str">
        <f>IFERROR(__xludf.DUMMYFUNCTION("""COMPUTED_VALUE"""),"10-900-59/1")</f>
        <v>10-900-59/1</v>
      </c>
      <c r="B272" s="74" t="str">
        <f>IFERROR(__xludf.DUMMYFUNCTION("""COMPUTED_VALUE"""),"WICK-STAT DISC")</f>
        <v>WICK-STAT DISC</v>
      </c>
    </row>
    <row r="273">
      <c r="A273" s="74" t="str">
        <f>IFERROR(__xludf.DUMMYFUNCTION("""COMPUTED_VALUE"""),"2126001-1")</f>
        <v>2126001-1</v>
      </c>
      <c r="B273" s="74" t="str">
        <f>IFERROR(__xludf.DUMMYFUNCTION("""COMPUTED_VALUE"""),"VALVE ASSY FUEL VENT")</f>
        <v>VALVE ASSY FUEL VENT</v>
      </c>
    </row>
    <row r="274">
      <c r="A274" s="74" t="str">
        <f>IFERROR(__xludf.DUMMYFUNCTION("""COMPUTED_VALUE"""),"LH8065-080")</f>
        <v>LH8065-080</v>
      </c>
      <c r="B274" s="74" t="str">
        <f>IFERROR(__xludf.DUMMYFUNCTION("""COMPUTED_VALUE"""),"BARREL NUT")</f>
        <v>BARREL NUT</v>
      </c>
    </row>
    <row r="275">
      <c r="A275" s="74" t="str">
        <f>IFERROR(__xludf.DUMMYFUNCTION("""COMPUTED_VALUE"""),"F222086")</f>
        <v>F222086</v>
      </c>
      <c r="B275" s="74" t="str">
        <f>IFERROR(__xludf.DUMMYFUNCTION("""COMPUTED_VALUE"""),"HOSE,AIR DUCT")</f>
        <v>HOSE,AIR DUCT</v>
      </c>
    </row>
    <row r="276">
      <c r="A276" s="74" t="str">
        <f>IFERROR(__xludf.DUMMYFUNCTION("""COMPUTED_VALUE"""),"GF5500-81")</f>
        <v>GF5500-81</v>
      </c>
      <c r="B276" s="74" t="str">
        <f>IFERROR(__xludf.DUMMYFUNCTION("""COMPUTED_VALUE"""),"LOW L SWITCH")</f>
        <v>LOW L SWITCH</v>
      </c>
    </row>
    <row r="277">
      <c r="A277" s="74" t="str">
        <f>IFERROR(__xludf.DUMMYFUNCTION("""COMPUTED_VALUE"""),"AA55487-5")</f>
        <v>AA55487-5</v>
      </c>
      <c r="B277" s="74" t="str">
        <f>IFERROR(__xludf.DUMMYFUNCTION("""COMPUTED_VALUE"""),"PIN,COTTER")</f>
        <v>PIN,COTTER</v>
      </c>
    </row>
    <row r="278">
      <c r="A278" s="74" t="str">
        <f>IFERROR(__xludf.DUMMYFUNCTION("""COMPUTED_VALUE"""),"52283")</f>
        <v>52283</v>
      </c>
      <c r="B278" s="74" t="str">
        <f>IFERROR(__xludf.DUMMYFUNCTION("""COMPUTED_VALUE"""),"WASHER,FLAT")</f>
        <v>WASHER,FLAT</v>
      </c>
    </row>
    <row r="279">
      <c r="A279" s="74" t="str">
        <f>IFERROR(__xludf.DUMMYFUNCTION("""COMPUTED_VALUE"""),"76-207-11")</f>
        <v>76-207-11</v>
      </c>
      <c r="B279" s="74" t="str">
        <f>IFERROR(__xludf.DUMMYFUNCTION("""COMPUTED_VALUE"""),"SENSOR, FUEL LEVEL")</f>
        <v>SENSOR, FUEL LEVEL</v>
      </c>
    </row>
    <row r="280">
      <c r="A280" s="74" t="str">
        <f>IFERROR(__xludf.DUMMYFUNCTION("""COMPUTED_VALUE"""),"S3100-630")</f>
        <v>S3100-630</v>
      </c>
      <c r="B280" s="74" t="str">
        <f>IFERROR(__xludf.DUMMYFUNCTION("""COMPUTED_VALUE"""),"SENSOR, FUEL LEVEL")</f>
        <v>SENSOR, FUEL LEVEL</v>
      </c>
    </row>
    <row r="281">
      <c r="A281" s="74" t="str">
        <f>IFERROR(__xludf.DUMMYFUNCTION("""COMPUTED_VALUE"""),"S3100-581")</f>
        <v>S3100-581</v>
      </c>
      <c r="B281" s="74" t="str">
        <f>IFERROR(__xludf.DUMMYFUNCTION("""COMPUTED_VALUE"""),"SENSOR, FUEL LEVEL")</f>
        <v>SENSOR, FUEL LEVEL</v>
      </c>
    </row>
    <row r="282">
      <c r="A282" s="74" t="str">
        <f>IFERROR(__xludf.DUMMYFUNCTION("""COMPUTED_VALUE"""),"AE3663162E0120")</f>
        <v>AE3663162E0120</v>
      </c>
      <c r="B282" s="74" t="str">
        <f>IFERROR(__xludf.DUMMYFUNCTION("""COMPUTED_VALUE"""),"HOSE ASSEMBLY,NONMETALLIC")</f>
        <v>HOSE ASSEMBLY,NONMETALLIC</v>
      </c>
    </row>
    <row r="283">
      <c r="A283" s="74" t="str">
        <f>IFERROR(__xludf.DUMMYFUNCTION("""COMPUTED_VALUE"""),"088-01132-0002")</f>
        <v>088-01132-0002</v>
      </c>
      <c r="B283" s="74" t="str">
        <f>IFERROR(__xludf.DUMMYFUNCTION("""COMPUTED_VALUE"""),"CAP")</f>
        <v>CAP</v>
      </c>
    </row>
    <row r="284">
      <c r="A284" s="74" t="str">
        <f>IFERROR(__xludf.DUMMYFUNCTION("""COMPUTED_VALUE"""),"088-1132-02")</f>
        <v>088-1132-02</v>
      </c>
      <c r="B284" s="74" t="str">
        <f>IFERROR(__xludf.DUMMYFUNCTION("""COMPUTED_VALUE"""),"CAP")</f>
        <v>CAP</v>
      </c>
    </row>
    <row r="285">
      <c r="A285" s="74" t="str">
        <f>IFERROR(__xludf.DUMMYFUNCTION("""COMPUTED_VALUE"""),"A-A-55487-5")</f>
        <v>A-A-55487-5</v>
      </c>
      <c r="B285" s="74" t="str">
        <f>IFERROR(__xludf.DUMMYFUNCTION("""COMPUTED_VALUE"""),"PIN,LOCK")</f>
        <v>PIN,LOCK</v>
      </c>
    </row>
    <row r="286">
      <c r="A286" s="74" t="str">
        <f>IFERROR(__xludf.DUMMYFUNCTION("""COMPUTED_VALUE"""),"AN415-5")</f>
        <v>AN415-5</v>
      </c>
      <c r="B286" s="74" t="str">
        <f>IFERROR(__xludf.DUMMYFUNCTION("""COMPUTED_VALUE"""),"PIN,LOCK")</f>
        <v>PIN,LOCK</v>
      </c>
    </row>
    <row r="287">
      <c r="A287" s="74" t="str">
        <f>IFERROR(__xludf.DUMMYFUNCTION("""COMPUTED_VALUE"""),"2660001-107")</f>
        <v>2660001-107</v>
      </c>
      <c r="B287" s="74" t="str">
        <f>IFERROR(__xludf.DUMMYFUNCTION("""COMPUTED_VALUE"""),"CABLE ASSY-RUDDER LEFT AFT")</f>
        <v>CABLE ASSY-RUDDER LEFT AFT</v>
      </c>
    </row>
    <row r="288">
      <c r="A288" s="74" t="str">
        <f>IFERROR(__xludf.DUMMYFUNCTION("""COMPUTED_VALUE"""),"2660057-1")</f>
        <v>2660057-1</v>
      </c>
      <c r="B288" s="74" t="str">
        <f>IFERROR(__xludf.DUMMYFUNCTION("""COMPUTED_VALUE"""),"SPACER")</f>
        <v>SPACER</v>
      </c>
    </row>
    <row r="289">
      <c r="A289" s="74" t="str">
        <f>IFERROR(__xludf.DUMMYFUNCTION("""COMPUTED_VALUE"""),"S2319-64")</f>
        <v>S2319-64</v>
      </c>
      <c r="B289" s="74" t="str">
        <f>IFERROR(__xludf.DUMMYFUNCTION("""COMPUTED_VALUE"""),"GROMMET")</f>
        <v>GROMMET</v>
      </c>
    </row>
    <row r="290">
      <c r="A290" s="74" t="str">
        <f>IFERROR(__xludf.DUMMYFUNCTION("""COMPUTED_VALUE"""),"4002-HS")</f>
        <v>4002-HS</v>
      </c>
      <c r="B290" s="74" t="str">
        <f>IFERROR(__xludf.DUMMYFUNCTION("""COMPUTED_VALUE"""),"EYELET,TURNLOCK FASTENER")</f>
        <v>EYELET,TURNLOCK FASTENER</v>
      </c>
    </row>
    <row r="291">
      <c r="A291" s="74" t="str">
        <f>IFERROR(__xludf.DUMMYFUNCTION("""COMPUTED_VALUE"""),"4002HS")</f>
        <v>4002HS</v>
      </c>
      <c r="B291" s="74" t="str">
        <f>IFERROR(__xludf.DUMMYFUNCTION("""COMPUTED_VALUE"""),"EYELET,TURNLOCK FASTENER")</f>
        <v>EYELET,TURNLOCK FASTENER</v>
      </c>
    </row>
    <row r="292">
      <c r="A292" s="74" t="str">
        <f>IFERROR(__xludf.DUMMYFUNCTION("""COMPUTED_VALUE"""),"MS3456W12S3S")</f>
        <v>MS3456W12S3S</v>
      </c>
      <c r="B292" s="74" t="str">
        <f>IFERROR(__xludf.DUMMYFUNCTION("""COMPUTED_VALUE"""),"CONNECTOR,PLUG,ELECTRICAL")</f>
        <v>CONNECTOR,PLUG,ELECTRICAL</v>
      </c>
    </row>
    <row r="293">
      <c r="A293" s="74" t="str">
        <f>IFERROR(__xludf.DUMMYFUNCTION("""COMPUTED_VALUE"""),"2606013-1")</f>
        <v>2606013-1</v>
      </c>
      <c r="B293" s="74" t="str">
        <f>IFERROR(__xludf.DUMMYFUNCTION("""COMPUTED_VALUE"""),"INDICATOR-PERCENT RPM")</f>
        <v>INDICATOR-PERCENT RPM</v>
      </c>
    </row>
    <row r="294">
      <c r="A294" s="74" t="str">
        <f>IFERROR(__xludf.DUMMYFUNCTION("""COMPUTED_VALUE"""),"2606013-1RX")</f>
        <v>2606013-1RX</v>
      </c>
      <c r="B294" s="74" t="str">
        <f>IFERROR(__xludf.DUMMYFUNCTION("""COMPUTED_VALUE"""),"INDICATOR-PERCENT RPM")</f>
        <v>INDICATOR-PERCENT RPM</v>
      </c>
    </row>
    <row r="295">
      <c r="A295" s="74" t="str">
        <f>IFERROR(__xludf.DUMMYFUNCTION("""COMPUTED_VALUE"""),"2606015-2")</f>
        <v>2606015-2</v>
      </c>
      <c r="B295" s="74" t="str">
        <f>IFERROR(__xludf.DUMMYFUNCTION("""COMPUTED_VALUE"""),"IND OIL TEMP/P")</f>
        <v>IND OIL TEMP/P</v>
      </c>
    </row>
    <row r="296">
      <c r="A296" s="74" t="str">
        <f>IFERROR(__xludf.DUMMYFUNCTION("""COMPUTED_VALUE"""),"3112171-01")</f>
        <v>3112171-01</v>
      </c>
      <c r="B296" s="74" t="str">
        <f>IFERROR(__xludf.DUMMYFUNCTION("""COMPUTED_VALUE"""),"EXAUSHT DUCT")</f>
        <v>EXAUSHT DUCT</v>
      </c>
    </row>
    <row r="297">
      <c r="A297" s="74" t="str">
        <f>IFERROR(__xludf.DUMMYFUNCTION("""COMPUTED_VALUE"""),"MS3509-28")</f>
        <v>MS3509-28</v>
      </c>
      <c r="B297" s="74" t="str">
        <f>IFERROR(__xludf.DUMMYFUNCTION("""COMPUTED_VALUE"""),"CONNECTOR,RECEPTACLE,ELECTRICAL")</f>
        <v>CONNECTOR,RECEPTACLE,ELECTRICAL</v>
      </c>
    </row>
    <row r="298">
      <c r="A298" s="74" t="str">
        <f>IFERROR(__xludf.DUMMYFUNCTION("""COMPUTED_VALUE"""),"S2899L0.5")</f>
        <v>S2899L0.5</v>
      </c>
      <c r="B298" s="74" t="str">
        <f>IFERROR(__xludf.DUMMYFUNCTION("""COMPUTED_VALUE"""),"CIRCUIT BREAKE")</f>
        <v>CIRCUIT BREAKE</v>
      </c>
    </row>
    <row r="299">
      <c r="A299" s="74" t="str">
        <f>IFERROR(__xludf.DUMMYFUNCTION("""COMPUTED_VALUE"""),"1U149-015-15")</f>
        <v>1U149-015-15</v>
      </c>
      <c r="B299" s="74" t="str">
        <f>IFERROR(__xludf.DUMMYFUNCTION("""COMPUTED_VALUE"""),"HORIZ. GYRO-STADBY")</f>
        <v>HORIZ. GYRO-STADBY</v>
      </c>
    </row>
    <row r="300">
      <c r="A300" s="74" t="str">
        <f>IFERROR(__xludf.DUMMYFUNCTION("""COMPUTED_VALUE"""),"AN6289J5")</f>
        <v>AN6289J5</v>
      </c>
      <c r="B300" s="74" t="str">
        <f>IFERROR(__xludf.DUMMYFUNCTION("""COMPUTED_VALUE"""),"LOCKNUT,TUBE FITTING")</f>
        <v>LOCKNUT,TUBE FITTING</v>
      </c>
    </row>
    <row r="301">
      <c r="A301" s="74" t="str">
        <f>IFERROR(__xludf.DUMMYFUNCTION("""COMPUTED_VALUE"""),"MS17825-3")</f>
        <v>MS17825-3</v>
      </c>
      <c r="B301" s="74" t="str">
        <f>IFERROR(__xludf.DUMMYFUNCTION("""COMPUTED_VALUE"""),"NUT,SELF-LOCKING,SLOTTED,HEXAGON")</f>
        <v>NUT,SELF-LOCKING,SLOTTED,HEXAGON</v>
      </c>
    </row>
    <row r="302">
      <c r="A302" s="74" t="str">
        <f>IFERROR(__xludf.DUMMYFUNCTION("""COMPUTED_VALUE"""),"S2614-3-24")</f>
        <v>S2614-3-24</v>
      </c>
      <c r="B302" s="74" t="str">
        <f>IFERROR(__xludf.DUMMYFUNCTION("""COMPUTED_VALUE"""),"BUSHING")</f>
        <v>BUSHING</v>
      </c>
    </row>
    <row r="303">
      <c r="A303" s="74" t="str">
        <f>IFERROR(__xludf.DUMMYFUNCTION("""COMPUTED_VALUE"""),"MS17826-3")</f>
        <v>MS17826-3</v>
      </c>
      <c r="B303" s="74" t="str">
        <f>IFERROR(__xludf.DUMMYFUNCTION("""COMPUTED_VALUE"""),"NUT,SELF-LOCKING,SLOTTED,HEXAGON")</f>
        <v>NUT,SELF-LOCKING,SLOTTED,HEXAGON</v>
      </c>
    </row>
    <row r="304">
      <c r="A304" s="74" t="str">
        <f>IFERROR(__xludf.DUMMYFUNCTION("""COMPUTED_VALUE"""),"200-1902-00")</f>
        <v>200-1902-00</v>
      </c>
      <c r="B304" s="74" t="str">
        <f>IFERROR(__xludf.DUMMYFUNCTION("""COMPUTED_VALUE"""),"SWITCH-ELEC TR")</f>
        <v>SWITCH-ELEC TR</v>
      </c>
    </row>
    <row r="305">
      <c r="A305" s="74" t="str">
        <f>IFERROR(__xludf.DUMMYFUNCTION("""COMPUTED_VALUE"""),"200-01902-0000")</f>
        <v>200-01902-0000</v>
      </c>
      <c r="B305" s="74" t="str">
        <f>IFERROR(__xludf.DUMMYFUNCTION("""COMPUTED_VALUE"""),"SWITCH-ELEC TR")</f>
        <v>SWITCH-ELEC TR</v>
      </c>
    </row>
    <row r="306">
      <c r="A306" s="74" t="str">
        <f>IFERROR(__xludf.DUMMYFUNCTION("""COMPUTED_VALUE"""),"CI105-9")</f>
        <v>CI105-9</v>
      </c>
      <c r="B306" s="74" t="str">
        <f>IFERROR(__xludf.DUMMYFUNCTION("""COMPUTED_VALUE"""),"ANTENNA KIT-DME/TRANSPONDER FOR USE WITH A CARGO POD.")</f>
        <v>ANTENNA KIT-DME/TRANSPONDER FOR USE WITH A CARGO POD.</v>
      </c>
    </row>
    <row r="307">
      <c r="A307" s="74" t="str">
        <f>IFERROR(__xludf.DUMMYFUNCTION("""COMPUTED_VALUE"""),"066-1070-00")</f>
        <v>066-1070-00</v>
      </c>
      <c r="B307" s="74" t="str">
        <f>IFERROR(__xludf.DUMMYFUNCTION("""COMPUTED_VALUE"""),"TRANSCEIVER DME (KN63)")</f>
        <v>TRANSCEIVER DME (KN63)</v>
      </c>
    </row>
    <row r="308">
      <c r="A308" s="74" t="str">
        <f>IFERROR(__xludf.DUMMYFUNCTION("""COMPUTED_VALUE"""),"066-1070-01")</f>
        <v>066-1070-01</v>
      </c>
      <c r="B308" s="74" t="str">
        <f>IFERROR(__xludf.DUMMYFUNCTION("""COMPUTED_VALUE"""),"TRANSCEIVER DME (KN63)")</f>
        <v>TRANSCEIVER DME (KN63)</v>
      </c>
    </row>
    <row r="309">
      <c r="A309" s="74" t="str">
        <f>IFERROR(__xludf.DUMMYFUNCTION("""COMPUTED_VALUE"""),"S2669-1")</f>
        <v>S2669-1</v>
      </c>
      <c r="B309" s="74" t="str">
        <f>IFERROR(__xludf.DUMMYFUNCTION("""COMPUTED_VALUE"""),"VALVE OIL DRAI")</f>
        <v>VALVE OIL DRAI</v>
      </c>
    </row>
    <row r="310">
      <c r="A310" s="74" t="str">
        <f>IFERROR(__xludf.DUMMYFUNCTION("""COMPUTED_VALUE"""),"MS24694-S54")</f>
        <v>MS24694-S54</v>
      </c>
      <c r="B310" s="74" t="str">
        <f>IFERROR(__xludf.DUMMYFUNCTION("""COMPUTED_VALUE"""),"SCREW,MACHINE")</f>
        <v>SCREW,MACHINE</v>
      </c>
    </row>
    <row r="311">
      <c r="A311" s="74" t="str">
        <f>IFERROR(__xludf.DUMMYFUNCTION("""COMPUTED_VALUE"""),"NAS1741-06R8")</f>
        <v>NAS1741-06R8</v>
      </c>
      <c r="B311" s="74" t="str">
        <f>IFERROR(__xludf.DUMMYFUNCTION("""COMPUTED_VALUE"""),"SCREW")</f>
        <v>SCREW</v>
      </c>
    </row>
    <row r="312">
      <c r="A312" s="74" t="str">
        <f>IFERROR(__xludf.DUMMYFUNCTION("""COMPUTED_VALUE"""),"MS24693-S48")</f>
        <v>MS24693-S48</v>
      </c>
      <c r="B312" s="74" t="str">
        <f>IFERROR(__xludf.DUMMYFUNCTION("""COMPUTED_VALUE"""),"SCREW MACHINE")</f>
        <v>SCREW MACHINE</v>
      </c>
    </row>
    <row r="313">
      <c r="A313" s="74" t="str">
        <f>IFERROR(__xludf.DUMMYFUNCTION("""COMPUTED_VALUE"""),"071-1242-06")</f>
        <v>071-1242-06</v>
      </c>
      <c r="B313" s="74" t="str">
        <f>IFERROR(__xludf.DUMMYFUNCTION("""COMPUTED_VALUE"""),"SLAVING ACCESS,SPEC")</f>
        <v>SLAVING ACCESS,SPEC</v>
      </c>
    </row>
    <row r="314">
      <c r="A314" s="74" t="str">
        <f>IFERROR(__xludf.DUMMYFUNCTION("""COMPUTED_VALUE"""),"C156005-0107")</f>
        <v>C156005-0107</v>
      </c>
      <c r="B314" s="74" t="str">
        <f>IFERROR(__xludf.DUMMYFUNCTION("""COMPUTED_VALUE"""),"CAP ASSY")</f>
        <v>CAP ASSY</v>
      </c>
    </row>
    <row r="315">
      <c r="A315" s="74" t="str">
        <f>IFERROR(__xludf.DUMMYFUNCTION("""COMPUTED_VALUE"""),"SD5H14S6667")</f>
        <v>SD5H14S6667</v>
      </c>
      <c r="B315" s="74" t="str">
        <f>IFERROR(__xludf.DUMMYFUNCTION("""COMPUTED_VALUE"""),"AIR COMPRESSOR")</f>
        <v>AIR COMPRESSOR</v>
      </c>
    </row>
    <row r="316">
      <c r="A316" s="74" t="str">
        <f>IFERROR(__xludf.DUMMYFUNCTION("""COMPUTED_VALUE"""),"SD5H14C4527")</f>
        <v>SD5H14C4527</v>
      </c>
      <c r="B316" s="74" t="str">
        <f>IFERROR(__xludf.DUMMYFUNCTION("""COMPUTED_VALUE"""),"AIR COMPRESSOR")</f>
        <v>AIR COMPRESSOR</v>
      </c>
    </row>
    <row r="317">
      <c r="A317" s="74" t="str">
        <f>IFERROR(__xludf.DUMMYFUNCTION("""COMPUTED_VALUE"""),"2115040-8")</f>
        <v>2115040-8</v>
      </c>
      <c r="B317" s="74" t="str">
        <f>IFERROR(__xludf.DUMMYFUNCTION("""COMPUTED_VALUE"""),"CYLINDER GAS S")</f>
        <v>CYLINDER GAS S</v>
      </c>
    </row>
    <row r="318">
      <c r="A318" s="74" t="str">
        <f>IFERROR(__xludf.DUMMYFUNCTION("""COMPUTED_VALUE"""),"2615140-2")</f>
        <v>2615140-2</v>
      </c>
      <c r="B318" s="74" t="str">
        <f>IFERROR(__xludf.DUMMYFUNCTION("""COMPUTED_VALUE"""),"SPRING ASSY GAS")</f>
        <v>SPRING ASSY GAS</v>
      </c>
    </row>
    <row r="319">
      <c r="A319" s="74" t="str">
        <f>IFERROR(__xludf.DUMMYFUNCTION("""COMPUTED_VALUE"""),"AN4H3A")</f>
        <v>AN4H3A</v>
      </c>
      <c r="B319" s="74" t="str">
        <f>IFERROR(__xludf.DUMMYFUNCTION("""COMPUTED_VALUE"""),"BOLT, MACHINE")</f>
        <v>BOLT, MACHINE</v>
      </c>
    </row>
    <row r="320">
      <c r="A320" s="74" t="str">
        <f>IFERROR(__xludf.DUMMYFUNCTION("""COMPUTED_VALUE"""),"430-00032-10")</f>
        <v>430-00032-10</v>
      </c>
      <c r="B320" s="74" t="str">
        <f>IFERROR(__xludf.DUMMYFUNCTION("""COMPUTED_VALUE"""),"HDG KNOB")</f>
        <v>HDG KNOB</v>
      </c>
    </row>
    <row r="321">
      <c r="A321" s="74" t="str">
        <f>IFERROR(__xludf.DUMMYFUNCTION("""COMPUTED_VALUE"""),"156-0019R")</f>
        <v>156-0019R</v>
      </c>
      <c r="B321" s="74" t="str">
        <f>IFERROR(__xludf.DUMMYFUNCTION("""COMPUTED_VALUE"""),"LIGHT STROB LH")</f>
        <v>LIGHT STROB LH</v>
      </c>
    </row>
    <row r="322">
      <c r="A322" s="74" t="str">
        <f>IFERROR(__xludf.DUMMYFUNCTION("""COMPUTED_VALUE"""),"152-0024")</f>
        <v>152-0024</v>
      </c>
      <c r="B322" s="74" t="str">
        <f>IFERROR(__xludf.DUMMYFUNCTION("""COMPUTED_VALUE"""),"POWER SUPPLY")</f>
        <v>POWER SUPPLY</v>
      </c>
    </row>
    <row r="323">
      <c r="A323" s="74" t="str">
        <f>IFERROR(__xludf.DUMMYFUNCTION("""COMPUTED_VALUE"""),"3074154-01")</f>
        <v>3074154-01</v>
      </c>
      <c r="B323" s="74" t="str">
        <f>IFERROR(__xludf.DUMMYFUNCTION("""COMPUTED_VALUE"""),"GOVERNOR PROPELLER")</f>
        <v>GOVERNOR PROPELLER</v>
      </c>
    </row>
    <row r="324">
      <c r="A324" s="74" t="str">
        <f>IFERROR(__xludf.DUMMYFUNCTION("""COMPUTED_VALUE"""),"AD-4078-19")</f>
        <v>AD-4078-19</v>
      </c>
      <c r="B324" s="74" t="str">
        <f>IFERROR(__xludf.DUMMYFUNCTION("""COMPUTED_VALUE"""),"NICKEL CADMIUM BATTERY")</f>
        <v>NICKEL CADMIUM BATTERY</v>
      </c>
    </row>
    <row r="325">
      <c r="A325" s="74" t="str">
        <f>IFERROR(__xludf.DUMMYFUNCTION("""COMPUTED_VALUE"""),"C662041-0102")</f>
        <v>C662041-0102</v>
      </c>
      <c r="B325" s="74" t="str">
        <f>IFERROR(__xludf.DUMMYFUNCTION("""COMPUTED_VALUE"""),"INDICATOR FUEL")</f>
        <v>INDICATOR FUEL</v>
      </c>
    </row>
    <row r="326">
      <c r="A326" s="57"/>
      <c r="B326" s="57"/>
    </row>
    <row r="327">
      <c r="A327" s="74" t="str">
        <f>IFERROR(__xludf.DUMMYFUNCTION("""COMPUTED_VALUE"""),"MS24392-10")</f>
        <v>MS24392-10</v>
      </c>
      <c r="B327" s="74" t="str">
        <f>IFERROR(__xludf.DUMMYFUNCTION("""COMPUTED_VALUE"""),"NIPPLE,TUBE")</f>
        <v>NIPPLE,TUBE</v>
      </c>
    </row>
    <row r="328">
      <c r="A328" s="74" t="str">
        <f>IFERROR(__xludf.DUMMYFUNCTION("""COMPUTED_VALUE"""),"4626")</f>
        <v>4626</v>
      </c>
      <c r="B328" s="74" t="str">
        <f>IFERROR(__xludf.DUMMYFUNCTION("""COMPUTED_VALUE"""),"LAMP, INCANDESCENT")</f>
        <v>LAMP, INCANDESCENT</v>
      </c>
    </row>
    <row r="329">
      <c r="A329" s="74" t="str">
        <f>IFERROR(__xludf.DUMMYFUNCTION("""COMPUTED_VALUE"""),"2601040-3")</f>
        <v>2601040-3</v>
      </c>
      <c r="B329" s="74" t="str">
        <f>IFERROR(__xludf.DUMMYFUNCTION("""COMPUTED_VALUE"""),"VENT BLOWER ASSY")</f>
        <v>VENT BLOWER ASSY</v>
      </c>
    </row>
    <row r="330">
      <c r="A330" s="74" t="str">
        <f>IFERROR(__xludf.DUMMYFUNCTION("""COMPUTED_VALUE"""),"345-6196-04")</f>
        <v>345-6196-04</v>
      </c>
      <c r="B330" s="74" t="str">
        <f>IFERROR(__xludf.DUMMYFUNCTION("""COMPUTED_VALUE"""),"SWITCH, REMOTE")</f>
        <v>SWITCH, REMOTE</v>
      </c>
    </row>
    <row r="331">
      <c r="A331" s="74" t="str">
        <f>IFERROR(__xludf.DUMMYFUNCTION("""COMPUTED_VALUE"""),"MS28773-05")</f>
        <v>MS28773-05</v>
      </c>
      <c r="B331" s="74" t="str">
        <f>IFERROR(__xludf.DUMMYFUNCTION("""COMPUTED_VALUE"""),"RETAINER,PACKING")</f>
        <v>RETAINER,PACKING</v>
      </c>
    </row>
    <row r="332">
      <c r="A332" s="74" t="str">
        <f>IFERROR(__xludf.DUMMYFUNCTION("""COMPUTED_VALUE"""),"2606015-3")</f>
        <v>2606015-3</v>
      </c>
      <c r="B332" s="74" t="str">
        <f>IFERROR(__xludf.DUMMYFUNCTION("""COMPUTED_VALUE"""),"INDICATOR - OIL TEMP")</f>
        <v>INDICATOR - OIL TEMP</v>
      </c>
    </row>
    <row r="333">
      <c r="A333" s="74" t="str">
        <f>IFERROR(__xludf.DUMMYFUNCTION("""COMPUTED_VALUE"""),"2671000PB1")</f>
        <v>2671000PB1</v>
      </c>
      <c r="B333" s="74" t="str">
        <f>IFERROR(__xludf.DUMMYFUNCTION("""COMPUTED_VALUE"""),"CABLE ASSY")</f>
        <v>CABLE ASSY</v>
      </c>
    </row>
    <row r="334">
      <c r="A334" s="74" t="str">
        <f>IFERROR(__xludf.DUMMYFUNCTION("""COMPUTED_VALUE"""),"2650085-15")</f>
        <v>2650085-15</v>
      </c>
      <c r="B334" s="74" t="str">
        <f>IFERROR(__xludf.DUMMYFUNCTION("""COMPUTED_VALUE"""),"TUBE-DRAIN")</f>
        <v>TUBE-DRAIN</v>
      </c>
    </row>
    <row r="335">
      <c r="A335" s="74" t="str">
        <f>IFERROR(__xludf.DUMMYFUNCTION("""COMPUTED_VALUE"""),"2652021-80")</f>
        <v>2652021-80</v>
      </c>
      <c r="B335" s="74" t="str">
        <f>IFERROR(__xludf.DUMMYFUNCTION("""COMPUTED_VALUE"""),"BOLT U")</f>
        <v>BOLT U</v>
      </c>
    </row>
    <row r="336">
      <c r="A336" s="74" t="str">
        <f>IFERROR(__xludf.DUMMYFUNCTION("""COMPUTED_VALUE"""),"SL6015-5")</f>
        <v>SL6015-5</v>
      </c>
      <c r="B336" s="74" t="str">
        <f>IFERROR(__xludf.DUMMYFUNCTION("""COMPUTED_VALUE"""),"SPRING")</f>
        <v>SPRING</v>
      </c>
    </row>
    <row r="337">
      <c r="A337" s="74" t="str">
        <f>IFERROR(__xludf.DUMMYFUNCTION("""COMPUTED_VALUE"""),"MS25171-1S")</f>
        <v>MS25171-1S</v>
      </c>
      <c r="B337" s="74" t="str">
        <f>IFERROR(__xludf.DUMMYFUNCTION("""COMPUTED_VALUE"""),"CABLE NIPPLE,ELECTRICAL")</f>
        <v>CABLE NIPPLE,ELECTRICAL</v>
      </c>
    </row>
    <row r="338">
      <c r="A338" s="74" t="str">
        <f>IFERROR(__xludf.DUMMYFUNCTION("""COMPUTED_VALUE"""),"C-145-450")</f>
        <v>C-145-450</v>
      </c>
      <c r="B338" s="74" t="str">
        <f>IFERROR(__xludf.DUMMYFUNCTION("""COMPUTED_VALUE"""),"MOTOR,DIRECT CURRENT")</f>
        <v>MOTOR,DIRECT CURRENT</v>
      </c>
    </row>
    <row r="339">
      <c r="A339" s="74" t="str">
        <f>IFERROR(__xludf.DUMMYFUNCTION("""COMPUTED_VALUE"""),"9910085-2")</f>
        <v>9910085-2</v>
      </c>
      <c r="B339" s="74" t="str">
        <f>IFERROR(__xludf.DUMMYFUNCTION("""COMPUTED_VALUE"""),"OIL COOLER-LARGE")</f>
        <v>OIL COOLER-LARGE</v>
      </c>
    </row>
    <row r="340">
      <c r="A340" s="74" t="str">
        <f>IFERROR(__xludf.DUMMYFUNCTION("""COMPUTED_VALUE"""),"RV05-268")</f>
        <v>RV05-268</v>
      </c>
      <c r="B340" s="74" t="str">
        <f>IFERROR(__xludf.DUMMYFUNCTION("""COMPUTED_VALUE"""),"VALVE,SAFETY RELIEF")</f>
        <v>VALVE,SAFETY RELIEF</v>
      </c>
    </row>
    <row r="341">
      <c r="A341" s="74" t="str">
        <f>IFERROR(__xludf.DUMMYFUNCTION("""COMPUTED_VALUE"""),"1U648-001")</f>
        <v>1U648-001</v>
      </c>
      <c r="B341" s="74" t="str">
        <f>IFERROR(__xludf.DUMMYFUNCTION("""COMPUTED_VALUE"""),"THERMOSTAT")</f>
        <v>THERMOSTAT</v>
      </c>
    </row>
    <row r="342">
      <c r="A342" s="74" t="str">
        <f>IFERROR(__xludf.DUMMYFUNCTION("""COMPUTED_VALUE"""),"302-120-402")</f>
        <v>302-120-402</v>
      </c>
      <c r="B342" s="74" t="str">
        <f>IFERROR(__xludf.DUMMYFUNCTION("""COMPUTED_VALUE"""),"INNER TUBE,PNEUMATIC TIRE,AIRCRAFT")</f>
        <v>INNER TUBE,PNEUMATIC TIRE,AIRCRAFT</v>
      </c>
    </row>
    <row r="343">
      <c r="A343" s="74" t="str">
        <f>IFERROR(__xludf.DUMMYFUNCTION("""COMPUTED_VALUE"""),"850C86-2")</f>
        <v>850C86-2</v>
      </c>
      <c r="B343" s="74" t="str">
        <f>IFERROR(__xludf.DUMMYFUNCTION("""COMPUTED_VALUE"""),"PNEU PRINCIPAL 8.50-10 08PR TT FCIII MLG")</f>
        <v>PNEU PRINCIPAL 8.50-10 08PR TT FCIII MLG</v>
      </c>
    </row>
    <row r="344">
      <c r="A344" s="74" t="str">
        <f>IFERROR(__xludf.DUMMYFUNCTION("""COMPUTED_VALUE"""),"AN316-4R")</f>
        <v>AN316-4R</v>
      </c>
      <c r="B344" s="74" t="str">
        <f>IFERROR(__xludf.DUMMYFUNCTION("""COMPUTED_VALUE"""),"NUT,PLAIN,HEXAGON")</f>
        <v>NUT,PLAIN,HEXAGON</v>
      </c>
    </row>
    <row r="345">
      <c r="A345" s="74" t="str">
        <f>IFERROR(__xludf.DUMMYFUNCTION("""COMPUTED_VALUE"""),"C668540-0102")</f>
        <v>C668540-0102</v>
      </c>
      <c r="B345" s="74" t="str">
        <f>IFERROR(__xludf.DUMMYFUNCTION("""COMPUTED_VALUE"""),"SUCTION GAGE")</f>
        <v>SUCTION GAGE</v>
      </c>
    </row>
    <row r="346">
      <c r="A346" s="74" t="str">
        <f>IFERROR(__xludf.DUMMYFUNCTION("""COMPUTED_VALUE"""),"MS20392-1C11")</f>
        <v>MS20392-1C11</v>
      </c>
      <c r="B346" s="74" t="str">
        <f>IFERROR(__xludf.DUMMYFUNCTION("""COMPUTED_VALUE"""),"PIN,STRAIGHT,HEADED")</f>
        <v>PIN,STRAIGHT,HEADED</v>
      </c>
    </row>
    <row r="347">
      <c r="A347" s="74" t="str">
        <f>IFERROR(__xludf.DUMMYFUNCTION("""COMPUTED_VALUE"""),"AE3663161E0113")</f>
        <v>AE3663161E0113</v>
      </c>
      <c r="B347" s="74" t="str">
        <f>IFERROR(__xludf.DUMMYFUNCTION("""COMPUTED_VALUE"""),"HOSE ASSY")</f>
        <v>HOSE ASSY</v>
      </c>
    </row>
    <row r="348">
      <c r="A348" s="74" t="str">
        <f>IFERROR(__xludf.DUMMYFUNCTION("""COMPUTED_VALUE"""),"ST2231-05")</f>
        <v>ST2231-05</v>
      </c>
      <c r="B348" s="74" t="str">
        <f>IFERROR(__xludf.DUMMYFUNCTION("""COMPUTED_VALUE"""),"CLAMP,LOOP")</f>
        <v>CLAMP,LOOP</v>
      </c>
    </row>
    <row r="349">
      <c r="A349" s="74" t="str">
        <f>IFERROR(__xludf.DUMMYFUNCTION("""COMPUTED_VALUE"""),"NAS561P5-12")</f>
        <v>NAS561P5-12</v>
      </c>
      <c r="B349" s="74" t="str">
        <f>IFERROR(__xludf.DUMMYFUNCTION("""COMPUTED_VALUE"""),"PIN,SPRING")</f>
        <v>PIN,SPRING</v>
      </c>
    </row>
    <row r="350">
      <c r="A350" s="74" t="str">
        <f>IFERROR(__xludf.DUMMYFUNCTION("""COMPUTED_VALUE"""),"2617024-6")</f>
        <v>2617024-6</v>
      </c>
      <c r="B350" s="74" t="str">
        <f>IFERROR(__xludf.DUMMYFUNCTION("""COMPUTED_VALUE"""),"VENT WINDOK ASSY")</f>
        <v>VENT WINDOK ASSY</v>
      </c>
    </row>
    <row r="351">
      <c r="A351" s="74" t="str">
        <f>IFERROR(__xludf.DUMMYFUNCTION("""COMPUTED_VALUE"""),"P860037")</f>
        <v>P860037</v>
      </c>
      <c r="B351" s="74" t="str">
        <f>IFERROR(__xludf.DUMMYFUNCTION("""COMPUTED_VALUE"""),"SEAL")</f>
        <v>SEAL</v>
      </c>
    </row>
    <row r="352">
      <c r="A352" s="74" t="str">
        <f>IFERROR(__xludf.DUMMYFUNCTION("""COMPUTED_VALUE"""),"S2655-1")</f>
        <v>S2655-1</v>
      </c>
      <c r="B352" s="74" t="str">
        <f>IFERROR(__xludf.DUMMYFUNCTION("""COMPUTED_VALUE"""),"DUCT-FLEX")</f>
        <v>DUCT-FLEX</v>
      </c>
    </row>
    <row r="353">
      <c r="A353" s="74" t="str">
        <f>IFERROR(__xludf.DUMMYFUNCTION("""COMPUTED_VALUE"""),"S1587-7")</f>
        <v>S1587-7</v>
      </c>
      <c r="B353" s="74" t="str">
        <f>IFERROR(__xludf.DUMMYFUNCTION("""COMPUTED_VALUE"""),"KNOB")</f>
        <v>KNOB</v>
      </c>
    </row>
    <row r="354">
      <c r="A354" s="74" t="str">
        <f>IFERROR(__xludf.DUMMYFUNCTION("""COMPUTED_VALUE"""),"C352TS")</f>
        <v>C352TS</v>
      </c>
      <c r="B354" s="74" t="str">
        <f>IFERROR(__xludf.DUMMYFUNCTION("""COMPUTED_VALUE"""),"EXTINGUISHER,FIRE")</f>
        <v>EXTINGUISHER,FIRE</v>
      </c>
    </row>
    <row r="355">
      <c r="A355" s="74" t="str">
        <f>IFERROR(__xludf.DUMMYFUNCTION("""COMPUTED_VALUE"""),"AN315C4R")</f>
        <v>AN315C4R</v>
      </c>
      <c r="B355" s="74" t="str">
        <f>IFERROR(__xludf.DUMMYFUNCTION("""COMPUTED_VALUE"""),"NUT,PLAIN,HEXAGON")</f>
        <v>NUT,PLAIN,HEXAGON</v>
      </c>
    </row>
    <row r="356">
      <c r="A356" s="74" t="str">
        <f>IFERROR(__xludf.DUMMYFUNCTION("""COMPUTED_VALUE"""),"2651024-5")</f>
        <v>2651024-5</v>
      </c>
      <c r="B356" s="74" t="str">
        <f>IFERROR(__xludf.DUMMYFUNCTION("""COMPUTED_VALUE"""),"TUBE ASSY LH")</f>
        <v>TUBE ASSY LH</v>
      </c>
    </row>
    <row r="357">
      <c r="A357" s="74" t="str">
        <f>IFERROR(__xludf.DUMMYFUNCTION("""COMPUTED_VALUE"""),"MS20392-2C29")</f>
        <v>MS20392-2C29</v>
      </c>
      <c r="B357" s="74" t="str">
        <f>IFERROR(__xludf.DUMMYFUNCTION("""COMPUTED_VALUE"""),"066-3046-07")</f>
        <v>066-3046-07</v>
      </c>
    </row>
    <row r="358">
      <c r="A358" s="74" t="str">
        <f>IFERROR(__xludf.DUMMYFUNCTION("""COMPUTED_VALUE"""),"NAS147-43")</f>
        <v>NAS147-43</v>
      </c>
      <c r="B358" s="74" t="str">
        <f>IFERROR(__xludf.DUMMYFUNCTION("""COMPUTED_VALUE"""),"BOLT")</f>
        <v>BOLT</v>
      </c>
    </row>
    <row r="359">
      <c r="A359" s="74" t="str">
        <f>IFERROR(__xludf.DUMMYFUNCTION("""COMPUTED_VALUE"""),"MS21044N7")</f>
        <v>MS21044N7</v>
      </c>
      <c r="B359" s="74" t="str">
        <f>IFERROR(__xludf.DUMMYFUNCTION("""COMPUTED_VALUE"""),"NUT, SELF-LOCKING, HEXAGON")</f>
        <v>NUT, SELF-LOCKING, HEXAGON</v>
      </c>
    </row>
    <row r="360">
      <c r="A360" s="74" t="str">
        <f>IFERROR(__xludf.DUMMYFUNCTION("""COMPUTED_VALUE"""),"NAS1149F0732P")</f>
        <v>NAS1149F0732P</v>
      </c>
      <c r="B360" s="74" t="str">
        <f>IFERROR(__xludf.DUMMYFUNCTION("""COMPUTED_VALUE"""),"WASHER, FLAT")</f>
        <v>WASHER, FLAT</v>
      </c>
    </row>
    <row r="361">
      <c r="A361" s="74" t="str">
        <f>IFERROR(__xludf.DUMMYFUNCTION("""COMPUTED_VALUE"""),"MS20002C7")</f>
        <v>MS20002C7</v>
      </c>
      <c r="B361" s="74" t="str">
        <f>IFERROR(__xludf.DUMMYFUNCTION("""COMPUTED_VALUE"""),"WASHER, RECESSED")</f>
        <v>WASHER, RECESSED</v>
      </c>
    </row>
    <row r="362">
      <c r="A362" s="74" t="str">
        <f>IFERROR(__xludf.DUMMYFUNCTION("""COMPUTED_VALUE"""),"AN5C12A")</f>
        <v>AN5C12A</v>
      </c>
      <c r="B362" s="74" t="str">
        <f>IFERROR(__xludf.DUMMYFUNCTION("""COMPUTED_VALUE"""),"BOLT, MACHINE")</f>
        <v>BOLT, MACHINE</v>
      </c>
    </row>
    <row r="363">
      <c r="A363" s="74" t="str">
        <f>IFERROR(__xludf.DUMMYFUNCTION("""COMPUTED_VALUE"""),"NAS1149C0563R")</f>
        <v>NAS1149C0563R</v>
      </c>
      <c r="B363" s="74" t="str">
        <f>IFERROR(__xludf.DUMMYFUNCTION("""COMPUTED_VALUE"""),"WASHER, FLAT")</f>
        <v>WASHER, FLAT</v>
      </c>
    </row>
    <row r="364">
      <c r="A364" s="74" t="str">
        <f>IFERROR(__xludf.DUMMYFUNCTION("""COMPUTED_VALUE"""),"S1450-5H16-032")</f>
        <v>S1450-5H16-032</v>
      </c>
      <c r="B364" s="74" t="str">
        <f>IFERROR(__xludf.DUMMYFUNCTION("""COMPUTED_VALUE"""),"WASHER")</f>
        <v>WASHER</v>
      </c>
    </row>
    <row r="365">
      <c r="A365" s="74" t="str">
        <f>IFERROR(__xludf.DUMMYFUNCTION("""COMPUTED_VALUE"""),"MS21042L5")</f>
        <v>MS21042L5</v>
      </c>
      <c r="B365" s="74" t="str">
        <f>IFERROR(__xludf.DUMMYFUNCTION("""COMPUTED_VALUE"""),"NUT, SELF-LOCKING")</f>
        <v>NUT, SELF-LOCKING</v>
      </c>
    </row>
    <row r="366">
      <c r="A366" s="74" t="str">
        <f>IFERROR(__xludf.DUMMYFUNCTION("""COMPUTED_VALUE"""),"C598505-0303")</f>
        <v>C598505-0303</v>
      </c>
      <c r="B366" s="74" t="str">
        <f>IFERROR(__xludf.DUMMYFUNCTION("""COMPUTED_VALUE"""),"ANTENA")</f>
        <v>ANTENA</v>
      </c>
    </row>
    <row r="367">
      <c r="A367" s="74" t="str">
        <f>IFERROR(__xludf.DUMMYFUNCTION("""COMPUTED_VALUE"""),"2606016-17")</f>
        <v>2606016-17</v>
      </c>
      <c r="B367" s="74" t="str">
        <f>IFERROR(__xludf.DUMMYFUNCTION("""COMPUTED_VALUE"""),"LINE ASSY-INSTRUMENT TO TEE")</f>
        <v>LINE ASSY-INSTRUMENT TO TEE</v>
      </c>
    </row>
    <row r="368">
      <c r="A368" s="74" t="str">
        <f>IFERROR(__xludf.DUMMYFUNCTION("""COMPUTED_VALUE"""),"DCN4-5407")</f>
        <v>DCN4-5407</v>
      </c>
      <c r="B368" s="74" t="str">
        <f>IFERROR(__xludf.DUMMYFUNCTION("""COMPUTED_VALUE"""),"PORCA FLUTUANTE")</f>
        <v>PORCA FLUTUANTE</v>
      </c>
    </row>
    <row r="369">
      <c r="A369" s="74" t="str">
        <f>IFERROR(__xludf.DUMMYFUNCTION("""COMPUTED_VALUE"""),"NAS147-97")</f>
        <v>NAS147-97</v>
      </c>
      <c r="B369" s="74" t="str">
        <f>IFERROR(__xludf.DUMMYFUNCTION("""COMPUTED_VALUE"""),"BOLT")</f>
        <v>BOLT</v>
      </c>
    </row>
    <row r="370">
      <c r="A370" s="74" t="str">
        <f>IFERROR(__xludf.DUMMYFUNCTION("""COMPUTED_VALUE"""),"NAS147-84")</f>
        <v>NAS147-84</v>
      </c>
      <c r="B370" s="74" t="str">
        <f>IFERROR(__xludf.DUMMYFUNCTION("""COMPUTED_VALUE"""),"BOLT,INTERNAL WRENCHING")</f>
        <v>BOLT,INTERNAL WRENCHING</v>
      </c>
    </row>
    <row r="371">
      <c r="A371" s="74" t="str">
        <f>IFERROR(__xludf.DUMMYFUNCTION("""COMPUTED_VALUE"""),"AN363-720")</f>
        <v>AN363-720</v>
      </c>
      <c r="B371" s="74" t="str">
        <f>IFERROR(__xludf.DUMMYFUNCTION("""COMPUTED_VALUE"""),"NUT,SELF-LOCKING,HEXAGON")</f>
        <v>NUT,SELF-LOCKING,HEXAGON</v>
      </c>
    </row>
    <row r="372">
      <c r="A372" s="74" t="str">
        <f>IFERROR(__xludf.DUMMYFUNCTION("""COMPUTED_VALUE"""),"MS20007-68")</f>
        <v>MS20007-68</v>
      </c>
      <c r="B372" s="74" t="str">
        <f>IFERROR(__xludf.DUMMYFUNCTION("""COMPUTED_VALUE"""),"BOLT,INTERNAL WRENCHING")</f>
        <v>BOLT,INTERNAL WRENCHING</v>
      </c>
    </row>
    <row r="373">
      <c r="A373" s="74" t="str">
        <f>IFERROR(__xludf.DUMMYFUNCTION("""COMPUTED_VALUE"""),"S3461-64")</f>
        <v>S3461-64</v>
      </c>
      <c r="B373" s="74" t="str">
        <f>IFERROR(__xludf.DUMMYFUNCTION("""COMPUTED_VALUE"""),"BOLT")</f>
        <v>BOLT</v>
      </c>
    </row>
    <row r="374">
      <c r="A374" s="74" t="str">
        <f>IFERROR(__xludf.DUMMYFUNCTION("""COMPUTED_VALUE"""),"AN310C8")</f>
        <v>AN310C8</v>
      </c>
      <c r="B374" s="74" t="str">
        <f>IFERROR(__xludf.DUMMYFUNCTION("""COMPUTED_VALUE"""),"NUT,PLAIN,CASTELLATED,HEXAGON")</f>
        <v>NUT,PLAIN,CASTELLATED,HEXAGON</v>
      </c>
    </row>
    <row r="375">
      <c r="A375" s="74" t="str">
        <f>IFERROR(__xludf.DUMMYFUNCTION("""COMPUTED_VALUE"""),"S3465-2-0160")</f>
        <v>S3465-2-0160</v>
      </c>
      <c r="B375" s="74" t="str">
        <f>IFERROR(__xludf.DUMMYFUNCTION("""COMPUTED_VALUE"""),"HOSE ASSY TEE")</f>
        <v>HOSE ASSY TEE</v>
      </c>
    </row>
    <row r="376">
      <c r="A376" s="74" t="str">
        <f>IFERROR(__xludf.DUMMYFUNCTION("""COMPUTED_VALUE"""),"901207K1")</f>
        <v>901207K1</v>
      </c>
      <c r="B376" s="74" t="str">
        <f>IFERROR(__xludf.DUMMYFUNCTION("""COMPUTED_VALUE"""),"PIN,COTTER")</f>
        <v>PIN,COTTER</v>
      </c>
    </row>
    <row r="377">
      <c r="A377" s="74" t="str">
        <f>IFERROR(__xludf.DUMMYFUNCTION("""COMPUTED_VALUE"""),"3240572")</f>
        <v>3240572</v>
      </c>
      <c r="B377" s="74" t="str">
        <f>IFERROR(__xludf.DUMMYFUNCTION("""COMPUTED_VALUE"""),"SPACER")</f>
        <v>SPACER</v>
      </c>
    </row>
    <row r="378">
      <c r="A378" s="74" t="str">
        <f>IFERROR(__xludf.DUMMYFUNCTION("""COMPUTED_VALUE"""),"AN924-3D")</f>
        <v>AN924-3D</v>
      </c>
      <c r="B378" s="74" t="str">
        <f>IFERROR(__xludf.DUMMYFUNCTION("""COMPUTED_VALUE"""),"NUT,PLAIN,HEXAGON")</f>
        <v>NUT,PLAIN,HEXAGON</v>
      </c>
    </row>
    <row r="379">
      <c r="A379" s="74" t="str">
        <f>IFERROR(__xludf.DUMMYFUNCTION("""COMPUTED_VALUE"""),"MS28778-3")</f>
        <v>MS28778-3</v>
      </c>
      <c r="B379" s="74" t="str">
        <f>IFERROR(__xludf.DUMMYFUNCTION("""COMPUTED_VALUE"""),"ANEL-O")</f>
        <v>ANEL-O</v>
      </c>
    </row>
    <row r="380">
      <c r="A380" s="74" t="str">
        <f>IFERROR(__xludf.DUMMYFUNCTION("""COMPUTED_VALUE"""),"3014226")</f>
        <v>3014226</v>
      </c>
      <c r="B380" s="74" t="str">
        <f>IFERROR(__xludf.DUMMYFUNCTION("""COMPUTED_VALUE"""),"PACKING,PREFORMED")</f>
        <v>PACKING,PREFORMED</v>
      </c>
    </row>
    <row r="381">
      <c r="A381" s="74" t="str">
        <f>IFERROR(__xludf.DUMMYFUNCTION("""COMPUTED_VALUE"""),"S1450-4S10-032")</f>
        <v>S1450-4S10-032</v>
      </c>
      <c r="B381" s="74" t="str">
        <f>IFERROR(__xludf.DUMMYFUNCTION("""COMPUTED_VALUE"""),"WASHER")</f>
        <v>WASHER</v>
      </c>
    </row>
    <row r="382">
      <c r="A382" s="74" t="str">
        <f>IFERROR(__xludf.DUMMYFUNCTION("""COMPUTED_VALUE"""),"MS27975-2")</f>
        <v>MS27975-2</v>
      </c>
      <c r="B382" s="74" t="str">
        <f>IFERROR(__xludf.DUMMYFUNCTION("""COMPUTED_VALUE"""),"CLEVIS,ROD END")</f>
        <v>CLEVIS,ROD END</v>
      </c>
    </row>
    <row r="383">
      <c r="A383" s="74" t="str">
        <f>IFERROR(__xludf.DUMMYFUNCTION("""COMPUTED_VALUE"""),"S1021Z8-8")</f>
        <v>S1021Z8-8</v>
      </c>
      <c r="B383" s="74" t="str">
        <f>IFERROR(__xludf.DUMMYFUNCTION("""COMPUTED_VALUE"""),"SCREW,TAPPING")</f>
        <v>SCREW,TAPPING</v>
      </c>
    </row>
    <row r="384">
      <c r="A384" s="74" t="str">
        <f>IFERROR(__xludf.DUMMYFUNCTION("""COMPUTED_VALUE"""),"R581559")</f>
        <v>R581559</v>
      </c>
      <c r="B384" s="74" t="str">
        <f>IFERROR(__xludf.DUMMYFUNCTION("""COMPUTED_VALUE"""),"SEAL,DOOR EMERGENCY EXIT")</f>
        <v>SEAL,DOOR EMERGENCY EXIT</v>
      </c>
    </row>
    <row r="385">
      <c r="A385" s="74" t="str">
        <f>IFERROR(__xludf.DUMMYFUNCTION("""COMPUTED_VALUE"""),"U554426")</f>
        <v>U554426</v>
      </c>
      <c r="B385" s="74" t="str">
        <f>IFERROR(__xludf.DUMMYFUNCTION("""COMPUTED_VALUE"""),"SELANT")</f>
        <v>SELANT</v>
      </c>
    </row>
    <row r="386">
      <c r="A386" s="74" t="str">
        <f>IFERROR(__xludf.DUMMYFUNCTION("""COMPUTED_VALUE"""),"A1639-32")</f>
        <v>A1639-32</v>
      </c>
      <c r="B386" s="74" t="str">
        <f>IFERROR(__xludf.DUMMYFUNCTION("""COMPUTED_VALUE"""),"NUT,SELF-LOCKING,HEXAGON")</f>
        <v>NUT,SELF-LOCKING,HEXAGON</v>
      </c>
    </row>
    <row r="387">
      <c r="A387" s="74" t="str">
        <f>IFERROR(__xludf.DUMMYFUNCTION("""COMPUTED_VALUE"""),"AS3209-016")</f>
        <v>AS3209-016</v>
      </c>
      <c r="B387" s="74" t="str">
        <f>IFERROR(__xludf.DUMMYFUNCTION("""COMPUTED_VALUE"""),"ANEL-O")</f>
        <v>ANEL-O</v>
      </c>
    </row>
    <row r="388">
      <c r="A388" s="74" t="str">
        <f>IFERROR(__xludf.DUMMYFUNCTION("""COMPUTED_VALUE"""),"MS28775-022")</f>
        <v>MS28775-022</v>
      </c>
      <c r="B388" s="74" t="str">
        <f>IFERROR(__xludf.DUMMYFUNCTION("""COMPUTED_VALUE"""),"ANEL-O")</f>
        <v>ANEL-O</v>
      </c>
    </row>
    <row r="389">
      <c r="A389" s="74" t="str">
        <f>IFERROR(__xludf.DUMMYFUNCTION("""COMPUTED_VALUE"""),"MS28778-4")</f>
        <v>MS28778-4</v>
      </c>
      <c r="B389" s="74" t="str">
        <f>IFERROR(__xludf.DUMMYFUNCTION("""COMPUTED_VALUE"""),"O-RING")</f>
        <v>O-RING</v>
      </c>
    </row>
    <row r="390">
      <c r="A390" s="74" t="str">
        <f>IFERROR(__xludf.DUMMYFUNCTION("""COMPUTED_VALUE"""),"MS29512-08")</f>
        <v>MS29512-08</v>
      </c>
      <c r="B390" s="74" t="str">
        <f>IFERROR(__xludf.DUMMYFUNCTION("""COMPUTED_VALUE"""),"ANEL-O")</f>
        <v>ANEL-O</v>
      </c>
    </row>
    <row r="391">
      <c r="A391" s="74" t="str">
        <f>IFERROR(__xludf.DUMMYFUNCTION("""COMPUTED_VALUE"""),"NAS1149C0763R")</f>
        <v>NAS1149C0763R</v>
      </c>
      <c r="B391" s="74" t="str">
        <f>IFERROR(__xludf.DUMMYFUNCTION("""COMPUTED_VALUE"""),"WASHER,FLAT")</f>
        <v>WASHER,FLAT</v>
      </c>
    </row>
    <row r="392">
      <c r="A392" s="74" t="str">
        <f>IFERROR(__xludf.DUMMYFUNCTION("""COMPUTED_VALUE"""),"2653019-1")</f>
        <v>2653019-1</v>
      </c>
      <c r="B392" s="74" t="str">
        <f>IFERROR(__xludf.DUMMYFUNCTION("""COMPUTED_VALUE"""),"LATCH-BATTERY")</f>
        <v>LATCH-BATTERY</v>
      </c>
    </row>
    <row r="393">
      <c r="A393" s="74" t="str">
        <f>IFERROR(__xludf.DUMMYFUNCTION("""COMPUTED_VALUE"""),"MS35426-27")</f>
        <v>MS35426-27</v>
      </c>
      <c r="B393" s="74" t="str">
        <f>IFERROR(__xludf.DUMMYFUNCTION("""COMPUTED_VALUE"""),"PORCA PLANA COM BORBOLETA")</f>
        <v>PORCA PLANA COM BORBOLETA</v>
      </c>
    </row>
    <row r="394">
      <c r="A394" s="74" t="str">
        <f>IFERROR(__xludf.DUMMYFUNCTION("""COMPUTED_VALUE"""),"S1741-1")</f>
        <v>S1741-1</v>
      </c>
      <c r="B394" s="74" t="str">
        <f>IFERROR(__xludf.DUMMYFUNCTION("""COMPUTED_VALUE"""),"ANCHOR")</f>
        <v>ANCHOR</v>
      </c>
    </row>
    <row r="395">
      <c r="A395" s="74" t="str">
        <f>IFERROR(__xludf.DUMMYFUNCTION("""COMPUTED_VALUE"""),"069-01034-0102")</f>
        <v>069-01034-0102</v>
      </c>
      <c r="B395" s="74" t="str">
        <f>IFERROR(__xludf.DUMMYFUNCTION("""COMPUTED_VALUE"""),"NAVIGATION SET,SATELLITE SIGNALS KLN-94")</f>
        <v>NAVIGATION SET,SATELLITE SIGNALS KLN-94</v>
      </c>
    </row>
    <row r="396">
      <c r="A396" s="74" t="str">
        <f>IFERROR(__xludf.DUMMYFUNCTION("""COMPUTED_VALUE"""),"2641014-9")</f>
        <v>2641014-9</v>
      </c>
      <c r="B396" s="74" t="str">
        <f>IFERROR(__xludf.DUMMYFUNCTION("""COMPUTED_VALUE"""),"SPRING ASSY-MAIN GEAR CENTER")</f>
        <v>SPRING ASSY-MAIN GEAR CENTER</v>
      </c>
    </row>
    <row r="397">
      <c r="A397" s="74" t="str">
        <f>IFERROR(__xludf.DUMMYFUNCTION("""COMPUTED_VALUE"""),"9910338-8")</f>
        <v>9910338-8</v>
      </c>
      <c r="B397" s="74" t="str">
        <f>IFERROR(__xludf.DUMMYFUNCTION("""COMPUTED_VALUE"""),"INDICATOR,FUEL FLOW")</f>
        <v>INDICATOR,FUEL FLOW</v>
      </c>
    </row>
    <row r="398">
      <c r="A398" s="74" t="str">
        <f>IFERROR(__xludf.DUMMYFUNCTION("""COMPUTED_VALUE"""),"9910338-1")</f>
        <v>9910338-1</v>
      </c>
      <c r="B398" s="74" t="str">
        <f>IFERROR(__xludf.DUMMYFUNCTION("""COMPUTED_VALUE"""),"IND FUEL FLOW")</f>
        <v>IND FUEL FLOW</v>
      </c>
    </row>
    <row r="399">
      <c r="A399" s="74" t="str">
        <f>IFERROR(__xludf.DUMMYFUNCTION("""COMPUTED_VALUE"""),"9910338-8RX")</f>
        <v>9910338-8RX</v>
      </c>
      <c r="B399" s="74" t="str">
        <f>IFERROR(__xludf.DUMMYFUNCTION("""COMPUTED_VALUE"""),"IND FUEL FLOW")</f>
        <v>IND FUEL FLOW</v>
      </c>
    </row>
    <row r="400">
      <c r="A400" s="74" t="str">
        <f>IFERROR(__xludf.DUMMYFUNCTION("""COMPUTED_VALUE"""),"C598505-0304")</f>
        <v>C598505-0304</v>
      </c>
      <c r="B400" s="74" t="str">
        <f>IFERROR(__xludf.DUMMYFUNCTION("""COMPUTED_VALUE"""),"PHASING COUPLE")</f>
        <v>PHASING COUPLE</v>
      </c>
    </row>
    <row r="401">
      <c r="A401" s="74" t="str">
        <f>IFERROR(__xludf.DUMMYFUNCTION("""COMPUTED_VALUE"""),"70-22-01")</f>
        <v>70-22-01</v>
      </c>
      <c r="B401" s="74" t="str">
        <f>IFERROR(__xludf.DUMMYFUNCTION("""COMPUTED_VALUE"""),"GASKET")</f>
        <v>GASKET</v>
      </c>
    </row>
    <row r="402">
      <c r="A402" s="74" t="str">
        <f>IFERROR(__xludf.DUMMYFUNCTION("""COMPUTED_VALUE"""),"MS35206-247")</f>
        <v>MS35206-247</v>
      </c>
      <c r="B402" s="74" t="str">
        <f>IFERROR(__xludf.DUMMYFUNCTION("""COMPUTED_VALUE"""),"SCREW,MACHINE")</f>
        <v>SCREW,MACHINE</v>
      </c>
    </row>
    <row r="403">
      <c r="A403" s="74" t="str">
        <f>IFERROR(__xludf.DUMMYFUNCTION("""COMPUTED_VALUE"""),"011-00412-00")</f>
        <v>011-00412-00</v>
      </c>
      <c r="B403" s="74" t="str">
        <f>IFERROR(__xludf.DUMMYFUNCTION("""COMPUTED_VALUE"""),"GPS RECEIVER (STAND ALONE)")</f>
        <v>GPS RECEIVER (STAND ALONE)</v>
      </c>
    </row>
    <row r="404">
      <c r="A404" s="74" t="str">
        <f>IFERROR(__xludf.DUMMYFUNCTION("""COMPUTED_VALUE"""),"3014227")</f>
        <v>3014227</v>
      </c>
      <c r="B404" s="74" t="str">
        <f>IFERROR(__xludf.DUMMYFUNCTION("""COMPUTED_VALUE"""),"ANEL-O")</f>
        <v>ANEL-O</v>
      </c>
    </row>
    <row r="405">
      <c r="A405" s="74" t="str">
        <f>IFERROR(__xludf.DUMMYFUNCTION("""COMPUTED_VALUE"""),"AE3663724G0330")</f>
        <v>AE3663724G0330</v>
      </c>
      <c r="B405" s="74" t="str">
        <f>IFERROR(__xludf.DUMMYFUNCTION("""COMPUTED_VALUE"""),"HOSE ASSY-FUEL MOTIVE FLOW")</f>
        <v>HOSE ASSY-FUEL MOTIVE FLOW</v>
      </c>
    </row>
    <row r="406">
      <c r="A406" s="74" t="str">
        <f>IFERROR(__xludf.DUMMYFUNCTION("""COMPUTED_VALUE"""),"0541140-1")</f>
        <v>0541140-1</v>
      </c>
      <c r="B406" s="74" t="str">
        <f>IFERROR(__xludf.DUMMYFUNCTION("""COMPUTED_VALUE"""),"CLEVIS")</f>
        <v>CLEVIS</v>
      </c>
    </row>
    <row r="407">
      <c r="A407" s="74" t="str">
        <f>IFERROR(__xludf.DUMMYFUNCTION("""COMPUTED_VALUE"""),"644-04303416")</f>
        <v>644-04303416</v>
      </c>
      <c r="B407" s="74" t="str">
        <f>IFERROR(__xludf.DUMMYFUNCTION("""COMPUTED_VALUE"""),"CABLE FIRE")</f>
        <v>CABLE FIRE</v>
      </c>
    </row>
    <row r="408">
      <c r="A408" s="74" t="str">
        <f>IFERROR(__xludf.DUMMYFUNCTION("""COMPUTED_VALUE"""),"C668050-1108")</f>
        <v>C668050-1108</v>
      </c>
      <c r="B408" s="74" t="str">
        <f>IFERROR(__xludf.DUMMYFUNCTION("""COMPUTED_VALUE"""),"TRANSMITTER FUEL")</f>
        <v>TRANSMITTER FUEL</v>
      </c>
    </row>
    <row r="409">
      <c r="A409" s="74" t="str">
        <f>IFERROR(__xludf.DUMMYFUNCTION("""COMPUTED_VALUE"""),"S2495-12B0600")</f>
        <v>S2495-12B0600</v>
      </c>
      <c r="B409" s="74" t="str">
        <f>IFERROR(__xludf.DUMMYFUNCTION("""COMPUTED_VALUE"""),"MANG")</f>
        <v>MANG</v>
      </c>
    </row>
    <row r="410">
      <c r="A410" s="74" t="str">
        <f>IFERROR(__xludf.DUMMYFUNCTION("""COMPUTED_VALUE"""),"S1985-1")</f>
        <v>S1985-1</v>
      </c>
      <c r="B410" s="74" t="str">
        <f>IFERROR(__xludf.DUMMYFUNCTION("""COMPUTED_VALUE"""),"SWITCH")</f>
        <v>SWITCH</v>
      </c>
    </row>
    <row r="411">
      <c r="A411" s="74" t="str">
        <f>IFERROR(__xludf.DUMMYFUNCTION("""COMPUTED_VALUE"""),"S2502-3")</f>
        <v>S2502-3</v>
      </c>
      <c r="B411" s="74" t="str">
        <f>IFERROR(__xludf.DUMMYFUNCTION("""COMPUTED_VALUE"""),"CONNECTOR,ELECTRICAL")</f>
        <v>CONNECTOR,ELECTRICAL</v>
      </c>
    </row>
    <row r="412">
      <c r="A412" s="74" t="str">
        <f>IFERROR(__xludf.DUMMYFUNCTION("""COMPUTED_VALUE"""),"AE3663231B0160")</f>
        <v>AE3663231B0160</v>
      </c>
      <c r="B412" s="74" t="str">
        <f>IFERROR(__xludf.DUMMYFUNCTION("""COMPUTED_VALUE"""),"HOSE AY")</f>
        <v>HOSE AY</v>
      </c>
    </row>
    <row r="413">
      <c r="A413" s="74" t="str">
        <f>IFERROR(__xludf.DUMMYFUNCTION("""COMPUTED_VALUE"""),"1215073-28")</f>
        <v>1215073-28</v>
      </c>
      <c r="B413" s="74" t="str">
        <f>IFERROR(__xludf.DUMMYFUNCTION("""COMPUTED_VALUE"""),"HEADREST ASSEMBLY")</f>
        <v>HEADREST ASSEMBLY</v>
      </c>
    </row>
    <row r="414">
      <c r="A414" s="74" t="str">
        <f>IFERROR(__xludf.DUMMYFUNCTION("""COMPUTED_VALUE"""),"9910573-21")</f>
        <v>9910573-21</v>
      </c>
      <c r="B414" s="74" t="str">
        <f>IFERROR(__xludf.DUMMYFUNCTION("""COMPUTED_VALUE"""),"PARTITION ASSY-CARGO AFT")</f>
        <v>PARTITION ASSY-CARGO AFT</v>
      </c>
    </row>
    <row r="415">
      <c r="A415" s="74" t="str">
        <f>IFERROR(__xludf.DUMMYFUNCTION("""COMPUTED_VALUE"""),"S3413-104")</f>
        <v>S3413-104</v>
      </c>
      <c r="B415" s="74" t="str">
        <f>IFERROR(__xludf.DUMMYFUNCTION("""COMPUTED_VALUE"""),"STUD")</f>
        <v>STUD</v>
      </c>
    </row>
    <row r="416">
      <c r="A416" s="74" t="str">
        <f>IFERROR(__xludf.DUMMYFUNCTION("""COMPUTED_VALUE"""),"S3413-105")</f>
        <v>S3413-105</v>
      </c>
      <c r="B416" s="74" t="str">
        <f>IFERROR(__xludf.DUMMYFUNCTION("""COMPUTED_VALUE"""),"STUD")</f>
        <v>STUD</v>
      </c>
    </row>
    <row r="417">
      <c r="A417" s="74" t="str">
        <f>IFERROR(__xludf.DUMMYFUNCTION("""COMPUTED_VALUE"""),"S3413-107")</f>
        <v>S3413-107</v>
      </c>
      <c r="B417" s="74" t="str">
        <f>IFERROR(__xludf.DUMMYFUNCTION("""COMPUTED_VALUE"""),"STUD")</f>
        <v>STUD</v>
      </c>
    </row>
    <row r="418">
      <c r="A418" s="74" t="str">
        <f>IFERROR(__xludf.DUMMYFUNCTION("""COMPUTED_VALUE"""),"S3413-109")</f>
        <v>S3413-109</v>
      </c>
      <c r="B418" s="74" t="str">
        <f>IFERROR(__xludf.DUMMYFUNCTION("""COMPUTED_VALUE"""),"STUD")</f>
        <v>STUD</v>
      </c>
    </row>
    <row r="419">
      <c r="A419" s="74" t="str">
        <f>IFERROR(__xludf.DUMMYFUNCTION("""COMPUTED_VALUE"""),"S3413-110")</f>
        <v>S3413-110</v>
      </c>
      <c r="B419" s="74" t="str">
        <f>IFERROR(__xludf.DUMMYFUNCTION("""COMPUTED_VALUE"""),"STUD")</f>
        <v>STUD</v>
      </c>
    </row>
    <row r="420">
      <c r="A420" s="74" t="str">
        <f>IFERROR(__xludf.DUMMYFUNCTION("""COMPUTED_VALUE"""),"S2319-64")</f>
        <v>S2319-64</v>
      </c>
      <c r="B420" s="74" t="str">
        <f>IFERROR(__xludf.DUMMYFUNCTION("""COMPUTED_VALUE"""),"GROMMET")</f>
        <v>GROMMET</v>
      </c>
    </row>
    <row r="421">
      <c r="A421" s="74" t="str">
        <f>IFERROR(__xludf.DUMMYFUNCTION("""COMPUTED_VALUE"""),"S2319-50")</f>
        <v>S2319-50</v>
      </c>
      <c r="B421" s="74" t="str">
        <f>IFERROR(__xludf.DUMMYFUNCTION("""COMPUTED_VALUE"""),"RECEPTACLE,TURNLOCK FASTENER")</f>
        <v>RECEPTACLE,TURNLOCK FASTENER</v>
      </c>
    </row>
    <row r="422">
      <c r="A422" s="74" t="str">
        <f>IFERROR(__xludf.DUMMYFUNCTION("""COMPUTED_VALUE"""),"B4864")</f>
        <v>B4864</v>
      </c>
      <c r="B422" s="74" t="str">
        <f>IFERROR(__xludf.DUMMYFUNCTION("""COMPUTED_VALUE"""),"SUPPORT SPINNER")</f>
        <v>SUPPORT SPINNER</v>
      </c>
    </row>
    <row r="423">
      <c r="A423" s="74" t="str">
        <f>IFERROR(__xludf.DUMMYFUNCTION("""COMPUTED_VALUE"""),"B4940-1")</f>
        <v>B4940-1</v>
      </c>
      <c r="B423" s="74" t="str">
        <f>IFERROR(__xludf.DUMMYFUNCTION("""COMPUTED_VALUE"""),"SHIM")</f>
        <v>SHIM</v>
      </c>
    </row>
    <row r="424">
      <c r="A424" s="74" t="str">
        <f>IFERROR(__xludf.DUMMYFUNCTION("""COMPUTED_VALUE"""),"B4940-2")</f>
        <v>B4940-2</v>
      </c>
      <c r="B424" s="74" t="str">
        <f>IFERROR(__xludf.DUMMYFUNCTION("""COMPUTED_VALUE"""),"SHIM")</f>
        <v>SHIM</v>
      </c>
    </row>
    <row r="425">
      <c r="A425" s="74" t="str">
        <f>IFERROR(__xludf.DUMMYFUNCTION("""COMPUTED_VALUE"""),"2654012-2")</f>
        <v>2654012-2</v>
      </c>
      <c r="B425" s="74" t="str">
        <f>IFERROR(__xludf.DUMMYFUNCTION("""COMPUTED_VALUE"""),"CLAMP")</f>
        <v>CLAMP</v>
      </c>
    </row>
    <row r="426">
      <c r="A426" s="74" t="str">
        <f>IFERROR(__xludf.DUMMYFUNCTION("""COMPUTED_VALUE"""),"2641030-2")</f>
        <v>2641030-2</v>
      </c>
      <c r="B426" s="74" t="str">
        <f>IFERROR(__xludf.DUMMYFUNCTION("""COMPUTED_VALUE"""),"FAIRING ASSY RH- MAIN LANDING GEAR UPR")</f>
        <v>FAIRING ASSY RH- MAIN LANDING GEAR UPR</v>
      </c>
    </row>
    <row r="427">
      <c r="A427" s="74" t="str">
        <f>IFERROR(__xludf.DUMMYFUNCTION("""COMPUTED_VALUE"""),"2641032-202")</f>
        <v>2641032-202</v>
      </c>
      <c r="B427" s="74" t="str">
        <f>IFERROR(__xludf.DUMMYFUNCTION("""COMPUTED_VALUE"""),"FAIRING AY RH")</f>
        <v>FAIRING AY RH</v>
      </c>
    </row>
    <row r="428">
      <c r="A428" s="74" t="str">
        <f>IFERROR(__xludf.DUMMYFUNCTION("""COMPUTED_VALUE"""),"AE3663161E0113")</f>
        <v>AE3663161E0113</v>
      </c>
      <c r="B428" s="74" t="str">
        <f>IFERROR(__xludf.DUMMYFUNCTION("""COMPUTED_VALUE"""),"HOSE ASSY")</f>
        <v>HOSE ASSY</v>
      </c>
    </row>
    <row r="429">
      <c r="A429" s="74" t="str">
        <f>IFERROR(__xludf.DUMMYFUNCTION("""COMPUTED_VALUE"""),"K00-00351-00")</f>
        <v>K00-00351-00</v>
      </c>
      <c r="B429" s="74" t="str">
        <f>IFERROR(__xludf.DUMMYFUNCTION("""COMPUTED_VALUE"""),"GDU 1040A REPLACEMENT KNOB KIT")</f>
        <v>GDU 1040A REPLACEMENT KNOB KIT</v>
      </c>
    </row>
    <row r="430">
      <c r="A430" s="74" t="str">
        <f>IFERROR(__xludf.DUMMYFUNCTION("""COMPUTED_VALUE"""),"1414116-7")</f>
        <v>1414116-7</v>
      </c>
      <c r="B430" s="74" t="str">
        <f>IFERROR(__xludf.DUMMYFUNCTION("""COMPUTED_VALUE"""),"SPRING,HELICAL,EXTE")</f>
        <v>SPRING,HELICAL,EXTE</v>
      </c>
    </row>
    <row r="431">
      <c r="A431" s="74" t="str">
        <f>IFERROR(__xludf.DUMMYFUNCTION("""COMPUTED_VALUE"""),"2270030-12")</f>
        <v>2270030-12</v>
      </c>
      <c r="B431" s="74" t="str">
        <f>IFERROR(__xludf.DUMMYFUNCTION("""COMPUTED_VALUE"""),"CABLE ASSEMBLY")</f>
        <v>CABLE ASSEMBLY</v>
      </c>
    </row>
    <row r="432">
      <c r="A432" s="74" t="str">
        <f>IFERROR(__xludf.DUMMYFUNCTION("""COMPUTED_VALUE"""),"066-4010-12")</f>
        <v>066-4010-12</v>
      </c>
      <c r="B432" s="74" t="str">
        <f>IFERROR(__xludf.DUMMYFUNCTION("""COMPUTED_VALUE"""),"RECEIVER VOR/LOC (KNS81)")</f>
        <v>RECEIVER VOR/LOC (KNS81)</v>
      </c>
    </row>
    <row r="433">
      <c r="A433" s="74" t="str">
        <f>IFERROR(__xludf.DUMMYFUNCTION("""COMPUTED_VALUE"""),"M83461/1-012")</f>
        <v>M83461/1-012</v>
      </c>
      <c r="B433" s="74" t="str">
        <f>IFERROR(__xludf.DUMMYFUNCTION("""COMPUTED_VALUE"""),"ANEL-O")</f>
        <v>ANEL-O</v>
      </c>
    </row>
    <row r="434">
      <c r="A434" s="74" t="str">
        <f>IFERROR(__xludf.DUMMYFUNCTION("""COMPUTED_VALUE"""),"3039937")</f>
        <v>3039937</v>
      </c>
      <c r="B434" s="74" t="str">
        <f>IFERROR(__xludf.DUMMYFUNCTION("""COMPUTED_VALUE"""),"GASKET")</f>
        <v>GASKET</v>
      </c>
    </row>
    <row r="435">
      <c r="A435" s="74" t="str">
        <f>IFERROR(__xludf.DUMMYFUNCTION("""COMPUTED_VALUE"""),"NSL 1422 B2")</f>
        <v>NSL 1422 B2</v>
      </c>
      <c r="B435" s="74" t="str">
        <f>IFERROR(__xludf.DUMMYFUNCTION("""COMPUTED_VALUE"""),"SEALING COMPOUND")</f>
        <v>SEALING COMPOUND</v>
      </c>
    </row>
    <row r="436">
      <c r="A436" s="74" t="str">
        <f>IFERROR(__xludf.DUMMYFUNCTION("""COMPUTED_VALUE"""),"2522275-1")</f>
        <v>2522275-1</v>
      </c>
      <c r="B436" s="74" t="str">
        <f>IFERROR(__xludf.DUMMYFUNCTION("""COMPUTED_VALUE"""),"PLATE-INSULAT")</f>
        <v>PLATE-INSULAT</v>
      </c>
    </row>
    <row r="437">
      <c r="A437" s="74" t="str">
        <f>IFERROR(__xludf.DUMMYFUNCTION("""COMPUTED_VALUE"""),"S2870-1")</f>
        <v>S2870-1</v>
      </c>
      <c r="B437" s="74" t="str">
        <f>IFERROR(__xludf.DUMMYFUNCTION("""COMPUTED_VALUE"""),"SWITCH,SPEC")</f>
        <v>SWITCH,SPEC</v>
      </c>
    </row>
    <row r="438">
      <c r="A438" s="74" t="str">
        <f>IFERROR(__xludf.DUMMYFUNCTION("""COMPUTED_VALUE"""),"AN320-3")</f>
        <v>AN320-3</v>
      </c>
      <c r="B438" s="74" t="str">
        <f>IFERROR(__xludf.DUMMYFUNCTION("""COMPUTED_VALUE"""),"NUT,PLAIN,SLOTTED,HEXAGON")</f>
        <v>NUT,PLAIN,SLOTTED,HEXAGON</v>
      </c>
    </row>
    <row r="439">
      <c r="A439" s="74" t="str">
        <f>IFERROR(__xludf.DUMMYFUNCTION("""COMPUTED_VALUE"""),"2613419-1")</f>
        <v>2613419-1</v>
      </c>
      <c r="B439" s="74" t="str">
        <f>IFERROR(__xludf.DUMMYFUNCTION("""COMPUTED_VALUE"""),"BARREL FLAP")</f>
        <v>BARREL FLAP</v>
      </c>
    </row>
    <row r="440">
      <c r="A440" s="74" t="str">
        <f>IFERROR(__xludf.DUMMYFUNCTION("""COMPUTED_VALUE"""),"AN565B428H4")</f>
        <v>AN565B428H4</v>
      </c>
      <c r="B440" s="74" t="str">
        <f>IFERROR(__xludf.DUMMYFUNCTION("""COMPUTED_VALUE"""),"SETSCREW")</f>
        <v>SETSCREW</v>
      </c>
    </row>
    <row r="441">
      <c r="A441" s="74" t="str">
        <f>IFERROR(__xludf.DUMMYFUNCTION("""COMPUTED_VALUE"""),"2662007-4")</f>
        <v>2662007-4</v>
      </c>
      <c r="B441" s="74" t="str">
        <f>IFERROR(__xludf.DUMMYFUNCTION("""COMPUTED_VALUE"""),"STUD")</f>
        <v>STUD</v>
      </c>
    </row>
    <row r="442">
      <c r="A442" s="74" t="str">
        <f>IFERROR(__xludf.DUMMYFUNCTION("""COMPUTED_VALUE"""),"2662022-1")</f>
        <v>2662022-1</v>
      </c>
      <c r="B442" s="74" t="str">
        <f>IFERROR(__xludf.DUMMYFUNCTION("""COMPUTED_VALUE"""),"TUBE ASSY")</f>
        <v>TUBE ASSY</v>
      </c>
    </row>
    <row r="443">
      <c r="A443" s="74" t="str">
        <f>IFERROR(__xludf.DUMMYFUNCTION("""COMPUTED_VALUE"""),"AN315-3L")</f>
        <v>AN315-3L</v>
      </c>
      <c r="B443" s="74" t="str">
        <f>IFERROR(__xludf.DUMMYFUNCTION("""COMPUTED_VALUE"""),"NUT,PLAIN,HEXAGON")</f>
        <v>NUT,PLAIN,HEXAGON</v>
      </c>
    </row>
    <row r="444">
      <c r="A444" s="74" t="str">
        <f>IFERROR(__xludf.DUMMYFUNCTION("""COMPUTED_VALUE"""),"B145-78-7")</f>
        <v>B145-78-7</v>
      </c>
      <c r="B444" s="74" t="str">
        <f>IFERROR(__xludf.DUMMYFUNCTION("""COMPUTED_VALUE"""),"NUT STOP")</f>
        <v>NUT STOP</v>
      </c>
    </row>
    <row r="445">
      <c r="A445" s="74" t="str">
        <f>IFERROR(__xludf.DUMMYFUNCTION("""COMPUTED_VALUE"""),"AS5174D1210")</f>
        <v>AS5174D1210</v>
      </c>
      <c r="B445" s="74" t="str">
        <f>IFERROR(__xludf.DUMMYFUNCTION("""COMPUTED_VALUE"""),"REDUCER, TUBE")</f>
        <v>REDUCER, TUBE</v>
      </c>
    </row>
    <row r="446">
      <c r="A446" s="74" t="str">
        <f>IFERROR(__xludf.DUMMYFUNCTION("""COMPUTED_VALUE"""),"An4-17")</f>
        <v>An4-17</v>
      </c>
      <c r="B446" s="74" t="str">
        <f>IFERROR(__xludf.DUMMYFUNCTION("""COMPUTED_VALUE"""),"BOLT,MACHINE")</f>
        <v>BOLT,MACHINE</v>
      </c>
    </row>
    <row r="447">
      <c r="A447" s="74" t="str">
        <f>IFERROR(__xludf.DUMMYFUNCTION("""COMPUTED_VALUE"""),"S1450-6B12-032")</f>
        <v>S1450-6B12-032</v>
      </c>
      <c r="B447" s="74" t="str">
        <f>IFERROR(__xludf.DUMMYFUNCTION("""COMPUTED_VALUE"""),"WASHER")</f>
        <v>WASHER</v>
      </c>
    </row>
    <row r="448">
      <c r="A448" s="74" t="str">
        <f>IFERROR(__xludf.DUMMYFUNCTION("""COMPUTED_VALUE"""),"050-1518-00")</f>
        <v>050-1518-00</v>
      </c>
      <c r="B448" s="74" t="str">
        <f>IFERROR(__xludf.DUMMYFUNCTION("""COMPUTED_VALUE"""),"KIT CONNECTOR")</f>
        <v>KIT CONNECTOR</v>
      </c>
    </row>
    <row r="449">
      <c r="A449" s="74" t="str">
        <f>IFERROR(__xludf.DUMMYFUNCTION("""COMPUTED_VALUE"""),"MS21025-24")</f>
        <v>MS21025-24</v>
      </c>
      <c r="B449" s="74" t="str">
        <f>IFERROR(__xludf.DUMMYFUNCTION("""COMPUTED_VALUE"""),"NUT,PLAIN,CASTELLATED,HEXAGON")</f>
        <v>NUT,PLAIN,CASTELLATED,HEXAGON</v>
      </c>
    </row>
    <row r="450">
      <c r="A450" s="74" t="str">
        <f>IFERROR(__xludf.DUMMYFUNCTION("""COMPUTED_VALUE"""),"S51-14")</f>
        <v>S51-14</v>
      </c>
      <c r="B450" s="74" t="str">
        <f>IFERROR(__xludf.DUMMYFUNCTION("""COMPUTED_VALUE"""),"HOSE-OVERBOAD OIL BR")</f>
        <v>HOSE-OVERBOAD OIL BR</v>
      </c>
    </row>
    <row r="451">
      <c r="A451" s="74" t="str">
        <f>IFERROR(__xludf.DUMMYFUNCTION("""COMPUTED_VALUE"""),"1H75-21")</f>
        <v>1H75-21</v>
      </c>
      <c r="B451" s="74" t="str">
        <f>IFERROR(__xludf.DUMMYFUNCTION("""COMPUTED_VALUE"""),"PRESSURE REGULATOR")</f>
        <v>PRESSURE REGULATOR</v>
      </c>
    </row>
    <row r="452">
      <c r="A452" s="74" t="str">
        <f>IFERROR(__xludf.DUMMYFUNCTION("""COMPUTED_VALUE"""),"B-5096")</f>
        <v>B-5096</v>
      </c>
      <c r="B452" s="74" t="str">
        <f>IFERROR(__xludf.DUMMYFUNCTION("""COMPUTED_VALUE"""),"SPACER,SLEEVE")</f>
        <v>SPACER,SLEEVE</v>
      </c>
    </row>
    <row r="453">
      <c r="A453" s="74" t="str">
        <f>IFERROR(__xludf.DUMMYFUNCTION("""COMPUTED_VALUE"""),"S3326-2RX")</f>
        <v>S3326-2RX</v>
      </c>
      <c r="B453" s="74" t="str">
        <f>IFERROR(__xludf.DUMMYFUNCTION("""COMPUTED_VALUE"""),"INDICATOR, GYRO-HORIZON")</f>
        <v>INDICATOR, GYRO-HORIZON</v>
      </c>
    </row>
    <row r="454">
      <c r="A454" s="74" t="str">
        <f>IFERROR(__xludf.DUMMYFUNCTION("""COMPUTED_VALUE"""),"99-223-6B23284")</f>
        <v>99-223-6B23284</v>
      </c>
      <c r="B454" s="74" t="str">
        <f>IFERROR(__xludf.DUMMYFUNCTION("""COMPUTED_VALUE"""),"SWITCH NAV")</f>
        <v>SWITCH NAV</v>
      </c>
    </row>
    <row r="455">
      <c r="A455" s="74" t="str">
        <f>IFERROR(__xludf.DUMMYFUNCTION("""COMPUTED_VALUE"""),"2610014-1")</f>
        <v>2610014-1</v>
      </c>
      <c r="B455" s="74" t="str">
        <f>IFERROR(__xludf.DUMMYFUNCTION("""COMPUTED_VALUE"""),"PAN ASSY OIL DRIP")</f>
        <v>PAN ASSY OIL DRIP</v>
      </c>
    </row>
    <row r="456">
      <c r="A456" s="74" t="str">
        <f>IFERROR(__xludf.DUMMYFUNCTION("""COMPUTED_VALUE"""),"NAS464P4A10")</f>
        <v>NAS464P4A10</v>
      </c>
      <c r="B456" s="74" t="str">
        <f>IFERROR(__xludf.DUMMYFUNCTION("""COMPUTED_VALUE"""),"BOLT,SHEAR")</f>
        <v>BOLT,SHEAR</v>
      </c>
    </row>
    <row r="457">
      <c r="A457" s="74" t="str">
        <f>IFERROR(__xludf.DUMMYFUNCTION("""COMPUTED_VALUE"""),"A4513-1")</f>
        <v>A4513-1</v>
      </c>
      <c r="B457" s="74" t="str">
        <f>IFERROR(__xludf.DUMMYFUNCTION("""COMPUTED_VALUE"""),"LENS CLEAR")</f>
        <v>LENS CLEAR</v>
      </c>
    </row>
    <row r="458">
      <c r="A458" s="74" t="str">
        <f>IFERROR(__xludf.DUMMYFUNCTION("""COMPUTED_VALUE"""),"S1104-3")</f>
        <v>S1104-3</v>
      </c>
      <c r="B458" s="74" t="str">
        <f>IFERROR(__xludf.DUMMYFUNCTION("""COMPUTED_VALUE""")," BEARING,PLAIN,ROD END")</f>
        <v> BEARING,PLAIN,ROD END</v>
      </c>
    </row>
    <row r="459">
      <c r="A459" s="74" t="str">
        <f>IFERROR(__xludf.DUMMYFUNCTION("""COMPUTED_VALUE"""),"MS3116F8-3S")</f>
        <v>MS3116F8-3S</v>
      </c>
      <c r="B459" s="74" t="str">
        <f>IFERROR(__xludf.DUMMYFUNCTION("""COMPUTED_VALUE"""),"CONNECTOR,PLUG,ELECT..")</f>
        <v>CONNECTOR,PLUG,ELECT..</v>
      </c>
    </row>
    <row r="460">
      <c r="A460" s="74" t="str">
        <f>IFERROR(__xludf.DUMMYFUNCTION("""COMPUTED_VALUE"""),"2611024-1")</f>
        <v>2611024-1</v>
      </c>
      <c r="B460" s="74" t="str">
        <f>IFERROR(__xludf.DUMMYFUNCTION("""COMPUTED_VALUE"""),"WINDOW")</f>
        <v>WINDOW</v>
      </c>
    </row>
    <row r="461">
      <c r="A461" s="74" t="str">
        <f>IFERROR(__xludf.DUMMYFUNCTION("""COMPUTED_VALUE"""),"S2527-1")</f>
        <v>S2527-1</v>
      </c>
      <c r="B461" s="74" t="str">
        <f>IFERROR(__xludf.DUMMYFUNCTION("""COMPUTED_VALUE"""),"BLOCK GROUNDIN")</f>
        <v>BLOCK GROUNDIN</v>
      </c>
    </row>
    <row r="462">
      <c r="A462" s="74" t="str">
        <f>IFERROR(__xludf.DUMMYFUNCTION("""COMPUTED_VALUE"""),"24RB/EWC")</f>
        <v>24RB/EWC</v>
      </c>
      <c r="B462" s="74" t="str">
        <f>IFERROR(__xludf.DUMMYFUNCTION("""COMPUTED_VALUE"""),"LAMP,INCANDESCENT")</f>
        <v>LAMP,INCANDESCENT</v>
      </c>
    </row>
    <row r="463">
      <c r="A463" s="74" t="str">
        <f>IFERROR(__xludf.DUMMYFUNCTION("""COMPUTED_VALUE"""),"1308")</f>
        <v>1308</v>
      </c>
      <c r="B463" s="74" t="str">
        <f>IFERROR(__xludf.DUMMYFUNCTION("""COMPUTED_VALUE"""),"LAMP,INCANDESCENT")</f>
        <v>LAMP,INCANDESCENT</v>
      </c>
    </row>
    <row r="464">
      <c r="A464" s="57"/>
      <c r="B464" s="57"/>
    </row>
    <row r="465">
      <c r="A465" s="57"/>
      <c r="B465" s="57"/>
    </row>
    <row r="466">
      <c r="A466" s="57"/>
      <c r="B466" s="57"/>
    </row>
    <row r="467">
      <c r="A467" s="57"/>
      <c r="B467" s="57"/>
    </row>
    <row r="468">
      <c r="A468" s="57"/>
      <c r="B468" s="57"/>
    </row>
    <row r="469">
      <c r="A469" s="57"/>
      <c r="B469" s="57"/>
    </row>
    <row r="470">
      <c r="A470" s="57"/>
      <c r="B470" s="57"/>
    </row>
    <row r="471">
      <c r="A471" s="57"/>
      <c r="B471" s="57"/>
    </row>
    <row r="472">
      <c r="A472" s="57"/>
      <c r="B472" s="57"/>
    </row>
    <row r="473">
      <c r="A473" s="57"/>
      <c r="B473" s="57"/>
    </row>
    <row r="474">
      <c r="A474" s="57"/>
      <c r="B474" s="57"/>
    </row>
    <row r="475">
      <c r="A475" s="57"/>
      <c r="B475" s="57"/>
    </row>
    <row r="476">
      <c r="A476" s="57"/>
      <c r="B476" s="57"/>
    </row>
    <row r="477">
      <c r="A477" s="57"/>
      <c r="B477" s="57"/>
    </row>
    <row r="478">
      <c r="A478" s="57"/>
      <c r="B478" s="57"/>
    </row>
    <row r="479">
      <c r="A479" s="57"/>
      <c r="B479" s="57"/>
    </row>
    <row r="480">
      <c r="A480" s="57"/>
      <c r="B480" s="57"/>
    </row>
    <row r="481">
      <c r="A481" s="57"/>
      <c r="B481" s="57"/>
    </row>
    <row r="482">
      <c r="A482" s="57"/>
      <c r="B482" s="57"/>
    </row>
    <row r="483">
      <c r="A483" s="57"/>
      <c r="B483" s="57"/>
    </row>
    <row r="484">
      <c r="A484" s="57"/>
      <c r="B484" s="57"/>
    </row>
    <row r="485">
      <c r="A485" s="57"/>
      <c r="B485" s="57"/>
    </row>
    <row r="486">
      <c r="A486" s="57"/>
      <c r="B486" s="57"/>
    </row>
    <row r="487">
      <c r="A487" s="57"/>
      <c r="B487" s="57"/>
    </row>
    <row r="488">
      <c r="A488" s="57"/>
      <c r="B488" s="57"/>
    </row>
    <row r="489">
      <c r="A489" s="57"/>
      <c r="B489" s="57"/>
    </row>
    <row r="490">
      <c r="A490" s="57"/>
      <c r="B490" s="57"/>
    </row>
    <row r="491">
      <c r="A491" s="57"/>
      <c r="B491" s="57"/>
    </row>
    <row r="492">
      <c r="A492" s="57"/>
      <c r="B492" s="57"/>
    </row>
    <row r="493">
      <c r="A493" s="57"/>
      <c r="B493" s="57"/>
    </row>
    <row r="494">
      <c r="A494" s="57"/>
      <c r="B494" s="57"/>
    </row>
    <row r="495">
      <c r="A495" s="57"/>
      <c r="B495" s="57"/>
    </row>
    <row r="496">
      <c r="A496" s="57"/>
      <c r="B496" s="57"/>
    </row>
    <row r="497">
      <c r="A497" s="57"/>
      <c r="B497" s="57"/>
    </row>
    <row r="498">
      <c r="A498" s="57"/>
      <c r="B498" s="57"/>
    </row>
    <row r="499">
      <c r="A499" s="57"/>
      <c r="B499" s="57"/>
    </row>
    <row r="500">
      <c r="A500" s="57"/>
      <c r="B500" s="57"/>
    </row>
    <row r="501">
      <c r="A501" s="57"/>
      <c r="B501" s="57"/>
    </row>
    <row r="502">
      <c r="A502" s="57"/>
      <c r="B502" s="57"/>
    </row>
    <row r="503">
      <c r="A503" s="57"/>
      <c r="B503" s="57"/>
    </row>
    <row r="504">
      <c r="A504" s="57"/>
      <c r="B504" s="57"/>
    </row>
    <row r="505">
      <c r="A505" s="57"/>
      <c r="B505" s="57"/>
    </row>
    <row r="506">
      <c r="A506" s="57"/>
      <c r="B506" s="57"/>
    </row>
    <row r="507">
      <c r="A507" s="57"/>
      <c r="B507" s="57"/>
    </row>
    <row r="508">
      <c r="A508" s="57"/>
      <c r="B508" s="57"/>
    </row>
    <row r="509">
      <c r="A509" s="57"/>
      <c r="B509" s="57"/>
    </row>
    <row r="510">
      <c r="A510" s="57"/>
      <c r="B510" s="57"/>
    </row>
    <row r="511">
      <c r="A511" s="57"/>
      <c r="B511" s="57"/>
    </row>
    <row r="512">
      <c r="A512" s="57"/>
      <c r="B512" s="57"/>
    </row>
    <row r="513">
      <c r="A513" s="57"/>
      <c r="B513" s="57"/>
    </row>
    <row r="514">
      <c r="A514" s="57"/>
      <c r="B514" s="57"/>
    </row>
    <row r="515">
      <c r="A515" s="57"/>
      <c r="B515" s="57"/>
    </row>
    <row r="516">
      <c r="A516" s="57"/>
      <c r="B516" s="57"/>
    </row>
    <row r="517">
      <c r="A517" s="57"/>
      <c r="B517" s="57"/>
    </row>
    <row r="518">
      <c r="A518" s="57"/>
      <c r="B518" s="57"/>
    </row>
    <row r="519">
      <c r="A519" s="57"/>
      <c r="B519" s="57"/>
    </row>
    <row r="520">
      <c r="A520" s="57"/>
      <c r="B520" s="57"/>
    </row>
    <row r="521">
      <c r="A521" s="57"/>
      <c r="B521" s="57"/>
    </row>
    <row r="522">
      <c r="A522" s="57"/>
      <c r="B522" s="57"/>
    </row>
    <row r="523">
      <c r="A523" s="57"/>
      <c r="B523" s="57"/>
    </row>
    <row r="524">
      <c r="A524" s="57"/>
      <c r="B524" s="57"/>
    </row>
    <row r="525">
      <c r="A525" s="57"/>
      <c r="B525" s="57"/>
    </row>
    <row r="526">
      <c r="A526" s="57"/>
      <c r="B526" s="57"/>
    </row>
    <row r="527">
      <c r="A527" s="57"/>
      <c r="B527" s="57"/>
    </row>
    <row r="528">
      <c r="A528" s="57"/>
      <c r="B528" s="57"/>
    </row>
    <row r="529">
      <c r="A529" s="57"/>
      <c r="B529" s="57"/>
    </row>
    <row r="530">
      <c r="A530" s="57"/>
      <c r="B530" s="57"/>
    </row>
    <row r="531">
      <c r="A531" s="57"/>
      <c r="B531" s="57"/>
    </row>
    <row r="532">
      <c r="A532" s="57"/>
      <c r="B532" s="57"/>
    </row>
    <row r="533">
      <c r="A533" s="57"/>
      <c r="B533" s="57"/>
    </row>
    <row r="534">
      <c r="A534" s="57"/>
      <c r="B534" s="57"/>
    </row>
    <row r="535">
      <c r="A535" s="57"/>
      <c r="B535" s="57"/>
    </row>
    <row r="536">
      <c r="A536" s="57"/>
      <c r="B536" s="57"/>
    </row>
    <row r="537">
      <c r="A537" s="57"/>
      <c r="B537" s="57"/>
    </row>
    <row r="538">
      <c r="A538" s="57"/>
      <c r="B538" s="57"/>
    </row>
    <row r="539">
      <c r="A539" s="57"/>
      <c r="B539" s="57"/>
    </row>
    <row r="540">
      <c r="A540" s="57"/>
      <c r="B540" s="57"/>
    </row>
    <row r="541">
      <c r="A541" s="57"/>
      <c r="B541" s="57"/>
    </row>
    <row r="542">
      <c r="A542" s="57"/>
      <c r="B542" s="57"/>
    </row>
    <row r="543">
      <c r="A543" s="57"/>
      <c r="B543" s="57"/>
    </row>
    <row r="544">
      <c r="A544" s="57"/>
      <c r="B544" s="57"/>
    </row>
    <row r="545">
      <c r="A545" s="57"/>
      <c r="B545" s="57"/>
    </row>
    <row r="546">
      <c r="A546" s="57"/>
      <c r="B546" s="57"/>
    </row>
    <row r="547">
      <c r="A547" s="57"/>
      <c r="B547" s="57"/>
    </row>
    <row r="548">
      <c r="A548" s="57"/>
      <c r="B548" s="57"/>
    </row>
    <row r="549">
      <c r="A549" s="57"/>
      <c r="B549" s="57"/>
    </row>
    <row r="550">
      <c r="A550" s="57"/>
      <c r="B550" s="57"/>
    </row>
    <row r="551">
      <c r="A551" s="57"/>
      <c r="B551" s="57"/>
    </row>
    <row r="552">
      <c r="A552" s="57"/>
      <c r="B552" s="57"/>
    </row>
    <row r="553">
      <c r="A553" s="57"/>
      <c r="B553" s="57"/>
    </row>
    <row r="554">
      <c r="A554" s="57"/>
      <c r="B554" s="57"/>
    </row>
    <row r="555">
      <c r="A555" s="57"/>
      <c r="B555" s="57"/>
    </row>
    <row r="556">
      <c r="A556" s="57"/>
      <c r="B556" s="57"/>
    </row>
    <row r="557">
      <c r="A557" s="57"/>
      <c r="B557" s="57"/>
    </row>
    <row r="558">
      <c r="A558" s="57"/>
      <c r="B558" s="57"/>
    </row>
    <row r="559">
      <c r="A559" s="57"/>
      <c r="B559" s="57"/>
    </row>
    <row r="560">
      <c r="A560" s="57"/>
      <c r="B560" s="57"/>
    </row>
    <row r="561">
      <c r="A561" s="57"/>
      <c r="B561" s="57"/>
    </row>
    <row r="562">
      <c r="A562" s="57"/>
      <c r="B562" s="57"/>
    </row>
    <row r="563">
      <c r="A563" s="57"/>
      <c r="B563" s="57"/>
    </row>
    <row r="564">
      <c r="A564" s="57"/>
      <c r="B564" s="57"/>
    </row>
    <row r="565">
      <c r="A565" s="57"/>
      <c r="B565" s="57"/>
    </row>
    <row r="566">
      <c r="A566" s="57"/>
      <c r="B566" s="57"/>
    </row>
    <row r="567">
      <c r="A567" s="57"/>
      <c r="B567" s="57"/>
    </row>
    <row r="568">
      <c r="A568" s="57"/>
      <c r="B568" s="57"/>
    </row>
    <row r="569">
      <c r="A569" s="57"/>
      <c r="B569" s="57"/>
    </row>
    <row r="570">
      <c r="A570" s="57"/>
      <c r="B570" s="57"/>
    </row>
    <row r="571">
      <c r="A571" s="57"/>
      <c r="B571" s="57"/>
    </row>
    <row r="572">
      <c r="A572" s="57"/>
      <c r="B572" s="57"/>
    </row>
    <row r="573">
      <c r="A573" s="57"/>
      <c r="B573" s="57"/>
    </row>
    <row r="574">
      <c r="A574" s="57"/>
      <c r="B574" s="57"/>
    </row>
    <row r="575">
      <c r="A575" s="57"/>
      <c r="B575" s="57"/>
    </row>
    <row r="576">
      <c r="A576" s="57"/>
      <c r="B576" s="57"/>
    </row>
    <row r="577">
      <c r="A577" s="57"/>
      <c r="B577" s="57"/>
    </row>
    <row r="578">
      <c r="A578" s="57"/>
      <c r="B578" s="57"/>
    </row>
    <row r="579">
      <c r="A579" s="57"/>
      <c r="B579" s="57"/>
    </row>
    <row r="580">
      <c r="A580" s="57"/>
      <c r="B580" s="57"/>
    </row>
    <row r="581">
      <c r="A581" s="57"/>
      <c r="B581" s="57"/>
    </row>
    <row r="582">
      <c r="A582" s="57"/>
      <c r="B582" s="57"/>
    </row>
    <row r="583">
      <c r="A583" s="57"/>
      <c r="B583" s="57"/>
    </row>
    <row r="584">
      <c r="A584" s="57"/>
      <c r="B584" s="57"/>
    </row>
    <row r="585">
      <c r="A585" s="57"/>
      <c r="B585" s="57"/>
    </row>
    <row r="586">
      <c r="A586" s="57"/>
      <c r="B586" s="57"/>
    </row>
    <row r="587">
      <c r="A587" s="57"/>
      <c r="B587" s="57"/>
    </row>
    <row r="588">
      <c r="A588" s="57"/>
      <c r="B588" s="57"/>
    </row>
    <row r="589">
      <c r="A589" s="57"/>
      <c r="B589" s="57"/>
    </row>
    <row r="590">
      <c r="A590" s="57"/>
      <c r="B590" s="57"/>
    </row>
    <row r="591">
      <c r="A591" s="57"/>
      <c r="B591" s="57"/>
    </row>
    <row r="592">
      <c r="A592" s="57"/>
      <c r="B592" s="57"/>
    </row>
    <row r="593">
      <c r="A593" s="57"/>
      <c r="B593" s="57"/>
    </row>
    <row r="594">
      <c r="A594" s="57"/>
      <c r="B594" s="57"/>
    </row>
    <row r="595">
      <c r="A595" s="57"/>
      <c r="B595" s="57"/>
    </row>
    <row r="596">
      <c r="A596" s="57"/>
      <c r="B596" s="57"/>
    </row>
    <row r="597">
      <c r="A597" s="57"/>
      <c r="B597" s="57"/>
    </row>
    <row r="598">
      <c r="A598" s="57"/>
      <c r="B598" s="57"/>
    </row>
    <row r="599">
      <c r="A599" s="57"/>
      <c r="B599" s="57"/>
    </row>
    <row r="600">
      <c r="A600" s="57"/>
      <c r="B600" s="57"/>
    </row>
    <row r="601">
      <c r="A601" s="57"/>
      <c r="B601" s="57"/>
    </row>
    <row r="602">
      <c r="A602" s="57"/>
      <c r="B602" s="57"/>
    </row>
    <row r="603">
      <c r="A603" s="57"/>
      <c r="B603" s="57"/>
    </row>
    <row r="604">
      <c r="A604" s="57"/>
      <c r="B604" s="57"/>
    </row>
    <row r="605">
      <c r="A605" s="57"/>
      <c r="B605" s="57"/>
    </row>
    <row r="606">
      <c r="A606" s="57"/>
      <c r="B606" s="57"/>
    </row>
    <row r="607">
      <c r="A607" s="57"/>
      <c r="B607" s="57"/>
    </row>
    <row r="608">
      <c r="A608" s="57"/>
      <c r="B608" s="57"/>
    </row>
    <row r="609">
      <c r="A609" s="57"/>
      <c r="B609" s="57"/>
    </row>
    <row r="610">
      <c r="A610" s="57"/>
      <c r="B610" s="57"/>
    </row>
    <row r="611">
      <c r="A611" s="57"/>
      <c r="B611" s="57"/>
    </row>
    <row r="612">
      <c r="A612" s="57"/>
      <c r="B612" s="57"/>
    </row>
    <row r="613">
      <c r="A613" s="57"/>
      <c r="B613" s="57"/>
    </row>
    <row r="614">
      <c r="A614" s="57"/>
      <c r="B614" s="57"/>
    </row>
    <row r="615">
      <c r="A615" s="57"/>
      <c r="B615" s="57"/>
    </row>
    <row r="616">
      <c r="A616" s="57"/>
      <c r="B616" s="57"/>
    </row>
    <row r="617">
      <c r="A617" s="57"/>
      <c r="B617" s="57"/>
    </row>
    <row r="618">
      <c r="A618" s="57"/>
      <c r="B618" s="57"/>
    </row>
    <row r="619">
      <c r="A619" s="57"/>
      <c r="B619" s="57"/>
    </row>
    <row r="620">
      <c r="A620" s="57"/>
      <c r="B620" s="57"/>
    </row>
    <row r="621">
      <c r="A621" s="57"/>
      <c r="B621" s="57"/>
    </row>
    <row r="622">
      <c r="A622" s="57"/>
      <c r="B622" s="57"/>
    </row>
    <row r="623">
      <c r="A623" s="57"/>
      <c r="B623" s="57"/>
    </row>
    <row r="624">
      <c r="A624" s="57"/>
      <c r="B624" s="57"/>
    </row>
    <row r="625">
      <c r="A625" s="57"/>
      <c r="B625" s="57"/>
    </row>
    <row r="626">
      <c r="A626" s="57"/>
      <c r="B626" s="57"/>
    </row>
    <row r="627">
      <c r="A627" s="57"/>
      <c r="B627" s="57"/>
    </row>
    <row r="628">
      <c r="A628" s="57"/>
      <c r="B628" s="57"/>
    </row>
    <row r="629">
      <c r="A629" s="57"/>
      <c r="B629" s="57"/>
    </row>
    <row r="630">
      <c r="A630" s="57"/>
      <c r="B630" s="57"/>
    </row>
    <row r="631">
      <c r="A631" s="57"/>
      <c r="B631" s="57"/>
    </row>
    <row r="632">
      <c r="A632" s="57"/>
      <c r="B632" s="57"/>
    </row>
    <row r="633">
      <c r="A633" s="57"/>
      <c r="B633" s="57"/>
    </row>
    <row r="634">
      <c r="A634" s="57"/>
      <c r="B634" s="57"/>
    </row>
    <row r="635">
      <c r="A635" s="57"/>
      <c r="B635" s="57"/>
    </row>
    <row r="636">
      <c r="A636" s="57"/>
      <c r="B636" s="57"/>
    </row>
    <row r="637">
      <c r="A637" s="57"/>
      <c r="B637" s="57"/>
    </row>
    <row r="638">
      <c r="A638" s="57"/>
      <c r="B638" s="57"/>
    </row>
    <row r="639">
      <c r="A639" s="57"/>
      <c r="B639" s="57"/>
    </row>
    <row r="640">
      <c r="A640" s="57"/>
      <c r="B640" s="57"/>
    </row>
    <row r="641">
      <c r="A641" s="57"/>
      <c r="B641" s="57"/>
    </row>
    <row r="642">
      <c r="A642" s="57"/>
      <c r="B642" s="57"/>
    </row>
    <row r="643">
      <c r="A643" s="57"/>
      <c r="B643" s="57"/>
    </row>
    <row r="644">
      <c r="A644" s="57"/>
      <c r="B644" s="57"/>
    </row>
    <row r="645">
      <c r="A645" s="57"/>
      <c r="B645" s="57"/>
    </row>
    <row r="646">
      <c r="A646" s="57"/>
      <c r="B646" s="57"/>
    </row>
    <row r="647">
      <c r="A647" s="57"/>
      <c r="B647" s="57"/>
    </row>
    <row r="648">
      <c r="A648" s="57"/>
      <c r="B648" s="57"/>
    </row>
    <row r="649">
      <c r="A649" s="57"/>
      <c r="B649" s="57"/>
    </row>
    <row r="650">
      <c r="A650" s="57"/>
      <c r="B650" s="57"/>
    </row>
    <row r="651">
      <c r="A651" s="57"/>
      <c r="B651" s="57"/>
    </row>
    <row r="652">
      <c r="A652" s="57"/>
      <c r="B652" s="57"/>
    </row>
    <row r="653">
      <c r="A653" s="57"/>
      <c r="B653" s="57"/>
    </row>
    <row r="654">
      <c r="A654" s="57"/>
      <c r="B654" s="57"/>
    </row>
    <row r="655">
      <c r="A655" s="57"/>
      <c r="B655" s="57"/>
    </row>
    <row r="656">
      <c r="A656" s="57"/>
      <c r="B656" s="57"/>
    </row>
    <row r="657">
      <c r="A657" s="57"/>
      <c r="B657" s="57"/>
    </row>
    <row r="658">
      <c r="A658" s="57"/>
      <c r="B658" s="57"/>
    </row>
    <row r="659">
      <c r="A659" s="57"/>
      <c r="B659" s="57"/>
    </row>
    <row r="660">
      <c r="A660" s="57"/>
      <c r="B660" s="57"/>
    </row>
    <row r="661">
      <c r="A661" s="57"/>
      <c r="B661" s="57"/>
    </row>
    <row r="662">
      <c r="A662" s="57"/>
      <c r="B662" s="57"/>
    </row>
    <row r="663">
      <c r="A663" s="57"/>
      <c r="B663" s="57"/>
    </row>
    <row r="664">
      <c r="A664" s="57"/>
      <c r="B664" s="57"/>
    </row>
    <row r="665">
      <c r="A665" s="57"/>
      <c r="B665" s="57"/>
    </row>
    <row r="666">
      <c r="A666" s="57"/>
      <c r="B666" s="57"/>
    </row>
    <row r="667">
      <c r="A667" s="57"/>
      <c r="B667" s="57"/>
    </row>
    <row r="668">
      <c r="A668" s="57"/>
      <c r="B668" s="57"/>
    </row>
    <row r="669">
      <c r="A669" s="57"/>
      <c r="B669" s="57"/>
    </row>
    <row r="670">
      <c r="A670" s="57"/>
      <c r="B670" s="57"/>
    </row>
    <row r="671">
      <c r="A671" s="57"/>
      <c r="B671" s="57"/>
    </row>
    <row r="672">
      <c r="A672" s="57"/>
      <c r="B672" s="57"/>
    </row>
    <row r="673">
      <c r="A673" s="57"/>
      <c r="B673" s="57"/>
    </row>
    <row r="674">
      <c r="A674" s="57"/>
      <c r="B674" s="57"/>
    </row>
    <row r="675">
      <c r="A675" s="57"/>
      <c r="B675" s="57"/>
    </row>
    <row r="676">
      <c r="A676" s="57"/>
      <c r="B676" s="57"/>
    </row>
    <row r="677">
      <c r="A677" s="57"/>
      <c r="B677" s="57"/>
    </row>
    <row r="678">
      <c r="A678" s="57"/>
      <c r="B678" s="57"/>
    </row>
    <row r="679">
      <c r="A679" s="57"/>
      <c r="B679" s="57"/>
    </row>
    <row r="680">
      <c r="A680" s="57"/>
      <c r="B680" s="57"/>
    </row>
    <row r="681">
      <c r="A681" s="57"/>
      <c r="B681" s="57"/>
    </row>
    <row r="682">
      <c r="A682" s="57"/>
      <c r="B682" s="57"/>
    </row>
    <row r="683">
      <c r="A683" s="57"/>
      <c r="B683" s="57"/>
    </row>
    <row r="684">
      <c r="A684" s="57"/>
      <c r="B684" s="57"/>
    </row>
    <row r="685">
      <c r="A685" s="57"/>
      <c r="B685" s="57"/>
    </row>
    <row r="686">
      <c r="A686" s="57"/>
      <c r="B686" s="57"/>
    </row>
    <row r="687">
      <c r="A687" s="57"/>
      <c r="B687" s="57"/>
    </row>
    <row r="688">
      <c r="A688" s="57"/>
      <c r="B688" s="57"/>
    </row>
    <row r="689">
      <c r="A689" s="57"/>
      <c r="B689" s="57"/>
    </row>
    <row r="690">
      <c r="A690" s="57"/>
      <c r="B690" s="57"/>
    </row>
    <row r="691">
      <c r="A691" s="57"/>
      <c r="B691" s="57"/>
    </row>
    <row r="692">
      <c r="A692" s="57"/>
      <c r="B692" s="57"/>
    </row>
    <row r="693">
      <c r="A693" s="57"/>
      <c r="B693" s="57"/>
    </row>
    <row r="694">
      <c r="A694" s="57"/>
      <c r="B694" s="57"/>
    </row>
    <row r="695">
      <c r="A695" s="57"/>
      <c r="B695" s="57"/>
    </row>
    <row r="696">
      <c r="A696" s="57"/>
      <c r="B696" s="57"/>
    </row>
    <row r="697">
      <c r="A697" s="57"/>
      <c r="B697" s="57"/>
    </row>
    <row r="698">
      <c r="A698" s="57"/>
      <c r="B698" s="57"/>
    </row>
    <row r="699">
      <c r="A699" s="57"/>
      <c r="B699" s="57"/>
    </row>
    <row r="700">
      <c r="A700" s="57"/>
      <c r="B700" s="57"/>
    </row>
    <row r="701">
      <c r="A701" s="57"/>
      <c r="B701" s="57"/>
    </row>
    <row r="702">
      <c r="A702" s="57"/>
      <c r="B702" s="57"/>
    </row>
    <row r="703">
      <c r="A703" s="57"/>
      <c r="B703" s="57"/>
    </row>
    <row r="704">
      <c r="A704" s="57"/>
      <c r="B704" s="57"/>
    </row>
    <row r="705">
      <c r="A705" s="57"/>
      <c r="B705" s="57"/>
    </row>
    <row r="706">
      <c r="A706" s="57"/>
      <c r="B706" s="57"/>
    </row>
    <row r="707">
      <c r="A707" s="57"/>
      <c r="B707" s="57"/>
    </row>
    <row r="708">
      <c r="A708" s="57"/>
      <c r="B708" s="57"/>
    </row>
    <row r="709">
      <c r="A709" s="57"/>
      <c r="B709" s="57"/>
    </row>
    <row r="710">
      <c r="A710" s="57"/>
      <c r="B710" s="57"/>
    </row>
    <row r="711">
      <c r="A711" s="57"/>
      <c r="B711" s="57"/>
    </row>
    <row r="712">
      <c r="A712" s="57"/>
      <c r="B712" s="57"/>
    </row>
    <row r="713">
      <c r="A713" s="57"/>
      <c r="B713" s="57"/>
    </row>
    <row r="714">
      <c r="A714" s="57"/>
      <c r="B714" s="57"/>
    </row>
    <row r="715">
      <c r="A715" s="57"/>
      <c r="B715" s="57"/>
    </row>
    <row r="716">
      <c r="A716" s="57"/>
      <c r="B716" s="57"/>
    </row>
    <row r="717">
      <c r="A717" s="57"/>
      <c r="B717" s="57"/>
    </row>
    <row r="718">
      <c r="A718" s="57"/>
      <c r="B718" s="57"/>
    </row>
    <row r="719">
      <c r="A719" s="57"/>
      <c r="B719" s="57"/>
    </row>
    <row r="720">
      <c r="A720" s="57"/>
      <c r="B720" s="57"/>
    </row>
    <row r="721">
      <c r="A721" s="57"/>
      <c r="B721" s="57"/>
    </row>
    <row r="722">
      <c r="A722" s="57"/>
      <c r="B722" s="57"/>
    </row>
    <row r="723">
      <c r="A723" s="57"/>
      <c r="B723" s="57"/>
    </row>
    <row r="724">
      <c r="A724" s="57"/>
      <c r="B724" s="57"/>
    </row>
    <row r="725">
      <c r="A725" s="57"/>
      <c r="B725" s="57"/>
    </row>
    <row r="726">
      <c r="A726" s="57"/>
      <c r="B726" s="57"/>
    </row>
    <row r="727">
      <c r="A727" s="57"/>
      <c r="B727" s="57"/>
    </row>
    <row r="728">
      <c r="A728" s="57"/>
      <c r="B728" s="57"/>
    </row>
    <row r="729">
      <c r="A729" s="57"/>
      <c r="B729" s="57"/>
    </row>
    <row r="730">
      <c r="A730" s="57"/>
      <c r="B730" s="57"/>
    </row>
    <row r="731">
      <c r="A731" s="57"/>
      <c r="B731" s="57"/>
    </row>
    <row r="732">
      <c r="A732" s="57"/>
      <c r="B732" s="57"/>
    </row>
    <row r="733">
      <c r="A733" s="57"/>
      <c r="B733" s="57"/>
    </row>
    <row r="734">
      <c r="A734" s="57"/>
      <c r="B734" s="57"/>
    </row>
    <row r="735">
      <c r="A735" s="57"/>
      <c r="B735" s="57"/>
    </row>
    <row r="736">
      <c r="A736" s="57"/>
      <c r="B736" s="57"/>
    </row>
    <row r="737">
      <c r="A737" s="57"/>
      <c r="B737" s="57"/>
    </row>
    <row r="738">
      <c r="A738" s="57"/>
      <c r="B738" s="57"/>
    </row>
    <row r="739">
      <c r="A739" s="57"/>
      <c r="B739" s="57"/>
    </row>
    <row r="740">
      <c r="A740" s="57"/>
      <c r="B740" s="57"/>
    </row>
    <row r="741">
      <c r="A741" s="57"/>
      <c r="B741" s="57"/>
    </row>
    <row r="742">
      <c r="A742" s="57"/>
      <c r="B742" s="57"/>
    </row>
    <row r="743">
      <c r="A743" s="57"/>
      <c r="B743" s="57"/>
    </row>
    <row r="744">
      <c r="A744" s="57"/>
      <c r="B744" s="57"/>
    </row>
    <row r="745">
      <c r="A745" s="57"/>
      <c r="B745" s="57"/>
    </row>
    <row r="746">
      <c r="A746" s="57"/>
      <c r="B746" s="57"/>
    </row>
    <row r="747">
      <c r="A747" s="57"/>
      <c r="B747" s="57"/>
    </row>
    <row r="748">
      <c r="A748" s="57"/>
      <c r="B748" s="57"/>
    </row>
    <row r="749">
      <c r="A749" s="57"/>
      <c r="B749" s="57"/>
    </row>
    <row r="750">
      <c r="A750" s="57"/>
      <c r="B750" s="57"/>
    </row>
    <row r="751">
      <c r="A751" s="57"/>
      <c r="B751" s="57"/>
    </row>
    <row r="752">
      <c r="A752" s="57"/>
      <c r="B752" s="57"/>
    </row>
    <row r="753">
      <c r="A753" s="57"/>
      <c r="B753" s="57"/>
    </row>
    <row r="754">
      <c r="A754" s="57"/>
      <c r="B754" s="57"/>
    </row>
    <row r="755">
      <c r="A755" s="57"/>
      <c r="B755" s="57"/>
    </row>
    <row r="756">
      <c r="A756" s="57"/>
      <c r="B756" s="57"/>
    </row>
    <row r="757">
      <c r="A757" s="57"/>
      <c r="B757" s="57"/>
    </row>
    <row r="758">
      <c r="A758" s="57"/>
      <c r="B758" s="57"/>
    </row>
    <row r="759">
      <c r="A759" s="57"/>
      <c r="B759" s="57"/>
    </row>
    <row r="760">
      <c r="A760" s="57"/>
      <c r="B760" s="57"/>
    </row>
    <row r="761">
      <c r="A761" s="57"/>
      <c r="B761" s="57"/>
    </row>
    <row r="762">
      <c r="A762" s="57"/>
      <c r="B762" s="57"/>
    </row>
    <row r="763">
      <c r="A763" s="57"/>
      <c r="B763" s="57"/>
    </row>
    <row r="764">
      <c r="A764" s="57"/>
      <c r="B764" s="57"/>
    </row>
    <row r="765">
      <c r="A765" s="57"/>
      <c r="B765" s="57"/>
    </row>
    <row r="766">
      <c r="A766" s="57"/>
      <c r="B766" s="57"/>
    </row>
    <row r="767">
      <c r="A767" s="57"/>
      <c r="B767" s="57"/>
    </row>
    <row r="768">
      <c r="A768" s="57"/>
      <c r="B768" s="57"/>
    </row>
    <row r="769">
      <c r="A769" s="57"/>
      <c r="B769" s="57"/>
    </row>
    <row r="770">
      <c r="A770" s="57"/>
      <c r="B770" s="57"/>
    </row>
    <row r="771">
      <c r="A771" s="57"/>
      <c r="B771" s="57"/>
    </row>
    <row r="772">
      <c r="A772" s="57"/>
      <c r="B772" s="57"/>
    </row>
    <row r="773">
      <c r="A773" s="57"/>
      <c r="B773" s="57"/>
    </row>
    <row r="774">
      <c r="A774" s="57"/>
      <c r="B774" s="57"/>
    </row>
    <row r="775">
      <c r="A775" s="57"/>
      <c r="B775" s="57"/>
    </row>
    <row r="776">
      <c r="A776" s="57"/>
      <c r="B776" s="57"/>
    </row>
    <row r="777">
      <c r="A777" s="57"/>
      <c r="B777" s="57"/>
    </row>
    <row r="778">
      <c r="A778" s="57"/>
      <c r="B778" s="57"/>
    </row>
    <row r="779">
      <c r="A779" s="57"/>
      <c r="B779" s="57"/>
    </row>
    <row r="780">
      <c r="A780" s="57"/>
      <c r="B780" s="57"/>
    </row>
    <row r="781">
      <c r="A781" s="57"/>
      <c r="B781" s="57"/>
    </row>
    <row r="782">
      <c r="A782" s="57"/>
      <c r="B782" s="57"/>
    </row>
    <row r="783">
      <c r="A783" s="57"/>
      <c r="B783" s="57"/>
    </row>
    <row r="784">
      <c r="A784" s="57"/>
      <c r="B784" s="57"/>
    </row>
    <row r="785">
      <c r="A785" s="57"/>
      <c r="B785" s="57"/>
    </row>
    <row r="786">
      <c r="A786" s="57"/>
      <c r="B786" s="57"/>
    </row>
    <row r="787">
      <c r="A787" s="57"/>
      <c r="B787" s="57"/>
    </row>
    <row r="788">
      <c r="A788" s="57"/>
      <c r="B788" s="57"/>
    </row>
    <row r="789">
      <c r="A789" s="57"/>
      <c r="B789" s="57"/>
    </row>
    <row r="790">
      <c r="A790" s="57"/>
      <c r="B790" s="57"/>
    </row>
    <row r="791">
      <c r="A791" s="57"/>
      <c r="B791" s="57"/>
    </row>
    <row r="792">
      <c r="A792" s="57"/>
      <c r="B792" s="57"/>
    </row>
    <row r="793">
      <c r="A793" s="57"/>
      <c r="B793" s="57"/>
    </row>
    <row r="794">
      <c r="A794" s="57"/>
      <c r="B794" s="57"/>
    </row>
    <row r="795">
      <c r="A795" s="57"/>
      <c r="B795" s="57"/>
    </row>
    <row r="796">
      <c r="A796" s="57"/>
      <c r="B796" s="57"/>
    </row>
    <row r="797">
      <c r="A797" s="57"/>
      <c r="B797" s="57"/>
    </row>
    <row r="798">
      <c r="A798" s="57"/>
      <c r="B798" s="57"/>
    </row>
    <row r="799">
      <c r="A799" s="57"/>
      <c r="B799" s="57"/>
    </row>
    <row r="800">
      <c r="A800" s="57"/>
      <c r="B800" s="57"/>
    </row>
    <row r="801">
      <c r="A801" s="57"/>
      <c r="B801" s="57"/>
    </row>
    <row r="802">
      <c r="A802" s="57"/>
      <c r="B802" s="57"/>
    </row>
    <row r="803">
      <c r="A803" s="57"/>
      <c r="B803" s="57"/>
    </row>
    <row r="804">
      <c r="A804" s="57"/>
      <c r="B804" s="57"/>
    </row>
    <row r="805">
      <c r="A805" s="57"/>
      <c r="B805" s="57"/>
    </row>
    <row r="806">
      <c r="A806" s="57"/>
      <c r="B806" s="57"/>
    </row>
    <row r="807">
      <c r="A807" s="57"/>
      <c r="B807" s="57"/>
    </row>
    <row r="808">
      <c r="A808" s="57"/>
      <c r="B808" s="57"/>
    </row>
    <row r="809">
      <c r="A809" s="57"/>
      <c r="B809" s="57"/>
    </row>
    <row r="810">
      <c r="A810" s="57"/>
      <c r="B810" s="57"/>
    </row>
    <row r="811">
      <c r="A811" s="57"/>
      <c r="B811" s="57"/>
    </row>
    <row r="812">
      <c r="A812" s="57"/>
      <c r="B812" s="57"/>
    </row>
    <row r="813">
      <c r="A813" s="57"/>
      <c r="B813" s="57"/>
    </row>
    <row r="814">
      <c r="A814" s="57"/>
      <c r="B814" s="57"/>
    </row>
    <row r="815">
      <c r="A815" s="57"/>
      <c r="B815" s="57"/>
    </row>
    <row r="816">
      <c r="A816" s="57"/>
      <c r="B816" s="57"/>
    </row>
    <row r="817">
      <c r="A817" s="57"/>
      <c r="B817" s="57"/>
    </row>
    <row r="818">
      <c r="A818" s="57"/>
      <c r="B818" s="57"/>
    </row>
    <row r="819">
      <c r="A819" s="57"/>
      <c r="B819" s="57"/>
    </row>
    <row r="820">
      <c r="A820" s="57"/>
      <c r="B820" s="57"/>
    </row>
    <row r="821">
      <c r="A821" s="57"/>
      <c r="B821" s="57"/>
    </row>
    <row r="822">
      <c r="A822" s="57"/>
      <c r="B822" s="57"/>
    </row>
    <row r="823">
      <c r="A823" s="57"/>
      <c r="B823" s="57"/>
    </row>
    <row r="824">
      <c r="A824" s="57"/>
      <c r="B824" s="57"/>
    </row>
    <row r="825">
      <c r="A825" s="57"/>
      <c r="B825" s="57"/>
    </row>
    <row r="826">
      <c r="A826" s="57"/>
      <c r="B826" s="57"/>
    </row>
    <row r="827">
      <c r="A827" s="57"/>
      <c r="B827" s="57"/>
    </row>
    <row r="828">
      <c r="A828" s="57"/>
      <c r="B828" s="57"/>
    </row>
    <row r="829">
      <c r="A829" s="57"/>
      <c r="B829" s="57"/>
    </row>
    <row r="830">
      <c r="A830" s="57"/>
      <c r="B830" s="57"/>
    </row>
    <row r="831">
      <c r="A831" s="57"/>
      <c r="B831" s="57"/>
    </row>
    <row r="832">
      <c r="A832" s="57"/>
      <c r="B832" s="57"/>
    </row>
    <row r="833">
      <c r="A833" s="57"/>
      <c r="B833" s="57"/>
    </row>
    <row r="834">
      <c r="A834" s="57"/>
      <c r="B834" s="57"/>
    </row>
    <row r="835">
      <c r="A835" s="57"/>
      <c r="B835" s="57"/>
    </row>
    <row r="836">
      <c r="A836" s="57"/>
      <c r="B836" s="57"/>
    </row>
    <row r="837">
      <c r="A837" s="57"/>
      <c r="B837" s="57"/>
    </row>
    <row r="838">
      <c r="A838" s="57"/>
      <c r="B838" s="57"/>
    </row>
    <row r="839">
      <c r="A839" s="57"/>
      <c r="B839" s="57"/>
    </row>
    <row r="840">
      <c r="A840" s="57"/>
      <c r="B840" s="57"/>
    </row>
    <row r="841">
      <c r="A841" s="57"/>
      <c r="B841" s="57"/>
    </row>
    <row r="842">
      <c r="A842" s="57"/>
      <c r="B842" s="57"/>
    </row>
    <row r="843">
      <c r="A843" s="57"/>
      <c r="B843" s="57"/>
    </row>
    <row r="844">
      <c r="A844" s="57"/>
      <c r="B844" s="57"/>
    </row>
    <row r="845">
      <c r="A845" s="57"/>
      <c r="B845" s="57"/>
    </row>
    <row r="846">
      <c r="A846" s="57"/>
      <c r="B846" s="57"/>
    </row>
    <row r="847">
      <c r="A847" s="57"/>
      <c r="B847" s="57"/>
    </row>
    <row r="848">
      <c r="A848" s="57"/>
      <c r="B848" s="57"/>
    </row>
    <row r="849">
      <c r="A849" s="57"/>
      <c r="B849" s="57"/>
    </row>
    <row r="850">
      <c r="A850" s="57"/>
      <c r="B850" s="57"/>
    </row>
    <row r="851">
      <c r="A851" s="57"/>
      <c r="B851" s="57"/>
    </row>
    <row r="852">
      <c r="A852" s="57"/>
      <c r="B852" s="57"/>
    </row>
    <row r="853">
      <c r="A853" s="57"/>
      <c r="B853" s="57"/>
    </row>
    <row r="854">
      <c r="A854" s="57"/>
      <c r="B854" s="57"/>
    </row>
    <row r="855">
      <c r="A855" s="57"/>
      <c r="B855" s="57"/>
    </row>
    <row r="856">
      <c r="A856" s="57"/>
      <c r="B856" s="57"/>
    </row>
    <row r="857">
      <c r="A857" s="57"/>
      <c r="B857" s="57"/>
    </row>
    <row r="858">
      <c r="A858" s="57"/>
      <c r="B858" s="57"/>
    </row>
    <row r="859">
      <c r="A859" s="57"/>
      <c r="B859" s="57"/>
    </row>
    <row r="860">
      <c r="A860" s="57"/>
      <c r="B860" s="57"/>
    </row>
    <row r="861">
      <c r="A861" s="57"/>
      <c r="B861" s="57"/>
    </row>
    <row r="862">
      <c r="A862" s="57"/>
      <c r="B862" s="57"/>
    </row>
    <row r="863">
      <c r="A863" s="57"/>
      <c r="B863" s="57"/>
    </row>
    <row r="864">
      <c r="A864" s="57"/>
      <c r="B864" s="57"/>
    </row>
    <row r="865">
      <c r="A865" s="57"/>
      <c r="B865" s="57"/>
    </row>
    <row r="866">
      <c r="A866" s="57"/>
      <c r="B866" s="57"/>
    </row>
    <row r="867">
      <c r="A867" s="57"/>
      <c r="B867" s="57"/>
    </row>
    <row r="868">
      <c r="A868" s="57"/>
      <c r="B868" s="57"/>
    </row>
    <row r="869">
      <c r="A869" s="57"/>
      <c r="B869" s="57"/>
    </row>
    <row r="870">
      <c r="A870" s="57"/>
      <c r="B870" s="57"/>
    </row>
    <row r="871">
      <c r="A871" s="57"/>
      <c r="B871" s="57"/>
    </row>
    <row r="872">
      <c r="A872" s="57"/>
      <c r="B872" s="57"/>
    </row>
    <row r="873">
      <c r="A873" s="57"/>
      <c r="B873" s="57"/>
    </row>
    <row r="874">
      <c r="A874" s="57"/>
      <c r="B874" s="57"/>
    </row>
    <row r="875">
      <c r="A875" s="57"/>
      <c r="B875" s="57"/>
    </row>
    <row r="876">
      <c r="A876" s="57"/>
      <c r="B876" s="57"/>
    </row>
    <row r="877">
      <c r="A877" s="57"/>
      <c r="B877" s="57"/>
    </row>
    <row r="878">
      <c r="A878" s="57"/>
      <c r="B878" s="57"/>
    </row>
    <row r="879">
      <c r="A879" s="57"/>
      <c r="B879" s="57"/>
    </row>
    <row r="880">
      <c r="A880" s="57"/>
      <c r="B880" s="57"/>
    </row>
    <row r="881">
      <c r="A881" s="57"/>
      <c r="B881" s="57"/>
    </row>
    <row r="882">
      <c r="A882" s="57"/>
      <c r="B882" s="57"/>
    </row>
    <row r="883">
      <c r="A883" s="57"/>
      <c r="B883" s="57"/>
    </row>
    <row r="884">
      <c r="A884" s="57"/>
      <c r="B884" s="57"/>
    </row>
    <row r="885">
      <c r="A885" s="57"/>
      <c r="B885" s="57"/>
    </row>
    <row r="886">
      <c r="A886" s="57"/>
      <c r="B886" s="57"/>
    </row>
    <row r="887">
      <c r="A887" s="57"/>
      <c r="B887" s="57"/>
    </row>
    <row r="888">
      <c r="A888" s="57"/>
      <c r="B888" s="57"/>
    </row>
    <row r="889">
      <c r="A889" s="57"/>
      <c r="B889" s="57"/>
    </row>
    <row r="890">
      <c r="A890" s="57"/>
      <c r="B890" s="57"/>
    </row>
    <row r="891">
      <c r="A891" s="57"/>
      <c r="B891" s="57"/>
    </row>
    <row r="892">
      <c r="A892" s="57"/>
      <c r="B892" s="57"/>
    </row>
    <row r="893">
      <c r="A893" s="57"/>
      <c r="B893" s="57"/>
    </row>
    <row r="894">
      <c r="A894" s="57"/>
      <c r="B894" s="57"/>
    </row>
    <row r="895">
      <c r="A895" s="57"/>
      <c r="B895" s="57"/>
    </row>
    <row r="896">
      <c r="A896" s="57"/>
      <c r="B896" s="57"/>
    </row>
    <row r="897">
      <c r="A897" s="57"/>
      <c r="B897" s="57"/>
    </row>
    <row r="898">
      <c r="A898" s="57"/>
      <c r="B898" s="57"/>
    </row>
    <row r="899">
      <c r="A899" s="57"/>
      <c r="B899" s="57"/>
    </row>
    <row r="900">
      <c r="A900" s="57"/>
      <c r="B900" s="57"/>
    </row>
    <row r="901">
      <c r="A901" s="57"/>
      <c r="B901" s="57"/>
    </row>
    <row r="902">
      <c r="A902" s="57"/>
      <c r="B902" s="57"/>
    </row>
    <row r="903">
      <c r="A903" s="57"/>
      <c r="B903" s="57"/>
    </row>
    <row r="904">
      <c r="A904" s="57"/>
      <c r="B904" s="57"/>
    </row>
    <row r="905">
      <c r="A905" s="57"/>
      <c r="B905" s="57"/>
    </row>
    <row r="906">
      <c r="A906" s="57"/>
      <c r="B906" s="57"/>
    </row>
    <row r="907">
      <c r="A907" s="57"/>
      <c r="B907" s="57"/>
    </row>
    <row r="908">
      <c r="A908" s="57"/>
      <c r="B908" s="57"/>
    </row>
    <row r="909">
      <c r="A909" s="57"/>
      <c r="B909" s="57"/>
    </row>
    <row r="910">
      <c r="A910" s="57"/>
      <c r="B910" s="57"/>
    </row>
    <row r="911">
      <c r="A911" s="57"/>
      <c r="B911" s="57"/>
    </row>
    <row r="912">
      <c r="A912" s="57"/>
      <c r="B912" s="57"/>
    </row>
    <row r="913">
      <c r="A913" s="57"/>
      <c r="B913" s="57"/>
    </row>
    <row r="914">
      <c r="A914" s="57"/>
      <c r="B914" s="57"/>
    </row>
    <row r="915">
      <c r="A915" s="57"/>
      <c r="B915" s="57"/>
    </row>
    <row r="916">
      <c r="A916" s="57"/>
      <c r="B916" s="57"/>
    </row>
    <row r="917">
      <c r="A917" s="57"/>
      <c r="B917" s="57"/>
    </row>
    <row r="918">
      <c r="A918" s="57"/>
      <c r="B918" s="57"/>
    </row>
    <row r="919">
      <c r="A919" s="57"/>
      <c r="B919" s="57"/>
    </row>
    <row r="920">
      <c r="A920" s="57"/>
      <c r="B920" s="57"/>
    </row>
    <row r="921">
      <c r="A921" s="57"/>
      <c r="B921" s="57"/>
    </row>
    <row r="922">
      <c r="A922" s="57"/>
      <c r="B922" s="57"/>
    </row>
    <row r="923">
      <c r="A923" s="57"/>
      <c r="B923" s="57"/>
    </row>
    <row r="924">
      <c r="A924" s="57"/>
      <c r="B924" s="57"/>
    </row>
    <row r="925">
      <c r="A925" s="57"/>
      <c r="B925" s="57"/>
    </row>
    <row r="926">
      <c r="A926" s="57"/>
      <c r="B926" s="57"/>
    </row>
    <row r="927">
      <c r="A927" s="57"/>
      <c r="B927" s="57"/>
    </row>
    <row r="928">
      <c r="A928" s="57"/>
      <c r="B928" s="57"/>
    </row>
    <row r="929">
      <c r="A929" s="57"/>
      <c r="B929" s="57"/>
    </row>
    <row r="930">
      <c r="A930" s="57"/>
      <c r="B930" s="57"/>
    </row>
    <row r="931">
      <c r="A931" s="57"/>
      <c r="B931" s="57"/>
    </row>
    <row r="932">
      <c r="A932" s="57"/>
      <c r="B932" s="57"/>
    </row>
    <row r="933">
      <c r="A933" s="57"/>
      <c r="B933" s="57"/>
    </row>
    <row r="934">
      <c r="A934" s="57"/>
      <c r="B934" s="57"/>
    </row>
    <row r="935">
      <c r="A935" s="57"/>
      <c r="B935" s="57"/>
    </row>
    <row r="936">
      <c r="A936" s="57"/>
      <c r="B936" s="57"/>
    </row>
    <row r="937">
      <c r="A937" s="57"/>
      <c r="B937" s="57"/>
    </row>
    <row r="938">
      <c r="A938" s="57"/>
      <c r="B938" s="57"/>
    </row>
    <row r="939">
      <c r="A939" s="57"/>
      <c r="B939" s="57"/>
    </row>
    <row r="940">
      <c r="A940" s="57"/>
      <c r="B940" s="57"/>
    </row>
    <row r="941">
      <c r="A941" s="57"/>
      <c r="B941" s="57"/>
    </row>
    <row r="942">
      <c r="A942" s="57"/>
      <c r="B942" s="57"/>
    </row>
    <row r="943">
      <c r="A943" s="57"/>
      <c r="B943" s="57"/>
    </row>
    <row r="944">
      <c r="A944" s="57"/>
      <c r="B944" s="57"/>
    </row>
    <row r="945">
      <c r="A945" s="57"/>
      <c r="B945" s="57"/>
    </row>
    <row r="946">
      <c r="A946" s="57"/>
      <c r="B946" s="57"/>
    </row>
    <row r="947">
      <c r="A947" s="57"/>
      <c r="B947" s="57"/>
    </row>
    <row r="948">
      <c r="A948" s="57"/>
      <c r="B948" s="57"/>
    </row>
    <row r="949">
      <c r="A949" s="57"/>
      <c r="B949" s="57"/>
    </row>
    <row r="950">
      <c r="A950" s="57"/>
      <c r="B950" s="57"/>
    </row>
    <row r="951">
      <c r="A951" s="57"/>
      <c r="B951" s="57"/>
    </row>
    <row r="952">
      <c r="A952" s="57"/>
      <c r="B952" s="57"/>
    </row>
    <row r="953">
      <c r="A953" s="57"/>
      <c r="B953" s="57"/>
    </row>
    <row r="954">
      <c r="A954" s="57"/>
      <c r="B954" s="57"/>
    </row>
    <row r="955">
      <c r="A955" s="57"/>
      <c r="B955" s="57"/>
    </row>
    <row r="956">
      <c r="A956" s="57"/>
      <c r="B956" s="57"/>
    </row>
    <row r="957">
      <c r="A957" s="57"/>
      <c r="B957" s="57"/>
    </row>
    <row r="958">
      <c r="A958" s="57"/>
      <c r="B958" s="57"/>
    </row>
    <row r="959">
      <c r="A959" s="57"/>
      <c r="B959" s="57"/>
    </row>
    <row r="960">
      <c r="A960" s="57"/>
      <c r="B960" s="57"/>
    </row>
    <row r="961">
      <c r="A961" s="57"/>
      <c r="B961" s="57"/>
    </row>
    <row r="962">
      <c r="A962" s="57"/>
      <c r="B962" s="57"/>
    </row>
    <row r="963">
      <c r="A963" s="57"/>
      <c r="B963" s="57"/>
    </row>
    <row r="964">
      <c r="A964" s="57"/>
      <c r="B964" s="57"/>
    </row>
    <row r="965">
      <c r="A965" s="57"/>
      <c r="B965" s="57"/>
    </row>
    <row r="966">
      <c r="A966" s="57"/>
      <c r="B966" s="57"/>
    </row>
    <row r="967">
      <c r="A967" s="57"/>
      <c r="B967" s="57"/>
    </row>
    <row r="968">
      <c r="A968" s="57"/>
      <c r="B968" s="57"/>
    </row>
    <row r="969">
      <c r="A969" s="57"/>
      <c r="B969" s="57"/>
    </row>
    <row r="970">
      <c r="A970" s="57"/>
      <c r="B970" s="57"/>
    </row>
    <row r="971">
      <c r="A971" s="57"/>
      <c r="B971" s="57"/>
    </row>
    <row r="972">
      <c r="A972" s="57"/>
      <c r="B972" s="57"/>
    </row>
    <row r="973">
      <c r="A973" s="57"/>
      <c r="B973" s="57"/>
    </row>
    <row r="974">
      <c r="A974" s="57"/>
      <c r="B974" s="57"/>
    </row>
    <row r="975">
      <c r="A975" s="57"/>
      <c r="B975" s="57"/>
    </row>
    <row r="976">
      <c r="A976" s="57"/>
      <c r="B976" s="57"/>
    </row>
    <row r="977">
      <c r="A977" s="57"/>
      <c r="B977" s="57"/>
    </row>
    <row r="978">
      <c r="A978" s="57"/>
      <c r="B978" s="57"/>
    </row>
    <row r="979">
      <c r="A979" s="57"/>
      <c r="B979" s="57"/>
    </row>
    <row r="980">
      <c r="A980" s="57"/>
      <c r="B980" s="57"/>
    </row>
    <row r="981">
      <c r="A981" s="57"/>
      <c r="B981" s="57"/>
    </row>
    <row r="982">
      <c r="A982" s="57"/>
      <c r="B982" s="57"/>
    </row>
    <row r="983">
      <c r="A983" s="57"/>
      <c r="B983" s="57"/>
    </row>
    <row r="984">
      <c r="A984" s="57"/>
      <c r="B984" s="57"/>
    </row>
    <row r="985">
      <c r="A985" s="57"/>
      <c r="B985" s="57"/>
    </row>
    <row r="986">
      <c r="A986" s="57"/>
      <c r="B986" s="57"/>
    </row>
    <row r="987">
      <c r="A987" s="57"/>
      <c r="B987" s="57"/>
    </row>
    <row r="988">
      <c r="A988" s="57"/>
      <c r="B988" s="57"/>
    </row>
    <row r="989">
      <c r="A989" s="57"/>
      <c r="B989" s="57"/>
    </row>
    <row r="990">
      <c r="A990" s="57"/>
      <c r="B990" s="57"/>
    </row>
    <row r="991">
      <c r="A991" s="57"/>
      <c r="B991" s="57"/>
    </row>
    <row r="992">
      <c r="A992" s="57"/>
      <c r="B992" s="57"/>
    </row>
    <row r="993">
      <c r="A993" s="57"/>
      <c r="B993" s="57"/>
    </row>
    <row r="994">
      <c r="A994" s="57"/>
      <c r="B994" s="57"/>
    </row>
    <row r="995">
      <c r="A995" s="57"/>
      <c r="B995" s="57"/>
    </row>
    <row r="996">
      <c r="A996" s="57"/>
      <c r="B996" s="57"/>
    </row>
    <row r="997">
      <c r="A997" s="57"/>
      <c r="B997" s="57"/>
    </row>
    <row r="998">
      <c r="A998" s="57"/>
      <c r="B998" s="57"/>
    </row>
    <row r="999">
      <c r="A999" s="57"/>
      <c r="B999" s="57"/>
    </row>
    <row r="1000">
      <c r="A1000" s="57"/>
      <c r="B1000" s="57"/>
    </row>
    <row r="1001">
      <c r="A1001" s="57"/>
      <c r="B1001" s="57"/>
    </row>
    <row r="1002">
      <c r="A1002" s="57"/>
      <c r="B1002" s="57"/>
    </row>
  </sheetData>
  <mergeCells count="1">
    <mergeCell ref="A1:B1"/>
  </mergeCells>
  <drawing r:id="rId1"/>
</worksheet>
</file>
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<sst xmlns="http://schemas.openxmlformats.org/spreadsheetml/2006/main" count="7082" uniqueCount="1400">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</sst>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02402271"/>
        <c:axId val="267813801"/>
      </c:barChart>
      <c:catAx>
        <c:axId val="302402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7813801"/>
      </c:catAx>
      <c:valAx>
        <c:axId val="2678138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2402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2" firstHeaderRow="0" firstDataRow="1" firstDataCol="0"/>
  <pivotFields>
    <pivotField name=" " axis="axisRow" dataField="1" compact="0" outline="0" multipleItemSelectionAllowed="1" showAll="0" sortType="ascending">
      <items>
        <item x="1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IFERROR(__xludf.DUMMYFUNCTION("INDEX(FILTER(K:K,K:K&lt;&gt;""""),COUNTA(K:K))"),"13/07/2026")</f>
        <v>13/07/2026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52</v>
      </c>
    </row>
    <row r="20">
      <c r="A20" s="14" t="s">
        <v>96</v>
      </c>
      <c r="B20" s="15" t="s">
        <v>97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98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99</v>
      </c>
      <c r="B21" s="15" t="s">
        <v>100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101</v>
      </c>
      <c r="G21" s="17">
        <f t="shared" si="2"/>
        <v>16</v>
      </c>
      <c r="H21" s="16">
        <v>1.4481761E7</v>
      </c>
      <c r="I21" s="18" t="s">
        <v>102</v>
      </c>
      <c r="J21" s="16" t="s">
        <v>31</v>
      </c>
      <c r="K21" s="19">
        <v>45784.0</v>
      </c>
      <c r="L21" s="15" t="s">
        <v>103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104</v>
      </c>
      <c r="B22" s="33" t="s">
        <v>100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105</v>
      </c>
      <c r="G22" s="17">
        <f t="shared" si="2"/>
        <v>8</v>
      </c>
      <c r="H22" s="34">
        <v>1.4482166E7</v>
      </c>
      <c r="I22" s="36" t="s">
        <v>106</v>
      </c>
      <c r="J22" s="34" t="s">
        <v>31</v>
      </c>
      <c r="K22" s="37">
        <v>45784.0</v>
      </c>
      <c r="L22" s="33" t="s">
        <v>107</v>
      </c>
      <c r="M22" s="34" t="s">
        <v>42</v>
      </c>
      <c r="N22" s="38"/>
      <c r="O22" s="38"/>
      <c r="P22" s="48" t="s">
        <v>108</v>
      </c>
      <c r="Q22" s="49" t="s">
        <v>109</v>
      </c>
      <c r="R22" s="49" t="s">
        <v>110</v>
      </c>
      <c r="S22" s="29"/>
      <c r="T22" s="50">
        <v>45938.0</v>
      </c>
      <c r="U22" s="51" t="s">
        <v>111</v>
      </c>
      <c r="V22" s="53"/>
      <c r="W22" s="41" t="s">
        <v>52</v>
      </c>
    </row>
    <row r="23">
      <c r="A23" s="31" t="s">
        <v>112</v>
      </c>
      <c r="B23" s="33" t="s">
        <v>113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114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113</v>
      </c>
      <c r="Q23" s="49" t="s">
        <v>115</v>
      </c>
      <c r="R23" s="54" t="s">
        <v>116</v>
      </c>
      <c r="S23" s="29"/>
      <c r="T23" s="55">
        <v>45868.0</v>
      </c>
      <c r="U23" s="51" t="s">
        <v>117</v>
      </c>
      <c r="V23" s="53"/>
      <c r="W23" s="41" t="s">
        <v>52</v>
      </c>
    </row>
    <row r="24">
      <c r="A24" s="31" t="s">
        <v>118</v>
      </c>
      <c r="B24" s="33" t="s">
        <v>119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120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119</v>
      </c>
      <c r="Q24" s="49" t="s">
        <v>121</v>
      </c>
      <c r="R24" s="54" t="s">
        <v>122</v>
      </c>
      <c r="S24" s="29"/>
      <c r="T24" s="55">
        <v>45982.0</v>
      </c>
      <c r="U24" s="56" t="s">
        <v>123</v>
      </c>
      <c r="V24" s="53"/>
      <c r="W24" s="41" t="s">
        <v>52</v>
      </c>
    </row>
    <row r="25">
      <c r="A25" s="14" t="s">
        <v>124</v>
      </c>
      <c r="B25" s="15" t="s">
        <v>125</v>
      </c>
      <c r="C25" s="15" t="str">
        <f>IF(B25="","",(VLOOKUP(B25,'Dados de PN'!$A:$B,2,0)))</f>
        <v>COMPUTADOR DO PILOTO AUTOMÁTICO</v>
      </c>
      <c r="D25" s="15" t="s">
        <v>126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127</v>
      </c>
      <c r="J25" s="16" t="s">
        <v>31</v>
      </c>
      <c r="K25" s="19">
        <v>45791.0</v>
      </c>
      <c r="L25" s="15" t="s">
        <v>128</v>
      </c>
      <c r="M25" s="16" t="s">
        <v>129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130</v>
      </c>
      <c r="B26" s="15" t="s">
        <v>131</v>
      </c>
      <c r="C26" s="15" t="str">
        <f>IF(B26="","",(VLOOKUP(B26,'Dados de PN'!$A:$B,2,0)))</f>
        <v>INDICATOR,HORIZONTAL SITUATION</v>
      </c>
      <c r="D26" s="15" t="s">
        <v>132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133</v>
      </c>
      <c r="J26" s="16" t="s">
        <v>31</v>
      </c>
      <c r="K26" s="19">
        <v>45814.0</v>
      </c>
      <c r="L26" s="15" t="s">
        <v>134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135</v>
      </c>
      <c r="B27" s="15" t="s">
        <v>136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137</v>
      </c>
      <c r="G27" s="17">
        <f t="shared" si="2"/>
        <v>4</v>
      </c>
      <c r="H27" s="16">
        <v>6.8525000789E11</v>
      </c>
      <c r="I27" s="18" t="s">
        <v>138</v>
      </c>
      <c r="J27" s="16" t="s">
        <v>139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140</v>
      </c>
      <c r="B28" s="33" t="s">
        <v>141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142</v>
      </c>
      <c r="J28" s="34" t="s">
        <v>31</v>
      </c>
      <c r="K28" s="37">
        <v>45821.0</v>
      </c>
      <c r="L28" s="33" t="s">
        <v>143</v>
      </c>
      <c r="M28" s="34" t="s">
        <v>36</v>
      </c>
      <c r="N28" s="38"/>
      <c r="O28" s="38"/>
      <c r="P28" s="57" t="s">
        <v>144</v>
      </c>
      <c r="Q28" s="49" t="s">
        <v>145</v>
      </c>
      <c r="R28" s="54" t="s">
        <v>146</v>
      </c>
      <c r="S28" s="29"/>
      <c r="T28" s="50">
        <v>45876.0</v>
      </c>
      <c r="U28" s="51" t="s">
        <v>147</v>
      </c>
      <c r="V28" s="53"/>
      <c r="W28" s="41" t="s">
        <v>52</v>
      </c>
    </row>
    <row r="29">
      <c r="A29" s="14" t="s">
        <v>148</v>
      </c>
      <c r="B29" s="15" t="s">
        <v>149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150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151</v>
      </c>
      <c r="B30" s="58" t="s">
        <v>152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153</v>
      </c>
      <c r="J30" s="16" t="s">
        <v>31</v>
      </c>
      <c r="K30" s="19">
        <v>45825.0</v>
      </c>
      <c r="L30" s="15" t="s">
        <v>154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155</v>
      </c>
      <c r="B31" s="15" t="s">
        <v>156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157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158</v>
      </c>
      <c r="B32" s="33" t="s">
        <v>159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160</v>
      </c>
      <c r="J32" s="34" t="s">
        <v>31</v>
      </c>
      <c r="K32" s="37">
        <v>45839.0</v>
      </c>
      <c r="L32" s="33" t="s">
        <v>161</v>
      </c>
      <c r="M32" s="34" t="s">
        <v>49</v>
      </c>
      <c r="N32" s="38"/>
      <c r="O32" s="38"/>
      <c r="P32" s="48" t="s">
        <v>162</v>
      </c>
      <c r="Q32" s="49" t="s">
        <v>163</v>
      </c>
      <c r="R32" s="49" t="s">
        <v>164</v>
      </c>
      <c r="S32" s="29"/>
      <c r="T32" s="50">
        <v>45912.0</v>
      </c>
      <c r="U32" s="51" t="s">
        <v>165</v>
      </c>
      <c r="V32" s="53"/>
      <c r="W32" s="41" t="s">
        <v>52</v>
      </c>
    </row>
    <row r="33">
      <c r="A33" s="14" t="s">
        <v>166</v>
      </c>
      <c r="B33" s="15" t="s">
        <v>167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160</v>
      </c>
      <c r="J33" s="16" t="s">
        <v>31</v>
      </c>
      <c r="K33" s="19">
        <v>45839.0</v>
      </c>
      <c r="L33" s="15" t="s">
        <v>161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168</v>
      </c>
      <c r="B34" s="33" t="s">
        <v>169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170</v>
      </c>
      <c r="J34" s="34" t="s">
        <v>31</v>
      </c>
      <c r="K34" s="37">
        <v>45845.0</v>
      </c>
      <c r="L34" s="33" t="s">
        <v>171</v>
      </c>
      <c r="M34" s="34" t="s">
        <v>172</v>
      </c>
      <c r="N34" s="38"/>
      <c r="O34" s="38"/>
      <c r="P34" s="48" t="s">
        <v>169</v>
      </c>
      <c r="Q34" s="49" t="s">
        <v>173</v>
      </c>
      <c r="R34" s="49" t="s">
        <v>174</v>
      </c>
      <c r="S34" s="29"/>
      <c r="T34" s="50">
        <v>45912.0</v>
      </c>
      <c r="U34" s="51" t="s">
        <v>175</v>
      </c>
      <c r="V34" s="53"/>
      <c r="W34" s="41" t="s">
        <v>52</v>
      </c>
    </row>
    <row r="35">
      <c r="A35" s="14" t="s">
        <v>176</v>
      </c>
      <c r="B35" s="15" t="s">
        <v>177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178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179</v>
      </c>
      <c r="B36" s="33" t="s">
        <v>180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178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180</v>
      </c>
      <c r="Q36" s="49" t="s">
        <v>181</v>
      </c>
      <c r="R36" s="49" t="s">
        <v>182</v>
      </c>
      <c r="S36" s="29"/>
      <c r="T36" s="50">
        <v>45912.0</v>
      </c>
      <c r="U36" s="51" t="s">
        <v>183</v>
      </c>
      <c r="V36" s="53"/>
      <c r="W36" s="41" t="s">
        <v>52</v>
      </c>
    </row>
    <row r="37">
      <c r="A37" s="31" t="s">
        <v>184</v>
      </c>
      <c r="B37" s="33" t="s">
        <v>185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178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185</v>
      </c>
      <c r="Q37" s="49" t="s">
        <v>186</v>
      </c>
      <c r="R37" s="49" t="s">
        <v>182</v>
      </c>
      <c r="S37" s="29"/>
      <c r="T37" s="50">
        <v>45912.0</v>
      </c>
      <c r="U37" s="51" t="s">
        <v>183</v>
      </c>
      <c r="V37" s="53"/>
      <c r="W37" s="41" t="s">
        <v>52</v>
      </c>
    </row>
    <row r="38">
      <c r="A38" s="31" t="s">
        <v>187</v>
      </c>
      <c r="B38" s="33" t="s">
        <v>188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189</v>
      </c>
      <c r="G38" s="17">
        <f t="shared" si="2"/>
        <v>3</v>
      </c>
      <c r="H38" s="34">
        <v>1.5062866E7</v>
      </c>
      <c r="I38" s="36" t="s">
        <v>178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188</v>
      </c>
      <c r="Q38" s="49" t="s">
        <v>190</v>
      </c>
      <c r="R38" s="49" t="s">
        <v>182</v>
      </c>
      <c r="S38" s="29"/>
      <c r="T38" s="50">
        <v>45912.0</v>
      </c>
      <c r="U38" s="51" t="s">
        <v>183</v>
      </c>
      <c r="V38" s="53"/>
      <c r="W38" s="41" t="s">
        <v>52</v>
      </c>
    </row>
    <row r="39">
      <c r="A39" s="31" t="s">
        <v>191</v>
      </c>
      <c r="B39" s="33" t="s">
        <v>192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193</v>
      </c>
      <c r="G39" s="17">
        <f t="shared" si="2"/>
        <v>10</v>
      </c>
      <c r="H39" s="34" t="s">
        <v>194</v>
      </c>
      <c r="I39" s="36" t="s">
        <v>178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192</v>
      </c>
      <c r="Q39" s="49" t="s">
        <v>195</v>
      </c>
      <c r="R39" s="49" t="s">
        <v>182</v>
      </c>
      <c r="S39" s="29"/>
      <c r="T39" s="50">
        <v>45912.0</v>
      </c>
      <c r="U39" s="51" t="s">
        <v>183</v>
      </c>
      <c r="V39" s="53"/>
      <c r="W39" s="41" t="s">
        <v>52</v>
      </c>
    </row>
    <row r="40">
      <c r="A40" s="31" t="s">
        <v>196</v>
      </c>
      <c r="B40" s="33" t="s">
        <v>197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189</v>
      </c>
      <c r="G40" s="17">
        <f t="shared" si="2"/>
        <v>3</v>
      </c>
      <c r="H40" s="34" t="s">
        <v>198</v>
      </c>
      <c r="I40" s="36" t="s">
        <v>178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197</v>
      </c>
      <c r="Q40" s="49" t="s">
        <v>181</v>
      </c>
      <c r="R40" s="49" t="s">
        <v>182</v>
      </c>
      <c r="S40" s="29"/>
      <c r="T40" s="50">
        <v>45912.0</v>
      </c>
      <c r="U40" s="51" t="s">
        <v>183</v>
      </c>
      <c r="V40" s="53"/>
      <c r="W40" s="41" t="s">
        <v>52</v>
      </c>
    </row>
    <row r="41">
      <c r="A41" s="31" t="s">
        <v>199</v>
      </c>
      <c r="B41" s="33" t="s">
        <v>200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193</v>
      </c>
      <c r="G41" s="17">
        <f t="shared" si="2"/>
        <v>10</v>
      </c>
      <c r="H41" s="34" t="s">
        <v>201</v>
      </c>
      <c r="I41" s="36" t="s">
        <v>178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200</v>
      </c>
      <c r="Q41" s="49" t="s">
        <v>202</v>
      </c>
      <c r="R41" s="49" t="s">
        <v>203</v>
      </c>
      <c r="S41" s="29"/>
      <c r="T41" s="50">
        <v>45916.0</v>
      </c>
      <c r="U41" s="51" t="s">
        <v>204</v>
      </c>
      <c r="V41" s="53"/>
      <c r="W41" s="41" t="s">
        <v>52</v>
      </c>
    </row>
    <row r="42">
      <c r="A42" s="14" t="s">
        <v>205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206</v>
      </c>
      <c r="I42" s="18" t="s">
        <v>178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207</v>
      </c>
      <c r="B43" s="33" t="s">
        <v>197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208</v>
      </c>
      <c r="I43" s="36" t="s">
        <v>178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197</v>
      </c>
      <c r="Q43" s="49" t="s">
        <v>181</v>
      </c>
      <c r="R43" s="49" t="s">
        <v>182</v>
      </c>
      <c r="S43" s="29"/>
      <c r="T43" s="50">
        <v>45912.0</v>
      </c>
      <c r="U43" s="51" t="s">
        <v>209</v>
      </c>
      <c r="V43" s="53"/>
      <c r="W43" s="41" t="s">
        <v>52</v>
      </c>
    </row>
    <row r="44">
      <c r="A44" s="14" t="s">
        <v>210</v>
      </c>
      <c r="B44" s="15" t="s">
        <v>211</v>
      </c>
      <c r="C44" s="15" t="str">
        <f>IF(B44="","",(VLOOKUP(B44,'Dados de PN'!$A:$B,2,0)))</f>
        <v>CONTROL,DIRECTIONAL,AUTOMATIC PILOT</v>
      </c>
      <c r="D44" s="15" t="s">
        <v>212</v>
      </c>
      <c r="E44" s="16" t="s">
        <v>73</v>
      </c>
      <c r="F44" s="16" t="s">
        <v>29</v>
      </c>
      <c r="G44" s="17">
        <f t="shared" si="2"/>
        <v>1</v>
      </c>
      <c r="H44" s="16" t="s">
        <v>213</v>
      </c>
      <c r="I44" s="18" t="s">
        <v>178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214</v>
      </c>
      <c r="B45" s="33" t="s">
        <v>215</v>
      </c>
      <c r="C45" s="33" t="str">
        <f>IF(B45="","",(VLOOKUP(B45,'Dados de PN'!$A:$B,2,0)))</f>
        <v>RECEPTOR</v>
      </c>
      <c r="D45" s="33" t="s">
        <v>216</v>
      </c>
      <c r="E45" s="34" t="s">
        <v>73</v>
      </c>
      <c r="F45" s="34" t="s">
        <v>29</v>
      </c>
      <c r="G45" s="17">
        <f t="shared" si="2"/>
        <v>1</v>
      </c>
      <c r="H45" s="34" t="s">
        <v>217</v>
      </c>
      <c r="I45" s="36" t="s">
        <v>178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218</v>
      </c>
      <c r="Q45" s="49" t="s">
        <v>219</v>
      </c>
      <c r="R45" s="49" t="s">
        <v>220</v>
      </c>
      <c r="S45" s="29"/>
      <c r="T45" s="50">
        <v>46002.0</v>
      </c>
      <c r="U45" s="56" t="s">
        <v>221</v>
      </c>
      <c r="V45" s="53"/>
      <c r="W45" s="41" t="s">
        <v>52</v>
      </c>
    </row>
    <row r="46">
      <c r="A46" s="14" t="s">
        <v>222</v>
      </c>
      <c r="B46" s="15" t="s">
        <v>223</v>
      </c>
      <c r="C46" s="15" t="str">
        <f>IF(B46="","",(VLOOKUP(B46,'Dados de PN'!$A:$B,2,0)))</f>
        <v>AFCS MODE CONTROLLER GMC 710</v>
      </c>
      <c r="D46" s="15" t="s">
        <v>224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225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226</v>
      </c>
      <c r="B47" s="15" t="s">
        <v>227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137</v>
      </c>
      <c r="G47" s="17">
        <f t="shared" si="2"/>
        <v>4</v>
      </c>
      <c r="H47" s="16">
        <v>1.5274927E7</v>
      </c>
      <c r="I47" s="18" t="s">
        <v>228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229</v>
      </c>
      <c r="B48" s="33" t="s">
        <v>230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231</v>
      </c>
      <c r="J48" s="34" t="s">
        <v>31</v>
      </c>
      <c r="K48" s="37">
        <v>45890.0</v>
      </c>
      <c r="L48" s="33" t="s">
        <v>232</v>
      </c>
      <c r="M48" s="34" t="s">
        <v>233</v>
      </c>
      <c r="N48" s="38"/>
      <c r="O48" s="38"/>
      <c r="P48" s="48" t="s">
        <v>234</v>
      </c>
      <c r="Q48" s="49" t="s">
        <v>121</v>
      </c>
      <c r="R48" s="49" t="s">
        <v>235</v>
      </c>
      <c r="S48" s="29"/>
      <c r="T48" s="50">
        <v>45944.0</v>
      </c>
      <c r="U48" s="51" t="s">
        <v>236</v>
      </c>
      <c r="V48" s="53"/>
      <c r="W48" s="41" t="s">
        <v>52</v>
      </c>
    </row>
    <row r="49">
      <c r="A49" s="14" t="s">
        <v>237</v>
      </c>
      <c r="B49" s="15" t="s">
        <v>238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239</v>
      </c>
      <c r="J49" s="16" t="s">
        <v>31</v>
      </c>
      <c r="K49" s="19">
        <v>45903.0</v>
      </c>
      <c r="L49" s="15" t="s">
        <v>240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241</v>
      </c>
      <c r="B50" s="15" t="s">
        <v>242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243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244</v>
      </c>
      <c r="B51" s="15" t="s">
        <v>245</v>
      </c>
      <c r="C51" s="15" t="str">
        <f>IF(B51="","",(VLOOKUP(B51,'Dados de PN'!$A:$B,2,0)))</f>
        <v>TRUNNION ASSY GEAR LH</v>
      </c>
      <c r="D51" s="15" t="s">
        <v>246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247</v>
      </c>
      <c r="J51" s="16" t="s">
        <v>31</v>
      </c>
      <c r="K51" s="19">
        <v>45912.0</v>
      </c>
      <c r="L51" s="15" t="s">
        <v>98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248</v>
      </c>
      <c r="B52" s="15" t="s">
        <v>249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193</v>
      </c>
      <c r="G52" s="17">
        <f t="shared" si="2"/>
        <v>10</v>
      </c>
      <c r="H52" s="16">
        <v>3.86250012764E11</v>
      </c>
      <c r="I52" s="18" t="s">
        <v>250</v>
      </c>
      <c r="J52" s="16" t="s">
        <v>31</v>
      </c>
      <c r="K52" s="19">
        <v>45925.0</v>
      </c>
      <c r="L52" s="15" t="s">
        <v>251</v>
      </c>
      <c r="M52" s="16" t="s">
        <v>252</v>
      </c>
      <c r="N52" s="20"/>
      <c r="O52" s="20"/>
      <c r="P52" s="28"/>
      <c r="Q52" s="30"/>
      <c r="R52" s="28"/>
      <c r="S52" s="29"/>
      <c r="T52" s="29"/>
      <c r="U52" s="51" t="s">
        <v>253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254</v>
      </c>
      <c r="B53" s="15" t="s">
        <v>255</v>
      </c>
      <c r="C53" s="15" t="str">
        <f>IF(B53="","",(VLOOKUP(B53,'Dados de PN'!$A:$B,2,0)))</f>
        <v>SENSOR, FUEL LEVEL</v>
      </c>
      <c r="D53" s="15" t="s">
        <v>256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257</v>
      </c>
      <c r="J53" s="16" t="s">
        <v>31</v>
      </c>
      <c r="K53" s="19">
        <v>45924.0</v>
      </c>
      <c r="L53" s="15" t="s">
        <v>240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258</v>
      </c>
      <c r="B54" s="15" t="s">
        <v>259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250</v>
      </c>
      <c r="J54" s="16" t="s">
        <v>31</v>
      </c>
      <c r="K54" s="19">
        <v>45930.0</v>
      </c>
      <c r="L54" s="15" t="s">
        <v>260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261</v>
      </c>
      <c r="B55" s="15" t="s">
        <v>262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263</v>
      </c>
      <c r="J55" s="16" t="s">
        <v>31</v>
      </c>
      <c r="K55" s="19">
        <v>45930.0</v>
      </c>
      <c r="L55" s="15" t="s">
        <v>98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264</v>
      </c>
      <c r="B56" s="15" t="s">
        <v>265</v>
      </c>
      <c r="C56" s="15" t="str">
        <f>IF(B56="","",(VLOOKUP(B56,'Dados de PN'!$A:$B,2,0)))</f>
        <v>TRUNION ASSY-RH-MAIN GEAR</v>
      </c>
      <c r="D56" s="15" t="s">
        <v>266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267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268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269</v>
      </c>
      <c r="B57" s="15" t="s">
        <v>270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267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268</v>
      </c>
      <c r="P57" s="28"/>
      <c r="Q57" s="30"/>
      <c r="R57" s="28"/>
      <c r="S57" s="29"/>
      <c r="T57" s="29"/>
      <c r="U57" s="51" t="s">
        <v>271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272</v>
      </c>
      <c r="B58" s="15" t="s">
        <v>273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267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268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274</v>
      </c>
      <c r="B59" s="15" t="s">
        <v>275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276</v>
      </c>
      <c r="J59" s="16" t="s">
        <v>31</v>
      </c>
      <c r="K59" s="19">
        <v>45931.0</v>
      </c>
      <c r="L59" s="15" t="s">
        <v>232</v>
      </c>
      <c r="M59" s="16" t="s">
        <v>42</v>
      </c>
      <c r="N59" s="61">
        <v>2.02567113026365E14</v>
      </c>
      <c r="O59" s="61" t="s">
        <v>277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278</v>
      </c>
      <c r="B60" s="33" t="s">
        <v>279</v>
      </c>
      <c r="C60" s="33" t="str">
        <f>IF(B60="","",(VLOOKUP(B60,'Dados de PN'!$A:$B,2,0)))</f>
        <v>AIRSPEED INDICATOR</v>
      </c>
      <c r="D60" s="33" t="s">
        <v>280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281</v>
      </c>
      <c r="J60" s="34" t="s">
        <v>31</v>
      </c>
      <c r="K60" s="37">
        <v>45937.0</v>
      </c>
      <c r="L60" s="33" t="s">
        <v>98</v>
      </c>
      <c r="M60" s="34" t="s">
        <v>42</v>
      </c>
      <c r="N60" s="38"/>
      <c r="O60" s="38"/>
      <c r="P60" s="48" t="s">
        <v>279</v>
      </c>
      <c r="Q60" s="49" t="s">
        <v>282</v>
      </c>
      <c r="R60" s="49" t="s">
        <v>283</v>
      </c>
      <c r="S60" s="29"/>
      <c r="T60" s="50">
        <v>45965.0</v>
      </c>
      <c r="U60" s="56" t="s">
        <v>284</v>
      </c>
      <c r="V60" s="53"/>
      <c r="W60" s="41" t="s">
        <v>52</v>
      </c>
    </row>
    <row r="61">
      <c r="A61" s="14" t="s">
        <v>285</v>
      </c>
      <c r="B61" s="15" t="s">
        <v>286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287</v>
      </c>
      <c r="J61" s="16" t="s">
        <v>31</v>
      </c>
      <c r="K61" s="19">
        <v>45938.0</v>
      </c>
      <c r="L61" s="15" t="s">
        <v>240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288</v>
      </c>
      <c r="B62" s="15" t="s">
        <v>289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290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291</v>
      </c>
      <c r="B63" s="15" t="s">
        <v>292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290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293</v>
      </c>
      <c r="B64" s="15" t="s">
        <v>292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290</v>
      </c>
      <c r="J64" s="16" t="s">
        <v>31</v>
      </c>
      <c r="K64" s="19">
        <v>45939.0</v>
      </c>
      <c r="L64" s="15" t="s">
        <v>98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294</v>
      </c>
      <c r="B65" s="15" t="s">
        <v>295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105</v>
      </c>
      <c r="G65" s="17">
        <f t="shared" si="2"/>
        <v>8</v>
      </c>
      <c r="H65" s="16">
        <v>1.5815693E7</v>
      </c>
      <c r="I65" s="18" t="s">
        <v>296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297</v>
      </c>
      <c r="B66" s="15" t="s">
        <v>298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299</v>
      </c>
      <c r="G66" s="17">
        <f t="shared" si="2"/>
        <v>40</v>
      </c>
      <c r="H66" s="59">
        <v>3.86250012806E11</v>
      </c>
      <c r="I66" s="18" t="s">
        <v>250</v>
      </c>
      <c r="J66" s="16" t="s">
        <v>31</v>
      </c>
      <c r="K66" s="63">
        <v>45943.0</v>
      </c>
      <c r="L66" s="15" t="s">
        <v>251</v>
      </c>
      <c r="M66" s="16" t="s">
        <v>252</v>
      </c>
      <c r="N66" s="20"/>
      <c r="O66" s="20"/>
      <c r="P66" s="25"/>
      <c r="Q66" s="20"/>
      <c r="R66" s="25"/>
      <c r="S66" s="25"/>
      <c r="T66" s="25"/>
      <c r="U66" s="51" t="s">
        <v>300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301</v>
      </c>
      <c r="B67" s="15" t="s">
        <v>302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303</v>
      </c>
      <c r="J67" s="16" t="s">
        <v>31</v>
      </c>
      <c r="K67" s="63">
        <v>45943.0</v>
      </c>
      <c r="L67" s="15" t="s">
        <v>128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304</v>
      </c>
      <c r="B68" s="15" t="s">
        <v>305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306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307</v>
      </c>
      <c r="B69" s="15" t="s">
        <v>308</v>
      </c>
      <c r="C69" s="15" t="str">
        <f>IF(B69="","",(VLOOKUP(B69,'Dados de PN'!$A:$B,2,0)))</f>
        <v>CILINDRO DE FREIO</v>
      </c>
      <c r="D69" s="15" t="s">
        <v>309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310</v>
      </c>
      <c r="J69" s="16" t="s">
        <v>31</v>
      </c>
      <c r="K69" s="63">
        <v>45961.0</v>
      </c>
      <c r="L69" s="15" t="s">
        <v>75</v>
      </c>
      <c r="M69" s="16" t="s">
        <v>311</v>
      </c>
      <c r="N69" s="61">
        <v>2.02567113029541E14</v>
      </c>
      <c r="O69" s="61" t="s">
        <v>312</v>
      </c>
      <c r="P69" s="25"/>
      <c r="Q69" s="20"/>
      <c r="R69" s="25"/>
      <c r="S69" s="25"/>
      <c r="T69" s="64">
        <v>46176.0</v>
      </c>
      <c r="U69" s="51" t="s">
        <v>313</v>
      </c>
      <c r="V69" s="60" t="s">
        <v>314</v>
      </c>
      <c r="W69" s="41" t="s">
        <v>52</v>
      </c>
      <c r="X69" s="26"/>
      <c r="Y69" s="26"/>
      <c r="Z69" s="26"/>
      <c r="AA69" s="26"/>
      <c r="AB69" s="26"/>
      <c r="AC69" s="26"/>
      <c r="AD69" s="26"/>
    </row>
    <row r="70">
      <c r="A70" s="14" t="s">
        <v>315</v>
      </c>
      <c r="B70" s="15" t="s">
        <v>316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317</v>
      </c>
      <c r="J70" s="16" t="s">
        <v>139</v>
      </c>
      <c r="K70" s="19">
        <v>45965.0</v>
      </c>
      <c r="L70" s="15" t="s">
        <v>318</v>
      </c>
      <c r="M70" s="16" t="s">
        <v>319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320</v>
      </c>
      <c r="B71" s="15" t="s">
        <v>321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322</v>
      </c>
      <c r="J71" s="16" t="s">
        <v>31</v>
      </c>
      <c r="K71" s="19">
        <v>45965.0</v>
      </c>
      <c r="L71" s="15" t="s">
        <v>318</v>
      </c>
      <c r="M71" s="16" t="s">
        <v>319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323</v>
      </c>
      <c r="B72" s="15" t="s">
        <v>324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322</v>
      </c>
      <c r="J72" s="16" t="s">
        <v>31</v>
      </c>
      <c r="K72" s="19">
        <v>45965.0</v>
      </c>
      <c r="L72" s="15" t="s">
        <v>251</v>
      </c>
      <c r="M72" s="16" t="s">
        <v>252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325</v>
      </c>
      <c r="B73" s="15" t="s">
        <v>326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327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328</v>
      </c>
      <c r="B74" s="15" t="s">
        <v>329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330</v>
      </c>
      <c r="J74" s="16" t="s">
        <v>31</v>
      </c>
      <c r="K74" s="19">
        <v>45967.0</v>
      </c>
      <c r="L74" s="15" t="s">
        <v>98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331</v>
      </c>
      <c r="B75" s="15" t="s">
        <v>332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330</v>
      </c>
      <c r="J75" s="16" t="s">
        <v>31</v>
      </c>
      <c r="K75" s="19">
        <v>45967.0</v>
      </c>
      <c r="L75" s="15" t="s">
        <v>98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333</v>
      </c>
      <c r="B76" s="15" t="s">
        <v>334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335</v>
      </c>
      <c r="J76" s="16" t="s">
        <v>31</v>
      </c>
      <c r="K76" s="19">
        <v>45967.0</v>
      </c>
      <c r="L76" s="15" t="s">
        <v>260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336</v>
      </c>
      <c r="B77" s="15" t="s">
        <v>337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338</v>
      </c>
      <c r="I77" s="18" t="s">
        <v>339</v>
      </c>
      <c r="J77" s="16" t="s">
        <v>31</v>
      </c>
      <c r="K77" s="19">
        <v>45968.0</v>
      </c>
      <c r="L77" s="15" t="s">
        <v>340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341</v>
      </c>
      <c r="B78" s="15" t="s">
        <v>342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189</v>
      </c>
      <c r="G78" s="17">
        <f t="shared" si="2"/>
        <v>3</v>
      </c>
      <c r="H78" s="15" t="s">
        <v>343</v>
      </c>
      <c r="I78" s="18" t="s">
        <v>339</v>
      </c>
      <c r="J78" s="16" t="s">
        <v>31</v>
      </c>
      <c r="K78" s="19">
        <v>45968.0</v>
      </c>
      <c r="L78" s="15" t="s">
        <v>340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344</v>
      </c>
      <c r="B79" s="15" t="s">
        <v>345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346</v>
      </c>
      <c r="I79" s="18" t="s">
        <v>339</v>
      </c>
      <c r="J79" s="16" t="s">
        <v>31</v>
      </c>
      <c r="K79" s="19">
        <v>45968.0</v>
      </c>
      <c r="L79" s="15" t="s">
        <v>340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347</v>
      </c>
      <c r="B80" s="15" t="s">
        <v>348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349</v>
      </c>
      <c r="I80" s="18" t="s">
        <v>339</v>
      </c>
      <c r="J80" s="16" t="s">
        <v>31</v>
      </c>
      <c r="K80" s="19">
        <v>45968.0</v>
      </c>
      <c r="L80" s="15" t="s">
        <v>340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350</v>
      </c>
      <c r="B81" s="15" t="s">
        <v>351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352</v>
      </c>
      <c r="I81" s="18" t="s">
        <v>339</v>
      </c>
      <c r="J81" s="16" t="s">
        <v>31</v>
      </c>
      <c r="K81" s="19">
        <v>45968.0</v>
      </c>
      <c r="L81" s="15" t="s">
        <v>340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353</v>
      </c>
      <c r="B82" s="15" t="s">
        <v>354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355</v>
      </c>
      <c r="J82" s="16" t="s">
        <v>31</v>
      </c>
      <c r="K82" s="63">
        <v>45973.0</v>
      </c>
      <c r="L82" s="15" t="s">
        <v>356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357</v>
      </c>
      <c r="B83" s="15" t="s">
        <v>358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359</v>
      </c>
      <c r="J83" s="16" t="s">
        <v>31</v>
      </c>
      <c r="K83" s="63">
        <v>45974.0</v>
      </c>
      <c r="L83" s="15" t="s">
        <v>360</v>
      </c>
      <c r="M83" s="16" t="s">
        <v>361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362</v>
      </c>
      <c r="B84" s="15" t="s">
        <v>363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193</v>
      </c>
      <c r="G84" s="17">
        <f t="shared" si="2"/>
        <v>10</v>
      </c>
      <c r="H84" s="16">
        <v>1.6026082E7</v>
      </c>
      <c r="I84" s="18" t="s">
        <v>364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365</v>
      </c>
      <c r="B85" s="15" t="s">
        <v>366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364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367</v>
      </c>
      <c r="B86" s="15" t="s">
        <v>368</v>
      </c>
      <c r="C86" s="15" t="str">
        <f>IF(B86="","",(VLOOKUP(B86,'Dados de PN'!$A:$B,2,0)))</f>
        <v>SLAVING ACCESS,SPEC</v>
      </c>
      <c r="D86" s="15" t="s">
        <v>369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370</v>
      </c>
      <c r="J86" s="16" t="s">
        <v>31</v>
      </c>
      <c r="K86" s="63">
        <v>45982.0</v>
      </c>
      <c r="L86" s="15" t="s">
        <v>232</v>
      </c>
      <c r="M86" s="16" t="s">
        <v>233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371</v>
      </c>
      <c r="B87" s="15" t="s">
        <v>372</v>
      </c>
      <c r="C87" s="15" t="str">
        <f>IF(B87="","",(VLOOKUP(B87,'Dados de PN'!$A:$B,2,0)))</f>
        <v>CONTROL INDICATOR</v>
      </c>
      <c r="D87" s="15" t="s">
        <v>373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370</v>
      </c>
      <c r="J87" s="16" t="s">
        <v>31</v>
      </c>
      <c r="K87" s="63">
        <v>45982.0</v>
      </c>
      <c r="L87" s="15" t="s">
        <v>232</v>
      </c>
      <c r="M87" s="16" t="s">
        <v>233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374</v>
      </c>
      <c r="B88" s="15" t="s">
        <v>375</v>
      </c>
      <c r="C88" s="15" t="str">
        <f>IF(B88="","",(VLOOKUP(B88,'Dados de PN'!$A:$B,2,0)))</f>
        <v>AIRSPEED INDICATOR</v>
      </c>
      <c r="D88" s="15" t="s">
        <v>376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377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378</v>
      </c>
      <c r="B89" s="15" t="s">
        <v>156</v>
      </c>
      <c r="C89" s="15" t="str">
        <f>IF(B89="","",(VLOOKUP(B89,'Dados de PN'!$A:$B,2,0)))</f>
        <v>SENSOR, FUEL LEVEL SHORT</v>
      </c>
      <c r="D89" s="15" t="s">
        <v>379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380</v>
      </c>
      <c r="J89" s="16" t="s">
        <v>31</v>
      </c>
      <c r="K89" s="63">
        <v>45985.0</v>
      </c>
      <c r="L89" s="15" t="s">
        <v>161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381</v>
      </c>
      <c r="B90" s="15" t="s">
        <v>368</v>
      </c>
      <c r="C90" s="15" t="str">
        <f>IF(B90="","",(VLOOKUP(B90,'Dados de PN'!$A:$B,2,0)))</f>
        <v>SLAVING ACCESS,SPEC</v>
      </c>
      <c r="D90" s="15" t="s">
        <v>382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377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383</v>
      </c>
      <c r="B91" s="65" t="s">
        <v>384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385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386</v>
      </c>
      <c r="B92" s="65" t="s">
        <v>387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385</v>
      </c>
      <c r="J92" s="60" t="s">
        <v>31</v>
      </c>
      <c r="K92" s="63">
        <v>45992.0</v>
      </c>
      <c r="L92" s="65" t="s">
        <v>318</v>
      </c>
      <c r="M92" s="60" t="s">
        <v>319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388</v>
      </c>
      <c r="B93" s="67" t="s">
        <v>389</v>
      </c>
      <c r="C93" s="33" t="str">
        <f>IF(B93="","",(VLOOKUP(B93,'Dados de PN'!$A:$B,2,0)))</f>
        <v>IND RDR 200 IN</v>
      </c>
      <c r="D93" s="67" t="s">
        <v>390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391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392</v>
      </c>
      <c r="P93" s="70" t="s">
        <v>389</v>
      </c>
      <c r="Q93" s="71" t="s">
        <v>393</v>
      </c>
      <c r="R93" s="71" t="s">
        <v>122</v>
      </c>
      <c r="S93" s="72"/>
      <c r="T93" s="73">
        <v>45979.0</v>
      </c>
      <c r="U93" s="56" t="s">
        <v>394</v>
      </c>
      <c r="V93" s="53"/>
      <c r="W93" s="41" t="s">
        <v>52</v>
      </c>
    </row>
    <row r="94">
      <c r="A94" s="14" t="s">
        <v>395</v>
      </c>
      <c r="B94" s="65" t="s">
        <v>396</v>
      </c>
      <c r="C94" s="15" t="str">
        <f>IF(B94="","",(VLOOKUP(B94,'Dados de PN'!$A:$B,2,0)))</f>
        <v>AIR COMPRESSOR</v>
      </c>
      <c r="D94" s="65" t="s">
        <v>397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398</v>
      </c>
      <c r="J94" s="16" t="s">
        <v>31</v>
      </c>
      <c r="K94" s="63">
        <v>46002.0</v>
      </c>
      <c r="L94" s="65" t="s">
        <v>360</v>
      </c>
      <c r="M94" s="60" t="s">
        <v>361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399</v>
      </c>
      <c r="B95" s="65" t="s">
        <v>400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401</v>
      </c>
      <c r="J95" s="16" t="s">
        <v>31</v>
      </c>
      <c r="K95" s="63">
        <v>46007.0</v>
      </c>
      <c r="L95" s="65" t="s">
        <v>251</v>
      </c>
      <c r="M95" s="60" t="s">
        <v>252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402</v>
      </c>
      <c r="B96" s="65" t="s">
        <v>403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404</v>
      </c>
      <c r="J96" s="16" t="s">
        <v>31</v>
      </c>
      <c r="K96" s="63">
        <v>46007.0</v>
      </c>
      <c r="L96" s="65" t="s">
        <v>251</v>
      </c>
      <c r="M96" s="60" t="s">
        <v>252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405</v>
      </c>
      <c r="B97" s="65" t="s">
        <v>406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407</v>
      </c>
      <c r="J97" s="16" t="s">
        <v>31</v>
      </c>
      <c r="K97" s="63">
        <v>46008.0</v>
      </c>
      <c r="L97" s="65" t="s">
        <v>154</v>
      </c>
      <c r="M97" s="60" t="s">
        <v>87</v>
      </c>
      <c r="N97" s="20"/>
      <c r="O97" s="61" t="s">
        <v>392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408</v>
      </c>
      <c r="B98" s="67" t="s">
        <v>409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410</v>
      </c>
      <c r="G98" s="43">
        <v>1.0</v>
      </c>
      <c r="H98" s="34">
        <v>3.13250017311E11</v>
      </c>
      <c r="I98" s="69" t="s">
        <v>411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409</v>
      </c>
      <c r="Q98" s="78"/>
      <c r="R98" s="71" t="s">
        <v>412</v>
      </c>
      <c r="S98" s="72"/>
      <c r="T98" s="73">
        <v>46030.0</v>
      </c>
      <c r="U98" s="56" t="s">
        <v>413</v>
      </c>
      <c r="V98" s="53"/>
      <c r="W98" s="41" t="s">
        <v>52</v>
      </c>
    </row>
    <row r="99">
      <c r="A99" s="14" t="s">
        <v>414</v>
      </c>
      <c r="B99" s="65" t="s">
        <v>415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416</v>
      </c>
      <c r="I99" s="61" t="s">
        <v>417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418</v>
      </c>
      <c r="B100" s="65" t="s">
        <v>419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420</v>
      </c>
      <c r="J100" s="16" t="s">
        <v>31</v>
      </c>
      <c r="K100" s="63">
        <v>46034.0</v>
      </c>
      <c r="L100" s="65" t="s">
        <v>154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421</v>
      </c>
      <c r="B101" s="65" t="s">
        <v>422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423</v>
      </c>
      <c r="G101" s="17">
        <f t="shared" si="3"/>
        <v>1</v>
      </c>
      <c r="H101" s="16">
        <v>1.6428515E7</v>
      </c>
      <c r="I101" s="61" t="s">
        <v>424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425</v>
      </c>
      <c r="B102" s="65" t="s">
        <v>426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427</v>
      </c>
      <c r="J102" s="16" t="s">
        <v>31</v>
      </c>
      <c r="K102" s="63">
        <v>46035.0</v>
      </c>
      <c r="L102" s="65" t="s">
        <v>154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428</v>
      </c>
      <c r="B103" s="65" t="s">
        <v>429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430</v>
      </c>
      <c r="J103" s="16" t="s">
        <v>31</v>
      </c>
      <c r="K103" s="63">
        <v>46036.0</v>
      </c>
      <c r="L103" s="65">
        <v>2727.0</v>
      </c>
      <c r="M103" s="60" t="s">
        <v>319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431</v>
      </c>
      <c r="B104" s="65" t="s">
        <v>432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430</v>
      </c>
      <c r="J104" s="16" t="s">
        <v>31</v>
      </c>
      <c r="K104" s="63">
        <v>46036.0</v>
      </c>
      <c r="L104" s="65">
        <v>2727.0</v>
      </c>
      <c r="M104" s="60" t="s">
        <v>319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433</v>
      </c>
      <c r="B105" s="65" t="s">
        <v>434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435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436</v>
      </c>
      <c r="B106" s="65" t="s">
        <v>437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438</v>
      </c>
      <c r="I106" s="61" t="s">
        <v>439</v>
      </c>
      <c r="J106" s="16" t="s">
        <v>31</v>
      </c>
      <c r="K106" s="63">
        <v>46036.0</v>
      </c>
      <c r="L106" s="65" t="s">
        <v>356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440</v>
      </c>
      <c r="B107" s="65" t="s">
        <v>149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439</v>
      </c>
      <c r="J107" s="16" t="s">
        <v>31</v>
      </c>
      <c r="K107" s="63">
        <v>46036.0</v>
      </c>
      <c r="L107" s="65" t="s">
        <v>356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441</v>
      </c>
      <c r="B108" s="65" t="s">
        <v>442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407</v>
      </c>
      <c r="J108" s="16" t="s">
        <v>31</v>
      </c>
      <c r="K108" s="63">
        <v>46036.0</v>
      </c>
      <c r="L108" s="65" t="s">
        <v>154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443</v>
      </c>
      <c r="B109" s="65" t="s">
        <v>442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444</v>
      </c>
      <c r="J109" s="16" t="s">
        <v>31</v>
      </c>
      <c r="K109" s="63">
        <v>46043.0</v>
      </c>
      <c r="L109" s="65" t="s">
        <v>161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445</v>
      </c>
      <c r="B110" s="65" t="s">
        <v>446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423</v>
      </c>
      <c r="G110" s="17">
        <f t="shared" si="3"/>
        <v>1</v>
      </c>
      <c r="H110" s="16">
        <v>3.29260018825E11</v>
      </c>
      <c r="I110" s="61" t="s">
        <v>447</v>
      </c>
      <c r="J110" s="16" t="s">
        <v>31</v>
      </c>
      <c r="K110" s="63">
        <v>46043.0</v>
      </c>
      <c r="L110" s="65" t="s">
        <v>154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448</v>
      </c>
      <c r="B111" s="65" t="s">
        <v>449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423</v>
      </c>
      <c r="G111" s="17">
        <f t="shared" si="3"/>
        <v>1</v>
      </c>
      <c r="H111" s="16">
        <v>3.29260018826E11</v>
      </c>
      <c r="I111" s="61" t="s">
        <v>450</v>
      </c>
      <c r="J111" s="16" t="s">
        <v>31</v>
      </c>
      <c r="K111" s="63">
        <v>46043.0</v>
      </c>
      <c r="L111" s="65" t="s">
        <v>154</v>
      </c>
      <c r="M111" s="60" t="s">
        <v>87</v>
      </c>
      <c r="N111" s="20"/>
      <c r="O111" s="20"/>
      <c r="P111" s="81" t="s">
        <v>449</v>
      </c>
      <c r="Q111" s="82" t="s">
        <v>451</v>
      </c>
      <c r="R111" s="82" t="s">
        <v>452</v>
      </c>
      <c r="S111" s="76"/>
      <c r="T111" s="83">
        <v>45805.0</v>
      </c>
      <c r="U111" s="51" t="s">
        <v>453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454</v>
      </c>
      <c r="B112" s="67" t="s">
        <v>455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423</v>
      </c>
      <c r="G112" s="17">
        <f t="shared" si="3"/>
        <v>1</v>
      </c>
      <c r="H112" s="34">
        <v>1.6494618E7</v>
      </c>
      <c r="I112" s="69" t="s">
        <v>456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387</v>
      </c>
      <c r="Q112" s="71" t="s">
        <v>457</v>
      </c>
      <c r="R112" s="77" t="s">
        <v>458</v>
      </c>
      <c r="S112" s="72"/>
      <c r="T112" s="73">
        <v>45959.0</v>
      </c>
      <c r="U112" s="56" t="s">
        <v>459</v>
      </c>
      <c r="V112" s="52"/>
      <c r="W112" s="41" t="s">
        <v>52</v>
      </c>
    </row>
    <row r="113">
      <c r="A113" s="14" t="s">
        <v>460</v>
      </c>
      <c r="B113" s="65" t="s">
        <v>461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462</v>
      </c>
      <c r="I113" s="61" t="s">
        <v>456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463</v>
      </c>
      <c r="Q113" s="82" t="s">
        <v>464</v>
      </c>
      <c r="R113" s="82" t="s">
        <v>465</v>
      </c>
      <c r="S113" s="76"/>
      <c r="T113" s="84">
        <v>46052.0</v>
      </c>
      <c r="U113" s="51" t="s">
        <v>466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467</v>
      </c>
      <c r="B114" s="65" t="s">
        <v>468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317</v>
      </c>
      <c r="J114" s="16" t="s">
        <v>31</v>
      </c>
      <c r="K114" s="63">
        <v>46049.0</v>
      </c>
      <c r="L114" s="65" t="s">
        <v>318</v>
      </c>
      <c r="M114" s="60" t="s">
        <v>319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469</v>
      </c>
      <c r="B115" s="65" t="s">
        <v>470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471</v>
      </c>
      <c r="J115" s="16" t="s">
        <v>31</v>
      </c>
      <c r="K115" s="63">
        <v>46049.0</v>
      </c>
      <c r="L115" s="15" t="s">
        <v>251</v>
      </c>
      <c r="M115" s="16" t="s">
        <v>252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472</v>
      </c>
      <c r="B116" s="65" t="s">
        <v>473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474</v>
      </c>
      <c r="I116" s="61" t="s">
        <v>475</v>
      </c>
      <c r="J116" s="16" t="s">
        <v>31</v>
      </c>
      <c r="K116" s="63">
        <v>46050.0</v>
      </c>
      <c r="L116" s="15" t="s">
        <v>251</v>
      </c>
      <c r="M116" s="16" t="s">
        <v>252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476</v>
      </c>
      <c r="B117" s="65" t="s">
        <v>477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478</v>
      </c>
      <c r="I117" s="61" t="s">
        <v>475</v>
      </c>
      <c r="J117" s="16" t="s">
        <v>31</v>
      </c>
      <c r="K117" s="63">
        <v>46050.0</v>
      </c>
      <c r="L117" s="15" t="s">
        <v>251</v>
      </c>
      <c r="M117" s="16" t="s">
        <v>252</v>
      </c>
      <c r="N117" s="20"/>
      <c r="O117" s="20"/>
      <c r="P117" s="81" t="s">
        <v>477</v>
      </c>
      <c r="Q117" s="82" t="s">
        <v>479</v>
      </c>
      <c r="R117" s="82" t="s">
        <v>480</v>
      </c>
      <c r="S117" s="76"/>
      <c r="T117" s="84">
        <v>46048.0</v>
      </c>
      <c r="U117" s="51" t="s">
        <v>481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482</v>
      </c>
      <c r="B118" s="65" t="s">
        <v>483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484</v>
      </c>
      <c r="I118" s="61" t="s">
        <v>475</v>
      </c>
      <c r="J118" s="16" t="s">
        <v>31</v>
      </c>
      <c r="K118" s="63">
        <v>46050.0</v>
      </c>
      <c r="L118" s="15" t="s">
        <v>251</v>
      </c>
      <c r="M118" s="16" t="s">
        <v>252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485</v>
      </c>
      <c r="B119" s="65" t="s">
        <v>486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193</v>
      </c>
      <c r="G119" s="17">
        <f t="shared" si="3"/>
        <v>10</v>
      </c>
      <c r="H119" s="16">
        <v>3.86260013052E11</v>
      </c>
      <c r="I119" s="61" t="s">
        <v>487</v>
      </c>
      <c r="J119" s="60" t="s">
        <v>31</v>
      </c>
      <c r="K119" s="63">
        <v>46063.0</v>
      </c>
      <c r="L119" s="15" t="s">
        <v>251</v>
      </c>
      <c r="M119" s="16" t="s">
        <v>252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488</v>
      </c>
      <c r="B120" s="65" t="s">
        <v>489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490</v>
      </c>
      <c r="J120" s="60" t="s">
        <v>31</v>
      </c>
      <c r="K120" s="63">
        <v>46028.0</v>
      </c>
      <c r="L120" s="65" t="s">
        <v>143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491</v>
      </c>
      <c r="B121" s="65" t="s">
        <v>492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189</v>
      </c>
      <c r="G121" s="17">
        <f t="shared" si="3"/>
        <v>3</v>
      </c>
      <c r="H121" s="16">
        <v>3.13260017677E11</v>
      </c>
      <c r="I121" s="61" t="s">
        <v>493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494</v>
      </c>
      <c r="B122" s="65" t="s">
        <v>495</v>
      </c>
      <c r="C122" s="15" t="str">
        <f>IF(B122="","",(VLOOKUP(B122,'Dados de PN'!$A:$B,2,0)))</f>
        <v>OIL COOLER-LARGE</v>
      </c>
      <c r="D122" s="65" t="s">
        <v>496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497</v>
      </c>
      <c r="J122" s="60" t="s">
        <v>31</v>
      </c>
      <c r="K122" s="63">
        <v>46065.0</v>
      </c>
      <c r="L122" s="65" t="s">
        <v>98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498</v>
      </c>
      <c r="B123" s="85" t="s">
        <v>499</v>
      </c>
      <c r="C123" s="15" t="str">
        <f>IF(B123="","",(VLOOKUP(B123,'Dados de PN'!$A:$B,2,0)))</f>
        <v>GOVERNOR,OVERSPEED</v>
      </c>
      <c r="D123" s="65" t="s">
        <v>500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497</v>
      </c>
      <c r="J123" s="60" t="s">
        <v>31</v>
      </c>
      <c r="K123" s="63">
        <v>46065.0</v>
      </c>
      <c r="L123" s="65" t="s">
        <v>98</v>
      </c>
      <c r="M123" s="60" t="s">
        <v>42</v>
      </c>
      <c r="N123" s="20"/>
      <c r="O123" s="20"/>
      <c r="P123" s="25"/>
      <c r="Q123" s="20"/>
      <c r="R123" s="60" t="s">
        <v>501</v>
      </c>
      <c r="S123" s="25"/>
      <c r="T123" s="25"/>
      <c r="U123" s="24"/>
      <c r="V123" s="86" t="s">
        <v>502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503</v>
      </c>
      <c r="B124" s="65" t="s">
        <v>504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505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506</v>
      </c>
      <c r="B125" s="65" t="s">
        <v>504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507</v>
      </c>
      <c r="J125" s="60" t="s">
        <v>31</v>
      </c>
      <c r="K125" s="63">
        <v>46065.0</v>
      </c>
      <c r="L125" s="65" t="s">
        <v>98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508</v>
      </c>
      <c r="B126" s="65" t="s">
        <v>509</v>
      </c>
      <c r="C126" s="15" t="str">
        <f>IF(B126="","",(VLOOKUP(B126,'Dados de PN'!$A:$B,2,0)))</f>
        <v>GYRO HORIZON</v>
      </c>
      <c r="D126" s="65" t="s">
        <v>510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511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512</v>
      </c>
      <c r="B127" s="65" t="s">
        <v>513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514</v>
      </c>
      <c r="J127" s="60" t="s">
        <v>31</v>
      </c>
      <c r="K127" s="19">
        <v>46073.0</v>
      </c>
      <c r="L127" s="65" t="s">
        <v>360</v>
      </c>
      <c r="M127" s="60" t="s">
        <v>361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515</v>
      </c>
      <c r="B128" s="15" t="s">
        <v>337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516</v>
      </c>
      <c r="I128" s="61" t="s">
        <v>517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337</v>
      </c>
      <c r="Q128" s="61" t="s">
        <v>518</v>
      </c>
      <c r="R128" s="60" t="s">
        <v>519</v>
      </c>
      <c r="S128" s="25"/>
      <c r="T128" s="64">
        <v>45889.0</v>
      </c>
      <c r="U128" s="51" t="s">
        <v>520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521</v>
      </c>
      <c r="B129" s="15" t="s">
        <v>342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522</v>
      </c>
      <c r="I129" s="61" t="s">
        <v>517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523</v>
      </c>
      <c r="B130" s="15" t="s">
        <v>234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524</v>
      </c>
      <c r="I130" s="61" t="s">
        <v>517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525</v>
      </c>
      <c r="B131" s="15" t="s">
        <v>526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527</v>
      </c>
      <c r="I131" s="61" t="s">
        <v>517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528</v>
      </c>
      <c r="B132" s="15" t="s">
        <v>529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530</v>
      </c>
      <c r="G132" s="17">
        <f t="shared" si="3"/>
        <v>6</v>
      </c>
      <c r="H132" s="15" t="s">
        <v>531</v>
      </c>
      <c r="I132" s="61" t="s">
        <v>517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532</v>
      </c>
      <c r="B133" s="65" t="s">
        <v>533</v>
      </c>
      <c r="C133" s="15" t="str">
        <f>IF(B133="","",(VLOOKUP(B133,'Dados de PN'!$A:$B,2,0)))</f>
        <v>SUCTION GAGE</v>
      </c>
      <c r="D133" s="65" t="s">
        <v>534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535</v>
      </c>
      <c r="J133" s="60" t="s">
        <v>31</v>
      </c>
      <c r="K133" s="19">
        <v>46077.0</v>
      </c>
      <c r="L133" s="65" t="s">
        <v>536</v>
      </c>
      <c r="M133" s="60" t="s">
        <v>537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538</v>
      </c>
      <c r="B134" s="65" t="s">
        <v>539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540</v>
      </c>
      <c r="J134" s="60" t="s">
        <v>31</v>
      </c>
      <c r="K134" s="19">
        <v>46079.0</v>
      </c>
      <c r="L134" s="65" t="s">
        <v>541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542</v>
      </c>
      <c r="B135" s="65" t="s">
        <v>345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543</v>
      </c>
      <c r="I135" s="61" t="s">
        <v>544</v>
      </c>
      <c r="J135" s="60" t="s">
        <v>31</v>
      </c>
      <c r="K135" s="19">
        <v>46080.0</v>
      </c>
      <c r="L135" s="65" t="s">
        <v>360</v>
      </c>
      <c r="M135" s="60" t="s">
        <v>361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545</v>
      </c>
      <c r="B136" s="65" t="s">
        <v>348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544</v>
      </c>
      <c r="J136" s="89" t="s">
        <v>31</v>
      </c>
      <c r="K136" s="90">
        <v>46080.0</v>
      </c>
      <c r="L136" s="66" t="s">
        <v>360</v>
      </c>
      <c r="M136" s="25" t="s">
        <v>361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546</v>
      </c>
      <c r="B137" s="65" t="s">
        <v>547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548</v>
      </c>
      <c r="I137" s="88" t="s">
        <v>544</v>
      </c>
      <c r="J137" s="89" t="s">
        <v>31</v>
      </c>
      <c r="K137" s="90">
        <v>46080.0</v>
      </c>
      <c r="L137" s="66" t="s">
        <v>360</v>
      </c>
      <c r="M137" s="25" t="s">
        <v>361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549</v>
      </c>
      <c r="B138" s="65" t="s">
        <v>550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193</v>
      </c>
      <c r="G138" s="17">
        <f t="shared" si="3"/>
        <v>10</v>
      </c>
      <c r="H138" s="16">
        <v>1.6844147E7</v>
      </c>
      <c r="I138" s="61" t="s">
        <v>551</v>
      </c>
      <c r="J138" s="89" t="s">
        <v>31</v>
      </c>
      <c r="K138" s="90">
        <v>46080.0</v>
      </c>
      <c r="L138" s="65" t="s">
        <v>552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553</v>
      </c>
      <c r="B139" s="65" t="s">
        <v>554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555</v>
      </c>
      <c r="I139" s="61" t="s">
        <v>551</v>
      </c>
      <c r="J139" s="89" t="s">
        <v>31</v>
      </c>
      <c r="K139" s="90">
        <v>46080.0</v>
      </c>
      <c r="L139" s="65" t="s">
        <v>552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556</v>
      </c>
      <c r="B140" s="65" t="s">
        <v>539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540</v>
      </c>
      <c r="J140" s="89" t="s">
        <v>31</v>
      </c>
      <c r="K140" s="19">
        <v>46078.0</v>
      </c>
      <c r="L140" s="65" t="s">
        <v>541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557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558</v>
      </c>
      <c r="B141" s="65" t="s">
        <v>559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560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561</v>
      </c>
      <c r="B142" s="65" t="s">
        <v>562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560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563</v>
      </c>
      <c r="B143" s="65" t="s">
        <v>564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560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565</v>
      </c>
      <c r="B144" s="65" t="s">
        <v>566</v>
      </c>
      <c r="C144" s="15" t="str">
        <f>IF(B144="","",(VLOOKUP(B144,'Dados de PN'!$A:$B,2,0)))</f>
        <v>RING AY-ENGINE MOUNT</v>
      </c>
      <c r="D144" s="65" t="s">
        <v>567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568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569</v>
      </c>
      <c r="B145" s="65" t="s">
        <v>97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570</v>
      </c>
      <c r="I145" s="61" t="s">
        <v>571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572</v>
      </c>
      <c r="B146" s="65" t="s">
        <v>345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573</v>
      </c>
      <c r="I146" s="61" t="s">
        <v>574</v>
      </c>
      <c r="J146" s="89" t="s">
        <v>31</v>
      </c>
      <c r="K146" s="19">
        <v>46094.0</v>
      </c>
      <c r="L146" s="65" t="s">
        <v>251</v>
      </c>
      <c r="M146" s="60" t="s">
        <v>252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575</v>
      </c>
      <c r="B147" s="65" t="s">
        <v>348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576</v>
      </c>
      <c r="I147" s="61" t="s">
        <v>574</v>
      </c>
      <c r="J147" s="89" t="s">
        <v>31</v>
      </c>
      <c r="K147" s="19">
        <v>46094.0</v>
      </c>
      <c r="L147" s="65" t="s">
        <v>251</v>
      </c>
      <c r="M147" s="60" t="s">
        <v>252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577</v>
      </c>
      <c r="B148" s="65" t="s">
        <v>578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579</v>
      </c>
      <c r="I148" s="61" t="s">
        <v>574</v>
      </c>
      <c r="J148" s="89" t="s">
        <v>31</v>
      </c>
      <c r="K148" s="19">
        <v>46094.0</v>
      </c>
      <c r="L148" s="65" t="s">
        <v>251</v>
      </c>
      <c r="M148" s="60" t="s">
        <v>252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580</v>
      </c>
      <c r="B149" s="65" t="s">
        <v>449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581</v>
      </c>
      <c r="J149" s="91" t="s">
        <v>31</v>
      </c>
      <c r="K149" s="19">
        <v>46097.0</v>
      </c>
      <c r="L149" s="65" t="s">
        <v>154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582</v>
      </c>
      <c r="B150" s="65" t="s">
        <v>455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583</v>
      </c>
      <c r="J150" s="91" t="s">
        <v>31</v>
      </c>
      <c r="K150" s="19">
        <v>46097.0</v>
      </c>
      <c r="L150" s="65" t="s">
        <v>154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584</v>
      </c>
      <c r="B151" s="65" t="s">
        <v>585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586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587</v>
      </c>
      <c r="B152" s="92" t="s">
        <v>345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588</v>
      </c>
      <c r="I152" s="61" t="s">
        <v>544</v>
      </c>
      <c r="J152" s="89" t="s">
        <v>31</v>
      </c>
      <c r="K152" s="19">
        <v>46100.0</v>
      </c>
      <c r="L152" s="65" t="s">
        <v>552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589</v>
      </c>
      <c r="B153" s="92" t="s">
        <v>348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590</v>
      </c>
      <c r="I153" s="61" t="s">
        <v>544</v>
      </c>
      <c r="J153" s="89" t="s">
        <v>31</v>
      </c>
      <c r="K153" s="19">
        <v>46100.0</v>
      </c>
      <c r="L153" s="65" t="s">
        <v>552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591</v>
      </c>
      <c r="B154" s="92" t="s">
        <v>592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593</v>
      </c>
      <c r="I154" s="61" t="s">
        <v>544</v>
      </c>
      <c r="J154" s="89" t="s">
        <v>31</v>
      </c>
      <c r="K154" s="19">
        <v>46100.0</v>
      </c>
      <c r="L154" s="66" t="s">
        <v>360</v>
      </c>
      <c r="M154" s="25" t="s">
        <v>361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313</v>
      </c>
      <c r="V154" s="60" t="s">
        <v>314</v>
      </c>
      <c r="W154" s="41" t="s">
        <v>52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594</v>
      </c>
      <c r="B155" s="65" t="s">
        <v>595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596</v>
      </c>
      <c r="I155" s="61" t="s">
        <v>597</v>
      </c>
      <c r="J155" s="89" t="s">
        <v>31</v>
      </c>
      <c r="K155" s="19">
        <v>46101.0</v>
      </c>
      <c r="L155" s="93" t="s">
        <v>232</v>
      </c>
      <c r="M155" s="60" t="s">
        <v>233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598</v>
      </c>
      <c r="B156" s="65" t="s">
        <v>599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600</v>
      </c>
      <c r="I156" s="94" t="s">
        <v>597</v>
      </c>
      <c r="J156" s="89" t="s">
        <v>31</v>
      </c>
      <c r="K156" s="19">
        <v>46101.0</v>
      </c>
      <c r="L156" s="93" t="s">
        <v>232</v>
      </c>
      <c r="M156" s="60" t="s">
        <v>233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601</v>
      </c>
      <c r="B157" s="65" t="s">
        <v>602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603</v>
      </c>
      <c r="I157" s="61" t="s">
        <v>597</v>
      </c>
      <c r="J157" s="89" t="s">
        <v>31</v>
      </c>
      <c r="K157" s="19">
        <v>46101.0</v>
      </c>
      <c r="L157" s="93" t="s">
        <v>232</v>
      </c>
      <c r="M157" s="60" t="s">
        <v>233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604</v>
      </c>
      <c r="B158" s="65" t="s">
        <v>437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605</v>
      </c>
      <c r="I158" s="61" t="s">
        <v>606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607</v>
      </c>
      <c r="B159" s="65" t="s">
        <v>608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609</v>
      </c>
      <c r="I159" s="61" t="s">
        <v>610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611</v>
      </c>
      <c r="B160" s="65" t="s">
        <v>612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613</v>
      </c>
      <c r="I160" s="61" t="s">
        <v>610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614</v>
      </c>
      <c r="B161" s="65" t="s">
        <v>615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616</v>
      </c>
      <c r="I161" s="61" t="s">
        <v>610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617</v>
      </c>
      <c r="B162" s="65" t="s">
        <v>618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619</v>
      </c>
      <c r="I162" s="61" t="s">
        <v>620</v>
      </c>
      <c r="J162" s="89" t="s">
        <v>31</v>
      </c>
      <c r="K162" s="19">
        <v>46101.0</v>
      </c>
      <c r="L162" s="65" t="s">
        <v>98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621</v>
      </c>
      <c r="B163" s="65" t="s">
        <v>566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622</v>
      </c>
      <c r="J163" s="89" t="s">
        <v>31</v>
      </c>
      <c r="K163" s="19">
        <v>46113.0</v>
      </c>
      <c r="L163" s="65" t="s">
        <v>161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623</v>
      </c>
      <c r="B164" s="65" t="s">
        <v>368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624</v>
      </c>
      <c r="J164" s="89" t="s">
        <v>31</v>
      </c>
      <c r="K164" s="19">
        <v>46119.0</v>
      </c>
      <c r="L164" s="65" t="s">
        <v>98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625</v>
      </c>
      <c r="B165" s="65" t="s">
        <v>626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624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627</v>
      </c>
      <c r="B166" s="65" t="s">
        <v>628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624</v>
      </c>
      <c r="J166" s="89" t="s">
        <v>31</v>
      </c>
      <c r="K166" s="19">
        <v>46119.0</v>
      </c>
      <c r="L166" s="65" t="s">
        <v>98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629</v>
      </c>
      <c r="B167" s="65" t="s">
        <v>368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624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630</v>
      </c>
      <c r="B168" s="65" t="s">
        <v>631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624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632</v>
      </c>
      <c r="B169" s="65" t="s">
        <v>633</v>
      </c>
      <c r="C169" s="15" t="str">
        <f>IF(B169="","",(VLOOKUP(B169,'Dados de PN'!$A:$B,2,0)))</f>
        <v>ENGINE MOUNT WELD ASSEMBLY</v>
      </c>
      <c r="D169" s="65" t="s">
        <v>634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635</v>
      </c>
      <c r="J169" s="89" t="s">
        <v>31</v>
      </c>
      <c r="K169" s="19">
        <v>46120.0</v>
      </c>
      <c r="L169" s="65" t="s">
        <v>536</v>
      </c>
      <c r="M169" s="60" t="s">
        <v>537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636</v>
      </c>
      <c r="B170" s="65" t="s">
        <v>566</v>
      </c>
      <c r="C170" s="15" t="str">
        <f>IF(B170="","",(VLOOKUP(B170,'Dados de PN'!$A:$B,2,0)))</f>
        <v>RING AY-ENGINE MOUNT</v>
      </c>
      <c r="D170" s="65" t="s">
        <v>637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635</v>
      </c>
      <c r="J170" s="89" t="s">
        <v>31</v>
      </c>
      <c r="K170" s="19">
        <v>46120.0</v>
      </c>
      <c r="L170" s="65" t="s">
        <v>536</v>
      </c>
      <c r="M170" s="60" t="s">
        <v>537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638</v>
      </c>
      <c r="B171" s="65" t="s">
        <v>162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635</v>
      </c>
      <c r="J171" s="89" t="s">
        <v>31</v>
      </c>
      <c r="K171" s="19">
        <v>46120.0</v>
      </c>
      <c r="L171" s="65" t="s">
        <v>536</v>
      </c>
      <c r="M171" s="60" t="s">
        <v>537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639</v>
      </c>
      <c r="B172" s="65" t="s">
        <v>640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635</v>
      </c>
      <c r="J172" s="89" t="s">
        <v>31</v>
      </c>
      <c r="K172" s="19">
        <v>46120.0</v>
      </c>
      <c r="L172" s="65" t="s">
        <v>536</v>
      </c>
      <c r="M172" s="60" t="s">
        <v>537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641</v>
      </c>
      <c r="B173" s="65" t="s">
        <v>642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635</v>
      </c>
      <c r="J173" s="89" t="s">
        <v>31</v>
      </c>
      <c r="K173" s="19">
        <v>46120.0</v>
      </c>
      <c r="L173" s="65" t="s">
        <v>536</v>
      </c>
      <c r="M173" s="60" t="s">
        <v>537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643</v>
      </c>
      <c r="B174" s="65" t="s">
        <v>644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137</v>
      </c>
      <c r="G174" s="17">
        <f t="shared" si="3"/>
        <v>4</v>
      </c>
      <c r="H174" s="16">
        <v>1.715475E7</v>
      </c>
      <c r="I174" s="61" t="s">
        <v>635</v>
      </c>
      <c r="J174" s="89" t="s">
        <v>31</v>
      </c>
      <c r="K174" s="19">
        <v>46120.0</v>
      </c>
      <c r="L174" s="65" t="s">
        <v>536</v>
      </c>
      <c r="M174" s="60" t="s">
        <v>537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645</v>
      </c>
      <c r="B175" s="65" t="s">
        <v>646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635</v>
      </c>
      <c r="J175" s="89" t="s">
        <v>31</v>
      </c>
      <c r="K175" s="19">
        <v>46120.0</v>
      </c>
      <c r="L175" s="65" t="s">
        <v>536</v>
      </c>
      <c r="M175" s="60" t="s">
        <v>537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647</v>
      </c>
      <c r="B176" s="65" t="s">
        <v>648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635</v>
      </c>
      <c r="J176" s="89" t="s">
        <v>31</v>
      </c>
      <c r="K176" s="19">
        <v>46120.0</v>
      </c>
      <c r="L176" s="65" t="s">
        <v>536</v>
      </c>
      <c r="M176" s="60" t="s">
        <v>537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649</v>
      </c>
      <c r="B177" s="65" t="s">
        <v>650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635</v>
      </c>
      <c r="J177" s="89" t="s">
        <v>31</v>
      </c>
      <c r="K177" s="19">
        <v>46120.0</v>
      </c>
      <c r="L177" s="65" t="s">
        <v>536</v>
      </c>
      <c r="M177" s="60" t="s">
        <v>537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651</v>
      </c>
      <c r="B178" s="65" t="s">
        <v>652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635</v>
      </c>
      <c r="J178" s="89" t="s">
        <v>31</v>
      </c>
      <c r="K178" s="19">
        <v>46120.0</v>
      </c>
      <c r="L178" s="65" t="s">
        <v>536</v>
      </c>
      <c r="M178" s="60" t="s">
        <v>537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653</v>
      </c>
      <c r="B179" s="65" t="s">
        <v>167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635</v>
      </c>
      <c r="J179" s="89" t="s">
        <v>31</v>
      </c>
      <c r="K179" s="19">
        <v>46120.0</v>
      </c>
      <c r="L179" s="65" t="s">
        <v>536</v>
      </c>
      <c r="M179" s="60" t="s">
        <v>537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654</v>
      </c>
      <c r="B180" s="65" t="s">
        <v>592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544</v>
      </c>
      <c r="J180" s="60" t="s">
        <v>31</v>
      </c>
      <c r="K180" s="19">
        <v>46121.0</v>
      </c>
      <c r="L180" s="65" t="s">
        <v>251</v>
      </c>
      <c r="M180" s="60" t="s">
        <v>252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313</v>
      </c>
      <c r="V180" s="60" t="s">
        <v>314</v>
      </c>
      <c r="W180" s="41" t="s">
        <v>52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655</v>
      </c>
      <c r="B181" s="15" t="s">
        <v>211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656</v>
      </c>
      <c r="I181" s="61" t="s">
        <v>657</v>
      </c>
      <c r="J181" s="60" t="s">
        <v>31</v>
      </c>
      <c r="K181" s="19">
        <v>46121.0</v>
      </c>
      <c r="L181" s="65" t="s">
        <v>658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659</v>
      </c>
      <c r="B182" s="15" t="s">
        <v>660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661</v>
      </c>
      <c r="I182" s="61" t="s">
        <v>657</v>
      </c>
      <c r="J182" s="60" t="s">
        <v>31</v>
      </c>
      <c r="K182" s="19">
        <v>46121.0</v>
      </c>
      <c r="L182" s="65" t="s">
        <v>98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662</v>
      </c>
      <c r="B183" s="15" t="s">
        <v>663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664</v>
      </c>
      <c r="I183" s="61" t="s">
        <v>657</v>
      </c>
      <c r="J183" s="60" t="s">
        <v>31</v>
      </c>
      <c r="K183" s="19">
        <v>46121.0</v>
      </c>
      <c r="L183" s="65" t="s">
        <v>665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666</v>
      </c>
      <c r="B184" s="15" t="s">
        <v>667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668</v>
      </c>
      <c r="I184" s="61" t="s">
        <v>657</v>
      </c>
      <c r="J184" s="60" t="s">
        <v>31</v>
      </c>
      <c r="K184" s="19">
        <v>46121.0</v>
      </c>
      <c r="L184" s="65" t="s">
        <v>98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669</v>
      </c>
      <c r="B185" s="65" t="s">
        <v>670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671</v>
      </c>
      <c r="I185" s="61" t="s">
        <v>672</v>
      </c>
      <c r="J185" s="60" t="s">
        <v>31</v>
      </c>
      <c r="K185" s="19">
        <v>46122.0</v>
      </c>
      <c r="L185" s="65" t="s">
        <v>154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673</v>
      </c>
      <c r="B186" s="65" t="s">
        <v>670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674</v>
      </c>
      <c r="I186" s="61" t="s">
        <v>672</v>
      </c>
      <c r="J186" s="60" t="s">
        <v>31</v>
      </c>
      <c r="K186" s="19">
        <v>46122.0</v>
      </c>
      <c r="L186" s="65" t="s">
        <v>154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675</v>
      </c>
      <c r="B187" s="65" t="s">
        <v>676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677</v>
      </c>
      <c r="I187" s="61" t="s">
        <v>672</v>
      </c>
      <c r="J187" s="60" t="s">
        <v>31</v>
      </c>
      <c r="K187" s="19">
        <v>46122.0</v>
      </c>
      <c r="L187" s="65" t="s">
        <v>154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678</v>
      </c>
      <c r="B188" s="65" t="s">
        <v>679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672</v>
      </c>
      <c r="J188" s="60" t="s">
        <v>31</v>
      </c>
      <c r="K188" s="19">
        <v>46122.0</v>
      </c>
      <c r="L188" s="65" t="s">
        <v>536</v>
      </c>
      <c r="M188" s="60" t="s">
        <v>537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680</v>
      </c>
      <c r="B189" s="65" t="s">
        <v>681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672</v>
      </c>
      <c r="J189" s="60" t="s">
        <v>31</v>
      </c>
      <c r="K189" s="19">
        <v>46122.0</v>
      </c>
      <c r="L189" s="65" t="s">
        <v>536</v>
      </c>
      <c r="M189" s="60" t="s">
        <v>537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682</v>
      </c>
      <c r="B190" s="65" t="s">
        <v>683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137</v>
      </c>
      <c r="G190" s="17">
        <f t="shared" si="3"/>
        <v>4</v>
      </c>
      <c r="H190" s="16">
        <v>1.7187148E7</v>
      </c>
      <c r="I190" s="61" t="s">
        <v>672</v>
      </c>
      <c r="J190" s="60" t="s">
        <v>31</v>
      </c>
      <c r="K190" s="19">
        <v>46122.0</v>
      </c>
      <c r="L190" s="65" t="s">
        <v>536</v>
      </c>
      <c r="M190" s="60" t="s">
        <v>537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684</v>
      </c>
      <c r="B191" s="65" t="s">
        <v>685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672</v>
      </c>
      <c r="J191" s="60" t="s">
        <v>31</v>
      </c>
      <c r="K191" s="19">
        <v>46122.0</v>
      </c>
      <c r="L191" s="65" t="s">
        <v>536</v>
      </c>
      <c r="M191" s="60" t="s">
        <v>537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686</v>
      </c>
      <c r="B192" s="65" t="s">
        <v>687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530</v>
      </c>
      <c r="G192" s="17">
        <f t="shared" si="3"/>
        <v>6</v>
      </c>
      <c r="H192" s="16">
        <v>1.7187163E7</v>
      </c>
      <c r="I192" s="61" t="s">
        <v>672</v>
      </c>
      <c r="J192" s="60" t="s">
        <v>31</v>
      </c>
      <c r="K192" s="19">
        <v>46122.0</v>
      </c>
      <c r="L192" s="65" t="s">
        <v>536</v>
      </c>
      <c r="M192" s="60" t="s">
        <v>537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688</v>
      </c>
      <c r="B193" s="65" t="s">
        <v>689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672</v>
      </c>
      <c r="J193" s="60" t="s">
        <v>31</v>
      </c>
      <c r="K193" s="19">
        <v>46122.0</v>
      </c>
      <c r="L193" s="65" t="s">
        <v>536</v>
      </c>
      <c r="M193" s="60" t="s">
        <v>537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690</v>
      </c>
      <c r="B194" s="65" t="s">
        <v>691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189</v>
      </c>
      <c r="G194" s="17">
        <f t="shared" si="3"/>
        <v>3</v>
      </c>
      <c r="H194" s="16">
        <v>1.7187179E7</v>
      </c>
      <c r="I194" s="61" t="s">
        <v>672</v>
      </c>
      <c r="J194" s="60" t="s">
        <v>31</v>
      </c>
      <c r="K194" s="19">
        <v>46122.0</v>
      </c>
      <c r="L194" s="65" t="s">
        <v>536</v>
      </c>
      <c r="M194" s="60" t="s">
        <v>537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692</v>
      </c>
      <c r="B195" s="65" t="s">
        <v>691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189</v>
      </c>
      <c r="G195" s="17">
        <f t="shared" si="3"/>
        <v>3</v>
      </c>
      <c r="H195" s="16">
        <v>1.7191995E7</v>
      </c>
      <c r="I195" s="61" t="s">
        <v>672</v>
      </c>
      <c r="J195" s="60" t="s">
        <v>31</v>
      </c>
      <c r="K195" s="19">
        <v>46122.0</v>
      </c>
      <c r="L195" s="65" t="s">
        <v>536</v>
      </c>
      <c r="M195" s="60" t="s">
        <v>537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693</v>
      </c>
      <c r="B196" s="65" t="s">
        <v>694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624</v>
      </c>
      <c r="J196" s="60" t="s">
        <v>31</v>
      </c>
      <c r="K196" s="19">
        <v>46126.0</v>
      </c>
      <c r="L196" s="65" t="s">
        <v>240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695</v>
      </c>
      <c r="B197" s="65" t="s">
        <v>387</v>
      </c>
      <c r="C197" s="15" t="str">
        <f>IF(B197="","",(VLOOKUP(B197,'Dados de PN'!$A:$B,2,0)))</f>
        <v>RECEIVER TRANSMITTER</v>
      </c>
      <c r="D197" s="65" t="s">
        <v>696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697</v>
      </c>
      <c r="J197" s="60" t="s">
        <v>31</v>
      </c>
      <c r="K197" s="19">
        <v>46128.0</v>
      </c>
      <c r="L197" s="65" t="s">
        <v>232</v>
      </c>
      <c r="M197" s="60" t="s">
        <v>233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698</v>
      </c>
      <c r="B198" s="65" t="s">
        <v>455</v>
      </c>
      <c r="C198" s="15" t="str">
        <f>IF(B198="","",(VLOOKUP(B198,'Dados de PN'!$A:$B,2,0)))</f>
        <v>TRANSCEIVER</v>
      </c>
      <c r="D198" s="65" t="s">
        <v>699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700</v>
      </c>
      <c r="J198" s="60" t="s">
        <v>31</v>
      </c>
      <c r="K198" s="19">
        <v>46128.0</v>
      </c>
      <c r="L198" s="65" t="s">
        <v>154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701</v>
      </c>
      <c r="B199" s="65" t="s">
        <v>702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703</v>
      </c>
      <c r="G199" s="17">
        <f t="shared" si="3"/>
        <v>5</v>
      </c>
      <c r="H199" s="16">
        <v>1.7261012E7</v>
      </c>
      <c r="I199" s="61" t="s">
        <v>704</v>
      </c>
      <c r="J199" s="60" t="s">
        <v>139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705</v>
      </c>
      <c r="B200" s="65" t="s">
        <v>706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707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708</v>
      </c>
      <c r="B201" s="65" t="s">
        <v>275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657</v>
      </c>
      <c r="J201" s="60" t="s">
        <v>31</v>
      </c>
      <c r="K201" s="19">
        <v>46135.0</v>
      </c>
      <c r="L201" s="65" t="s">
        <v>171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709</v>
      </c>
      <c r="B202" s="65" t="s">
        <v>710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137</v>
      </c>
      <c r="G202" s="17">
        <f t="shared" si="3"/>
        <v>4</v>
      </c>
      <c r="H202" s="16">
        <v>1.7331826E7</v>
      </c>
      <c r="I202" s="61" t="s">
        <v>711</v>
      </c>
      <c r="J202" s="60" t="s">
        <v>31</v>
      </c>
      <c r="K202" s="19">
        <v>46139.0</v>
      </c>
      <c r="L202" s="65" t="s">
        <v>318</v>
      </c>
      <c r="M202" s="60" t="s">
        <v>319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712</v>
      </c>
      <c r="B203" s="65" t="s">
        <v>713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711</v>
      </c>
      <c r="J203" s="60" t="s">
        <v>31</v>
      </c>
      <c r="K203" s="19">
        <v>46139.0</v>
      </c>
      <c r="L203" s="65" t="s">
        <v>318</v>
      </c>
      <c r="M203" s="60" t="s">
        <v>319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714</v>
      </c>
      <c r="B204" s="65" t="s">
        <v>626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715</v>
      </c>
      <c r="I204" s="61" t="s">
        <v>700</v>
      </c>
      <c r="J204" s="60" t="s">
        <v>31</v>
      </c>
      <c r="K204" s="19">
        <v>46139.0</v>
      </c>
      <c r="L204" s="65" t="s">
        <v>658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716</v>
      </c>
      <c r="B205" s="65" t="s">
        <v>717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718</v>
      </c>
      <c r="I205" s="61" t="s">
        <v>700</v>
      </c>
      <c r="J205" s="60" t="s">
        <v>31</v>
      </c>
      <c r="K205" s="19">
        <v>46139.0</v>
      </c>
      <c r="L205" s="65" t="s">
        <v>658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719</v>
      </c>
      <c r="B206" s="65" t="s">
        <v>720</v>
      </c>
      <c r="C206" s="15" t="str">
        <f>IF(B206="","",(VLOOKUP(B206,'Dados de PN'!$A:$B,2,0)))</f>
        <v>NOSE GEAR STRUT ASSY - TALL FORK</v>
      </c>
      <c r="D206" s="65" t="s">
        <v>721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722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723</v>
      </c>
      <c r="B207" s="65" t="s">
        <v>628</v>
      </c>
      <c r="C207" s="15" t="str">
        <f>IF(B207="","",(VLOOKUP(B207,'Dados de PN'!$A:$B,2,0)))</f>
        <v>ALTERNATOR CONTROL UNIT ASSY</v>
      </c>
      <c r="D207" s="65" t="s">
        <v>724</v>
      </c>
      <c r="E207" s="60" t="s">
        <v>39</v>
      </c>
      <c r="F207" s="65" t="s">
        <v>725</v>
      </c>
      <c r="G207" s="43">
        <v>1.0</v>
      </c>
      <c r="H207" s="15" t="s">
        <v>726</v>
      </c>
      <c r="I207" s="61" t="s">
        <v>727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728</v>
      </c>
      <c r="B208" s="65" t="s">
        <v>389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725</v>
      </c>
      <c r="G208" s="43">
        <v>1.0</v>
      </c>
      <c r="H208" s="15" t="s">
        <v>729</v>
      </c>
      <c r="I208" s="61" t="s">
        <v>730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731</v>
      </c>
      <c r="B209" s="65" t="s">
        <v>732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725</v>
      </c>
      <c r="G209" s="43">
        <v>1.0</v>
      </c>
      <c r="H209" s="15" t="s">
        <v>733</v>
      </c>
      <c r="I209" s="61" t="s">
        <v>730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734</v>
      </c>
      <c r="B210" s="65" t="s">
        <v>735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736</v>
      </c>
      <c r="G210" s="43">
        <v>2.0</v>
      </c>
      <c r="H210" s="15" t="s">
        <v>737</v>
      </c>
      <c r="I210" s="61" t="s">
        <v>730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738</v>
      </c>
      <c r="B211" s="65" t="s">
        <v>739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736</v>
      </c>
      <c r="G211" s="43">
        <v>2.0</v>
      </c>
      <c r="H211" s="15" t="s">
        <v>740</v>
      </c>
      <c r="I211" s="61" t="s">
        <v>730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741</v>
      </c>
      <c r="B212" s="65" t="s">
        <v>742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743</v>
      </c>
      <c r="G212" s="43">
        <v>6.0</v>
      </c>
      <c r="H212" s="15" t="s">
        <v>744</v>
      </c>
      <c r="I212" s="61" t="s">
        <v>730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745</v>
      </c>
      <c r="B213" s="65" t="s">
        <v>746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736</v>
      </c>
      <c r="G213" s="43">
        <v>2.0</v>
      </c>
      <c r="H213" s="15" t="s">
        <v>747</v>
      </c>
      <c r="I213" s="61" t="s">
        <v>748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749</v>
      </c>
      <c r="B214" s="65" t="s">
        <v>746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423</v>
      </c>
      <c r="G214" s="17">
        <f t="shared" ref="G214:G216" si="4">VALUE(SUBSTITUTE(F214," EA",""))</f>
        <v>1</v>
      </c>
      <c r="H214" s="15" t="s">
        <v>750</v>
      </c>
      <c r="I214" s="61" t="s">
        <v>751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752</v>
      </c>
      <c r="B215" s="65" t="s">
        <v>746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423</v>
      </c>
      <c r="G215" s="17">
        <f t="shared" si="4"/>
        <v>1</v>
      </c>
      <c r="H215" s="15" t="s">
        <v>753</v>
      </c>
      <c r="I215" s="61" t="s">
        <v>754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755</v>
      </c>
      <c r="B216" s="65" t="s">
        <v>113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423</v>
      </c>
      <c r="G216" s="17">
        <f t="shared" si="4"/>
        <v>1</v>
      </c>
      <c r="H216" s="16">
        <v>1.7377917E7</v>
      </c>
      <c r="I216" s="61" t="s">
        <v>756</v>
      </c>
      <c r="J216" s="60" t="s">
        <v>31</v>
      </c>
      <c r="K216" s="19">
        <v>46142.0</v>
      </c>
      <c r="L216" s="65" t="s">
        <v>143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757</v>
      </c>
      <c r="B217" s="65" t="s">
        <v>758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759</v>
      </c>
      <c r="G217" s="43">
        <v>60.0</v>
      </c>
      <c r="H217" s="16">
        <v>1.7401193E7</v>
      </c>
      <c r="I217" s="61" t="s">
        <v>760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761</v>
      </c>
      <c r="B218" s="65" t="s">
        <v>762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763</v>
      </c>
      <c r="J218" s="60" t="s">
        <v>31</v>
      </c>
      <c r="K218" s="19">
        <v>46148.0</v>
      </c>
      <c r="L218" s="65" t="s">
        <v>658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764</v>
      </c>
      <c r="B219" s="65" t="s">
        <v>765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137</v>
      </c>
      <c r="G219" s="17">
        <f t="shared" si="5"/>
        <v>4</v>
      </c>
      <c r="H219" s="16">
        <v>1.742819E7</v>
      </c>
      <c r="I219" s="61" t="s">
        <v>763</v>
      </c>
      <c r="J219" s="60" t="s">
        <v>31</v>
      </c>
      <c r="K219" s="19">
        <v>46148.0</v>
      </c>
      <c r="L219" s="65" t="s">
        <v>658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766</v>
      </c>
      <c r="B220" s="65" t="s">
        <v>767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137</v>
      </c>
      <c r="G220" s="17">
        <f t="shared" si="5"/>
        <v>4</v>
      </c>
      <c r="H220" s="16">
        <v>1.7384283E7</v>
      </c>
      <c r="I220" s="61" t="s">
        <v>763</v>
      </c>
      <c r="J220" s="60" t="s">
        <v>31</v>
      </c>
      <c r="K220" s="19">
        <v>46148.0</v>
      </c>
      <c r="L220" s="65" t="s">
        <v>658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768</v>
      </c>
      <c r="B221" s="60" t="s">
        <v>769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423</v>
      </c>
      <c r="G221" s="17">
        <f t="shared" si="5"/>
        <v>1</v>
      </c>
      <c r="H221" s="15" t="s">
        <v>770</v>
      </c>
      <c r="I221" s="61" t="s">
        <v>771</v>
      </c>
      <c r="J221" s="60" t="s">
        <v>31</v>
      </c>
      <c r="K221" s="19">
        <v>46148.0</v>
      </c>
      <c r="L221" s="65" t="s">
        <v>360</v>
      </c>
      <c r="M221" s="60" t="s">
        <v>252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772</v>
      </c>
      <c r="B222" s="60" t="s">
        <v>108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773</v>
      </c>
      <c r="G222" s="17">
        <f t="shared" si="5"/>
        <v>8</v>
      </c>
      <c r="H222" s="15" t="s">
        <v>774</v>
      </c>
      <c r="I222" s="61" t="s">
        <v>771</v>
      </c>
      <c r="J222" s="60" t="s">
        <v>31</v>
      </c>
      <c r="K222" s="19">
        <v>46148.0</v>
      </c>
      <c r="L222" s="65" t="s">
        <v>360</v>
      </c>
      <c r="M222" s="60" t="s">
        <v>252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775</v>
      </c>
      <c r="B223" s="60" t="s">
        <v>683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776</v>
      </c>
      <c r="G223" s="17">
        <f t="shared" si="5"/>
        <v>4</v>
      </c>
      <c r="H223" s="15" t="s">
        <v>777</v>
      </c>
      <c r="I223" s="61" t="s">
        <v>771</v>
      </c>
      <c r="J223" s="60" t="s">
        <v>31</v>
      </c>
      <c r="K223" s="19">
        <v>46148.0</v>
      </c>
      <c r="L223" s="65" t="s">
        <v>360</v>
      </c>
      <c r="M223" s="60" t="s">
        <v>252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778</v>
      </c>
      <c r="B224" s="60" t="s">
        <v>779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423</v>
      </c>
      <c r="G224" s="17">
        <f t="shared" si="5"/>
        <v>1</v>
      </c>
      <c r="H224" s="15" t="s">
        <v>780</v>
      </c>
      <c r="I224" s="61" t="s">
        <v>771</v>
      </c>
      <c r="J224" s="60" t="s">
        <v>31</v>
      </c>
      <c r="K224" s="19">
        <v>46148.0</v>
      </c>
      <c r="L224" s="65" t="s">
        <v>360</v>
      </c>
      <c r="M224" s="60" t="s">
        <v>252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781</v>
      </c>
      <c r="B225" s="60" t="s">
        <v>782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423</v>
      </c>
      <c r="G225" s="17">
        <f t="shared" si="5"/>
        <v>1</v>
      </c>
      <c r="H225" s="15" t="s">
        <v>783</v>
      </c>
      <c r="I225" s="61" t="s">
        <v>771</v>
      </c>
      <c r="J225" s="60" t="s">
        <v>31</v>
      </c>
      <c r="K225" s="19">
        <v>46148.0</v>
      </c>
      <c r="L225" s="65" t="s">
        <v>360</v>
      </c>
      <c r="M225" s="60" t="s">
        <v>252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784</v>
      </c>
      <c r="B226" s="60" t="s">
        <v>644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776</v>
      </c>
      <c r="G226" s="17">
        <f t="shared" si="5"/>
        <v>4</v>
      </c>
      <c r="H226" s="15" t="s">
        <v>785</v>
      </c>
      <c r="I226" s="61" t="s">
        <v>771</v>
      </c>
      <c r="J226" s="60" t="s">
        <v>31</v>
      </c>
      <c r="K226" s="19">
        <v>46148.0</v>
      </c>
      <c r="L226" s="65" t="s">
        <v>360</v>
      </c>
      <c r="M226" s="60" t="s">
        <v>252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786</v>
      </c>
      <c r="B227" s="60" t="s">
        <v>685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423</v>
      </c>
      <c r="G227" s="17">
        <f t="shared" si="5"/>
        <v>1</v>
      </c>
      <c r="H227" s="15" t="s">
        <v>787</v>
      </c>
      <c r="I227" s="61" t="s">
        <v>771</v>
      </c>
      <c r="J227" s="60" t="s">
        <v>31</v>
      </c>
      <c r="K227" s="19">
        <v>46148.0</v>
      </c>
      <c r="L227" s="65" t="s">
        <v>360</v>
      </c>
      <c r="M227" s="60" t="s">
        <v>252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788</v>
      </c>
      <c r="B228" s="60" t="s">
        <v>442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423</v>
      </c>
      <c r="G228" s="17">
        <f t="shared" si="5"/>
        <v>1</v>
      </c>
      <c r="H228" s="15" t="s">
        <v>789</v>
      </c>
      <c r="I228" s="61" t="s">
        <v>771</v>
      </c>
      <c r="J228" s="60" t="s">
        <v>31</v>
      </c>
      <c r="K228" s="19">
        <v>46148.0</v>
      </c>
      <c r="L228" s="65" t="s">
        <v>360</v>
      </c>
      <c r="M228" s="60" t="s">
        <v>252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724</v>
      </c>
      <c r="B229" s="60" t="s">
        <v>790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423</v>
      </c>
      <c r="G229" s="17">
        <f t="shared" si="5"/>
        <v>1</v>
      </c>
      <c r="H229" s="15" t="s">
        <v>791</v>
      </c>
      <c r="I229" s="61" t="s">
        <v>771</v>
      </c>
      <c r="J229" s="60" t="s">
        <v>31</v>
      </c>
      <c r="K229" s="19">
        <v>46148.0</v>
      </c>
      <c r="L229" s="65" t="s">
        <v>360</v>
      </c>
      <c r="M229" s="60" t="s">
        <v>252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792</v>
      </c>
      <c r="B230" s="60" t="s">
        <v>793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423</v>
      </c>
      <c r="G230" s="17">
        <f t="shared" si="5"/>
        <v>1</v>
      </c>
      <c r="H230" s="15" t="s">
        <v>794</v>
      </c>
      <c r="I230" s="61" t="s">
        <v>771</v>
      </c>
      <c r="J230" s="60" t="s">
        <v>31</v>
      </c>
      <c r="K230" s="19">
        <v>46148.0</v>
      </c>
      <c r="L230" s="65" t="s">
        <v>360</v>
      </c>
      <c r="M230" s="60" t="s">
        <v>252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795</v>
      </c>
      <c r="B231" s="60" t="s">
        <v>796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423</v>
      </c>
      <c r="G231" s="17">
        <f t="shared" si="5"/>
        <v>1</v>
      </c>
      <c r="H231" s="15" t="s">
        <v>797</v>
      </c>
      <c r="I231" s="61" t="s">
        <v>771</v>
      </c>
      <c r="J231" s="60" t="s">
        <v>31</v>
      </c>
      <c r="K231" s="19">
        <v>46148.0</v>
      </c>
      <c r="L231" s="65" t="s">
        <v>360</v>
      </c>
      <c r="M231" s="60" t="s">
        <v>252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798</v>
      </c>
      <c r="B232" s="60" t="s">
        <v>799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776</v>
      </c>
      <c r="G232" s="17">
        <f t="shared" si="5"/>
        <v>4</v>
      </c>
      <c r="H232" s="15" t="s">
        <v>800</v>
      </c>
      <c r="I232" s="61" t="s">
        <v>771</v>
      </c>
      <c r="J232" s="60" t="s">
        <v>31</v>
      </c>
      <c r="K232" s="19">
        <v>46148.0</v>
      </c>
      <c r="L232" s="65" t="s">
        <v>360</v>
      </c>
      <c r="M232" s="60" t="s">
        <v>252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801</v>
      </c>
      <c r="B233" s="60" t="s">
        <v>681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802</v>
      </c>
      <c r="G233" s="17">
        <f t="shared" si="5"/>
        <v>2</v>
      </c>
      <c r="H233" s="15" t="s">
        <v>803</v>
      </c>
      <c r="I233" s="61" t="s">
        <v>771</v>
      </c>
      <c r="J233" s="60" t="s">
        <v>31</v>
      </c>
      <c r="K233" s="19">
        <v>46148.0</v>
      </c>
      <c r="L233" s="65" t="s">
        <v>360</v>
      </c>
      <c r="M233" s="60" t="s">
        <v>252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804</v>
      </c>
      <c r="B234" s="60" t="s">
        <v>679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423</v>
      </c>
      <c r="G234" s="17">
        <f t="shared" si="5"/>
        <v>1</v>
      </c>
      <c r="H234" s="15" t="s">
        <v>805</v>
      </c>
      <c r="I234" s="61" t="s">
        <v>771</v>
      </c>
      <c r="J234" s="60" t="s">
        <v>31</v>
      </c>
      <c r="K234" s="19">
        <v>46148.0</v>
      </c>
      <c r="L234" s="65" t="s">
        <v>360</v>
      </c>
      <c r="M234" s="60" t="s">
        <v>252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806</v>
      </c>
      <c r="B235" s="60" t="s">
        <v>807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725</v>
      </c>
      <c r="G235" s="43">
        <v>1.0</v>
      </c>
      <c r="H235" s="16">
        <v>1.7439905E7</v>
      </c>
      <c r="I235" s="61" t="s">
        <v>808</v>
      </c>
      <c r="J235" s="60" t="s">
        <v>31</v>
      </c>
      <c r="K235" s="19">
        <v>46149.0</v>
      </c>
      <c r="L235" s="65" t="s">
        <v>809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810</v>
      </c>
      <c r="B236" s="60" t="s">
        <v>807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725</v>
      </c>
      <c r="G236" s="43">
        <v>1.0</v>
      </c>
      <c r="H236" s="16">
        <v>1.7440211E7</v>
      </c>
      <c r="I236" s="61" t="s">
        <v>808</v>
      </c>
      <c r="J236" s="60" t="s">
        <v>31</v>
      </c>
      <c r="K236" s="19">
        <v>46149.0</v>
      </c>
      <c r="L236" s="65" t="s">
        <v>809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811</v>
      </c>
      <c r="B237" s="60" t="s">
        <v>667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736</v>
      </c>
      <c r="G237" s="43">
        <v>2.0</v>
      </c>
      <c r="H237" s="16">
        <v>1.7440365E7</v>
      </c>
      <c r="I237" s="61" t="s">
        <v>808</v>
      </c>
      <c r="J237" s="60" t="s">
        <v>31</v>
      </c>
      <c r="K237" s="19">
        <v>46149.0</v>
      </c>
      <c r="L237" s="65" t="s">
        <v>809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812</v>
      </c>
      <c r="B238" s="60" t="s">
        <v>667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725</v>
      </c>
      <c r="G238" s="43">
        <v>1.0</v>
      </c>
      <c r="H238" s="16">
        <v>1.7440621E7</v>
      </c>
      <c r="I238" s="61" t="s">
        <v>808</v>
      </c>
      <c r="J238" s="60" t="s">
        <v>31</v>
      </c>
      <c r="K238" s="19">
        <v>46149.0</v>
      </c>
      <c r="L238" s="65" t="s">
        <v>809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813</v>
      </c>
      <c r="B239" s="60" t="s">
        <v>814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736</v>
      </c>
      <c r="G239" s="43">
        <v>2.0</v>
      </c>
      <c r="H239" s="16">
        <v>1.7440604E7</v>
      </c>
      <c r="I239" s="61" t="s">
        <v>808</v>
      </c>
      <c r="J239" s="60" t="s">
        <v>31</v>
      </c>
      <c r="K239" s="19">
        <v>46149.0</v>
      </c>
      <c r="L239" s="65" t="s">
        <v>809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815</v>
      </c>
      <c r="B240" s="60" t="s">
        <v>814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736</v>
      </c>
      <c r="G240" s="43">
        <v>2.0</v>
      </c>
      <c r="H240" s="16">
        <v>1.7440771E7</v>
      </c>
      <c r="I240" s="61" t="s">
        <v>808</v>
      </c>
      <c r="J240" s="60" t="s">
        <v>31</v>
      </c>
      <c r="K240" s="19">
        <v>46149.0</v>
      </c>
      <c r="L240" s="65" t="s">
        <v>809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816</v>
      </c>
      <c r="B241" s="60" t="s">
        <v>817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725</v>
      </c>
      <c r="G241" s="43">
        <v>1.0</v>
      </c>
      <c r="H241" s="16">
        <v>1.7441308E7</v>
      </c>
      <c r="I241" s="61" t="s">
        <v>808</v>
      </c>
      <c r="J241" s="60" t="s">
        <v>31</v>
      </c>
      <c r="K241" s="19">
        <v>46149.0</v>
      </c>
      <c r="L241" s="65" t="s">
        <v>809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818</v>
      </c>
      <c r="B242" s="60" t="s">
        <v>819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820</v>
      </c>
      <c r="G242" s="43">
        <v>20.0</v>
      </c>
      <c r="H242" s="16">
        <v>1.7440912E7</v>
      </c>
      <c r="I242" s="61" t="s">
        <v>808</v>
      </c>
      <c r="J242" s="60" t="s">
        <v>31</v>
      </c>
      <c r="K242" s="19">
        <v>46149.0</v>
      </c>
      <c r="L242" s="65" t="s">
        <v>809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821</v>
      </c>
      <c r="B243" s="60" t="s">
        <v>125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725</v>
      </c>
      <c r="G243" s="43">
        <v>1.0</v>
      </c>
      <c r="H243" s="16">
        <v>1.6069857E7</v>
      </c>
      <c r="I243" s="61" t="s">
        <v>808</v>
      </c>
      <c r="J243" s="60" t="s">
        <v>31</v>
      </c>
      <c r="K243" s="19">
        <v>46149.0</v>
      </c>
      <c r="L243" s="65" t="s">
        <v>809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822</v>
      </c>
      <c r="B244" s="60" t="s">
        <v>449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725</v>
      </c>
      <c r="G244" s="43">
        <v>1.0</v>
      </c>
      <c r="H244" s="16">
        <v>1.6126104E7</v>
      </c>
      <c r="I244" s="61" t="s">
        <v>808</v>
      </c>
      <c r="J244" s="60" t="s">
        <v>31</v>
      </c>
      <c r="K244" s="19">
        <v>46149.0</v>
      </c>
      <c r="L244" s="65" t="s">
        <v>809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823</v>
      </c>
      <c r="B245" s="60" t="s">
        <v>824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725</v>
      </c>
      <c r="G245" s="43">
        <v>1.0</v>
      </c>
      <c r="H245" s="16">
        <v>1.6393897E7</v>
      </c>
      <c r="I245" s="61" t="s">
        <v>808</v>
      </c>
      <c r="J245" s="60" t="s">
        <v>31</v>
      </c>
      <c r="K245" s="19">
        <v>46149.0</v>
      </c>
      <c r="L245" s="65" t="s">
        <v>809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825</v>
      </c>
      <c r="B246" s="65" t="s">
        <v>826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725</v>
      </c>
      <c r="G246" s="43">
        <v>1.0</v>
      </c>
      <c r="H246" s="16">
        <v>1.7435536E7</v>
      </c>
      <c r="I246" s="61" t="s">
        <v>808</v>
      </c>
      <c r="J246" s="60" t="s">
        <v>31</v>
      </c>
      <c r="K246" s="19">
        <v>46149.0</v>
      </c>
      <c r="L246" s="65" t="s">
        <v>809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827</v>
      </c>
      <c r="B247" s="60" t="s">
        <v>769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725</v>
      </c>
      <c r="G247" s="43">
        <v>1.0</v>
      </c>
      <c r="H247" s="16">
        <v>1.7435646E7</v>
      </c>
      <c r="I247" s="61" t="s">
        <v>808</v>
      </c>
      <c r="J247" s="60" t="s">
        <v>31</v>
      </c>
      <c r="K247" s="19">
        <v>46149.0</v>
      </c>
      <c r="L247" s="65" t="s">
        <v>809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828</v>
      </c>
      <c r="B248" s="60" t="s">
        <v>389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725</v>
      </c>
      <c r="G248" s="43">
        <v>1.0</v>
      </c>
      <c r="H248" s="16">
        <v>1.7354649E7</v>
      </c>
      <c r="I248" s="61" t="s">
        <v>808</v>
      </c>
      <c r="J248" s="60" t="s">
        <v>31</v>
      </c>
      <c r="K248" s="19">
        <v>46149.0</v>
      </c>
      <c r="L248" s="65" t="s">
        <v>809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829</v>
      </c>
      <c r="B249" s="60" t="s">
        <v>830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831</v>
      </c>
      <c r="G249" s="43">
        <v>3.0</v>
      </c>
      <c r="H249" s="16">
        <v>1.7425684E7</v>
      </c>
      <c r="I249" s="61" t="s">
        <v>808</v>
      </c>
      <c r="J249" s="60" t="s">
        <v>31</v>
      </c>
      <c r="K249" s="19">
        <v>46149.0</v>
      </c>
      <c r="L249" s="65" t="s">
        <v>809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832</v>
      </c>
      <c r="B250" s="65" t="s">
        <v>833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834</v>
      </c>
      <c r="J250" s="60" t="s">
        <v>31</v>
      </c>
      <c r="K250" s="19">
        <v>46150.0</v>
      </c>
      <c r="L250" s="65" t="s">
        <v>318</v>
      </c>
      <c r="M250" s="60" t="s">
        <v>319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835</v>
      </c>
      <c r="B251" s="60" t="s">
        <v>836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837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838</v>
      </c>
      <c r="B252" s="65" t="s">
        <v>839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840</v>
      </c>
      <c r="J252" s="60" t="s">
        <v>31</v>
      </c>
      <c r="K252" s="19">
        <v>46161.0</v>
      </c>
      <c r="L252" s="65" t="s">
        <v>658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841</v>
      </c>
      <c r="B253" s="65" t="s">
        <v>265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842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843</v>
      </c>
      <c r="B254" s="65" t="s">
        <v>844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845</v>
      </c>
      <c r="J254" s="60" t="s">
        <v>31</v>
      </c>
      <c r="K254" s="19">
        <v>46162.0</v>
      </c>
      <c r="L254" s="65" t="s">
        <v>318</v>
      </c>
      <c r="M254" s="60" t="s">
        <v>319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846</v>
      </c>
      <c r="B255" s="65" t="s">
        <v>847</v>
      </c>
      <c r="C255" s="15" t="str">
        <f>IF(B255="","",(VLOOKUP(B255,'Dados de PN'!$A:$B,2,0)))</f>
        <v>SPRING ASSY-MAIN GEAR CENTER</v>
      </c>
      <c r="D255" s="65" t="s">
        <v>848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849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850</v>
      </c>
      <c r="B256" s="65" t="s">
        <v>851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852</v>
      </c>
      <c r="J256" s="60" t="s">
        <v>31</v>
      </c>
      <c r="K256" s="19">
        <v>46163.0</v>
      </c>
      <c r="L256" s="65" t="s">
        <v>232</v>
      </c>
      <c r="M256" s="60" t="s">
        <v>233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853</v>
      </c>
      <c r="B257" s="65" t="s">
        <v>851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852</v>
      </c>
      <c r="J257" s="60" t="s">
        <v>31</v>
      </c>
      <c r="K257" s="19">
        <v>46163.0</v>
      </c>
      <c r="L257" s="65" t="s">
        <v>232</v>
      </c>
      <c r="M257" s="60" t="s">
        <v>233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854</v>
      </c>
      <c r="B258" s="65" t="s">
        <v>855</v>
      </c>
      <c r="C258" s="15" t="str">
        <f>IF(B258="","",(VLOOKUP(B258,'Dados de PN'!$A:$B,2,0)))</f>
        <v>STARTER-GENERATOR</v>
      </c>
      <c r="D258" s="65" t="s">
        <v>856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857</v>
      </c>
      <c r="J258" s="60" t="s">
        <v>31</v>
      </c>
      <c r="K258" s="19">
        <v>46170.0</v>
      </c>
      <c r="L258" s="65" t="s">
        <v>251</v>
      </c>
      <c r="M258" s="60" t="s">
        <v>252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313</v>
      </c>
      <c r="V258" s="60" t="s">
        <v>314</v>
      </c>
      <c r="W258" s="41" t="s">
        <v>52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858</v>
      </c>
      <c r="B259" s="65" t="s">
        <v>859</v>
      </c>
      <c r="C259" s="15" t="str">
        <f>IF(B259="","",(VLOOKUP(B259,'Dados de PN'!$A:$B,2,0)))</f>
        <v>IND FUEL FLOW</v>
      </c>
      <c r="D259" s="65" t="s">
        <v>860</v>
      </c>
      <c r="E259" s="60" t="s">
        <v>73</v>
      </c>
      <c r="F259" s="60" t="s">
        <v>861</v>
      </c>
      <c r="G259" s="17">
        <f t="shared" si="6"/>
        <v>1</v>
      </c>
      <c r="H259" s="16">
        <v>3.29260019124E11</v>
      </c>
      <c r="I259" s="61" t="s">
        <v>862</v>
      </c>
      <c r="J259" s="60" t="s">
        <v>31</v>
      </c>
      <c r="K259" s="19">
        <v>46170.0</v>
      </c>
      <c r="L259" s="65" t="s">
        <v>658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863</v>
      </c>
      <c r="B260" s="61" t="s">
        <v>342</v>
      </c>
      <c r="C260" s="15" t="str">
        <f>IF(B260="","",(VLOOKUP(B260,'Dados de PN'!$A:$B,2,0)))</f>
        <v>WHEEL HALF ASSY</v>
      </c>
      <c r="D260" s="65" t="s">
        <v>864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865</v>
      </c>
      <c r="J260" s="60" t="s">
        <v>31</v>
      </c>
      <c r="K260" s="19">
        <v>46171.0</v>
      </c>
      <c r="L260" s="65" t="s">
        <v>171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866</v>
      </c>
      <c r="B261" s="61" t="s">
        <v>867</v>
      </c>
      <c r="C261" s="15" t="str">
        <f>IF(B261="","",(VLOOKUP(B261,'Dados de PN'!$A:$B,2,0)))</f>
        <v>STARTER GENERATOR</v>
      </c>
      <c r="D261" s="65" t="s">
        <v>868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865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313</v>
      </c>
      <c r="V261" s="60" t="s">
        <v>314</v>
      </c>
      <c r="W261" s="41" t="s">
        <v>52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869</v>
      </c>
      <c r="B262" s="61" t="s">
        <v>578</v>
      </c>
      <c r="C262" s="15" t="str">
        <f>IF(B262="","",(VLOOKUP(B262,'Dados de PN'!$A:$B,2,0)))</f>
        <v>AXLE-MAIN GEAR</v>
      </c>
      <c r="D262" s="65" t="s">
        <v>870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865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871</v>
      </c>
      <c r="B263" s="61" t="s">
        <v>872</v>
      </c>
      <c r="C263" s="15" t="str">
        <f>IF(B263="","",(VLOOKUP(B263,'Dados de PN'!$A:$B,2,0)))</f>
        <v>BATTERY</v>
      </c>
      <c r="D263" s="65" t="s">
        <v>873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865</v>
      </c>
      <c r="J263" s="60" t="s">
        <v>31</v>
      </c>
      <c r="K263" s="19">
        <v>46171.0</v>
      </c>
      <c r="L263" s="65" t="s">
        <v>98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874</v>
      </c>
      <c r="B264" s="61" t="s">
        <v>592</v>
      </c>
      <c r="C264" s="15" t="str">
        <f>IF(B264="","",(VLOOKUP(B264,'Dados de PN'!$A:$B,2,0)))</f>
        <v>EXTINGUISHER,FIRE</v>
      </c>
      <c r="D264" s="65" t="s">
        <v>875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865</v>
      </c>
      <c r="J264" s="60" t="s">
        <v>31</v>
      </c>
      <c r="K264" s="19">
        <v>46171.0</v>
      </c>
      <c r="L264" s="65" t="s">
        <v>98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313</v>
      </c>
      <c r="V264" s="60" t="s">
        <v>314</v>
      </c>
      <c r="W264" s="41" t="s">
        <v>52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876</v>
      </c>
      <c r="B265" s="60" t="s">
        <v>131</v>
      </c>
      <c r="C265" s="15" t="str">
        <f>IF(B265="","",(VLOOKUP(B265,'Dados de PN'!$A:$B,2,0)))</f>
        <v>INDICATOR,HORIZONTAL SITUATION</v>
      </c>
      <c r="D265" s="65" t="s">
        <v>877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878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879</v>
      </c>
      <c r="B266" s="60" t="s">
        <v>880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878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881</v>
      </c>
      <c r="B267" s="60" t="s">
        <v>562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878</v>
      </c>
      <c r="J267" s="60" t="s">
        <v>31</v>
      </c>
      <c r="K267" s="19">
        <v>46174.0</v>
      </c>
      <c r="L267" s="65" t="s">
        <v>161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882</v>
      </c>
      <c r="B268" s="65" t="s">
        <v>883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189</v>
      </c>
      <c r="G268" s="17">
        <f t="shared" si="6"/>
        <v>3</v>
      </c>
      <c r="H268" s="16">
        <v>1.7624839E7</v>
      </c>
      <c r="I268" s="61" t="s">
        <v>884</v>
      </c>
      <c r="J268" s="60" t="s">
        <v>31</v>
      </c>
      <c r="K268" s="19">
        <v>46174.0</v>
      </c>
      <c r="L268" s="65" t="s">
        <v>885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886</v>
      </c>
      <c r="B269" s="65" t="s">
        <v>887</v>
      </c>
      <c r="C269" s="15" t="str">
        <f>IF(B269="","",(VLOOKUP(B269,'Dados de PN'!$A:$B,2,0)))</f>
        <v>GOVERNADOR DE HÉLICE</v>
      </c>
      <c r="D269" s="65" t="s">
        <v>888</v>
      </c>
      <c r="E269" s="60" t="s">
        <v>73</v>
      </c>
      <c r="F269" s="60" t="s">
        <v>29</v>
      </c>
      <c r="G269" s="17">
        <f t="shared" si="6"/>
        <v>1</v>
      </c>
      <c r="H269" s="15" t="s">
        <v>889</v>
      </c>
      <c r="I269" s="61" t="s">
        <v>890</v>
      </c>
      <c r="J269" s="60" t="s">
        <v>31</v>
      </c>
      <c r="K269" s="19">
        <v>46174.0</v>
      </c>
      <c r="L269" s="65" t="s">
        <v>658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891</v>
      </c>
      <c r="B270" s="65" t="s">
        <v>782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892</v>
      </c>
      <c r="I270" s="61" t="s">
        <v>890</v>
      </c>
      <c r="J270" s="60" t="s">
        <v>31</v>
      </c>
      <c r="K270" s="19">
        <v>46174.0</v>
      </c>
      <c r="L270" s="65" t="s">
        <v>658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893</v>
      </c>
      <c r="B271" s="65" t="s">
        <v>442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894</v>
      </c>
      <c r="I271" s="61" t="s">
        <v>890</v>
      </c>
      <c r="J271" s="60" t="s">
        <v>31</v>
      </c>
      <c r="K271" s="19">
        <v>46174.0</v>
      </c>
      <c r="L271" s="65" t="s">
        <v>658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895</v>
      </c>
      <c r="B272" s="65" t="s">
        <v>896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897</v>
      </c>
      <c r="I272" s="61" t="s">
        <v>890</v>
      </c>
      <c r="J272" s="60" t="s">
        <v>31</v>
      </c>
      <c r="K272" s="19">
        <v>46174.0</v>
      </c>
      <c r="L272" s="65" t="s">
        <v>658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898</v>
      </c>
      <c r="B273" s="65" t="s">
        <v>899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900</v>
      </c>
      <c r="I273" s="61" t="s">
        <v>890</v>
      </c>
      <c r="J273" s="60" t="s">
        <v>31</v>
      </c>
      <c r="K273" s="19">
        <v>46174.0</v>
      </c>
      <c r="L273" s="65" t="s">
        <v>658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901</v>
      </c>
      <c r="B274" s="65" t="s">
        <v>902</v>
      </c>
      <c r="C274" s="15" t="str">
        <f>IF(B274="","",(VLOOKUP(B274,'Dados de PN'!$A:$B,2,0)))</f>
        <v>VALVE ASSEMBLY,COMPRESSOR BLEED</v>
      </c>
      <c r="D274" s="65" t="s">
        <v>903</v>
      </c>
      <c r="E274" s="60" t="s">
        <v>73</v>
      </c>
      <c r="F274" s="60" t="s">
        <v>29</v>
      </c>
      <c r="G274" s="17">
        <f t="shared" si="6"/>
        <v>1</v>
      </c>
      <c r="H274" s="15" t="s">
        <v>904</v>
      </c>
      <c r="I274" s="61" t="s">
        <v>890</v>
      </c>
      <c r="J274" s="60" t="s">
        <v>31</v>
      </c>
      <c r="K274" s="19">
        <v>46174.0</v>
      </c>
      <c r="L274" s="65" t="s">
        <v>658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905</v>
      </c>
      <c r="B275" s="65" t="s">
        <v>509</v>
      </c>
      <c r="C275" s="15" t="str">
        <f>IF(B275="","",(VLOOKUP(B275,'Dados de PN'!$A:$B,2,0)))</f>
        <v>GYRO HORIZON</v>
      </c>
      <c r="D275" s="65" t="s">
        <v>906</v>
      </c>
      <c r="E275" s="60" t="s">
        <v>73</v>
      </c>
      <c r="F275" s="60" t="s">
        <v>29</v>
      </c>
      <c r="G275" s="17">
        <f t="shared" si="6"/>
        <v>1</v>
      </c>
      <c r="H275" s="15" t="s">
        <v>907</v>
      </c>
      <c r="I275" s="61" t="s">
        <v>908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909</v>
      </c>
      <c r="B276" s="65" t="s">
        <v>746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910</v>
      </c>
      <c r="G276" s="43">
        <v>4.0</v>
      </c>
      <c r="H276" s="15" t="s">
        <v>911</v>
      </c>
      <c r="I276" s="61" t="s">
        <v>908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912</v>
      </c>
      <c r="B277" s="65" t="s">
        <v>913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193</v>
      </c>
      <c r="G277" s="17">
        <f t="shared" ref="G277:G331" si="7">VALUE(SUBSTITUTE(F277," EA",""))</f>
        <v>10</v>
      </c>
      <c r="H277" s="15" t="s">
        <v>914</v>
      </c>
      <c r="I277" s="61" t="s">
        <v>908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915</v>
      </c>
      <c r="B278" s="65" t="s">
        <v>916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193</v>
      </c>
      <c r="G278" s="17">
        <f t="shared" si="7"/>
        <v>10</v>
      </c>
      <c r="H278" s="15" t="s">
        <v>917</v>
      </c>
      <c r="I278" s="61" t="s">
        <v>908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918</v>
      </c>
      <c r="B279" s="65" t="s">
        <v>919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193</v>
      </c>
      <c r="G279" s="17">
        <f t="shared" si="7"/>
        <v>10</v>
      </c>
      <c r="H279" s="15" t="s">
        <v>920</v>
      </c>
      <c r="I279" s="61" t="s">
        <v>908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921</v>
      </c>
      <c r="B280" s="65" t="s">
        <v>922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703</v>
      </c>
      <c r="G280" s="17">
        <f t="shared" si="7"/>
        <v>5</v>
      </c>
      <c r="H280" s="15" t="s">
        <v>923</v>
      </c>
      <c r="I280" s="61" t="s">
        <v>908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924</v>
      </c>
      <c r="B281" s="65" t="s">
        <v>925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193</v>
      </c>
      <c r="G281" s="17">
        <f t="shared" si="7"/>
        <v>10</v>
      </c>
      <c r="H281" s="15" t="s">
        <v>926</v>
      </c>
      <c r="I281" s="61" t="s">
        <v>908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927</v>
      </c>
      <c r="B282" s="65" t="s">
        <v>298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928</v>
      </c>
      <c r="I282" s="61" t="s">
        <v>908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929</v>
      </c>
      <c r="B283" s="65" t="s">
        <v>930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931</v>
      </c>
      <c r="I283" s="61" t="s">
        <v>908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932</v>
      </c>
      <c r="B284" s="65" t="s">
        <v>933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934</v>
      </c>
      <c r="I284" s="61" t="s">
        <v>908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935</v>
      </c>
      <c r="B285" s="65" t="s">
        <v>936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937</v>
      </c>
      <c r="I285" s="61" t="s">
        <v>908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938</v>
      </c>
      <c r="B286" s="65" t="s">
        <v>939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193</v>
      </c>
      <c r="G286" s="17">
        <f t="shared" si="7"/>
        <v>10</v>
      </c>
      <c r="H286" s="15" t="s">
        <v>940</v>
      </c>
      <c r="I286" s="61" t="s">
        <v>908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941</v>
      </c>
      <c r="B287" s="65" t="s">
        <v>942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943</v>
      </c>
      <c r="I287" s="61" t="s">
        <v>908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944</v>
      </c>
      <c r="B288" s="65" t="s">
        <v>945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946</v>
      </c>
      <c r="G288" s="17">
        <f t="shared" si="7"/>
        <v>67</v>
      </c>
      <c r="H288" s="16">
        <v>3.96260016504E11</v>
      </c>
      <c r="I288" s="61" t="s">
        <v>947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948</v>
      </c>
      <c r="B289" s="65" t="s">
        <v>949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950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951</v>
      </c>
      <c r="B290" s="65" t="s">
        <v>526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952</v>
      </c>
      <c r="I290" s="61" t="s">
        <v>908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953</v>
      </c>
      <c r="B291" s="65" t="s">
        <v>234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954</v>
      </c>
      <c r="I291" s="61" t="s">
        <v>908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955</v>
      </c>
      <c r="B292" s="65" t="s">
        <v>713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530</v>
      </c>
      <c r="G292" s="17">
        <f t="shared" si="7"/>
        <v>6</v>
      </c>
      <c r="H292" s="16">
        <v>1.7680394E7</v>
      </c>
      <c r="I292" s="61" t="s">
        <v>956</v>
      </c>
      <c r="J292" s="60" t="s">
        <v>31</v>
      </c>
      <c r="K292" s="19">
        <v>46183.0</v>
      </c>
      <c r="L292" s="65" t="s">
        <v>260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957</v>
      </c>
      <c r="B293" s="65" t="s">
        <v>547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956</v>
      </c>
      <c r="J293" s="60" t="s">
        <v>31</v>
      </c>
      <c r="K293" s="19">
        <v>46185.0</v>
      </c>
      <c r="L293" s="65" t="s">
        <v>260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958</v>
      </c>
      <c r="B294" s="65" t="s">
        <v>959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137</v>
      </c>
      <c r="G294" s="17">
        <f t="shared" si="7"/>
        <v>4</v>
      </c>
      <c r="H294" s="16">
        <v>1.7739766E7</v>
      </c>
      <c r="I294" s="61" t="s">
        <v>960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961</v>
      </c>
      <c r="B295" s="16" t="s">
        <v>851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962</v>
      </c>
      <c r="J295" s="60" t="s">
        <v>31</v>
      </c>
      <c r="K295" s="19">
        <v>46192.0</v>
      </c>
      <c r="L295" s="65" t="s">
        <v>128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963</v>
      </c>
      <c r="B296" s="16" t="s">
        <v>964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962</v>
      </c>
      <c r="J296" s="60" t="s">
        <v>31</v>
      </c>
      <c r="K296" s="19">
        <v>46192.0</v>
      </c>
      <c r="L296" s="65" t="s">
        <v>128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965</v>
      </c>
      <c r="B297" s="16" t="s">
        <v>218</v>
      </c>
      <c r="C297" s="15" t="str">
        <f>IF(B297="","",(VLOOKUP(B297,'Dados de PN'!$A:$B,2,0)))</f>
        <v>RECEIVER VOR/LOC (KNS81)</v>
      </c>
      <c r="D297" s="65" t="s">
        <v>966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962</v>
      </c>
      <c r="J297" s="60" t="s">
        <v>31</v>
      </c>
      <c r="K297" s="19">
        <v>46192.0</v>
      </c>
      <c r="L297" s="65" t="s">
        <v>128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967</v>
      </c>
      <c r="B298" s="15" t="s">
        <v>968</v>
      </c>
      <c r="C298" s="15" t="str">
        <f>IF(B298="","",(VLOOKUP(B298,'Dados de PN'!$A:$B,2,0)))</f>
        <v>BOMBA DE COMBUSTÍVEL</v>
      </c>
      <c r="D298" s="65" t="s">
        <v>969</v>
      </c>
      <c r="E298" s="60" t="s">
        <v>73</v>
      </c>
      <c r="F298" s="65" t="s">
        <v>29</v>
      </c>
      <c r="G298" s="17">
        <f t="shared" si="7"/>
        <v>1</v>
      </c>
      <c r="H298" s="15" t="s">
        <v>970</v>
      </c>
      <c r="I298" s="61" t="s">
        <v>971</v>
      </c>
      <c r="J298" s="60" t="s">
        <v>31</v>
      </c>
      <c r="K298" s="19">
        <v>46192.0</v>
      </c>
      <c r="L298" s="65" t="s">
        <v>360</v>
      </c>
      <c r="M298" s="60" t="s">
        <v>361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972</v>
      </c>
      <c r="B299" s="65" t="s">
        <v>973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974</v>
      </c>
      <c r="I299" s="61" t="s">
        <v>971</v>
      </c>
      <c r="J299" s="60" t="s">
        <v>31</v>
      </c>
      <c r="K299" s="19">
        <v>46192.0</v>
      </c>
      <c r="L299" s="65" t="s">
        <v>360</v>
      </c>
      <c r="M299" s="60" t="s">
        <v>361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975</v>
      </c>
      <c r="B300" s="65" t="s">
        <v>976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977</v>
      </c>
      <c r="I300" s="61" t="s">
        <v>971</v>
      </c>
      <c r="J300" s="65" t="s">
        <v>47</v>
      </c>
      <c r="K300" s="19">
        <v>46192.0</v>
      </c>
      <c r="L300" s="65" t="s">
        <v>360</v>
      </c>
      <c r="M300" s="60" t="s">
        <v>361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978</v>
      </c>
      <c r="B301" s="65" t="s">
        <v>979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980</v>
      </c>
      <c r="I301" s="61" t="s">
        <v>971</v>
      </c>
      <c r="J301" s="60" t="s">
        <v>31</v>
      </c>
      <c r="K301" s="19">
        <v>46192.0</v>
      </c>
      <c r="L301" s="65" t="s">
        <v>360</v>
      </c>
      <c r="M301" s="60" t="s">
        <v>361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981</v>
      </c>
      <c r="B302" s="65" t="s">
        <v>826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982</v>
      </c>
      <c r="I302" s="61" t="s">
        <v>971</v>
      </c>
      <c r="J302" s="60" t="s">
        <v>31</v>
      </c>
      <c r="K302" s="19">
        <v>46192.0</v>
      </c>
      <c r="L302" s="65" t="s">
        <v>360</v>
      </c>
      <c r="M302" s="60" t="s">
        <v>361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983</v>
      </c>
      <c r="B303" s="65" t="s">
        <v>839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984</v>
      </c>
      <c r="I303" s="61" t="s">
        <v>985</v>
      </c>
      <c r="J303" s="60" t="s">
        <v>31</v>
      </c>
      <c r="K303" s="65" t="s">
        <v>986</v>
      </c>
      <c r="L303" s="65" t="s">
        <v>232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987</v>
      </c>
      <c r="B304" s="65" t="s">
        <v>988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989</v>
      </c>
      <c r="I304" s="61" t="s">
        <v>985</v>
      </c>
      <c r="J304" s="60" t="s">
        <v>31</v>
      </c>
      <c r="K304" s="65" t="s">
        <v>986</v>
      </c>
      <c r="L304" s="65" t="s">
        <v>232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990</v>
      </c>
      <c r="B305" s="65" t="s">
        <v>991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992</v>
      </c>
      <c r="I305" s="61" t="s">
        <v>985</v>
      </c>
      <c r="J305" s="60" t="s">
        <v>31</v>
      </c>
      <c r="K305" s="65" t="s">
        <v>986</v>
      </c>
      <c r="L305" s="65" t="s">
        <v>232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993</v>
      </c>
      <c r="B306" s="65" t="s">
        <v>994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530</v>
      </c>
      <c r="G306" s="17">
        <f t="shared" si="7"/>
        <v>6</v>
      </c>
      <c r="H306" s="65" t="s">
        <v>995</v>
      </c>
      <c r="I306" s="61" t="s">
        <v>985</v>
      </c>
      <c r="J306" s="60" t="s">
        <v>31</v>
      </c>
      <c r="K306" s="65" t="s">
        <v>986</v>
      </c>
      <c r="L306" s="65" t="s">
        <v>232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996</v>
      </c>
      <c r="B307" s="65" t="s">
        <v>997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137</v>
      </c>
      <c r="G307" s="17">
        <f t="shared" si="7"/>
        <v>4</v>
      </c>
      <c r="H307" s="65" t="s">
        <v>998</v>
      </c>
      <c r="I307" s="61" t="s">
        <v>999</v>
      </c>
      <c r="J307" s="65" t="s">
        <v>139</v>
      </c>
      <c r="K307" s="65" t="s">
        <v>986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1000</v>
      </c>
      <c r="B308" s="65" t="s">
        <v>1001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1002</v>
      </c>
      <c r="I308" s="61" t="s">
        <v>999</v>
      </c>
      <c r="J308" s="65" t="s">
        <v>31</v>
      </c>
      <c r="K308" s="65" t="s">
        <v>986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1003</v>
      </c>
      <c r="B309" s="65" t="s">
        <v>1004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1005</v>
      </c>
      <c r="I309" s="61" t="s">
        <v>999</v>
      </c>
      <c r="J309" s="65" t="s">
        <v>31</v>
      </c>
      <c r="K309" s="65" t="s">
        <v>986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1006</v>
      </c>
      <c r="B310" s="65" t="s">
        <v>1007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1008</v>
      </c>
      <c r="I310" s="61" t="s">
        <v>999</v>
      </c>
      <c r="J310" s="65" t="s">
        <v>31</v>
      </c>
      <c r="K310" s="65" t="s">
        <v>986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1009</v>
      </c>
      <c r="B311" s="65" t="s">
        <v>1010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1011</v>
      </c>
      <c r="I311" s="61" t="s">
        <v>999</v>
      </c>
      <c r="J311" s="65" t="s">
        <v>31</v>
      </c>
      <c r="K311" s="65" t="s">
        <v>986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1012</v>
      </c>
      <c r="B312" s="65" t="s">
        <v>1013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1014</v>
      </c>
      <c r="I312" s="61" t="s">
        <v>999</v>
      </c>
      <c r="J312" s="65" t="s">
        <v>31</v>
      </c>
      <c r="K312" s="65" t="s">
        <v>986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1015</v>
      </c>
      <c r="B313" s="65" t="s">
        <v>1016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1017</v>
      </c>
      <c r="I313" s="61" t="s">
        <v>999</v>
      </c>
      <c r="J313" s="65" t="s">
        <v>31</v>
      </c>
      <c r="K313" s="65" t="s">
        <v>1018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1019</v>
      </c>
      <c r="B314" s="95" t="s">
        <v>1020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1021</v>
      </c>
      <c r="I314" s="61" t="s">
        <v>1022</v>
      </c>
      <c r="J314" s="65" t="s">
        <v>31</v>
      </c>
      <c r="K314" s="65" t="s">
        <v>1018</v>
      </c>
      <c r="L314" s="65" t="s">
        <v>143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1023</v>
      </c>
      <c r="B315" s="65" t="s">
        <v>409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1024</v>
      </c>
      <c r="I315" s="61" t="s">
        <v>1022</v>
      </c>
      <c r="J315" s="65" t="s">
        <v>31</v>
      </c>
      <c r="K315" s="65" t="s">
        <v>1018</v>
      </c>
      <c r="L315" s="65" t="s">
        <v>143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1025</v>
      </c>
      <c r="B316" s="65" t="s">
        <v>1026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1027</v>
      </c>
      <c r="I316" s="61" t="s">
        <v>1028</v>
      </c>
      <c r="J316" s="65" t="s">
        <v>31</v>
      </c>
      <c r="K316" s="65" t="s">
        <v>1029</v>
      </c>
      <c r="L316" s="65" t="s">
        <v>107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1030</v>
      </c>
      <c r="B317" s="65" t="s">
        <v>1031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1032</v>
      </c>
      <c r="I317" s="61" t="s">
        <v>1028</v>
      </c>
      <c r="J317" s="65" t="s">
        <v>31</v>
      </c>
      <c r="K317" s="65" t="s">
        <v>1029</v>
      </c>
      <c r="L317" s="65" t="s">
        <v>107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1033</v>
      </c>
      <c r="B318" s="65" t="s">
        <v>1034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1035</v>
      </c>
      <c r="I318" s="61" t="s">
        <v>1036</v>
      </c>
      <c r="J318" s="65" t="s">
        <v>31</v>
      </c>
      <c r="K318" s="65" t="s">
        <v>1029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1037</v>
      </c>
      <c r="B319" s="65" t="s">
        <v>1034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1038</v>
      </c>
      <c r="I319" s="61" t="s">
        <v>1039</v>
      </c>
      <c r="J319" s="65" t="s">
        <v>31</v>
      </c>
      <c r="K319" s="65" t="s">
        <v>1029</v>
      </c>
      <c r="L319" s="65" t="s">
        <v>128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1040</v>
      </c>
      <c r="B320" s="65" t="s">
        <v>1041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1042</v>
      </c>
      <c r="I320" s="61" t="s">
        <v>837</v>
      </c>
      <c r="J320" s="65" t="s">
        <v>31</v>
      </c>
      <c r="K320" s="65" t="s">
        <v>1029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1043</v>
      </c>
      <c r="B321" s="65" t="s">
        <v>1044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1045</v>
      </c>
      <c r="I321" s="61" t="s">
        <v>1028</v>
      </c>
      <c r="J321" s="65" t="s">
        <v>31</v>
      </c>
      <c r="K321" s="65" t="s">
        <v>1029</v>
      </c>
      <c r="L321" s="65" t="s">
        <v>107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1046</v>
      </c>
      <c r="B322" s="65" t="s">
        <v>1047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1048</v>
      </c>
      <c r="I322" s="61" t="s">
        <v>1049</v>
      </c>
      <c r="J322" s="65" t="s">
        <v>31</v>
      </c>
      <c r="K322" s="65" t="s">
        <v>1029</v>
      </c>
      <c r="L322" s="65" t="s">
        <v>171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1050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1051</v>
      </c>
      <c r="I323" s="61" t="s">
        <v>837</v>
      </c>
      <c r="J323" s="65" t="s">
        <v>31</v>
      </c>
      <c r="K323" s="65" t="s">
        <v>1029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1052</v>
      </c>
      <c r="B324" s="65" t="s">
        <v>108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105</v>
      </c>
      <c r="G324" s="17">
        <f t="shared" si="7"/>
        <v>8</v>
      </c>
      <c r="H324" s="65" t="s">
        <v>1053</v>
      </c>
      <c r="I324" s="61" t="s">
        <v>1054</v>
      </c>
      <c r="J324" s="65" t="s">
        <v>31</v>
      </c>
      <c r="K324" s="65" t="s">
        <v>1055</v>
      </c>
      <c r="L324" s="65" t="s">
        <v>232</v>
      </c>
      <c r="M324" s="65" t="s">
        <v>233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1056</v>
      </c>
      <c r="B325" s="65" t="s">
        <v>1057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105</v>
      </c>
      <c r="G325" s="17">
        <f t="shared" si="7"/>
        <v>8</v>
      </c>
      <c r="H325" s="65" t="s">
        <v>1058</v>
      </c>
      <c r="I325" s="61" t="s">
        <v>1054</v>
      </c>
      <c r="J325" s="65" t="s">
        <v>31</v>
      </c>
      <c r="K325" s="65" t="s">
        <v>1055</v>
      </c>
      <c r="L325" s="65" t="s">
        <v>232</v>
      </c>
      <c r="M325" s="65" t="s">
        <v>233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1059</v>
      </c>
      <c r="B326" s="65" t="s">
        <v>769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1060</v>
      </c>
      <c r="I326" s="61" t="s">
        <v>1054</v>
      </c>
      <c r="J326" s="65" t="s">
        <v>31</v>
      </c>
      <c r="K326" s="65" t="s">
        <v>1055</v>
      </c>
      <c r="L326" s="65" t="s">
        <v>232</v>
      </c>
      <c r="M326" s="65" t="s">
        <v>233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1061</v>
      </c>
      <c r="B327" s="65" t="s">
        <v>1062</v>
      </c>
      <c r="C327" s="15" t="str">
        <f>IF(B327="","",(VLOOKUP(B327,'Dados de PN'!$A:$B,2,0)))</f>
        <v>INDICATOR, GYRO-HORIZON</v>
      </c>
      <c r="D327" s="65" t="s">
        <v>1063</v>
      </c>
      <c r="E327" s="65" t="s">
        <v>73</v>
      </c>
      <c r="F327" s="65" t="s">
        <v>29</v>
      </c>
      <c r="G327" s="17">
        <f t="shared" si="7"/>
        <v>1</v>
      </c>
      <c r="H327" s="65" t="s">
        <v>1064</v>
      </c>
      <c r="I327" s="65" t="s">
        <v>1065</v>
      </c>
      <c r="J327" s="65" t="s">
        <v>31</v>
      </c>
      <c r="K327" s="65" t="s">
        <v>1066</v>
      </c>
      <c r="L327" s="65" t="s">
        <v>251</v>
      </c>
      <c r="M327" s="65" t="s">
        <v>252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1067</v>
      </c>
      <c r="B328" s="65" t="s">
        <v>1068</v>
      </c>
      <c r="C328" s="15" t="str">
        <f>IF(B328="","",(VLOOKUP(B328,'Dados de PN'!$A:$B,2,0)))</f>
        <v>TRANSDUCER</v>
      </c>
      <c r="D328" s="65" t="s">
        <v>1069</v>
      </c>
      <c r="E328" s="65" t="s">
        <v>73</v>
      </c>
      <c r="F328" s="65" t="s">
        <v>29</v>
      </c>
      <c r="G328" s="17">
        <f t="shared" si="7"/>
        <v>1</v>
      </c>
      <c r="H328" s="65" t="s">
        <v>1070</v>
      </c>
      <c r="I328" s="65" t="s">
        <v>1065</v>
      </c>
      <c r="J328" s="65" t="s">
        <v>31</v>
      </c>
      <c r="K328" s="65" t="s">
        <v>1066</v>
      </c>
      <c r="L328" s="65" t="s">
        <v>251</v>
      </c>
      <c r="M328" s="65" t="s">
        <v>252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1071</v>
      </c>
      <c r="B329" s="65" t="s">
        <v>302</v>
      </c>
      <c r="C329" s="15" t="str">
        <f>IF(B329="","",(VLOOKUP(B329,'Dados de PN'!$A:$B,2,0)))</f>
        <v>IND DE COMANDO DE VOO</v>
      </c>
      <c r="D329" s="65" t="s">
        <v>1072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1073</v>
      </c>
      <c r="J329" s="65" t="s">
        <v>31</v>
      </c>
      <c r="K329" s="65" t="s">
        <v>1066</v>
      </c>
      <c r="L329" s="65" t="s">
        <v>171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1074</v>
      </c>
      <c r="B330" s="65" t="s">
        <v>302</v>
      </c>
      <c r="C330" s="15" t="str">
        <f>IF(B330="","",(VLOOKUP(B330,'Dados de PN'!$A:$B,2,0)))</f>
        <v>IND DE COMANDO DE VOO</v>
      </c>
      <c r="D330" s="65" t="s">
        <v>1075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1073</v>
      </c>
      <c r="J330" s="65" t="s">
        <v>31</v>
      </c>
      <c r="K330" s="65" t="s">
        <v>1066</v>
      </c>
      <c r="L330" s="65" t="s">
        <v>128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1076</v>
      </c>
      <c r="B331" s="65" t="s">
        <v>1077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193</v>
      </c>
      <c r="G331" s="17">
        <f t="shared" si="7"/>
        <v>10</v>
      </c>
      <c r="H331" s="65" t="s">
        <v>1078</v>
      </c>
      <c r="I331" s="65" t="s">
        <v>1079</v>
      </c>
      <c r="J331" s="65" t="s">
        <v>31</v>
      </c>
      <c r="K331" s="65" t="s">
        <v>1066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1080</v>
      </c>
      <c r="B332" s="65" t="s">
        <v>1081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1082</v>
      </c>
      <c r="I332" s="61" t="s">
        <v>1083</v>
      </c>
      <c r="J332" s="65" t="s">
        <v>31</v>
      </c>
      <c r="K332" s="65" t="s">
        <v>1084</v>
      </c>
      <c r="L332" s="65" t="s">
        <v>318</v>
      </c>
      <c r="M332" s="65" t="s">
        <v>319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1085</v>
      </c>
      <c r="B333" s="65"/>
      <c r="C333" s="16" t="str">
        <f>IF(B333="","",(VLOOKUP(B333,'Dados de PN'!$A:$B,2,0)))</f>
        <v/>
      </c>
      <c r="D333" s="65"/>
      <c r="E333" s="65"/>
      <c r="F333" s="65"/>
      <c r="G333" s="14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1086</v>
      </c>
      <c r="B334" s="65"/>
      <c r="C334" s="16" t="str">
        <f>IF(B334="","",(VLOOKUP(B334,'Dados de PN'!$A:$B,2,0)))</f>
        <v/>
      </c>
      <c r="D334" s="65"/>
      <c r="E334" s="65"/>
      <c r="F334" s="65"/>
      <c r="G334" s="14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1087</v>
      </c>
      <c r="B335" s="65"/>
      <c r="C335" s="16" t="str">
        <f>IF(B335="","",(VLOOKUP(B335,'Dados de PN'!$A:$B,2,0)))</f>
        <v/>
      </c>
      <c r="D335" s="65"/>
      <c r="E335" s="65"/>
      <c r="F335" s="65"/>
      <c r="G335" s="14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1088</v>
      </c>
      <c r="B336" s="65"/>
      <c r="C336" s="16" t="str">
        <f>IF(B336="","",(VLOOKUP(B336,'Dados de PN'!$A:$B,2,0)))</f>
        <v/>
      </c>
      <c r="D336" s="65"/>
      <c r="E336" s="65"/>
      <c r="F336" s="65"/>
      <c r="G336" s="14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1089</v>
      </c>
      <c r="B337" s="65"/>
      <c r="C337" s="16" t="str">
        <f>IF(B337="","",(VLOOKUP(B337,'Dados de PN'!$A:$B,2,0)))</f>
        <v/>
      </c>
      <c r="D337" s="65"/>
      <c r="E337" s="65"/>
      <c r="F337" s="65"/>
      <c r="G337" s="14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1090</v>
      </c>
      <c r="B338" s="65"/>
      <c r="C338" s="16" t="str">
        <f>IF(B338="","",(VLOOKUP(B338,'Dados de PN'!$A:$B,2,0)))</f>
        <v/>
      </c>
      <c r="D338" s="65"/>
      <c r="E338" s="65"/>
      <c r="F338" s="65"/>
      <c r="G338" s="14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1091</v>
      </c>
      <c r="B339" s="65"/>
      <c r="C339" s="16" t="str">
        <f>IF(B339="","",(VLOOKUP(B339,'Dados de PN'!$A:$B,2,0)))</f>
        <v/>
      </c>
      <c r="D339" s="65"/>
      <c r="E339" s="65"/>
      <c r="F339" s="65"/>
      <c r="G339" s="14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1092</v>
      </c>
      <c r="B340" s="65"/>
      <c r="C340" s="16" t="str">
        <f>IF(B340="","",(VLOOKUP(B340,'Dados de PN'!$A:$B,2,0)))</f>
        <v/>
      </c>
      <c r="D340" s="65"/>
      <c r="E340" s="65"/>
      <c r="F340" s="65"/>
      <c r="G340" s="14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1093</v>
      </c>
      <c r="B341" s="65"/>
      <c r="C341" s="16" t="str">
        <f>IF(B341="","",(VLOOKUP(B341,'Dados de PN'!$A:$B,2,0)))</f>
        <v/>
      </c>
      <c r="D341" s="65"/>
      <c r="E341" s="65"/>
      <c r="F341" s="65"/>
      <c r="G341" s="14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1094</v>
      </c>
      <c r="B342" s="65"/>
      <c r="C342" s="16" t="str">
        <f>IF(B342="","",(VLOOKUP(B342,'Dados de PN'!$A:$B,2,0)))</f>
        <v/>
      </c>
      <c r="D342" s="65"/>
      <c r="E342" s="65"/>
      <c r="F342" s="65"/>
      <c r="G342" s="14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 t="s">
        <v>1095</v>
      </c>
      <c r="B343" s="65"/>
      <c r="C343" s="16" t="str">
        <f>IF(B343="","",(VLOOKUP(B343,'Dados de PN'!$A:$B,2,0)))</f>
        <v/>
      </c>
      <c r="D343" s="65"/>
      <c r="E343" s="65"/>
      <c r="F343" s="65"/>
      <c r="G343" s="14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 t="s">
        <v>1096</v>
      </c>
      <c r="B344" s="65"/>
      <c r="C344" s="16" t="str">
        <f>IF(B344="","",(VLOOKUP(B344,'Dados de PN'!$A:$B,2,0)))</f>
        <v/>
      </c>
      <c r="D344" s="65"/>
      <c r="E344" s="65"/>
      <c r="F344" s="65"/>
      <c r="G344" s="14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 t="s">
        <v>1097</v>
      </c>
      <c r="B345" s="65"/>
      <c r="C345" s="16" t="str">
        <f>IF(B345="","",(VLOOKUP(B345,'Dados de PN'!$A:$B,2,0)))</f>
        <v/>
      </c>
      <c r="D345" s="65"/>
      <c r="E345" s="65"/>
      <c r="F345" s="65"/>
      <c r="G345" s="14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 t="s">
        <v>1098</v>
      </c>
      <c r="B346" s="65"/>
      <c r="C346" s="16" t="str">
        <f>IF(B346="","",(VLOOKUP(B346,'Dados de PN'!$A:$B,2,0)))</f>
        <v/>
      </c>
      <c r="D346" s="65"/>
      <c r="E346" s="65"/>
      <c r="F346" s="65"/>
      <c r="G346" s="14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 t="s">
        <v>1099</v>
      </c>
      <c r="B347" s="65"/>
      <c r="C347" s="16" t="str">
        <f>IF(B347="","",(VLOOKUP(B347,'Dados de PN'!$A:$B,2,0)))</f>
        <v/>
      </c>
      <c r="D347" s="65"/>
      <c r="E347" s="65"/>
      <c r="F347" s="65"/>
      <c r="G347" s="14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 t="s">
        <v>1100</v>
      </c>
      <c r="B348" s="65"/>
      <c r="C348" s="16" t="str">
        <f>IF(B348="","",(VLOOKUP(B348,'Dados de PN'!$A:$B,2,0)))</f>
        <v/>
      </c>
      <c r="D348" s="65"/>
      <c r="E348" s="65"/>
      <c r="F348" s="65"/>
      <c r="G348" s="14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 t="s">
        <v>1101</v>
      </c>
      <c r="B349" s="65"/>
      <c r="C349" s="16" t="str">
        <f>IF(B349="","",(VLOOKUP(B349,'Dados de PN'!$A:$B,2,0)))</f>
        <v/>
      </c>
      <c r="D349" s="65"/>
      <c r="E349" s="65"/>
      <c r="F349" s="65"/>
      <c r="G349" s="14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 t="s">
        <v>1102</v>
      </c>
      <c r="B350" s="65"/>
      <c r="C350" s="16" t="str">
        <f>IF(B350="","",(VLOOKUP(B350,'Dados de PN'!$A:$B,2,0)))</f>
        <v/>
      </c>
      <c r="D350" s="65"/>
      <c r="E350" s="65"/>
      <c r="F350" s="65"/>
      <c r="G350" s="14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 t="s">
        <v>1103</v>
      </c>
      <c r="B351" s="65"/>
      <c r="C351" s="16" t="str">
        <f>IF(B351="","",(VLOOKUP(B351,'Dados de PN'!$A:$B,2,0)))</f>
        <v/>
      </c>
      <c r="D351" s="65"/>
      <c r="E351" s="65"/>
      <c r="F351" s="65"/>
      <c r="G351" s="14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 t="s">
        <v>1104</v>
      </c>
      <c r="B352" s="65"/>
      <c r="C352" s="16" t="str">
        <f>IF(B352="","",(VLOOKUP(B352,'Dados de PN'!$A:$B,2,0)))</f>
        <v/>
      </c>
      <c r="D352" s="65"/>
      <c r="E352" s="65"/>
      <c r="F352" s="65"/>
      <c r="G352" s="14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 t="s">
        <v>1105</v>
      </c>
      <c r="B353" s="65"/>
      <c r="C353" s="16" t="str">
        <f>IF(B353="","",(VLOOKUP(B353,'Dados de PN'!$A:$B,2,0)))</f>
        <v/>
      </c>
      <c r="D353" s="65"/>
      <c r="E353" s="65"/>
      <c r="F353" s="65"/>
      <c r="G353" s="14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 t="s">
        <v>1106</v>
      </c>
      <c r="B354" s="65"/>
      <c r="C354" s="16" t="str">
        <f>IF(B354="","",(VLOOKUP(B354,'Dados de PN'!$A:$B,2,0)))</f>
        <v/>
      </c>
      <c r="D354" s="65"/>
      <c r="E354" s="65"/>
      <c r="F354" s="65"/>
      <c r="G354" s="14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 t="s">
        <v>1107</v>
      </c>
      <c r="B355" s="65"/>
      <c r="C355" s="16" t="str">
        <f>IF(B355="","",(VLOOKUP(B355,'Dados de PN'!$A:$B,2,0)))</f>
        <v/>
      </c>
      <c r="D355" s="65"/>
      <c r="E355" s="65"/>
      <c r="F355" s="65"/>
      <c r="G355" s="14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 t="s">
        <v>1108</v>
      </c>
      <c r="B356" s="65"/>
      <c r="C356" s="16" t="str">
        <f>IF(B356="","",(VLOOKUP(B356,'Dados de PN'!$A:$B,2,0)))</f>
        <v/>
      </c>
      <c r="D356" s="65"/>
      <c r="E356" s="65"/>
      <c r="F356" s="65"/>
      <c r="G356" s="14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 t="s">
        <v>1109</v>
      </c>
      <c r="B357" s="65"/>
      <c r="C357" s="16" t="str">
        <f>IF(B357="","",(VLOOKUP(B357,'Dados de PN'!$A:$B,2,0)))</f>
        <v/>
      </c>
      <c r="D357" s="65"/>
      <c r="E357" s="65"/>
      <c r="F357" s="65"/>
      <c r="G357" s="14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 t="s">
        <v>1110</v>
      </c>
      <c r="B358" s="65"/>
      <c r="C358" s="16" t="str">
        <f>IF(B358="","",(VLOOKUP(B358,'Dados de PN'!$A:$B,2,0)))</f>
        <v/>
      </c>
      <c r="D358" s="65"/>
      <c r="E358" s="65"/>
      <c r="F358" s="65"/>
      <c r="G358" s="14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 t="s">
        <v>1111</v>
      </c>
      <c r="B359" s="65"/>
      <c r="C359" s="16" t="str">
        <f>IF(B359="","",(VLOOKUP(B359,'Dados de PN'!$A:$B,2,0)))</f>
        <v/>
      </c>
      <c r="D359" s="65"/>
      <c r="E359" s="65"/>
      <c r="F359" s="65"/>
      <c r="G359" s="14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 t="s">
        <v>1112</v>
      </c>
      <c r="B360" s="65"/>
      <c r="C360" s="16" t="str">
        <f>IF(B360="","",(VLOOKUP(B360,'Dados de PN'!$A:$B,2,0)))</f>
        <v/>
      </c>
      <c r="D360" s="65"/>
      <c r="E360" s="65"/>
      <c r="F360" s="65"/>
      <c r="G360" s="14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 t="s">
        <v>1113</v>
      </c>
      <c r="B361" s="65"/>
      <c r="C361" s="16" t="str">
        <f>IF(B361="","",(VLOOKUP(B361,'Dados de PN'!$A:$B,2,0)))</f>
        <v/>
      </c>
      <c r="D361" s="65"/>
      <c r="E361" s="65"/>
      <c r="F361" s="65"/>
      <c r="G361" s="14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 t="s">
        <v>1114</v>
      </c>
      <c r="B362" s="65"/>
      <c r="C362" s="16" t="str">
        <f>IF(B362="","",(VLOOKUP(B362,'Dados de PN'!$A:$B,2,0)))</f>
        <v/>
      </c>
      <c r="D362" s="65"/>
      <c r="E362" s="65"/>
      <c r="F362" s="65"/>
      <c r="G362" s="14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 t="s">
        <v>1115</v>
      </c>
      <c r="B363" s="65"/>
      <c r="C363" s="16" t="str">
        <f>IF(B363="","",(VLOOKUP(B363,'Dados de PN'!$A:$B,2,0)))</f>
        <v/>
      </c>
      <c r="D363" s="65"/>
      <c r="E363" s="65"/>
      <c r="F363" s="65"/>
      <c r="G363" s="14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 t="s">
        <v>1116</v>
      </c>
      <c r="B364" s="65"/>
      <c r="C364" s="16" t="str">
        <f>IF(B364="","",(VLOOKUP(B364,'Dados de PN'!$A:$B,2,0)))</f>
        <v/>
      </c>
      <c r="D364" s="65"/>
      <c r="E364" s="65"/>
      <c r="F364" s="65"/>
      <c r="G364" s="14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 t="s">
        <v>1117</v>
      </c>
      <c r="B365" s="65"/>
      <c r="C365" s="16" t="str">
        <f>IF(B365="","",(VLOOKUP(B365,'Dados de PN'!$A:$B,2,0)))</f>
        <v/>
      </c>
      <c r="D365" s="65"/>
      <c r="E365" s="65"/>
      <c r="F365" s="65"/>
      <c r="G365" s="14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 t="s">
        <v>1118</v>
      </c>
      <c r="B366" s="65"/>
      <c r="C366" s="16" t="str">
        <f>IF(B366="","",(VLOOKUP(B366,'Dados de PN'!$A:$B,2,0)))</f>
        <v/>
      </c>
      <c r="D366" s="65"/>
      <c r="E366" s="65"/>
      <c r="F366" s="65"/>
      <c r="G366" s="14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 t="s">
        <v>1119</v>
      </c>
      <c r="B367" s="65"/>
      <c r="C367" s="16" t="str">
        <f>IF(B367="","",(VLOOKUP(B367,'Dados de PN'!$A:$B,2,0)))</f>
        <v/>
      </c>
      <c r="D367" s="65"/>
      <c r="E367" s="65"/>
      <c r="F367" s="65"/>
      <c r="G367" s="14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 t="s">
        <v>1120</v>
      </c>
      <c r="B368" s="65"/>
      <c r="C368" s="16" t="str">
        <f>IF(B368="","",(VLOOKUP(B368,'Dados de PN'!$A:$B,2,0)))</f>
        <v/>
      </c>
      <c r="D368" s="65"/>
      <c r="E368" s="65"/>
      <c r="F368" s="65"/>
      <c r="G368" s="14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 t="s">
        <v>1121</v>
      </c>
      <c r="B369" s="65"/>
      <c r="C369" s="16" t="str">
        <f>IF(B369="","",(VLOOKUP(B369,'Dados de PN'!$A:$B,2,0)))</f>
        <v/>
      </c>
      <c r="D369" s="65"/>
      <c r="E369" s="65"/>
      <c r="F369" s="65"/>
      <c r="G369" s="14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 t="s">
        <v>1122</v>
      </c>
      <c r="B370" s="65"/>
      <c r="C370" s="16" t="str">
        <f>IF(B370="","",(VLOOKUP(B370,'Dados de PN'!$A:$B,2,0)))</f>
        <v/>
      </c>
      <c r="D370" s="65"/>
      <c r="E370" s="65"/>
      <c r="F370" s="65"/>
      <c r="G370" s="14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 t="s">
        <v>1123</v>
      </c>
      <c r="B371" s="65"/>
      <c r="C371" s="16" t="str">
        <f>IF(B371="","",(VLOOKUP(B371,'Dados de PN'!$A:$B,2,0)))</f>
        <v/>
      </c>
      <c r="D371" s="65"/>
      <c r="E371" s="65"/>
      <c r="F371" s="65"/>
      <c r="G371" s="14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 t="s">
        <v>1124</v>
      </c>
      <c r="B372" s="65"/>
      <c r="C372" s="16" t="str">
        <f>IF(B372="","",(VLOOKUP(B372,'Dados de PN'!$A:$B,2,0)))</f>
        <v/>
      </c>
      <c r="D372" s="65"/>
      <c r="E372" s="65"/>
      <c r="F372" s="65"/>
      <c r="G372" s="14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 t="s">
        <v>1125</v>
      </c>
      <c r="B373" s="65"/>
      <c r="C373" s="16" t="str">
        <f>IF(B373="","",(VLOOKUP(B373,'Dados de PN'!$A:$B,2,0)))</f>
        <v/>
      </c>
      <c r="D373" s="65"/>
      <c r="E373" s="65"/>
      <c r="F373" s="65"/>
      <c r="G373" s="14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 t="s">
        <v>1126</v>
      </c>
      <c r="B374" s="65"/>
      <c r="C374" s="16" t="str">
        <f>IF(B374="","",(VLOOKUP(B374,'Dados de PN'!$A:$B,2,0)))</f>
        <v/>
      </c>
      <c r="D374" s="65"/>
      <c r="E374" s="65"/>
      <c r="F374" s="65"/>
      <c r="G374" s="14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 t="s">
        <v>1127</v>
      </c>
      <c r="B375" s="65"/>
      <c r="C375" s="16" t="str">
        <f>IF(B375="","",(VLOOKUP(B375,'Dados de PN'!$A:$B,2,0)))</f>
        <v/>
      </c>
      <c r="D375" s="65"/>
      <c r="E375" s="65"/>
      <c r="F375" s="65"/>
      <c r="G375" s="14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 t="s">
        <v>1128</v>
      </c>
      <c r="B376" s="65"/>
      <c r="C376" s="16" t="str">
        <f>IF(B376="","",(VLOOKUP(B376,'Dados de PN'!$A:$B,2,0)))</f>
        <v/>
      </c>
      <c r="D376" s="65"/>
      <c r="E376" s="65"/>
      <c r="F376" s="65"/>
      <c r="G376" s="14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 t="s">
        <v>1129</v>
      </c>
      <c r="B377" s="65"/>
      <c r="C377" s="16" t="str">
        <f>IF(B377="","",(VLOOKUP(B377,'Dados de PN'!$A:$B,2,0)))</f>
        <v/>
      </c>
      <c r="D377" s="65"/>
      <c r="E377" s="65"/>
      <c r="F377" s="65"/>
      <c r="G377" s="14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 t="s">
        <v>1130</v>
      </c>
      <c r="B378" s="65"/>
      <c r="C378" s="16" t="str">
        <f>IF(B378="","",(VLOOKUP(B378,'Dados de PN'!$A:$B,2,0)))</f>
        <v/>
      </c>
      <c r="D378" s="65"/>
      <c r="E378" s="65"/>
      <c r="F378" s="65"/>
      <c r="G378" s="14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 t="s">
        <v>1131</v>
      </c>
      <c r="B379" s="65"/>
      <c r="C379" s="16" t="str">
        <f>IF(B379="","",(VLOOKUP(B379,'Dados de PN'!$A:$B,2,0)))</f>
        <v/>
      </c>
      <c r="D379" s="65"/>
      <c r="E379" s="65"/>
      <c r="F379" s="65"/>
      <c r="G379" s="14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 t="s">
        <v>1132</v>
      </c>
      <c r="B380" s="65"/>
      <c r="C380" s="16" t="str">
        <f>IF(B380="","",(VLOOKUP(B380,'Dados de PN'!$A:$B,2,0)))</f>
        <v/>
      </c>
      <c r="D380" s="65"/>
      <c r="E380" s="65"/>
      <c r="F380" s="65"/>
      <c r="G380" s="14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 t="s">
        <v>1133</v>
      </c>
      <c r="B381" s="65"/>
      <c r="C381" s="16" t="str">
        <f>IF(B381="","",(VLOOKUP(B381,'Dados de PN'!$A:$B,2,0)))</f>
        <v/>
      </c>
      <c r="D381" s="65"/>
      <c r="E381" s="65"/>
      <c r="F381" s="65"/>
      <c r="G381" s="14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 t="s">
        <v>1134</v>
      </c>
      <c r="B382" s="65"/>
      <c r="C382" s="16" t="str">
        <f>IF(B382="","",(VLOOKUP(B382,'Dados de PN'!$A:$B,2,0)))</f>
        <v/>
      </c>
      <c r="D382" s="65"/>
      <c r="E382" s="65"/>
      <c r="F382" s="65"/>
      <c r="G382" s="14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 t="s">
        <v>1135</v>
      </c>
      <c r="B383" s="65"/>
      <c r="C383" s="16" t="str">
        <f>IF(B383="","",(VLOOKUP(B383,'Dados de PN'!$A:$B,2,0)))</f>
        <v/>
      </c>
      <c r="D383" s="65"/>
      <c r="E383" s="65"/>
      <c r="F383" s="65"/>
      <c r="G383" s="14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 t="s">
        <v>1136</v>
      </c>
      <c r="B384" s="65"/>
      <c r="C384" s="16" t="str">
        <f>IF(B384="","",(VLOOKUP(B384,'Dados de PN'!$A:$B,2,0)))</f>
        <v/>
      </c>
      <c r="D384" s="65"/>
      <c r="E384" s="65"/>
      <c r="F384" s="65"/>
      <c r="G384" s="14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 t="s">
        <v>1137</v>
      </c>
      <c r="B385" s="65"/>
      <c r="C385" s="16" t="str">
        <f>IF(B385="","",(VLOOKUP(B385,'Dados de PN'!$A:$B,2,0)))</f>
        <v/>
      </c>
      <c r="D385" s="65"/>
      <c r="E385" s="65"/>
      <c r="F385" s="65"/>
      <c r="G385" s="14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 t="s">
        <v>1138</v>
      </c>
      <c r="B386" s="65"/>
      <c r="C386" s="16" t="str">
        <f>IF(B386="","",(VLOOKUP(B386,'Dados de PN'!$A:$B,2,0)))</f>
        <v/>
      </c>
      <c r="D386" s="65"/>
      <c r="E386" s="65"/>
      <c r="F386" s="65"/>
      <c r="G386" s="14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 t="s">
        <v>1139</v>
      </c>
      <c r="B387" s="65"/>
      <c r="C387" s="16" t="str">
        <f>IF(B387="","",(VLOOKUP(B387,'Dados de PN'!$A:$B,2,0)))</f>
        <v/>
      </c>
      <c r="D387" s="65"/>
      <c r="E387" s="65"/>
      <c r="F387" s="65"/>
      <c r="G387" s="14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 t="s">
        <v>1140</v>
      </c>
      <c r="B388" s="65"/>
      <c r="C388" s="16" t="str">
        <f>IF(B388="","",(VLOOKUP(B388,'Dados de PN'!$A:$B,2,0)))</f>
        <v/>
      </c>
      <c r="D388" s="65"/>
      <c r="E388" s="65"/>
      <c r="F388" s="65"/>
      <c r="G388" s="14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 t="s">
        <v>1141</v>
      </c>
      <c r="B389" s="65"/>
      <c r="C389" s="16" t="str">
        <f>IF(B389="","",(VLOOKUP(B389,'Dados de PN'!$A:$B,2,0)))</f>
        <v/>
      </c>
      <c r="D389" s="65"/>
      <c r="E389" s="65"/>
      <c r="F389" s="65"/>
      <c r="G389" s="14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 t="s">
        <v>1142</v>
      </c>
      <c r="B390" s="65"/>
      <c r="C390" s="16" t="str">
        <f>IF(B390="","",(VLOOKUP(B390,'Dados de PN'!$A:$B,2,0)))</f>
        <v/>
      </c>
      <c r="D390" s="65"/>
      <c r="E390" s="65"/>
      <c r="F390" s="65"/>
      <c r="G390" s="14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 t="s">
        <v>1143</v>
      </c>
      <c r="B391" s="65"/>
      <c r="C391" s="16" t="str">
        <f>IF(B391="","",(VLOOKUP(B391,'Dados de PN'!$A:$B,2,0)))</f>
        <v/>
      </c>
      <c r="D391" s="65"/>
      <c r="E391" s="65"/>
      <c r="F391" s="65"/>
      <c r="G391" s="14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 t="s">
        <v>1144</v>
      </c>
      <c r="B392" s="65"/>
      <c r="C392" s="16" t="str">
        <f>IF(B392="","",(VLOOKUP(B392,'Dados de PN'!$A:$B,2,0)))</f>
        <v/>
      </c>
      <c r="D392" s="65"/>
      <c r="E392" s="65"/>
      <c r="F392" s="65"/>
      <c r="G392" s="14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 t="s">
        <v>1145</v>
      </c>
      <c r="B393" s="65"/>
      <c r="C393" s="16" t="str">
        <f>IF(B393="","",(VLOOKUP(B393,'Dados de PN'!$A:$B,2,0)))</f>
        <v/>
      </c>
      <c r="D393" s="65"/>
      <c r="E393" s="65"/>
      <c r="F393" s="65"/>
      <c r="G393" s="14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 t="s">
        <v>1146</v>
      </c>
      <c r="B394" s="65"/>
      <c r="C394" s="16" t="str">
        <f>IF(B394="","",(VLOOKUP(B394,'Dados de PN'!$A:$B,2,0)))</f>
        <v/>
      </c>
      <c r="D394" s="65"/>
      <c r="E394" s="65"/>
      <c r="F394" s="65"/>
      <c r="G394" s="14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 t="s">
        <v>1147</v>
      </c>
      <c r="B395" s="65"/>
      <c r="C395" s="16" t="str">
        <f>IF(B395="","",(VLOOKUP(B395,'Dados de PN'!$A:$B,2,0)))</f>
        <v/>
      </c>
      <c r="D395" s="65"/>
      <c r="E395" s="65"/>
      <c r="F395" s="65"/>
      <c r="G395" s="14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 t="s">
        <v>1148</v>
      </c>
      <c r="B396" s="65"/>
      <c r="C396" s="16" t="str">
        <f>IF(B396="","",(VLOOKUP(B396,'Dados de PN'!$A:$B,2,0)))</f>
        <v/>
      </c>
      <c r="D396" s="65"/>
      <c r="E396" s="65"/>
      <c r="F396" s="65"/>
      <c r="G396" s="14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 t="s">
        <v>1149</v>
      </c>
      <c r="B397" s="65"/>
      <c r="C397" s="16" t="str">
        <f>IF(B397="","",(VLOOKUP(B397,'Dados de PN'!$A:$B,2,0)))</f>
        <v/>
      </c>
      <c r="D397" s="65"/>
      <c r="E397" s="65"/>
      <c r="F397" s="65"/>
      <c r="G397" s="14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 t="s">
        <v>1150</v>
      </c>
      <c r="B398" s="65"/>
      <c r="C398" s="16" t="str">
        <f>IF(B398="","",(VLOOKUP(B398,'Dados de PN'!$A:$B,2,0)))</f>
        <v/>
      </c>
      <c r="D398" s="65"/>
      <c r="E398" s="65"/>
      <c r="F398" s="65"/>
      <c r="G398" s="14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 t="s">
        <v>1151</v>
      </c>
      <c r="B399" s="65"/>
      <c r="C399" s="65"/>
      <c r="D399" s="65"/>
      <c r="E399" s="65"/>
      <c r="F399" s="65"/>
      <c r="G399" s="14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 t="s">
        <v>1152</v>
      </c>
      <c r="B400" s="65"/>
      <c r="C400" s="65"/>
      <c r="D400" s="65"/>
      <c r="E400" s="65"/>
      <c r="F400" s="65"/>
      <c r="G400" s="14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 t="s">
        <v>1153</v>
      </c>
      <c r="B401" s="65"/>
      <c r="C401" s="65"/>
      <c r="D401" s="65"/>
      <c r="E401" s="65"/>
      <c r="F401" s="65"/>
      <c r="G401" s="14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 t="s">
        <v>1154</v>
      </c>
      <c r="B402" s="65"/>
      <c r="C402" s="65"/>
      <c r="D402" s="65"/>
      <c r="E402" s="65"/>
      <c r="F402" s="65"/>
      <c r="G402" s="14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 t="s">
        <v>1155</v>
      </c>
      <c r="B403" s="65"/>
      <c r="C403" s="65"/>
      <c r="D403" s="65"/>
      <c r="E403" s="65"/>
      <c r="F403" s="65"/>
      <c r="G403" s="14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 t="s">
        <v>1156</v>
      </c>
      <c r="B404" s="65"/>
      <c r="C404" s="65"/>
      <c r="D404" s="65"/>
      <c r="E404" s="65"/>
      <c r="F404" s="65"/>
      <c r="G404" s="14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 t="s">
        <v>1157</v>
      </c>
      <c r="B405" s="65"/>
      <c r="C405" s="65"/>
      <c r="D405" s="65"/>
      <c r="E405" s="65"/>
      <c r="F405" s="65"/>
      <c r="G405" s="14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 t="s">
        <v>1158</v>
      </c>
      <c r="B406" s="65"/>
      <c r="C406" s="65"/>
      <c r="D406" s="65"/>
      <c r="E406" s="65"/>
      <c r="F406" s="65"/>
      <c r="G406" s="14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 t="s">
        <v>1159</v>
      </c>
      <c r="B407" s="65"/>
      <c r="C407" s="65"/>
      <c r="D407" s="65"/>
      <c r="E407" s="65"/>
      <c r="F407" s="65"/>
      <c r="G407" s="14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 t="s">
        <v>1160</v>
      </c>
      <c r="B408" s="65"/>
      <c r="C408" s="65"/>
      <c r="D408" s="65"/>
      <c r="E408" s="65"/>
      <c r="F408" s="65"/>
      <c r="G408" s="14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 t="s">
        <v>1161</v>
      </c>
      <c r="B409" s="65"/>
      <c r="C409" s="65"/>
      <c r="D409" s="65"/>
      <c r="E409" s="65"/>
      <c r="F409" s="65"/>
      <c r="G409" s="14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 t="s">
        <v>1162</v>
      </c>
      <c r="B410" s="65"/>
      <c r="C410" s="65"/>
      <c r="D410" s="65"/>
      <c r="E410" s="65"/>
      <c r="F410" s="65"/>
      <c r="G410" s="14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 t="s">
        <v>1163</v>
      </c>
      <c r="B411" s="65"/>
      <c r="C411" s="65"/>
      <c r="D411" s="65"/>
      <c r="E411" s="65"/>
      <c r="F411" s="65"/>
      <c r="G411" s="14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 t="s">
        <v>1164</v>
      </c>
      <c r="B412" s="65"/>
      <c r="C412" s="65"/>
      <c r="D412" s="65"/>
      <c r="E412" s="65"/>
      <c r="F412" s="65"/>
      <c r="G412" s="14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 t="s">
        <v>1165</v>
      </c>
      <c r="B413" s="65"/>
      <c r="C413" s="65"/>
      <c r="D413" s="65"/>
      <c r="E413" s="65"/>
      <c r="F413" s="65"/>
      <c r="G413" s="14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 t="s">
        <v>1166</v>
      </c>
      <c r="B414" s="65"/>
      <c r="C414" s="65"/>
      <c r="D414" s="65"/>
      <c r="E414" s="65"/>
      <c r="F414" s="65"/>
      <c r="G414" s="14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 t="s">
        <v>1167</v>
      </c>
      <c r="B415" s="65"/>
      <c r="C415" s="65"/>
      <c r="D415" s="65"/>
      <c r="E415" s="65"/>
      <c r="F415" s="65"/>
      <c r="G415" s="14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 t="s">
        <v>1168</v>
      </c>
      <c r="B416" s="65"/>
      <c r="C416" s="65"/>
      <c r="D416" s="65"/>
      <c r="E416" s="65"/>
      <c r="F416" s="65"/>
      <c r="G416" s="14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 t="s">
        <v>1169</v>
      </c>
      <c r="B417" s="65"/>
      <c r="C417" s="65"/>
      <c r="D417" s="65"/>
      <c r="E417" s="65"/>
      <c r="F417" s="65"/>
      <c r="G417" s="14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 t="s">
        <v>1170</v>
      </c>
      <c r="B418" s="65"/>
      <c r="C418" s="65"/>
      <c r="D418" s="65"/>
      <c r="E418" s="65"/>
      <c r="F418" s="65"/>
      <c r="G418" s="14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 t="s">
        <v>1171</v>
      </c>
      <c r="B419" s="65"/>
      <c r="C419" s="65"/>
      <c r="D419" s="65"/>
      <c r="E419" s="65"/>
      <c r="F419" s="65"/>
      <c r="G419" s="14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 t="s">
        <v>1172</v>
      </c>
      <c r="B420" s="65"/>
      <c r="C420" s="65"/>
      <c r="D420" s="65"/>
      <c r="E420" s="65"/>
      <c r="F420" s="65"/>
      <c r="G420" s="14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 t="s">
        <v>1173</v>
      </c>
      <c r="B421" s="65"/>
      <c r="C421" s="65"/>
      <c r="D421" s="65"/>
      <c r="E421" s="65"/>
      <c r="F421" s="65"/>
      <c r="G421" s="14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 t="s">
        <v>1174</v>
      </c>
      <c r="B422" s="65"/>
      <c r="C422" s="65"/>
      <c r="D422" s="65"/>
      <c r="E422" s="65"/>
      <c r="F422" s="65"/>
      <c r="G422" s="14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 t="s">
        <v>1175</v>
      </c>
      <c r="B423" s="65"/>
      <c r="C423" s="65"/>
      <c r="D423" s="65"/>
      <c r="E423" s="65"/>
      <c r="F423" s="65"/>
      <c r="G423" s="14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 t="s">
        <v>1176</v>
      </c>
      <c r="B424" s="65"/>
      <c r="C424" s="65"/>
      <c r="D424" s="65"/>
      <c r="E424" s="65"/>
      <c r="F424" s="65"/>
      <c r="G424" s="14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 t="s">
        <v>1177</v>
      </c>
      <c r="B425" s="65"/>
      <c r="C425" s="65"/>
      <c r="D425" s="65"/>
      <c r="E425" s="65"/>
      <c r="F425" s="65"/>
      <c r="G425" s="14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 t="s">
        <v>1178</v>
      </c>
      <c r="B426" s="65"/>
      <c r="C426" s="65"/>
      <c r="D426" s="65"/>
      <c r="E426" s="65"/>
      <c r="F426" s="65"/>
      <c r="G426" s="14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52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52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52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52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52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52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52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52</v>
      </c>
    </row>
    <row r="20">
      <c r="A20" s="31" t="s">
        <v>96</v>
      </c>
      <c r="B20" s="33" t="s">
        <v>97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98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99</v>
      </c>
      <c r="B21" s="33" t="s">
        <v>100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101</v>
      </c>
      <c r="G21" s="34">
        <v>16.0</v>
      </c>
      <c r="H21" s="34">
        <v>1.4481761E7</v>
      </c>
      <c r="I21" s="36" t="s">
        <v>102</v>
      </c>
      <c r="J21" s="34" t="s">
        <v>31</v>
      </c>
      <c r="K21" s="37">
        <v>45784.0</v>
      </c>
      <c r="L21" s="33" t="s">
        <v>103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104</v>
      </c>
      <c r="B22" s="33" t="s">
        <v>100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105</v>
      </c>
      <c r="G22" s="34">
        <v>8.0</v>
      </c>
      <c r="H22" s="34">
        <v>1.4482166E7</v>
      </c>
      <c r="I22" s="36" t="s">
        <v>106</v>
      </c>
      <c r="J22" s="34" t="s">
        <v>31</v>
      </c>
      <c r="K22" s="37">
        <v>45784.0</v>
      </c>
      <c r="L22" s="33" t="s">
        <v>107</v>
      </c>
      <c r="M22" s="34" t="s">
        <v>42</v>
      </c>
      <c r="N22" s="38"/>
      <c r="O22" s="38"/>
      <c r="P22" s="48" t="s">
        <v>108</v>
      </c>
      <c r="Q22" s="49" t="s">
        <v>109</v>
      </c>
      <c r="R22" s="49" t="s">
        <v>110</v>
      </c>
      <c r="S22" s="29"/>
      <c r="T22" s="50">
        <v>45938.0</v>
      </c>
      <c r="U22" s="51" t="s">
        <v>111</v>
      </c>
      <c r="V22" s="53"/>
      <c r="W22" s="52" t="s">
        <v>52</v>
      </c>
    </row>
    <row r="23">
      <c r="A23" s="31" t="s">
        <v>112</v>
      </c>
      <c r="B23" s="33" t="s">
        <v>113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114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113</v>
      </c>
      <c r="Q23" s="49" t="s">
        <v>115</v>
      </c>
      <c r="R23" s="54" t="s">
        <v>116</v>
      </c>
      <c r="S23" s="29"/>
      <c r="T23" s="55">
        <v>45868.0</v>
      </c>
      <c r="U23" s="51" t="s">
        <v>117</v>
      </c>
      <c r="V23" s="53"/>
      <c r="W23" s="52" t="s">
        <v>52</v>
      </c>
    </row>
    <row r="24">
      <c r="A24" s="31" t="s">
        <v>118</v>
      </c>
      <c r="B24" s="33" t="s">
        <v>119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120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119</v>
      </c>
      <c r="Q24" s="49" t="s">
        <v>121</v>
      </c>
      <c r="R24" s="54" t="s">
        <v>122</v>
      </c>
      <c r="S24" s="29"/>
      <c r="T24" s="55">
        <v>45982.0</v>
      </c>
      <c r="U24" s="56" t="s">
        <v>123</v>
      </c>
      <c r="V24" s="53"/>
      <c r="W24" s="52" t="s">
        <v>52</v>
      </c>
    </row>
    <row r="25">
      <c r="A25" s="31" t="s">
        <v>124</v>
      </c>
      <c r="B25" s="33" t="s">
        <v>125</v>
      </c>
      <c r="C25" s="33" t="str">
        <f>IF(B25="","",(VLOOKUP(B25,'Dados de PN'!$A:$B,2,0)))</f>
        <v>COMPUTADOR DO PILOTO AUTOMÁTICO</v>
      </c>
      <c r="D25" s="33" t="s">
        <v>126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127</v>
      </c>
      <c r="J25" s="34" t="s">
        <v>31</v>
      </c>
      <c r="K25" s="37">
        <v>45791.0</v>
      </c>
      <c r="L25" s="33" t="s">
        <v>128</v>
      </c>
      <c r="M25" s="34" t="s">
        <v>129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130</v>
      </c>
      <c r="B26" s="33" t="s">
        <v>131</v>
      </c>
      <c r="C26" s="33" t="str">
        <f>IF(B26="","",(VLOOKUP(B26,'Dados de PN'!$A:$B,2,0)))</f>
        <v>INDICATOR,HORIZONTAL SITUATION</v>
      </c>
      <c r="D26" s="33" t="s">
        <v>132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133</v>
      </c>
      <c r="J26" s="34" t="s">
        <v>31</v>
      </c>
      <c r="K26" s="37">
        <v>45814.0</v>
      </c>
      <c r="L26" s="33" t="s">
        <v>134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135</v>
      </c>
      <c r="B27" s="33" t="s">
        <v>136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137</v>
      </c>
      <c r="G27" s="34">
        <v>4.0</v>
      </c>
      <c r="H27" s="34">
        <v>6.8525000789E11</v>
      </c>
      <c r="I27" s="36" t="s">
        <v>138</v>
      </c>
      <c r="J27" s="34" t="s">
        <v>139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140</v>
      </c>
      <c r="B28" s="33" t="s">
        <v>141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142</v>
      </c>
      <c r="J28" s="34" t="s">
        <v>31</v>
      </c>
      <c r="K28" s="37">
        <v>45821.0</v>
      </c>
      <c r="L28" s="33" t="s">
        <v>143</v>
      </c>
      <c r="M28" s="34" t="s">
        <v>36</v>
      </c>
      <c r="N28" s="38"/>
      <c r="O28" s="38"/>
      <c r="P28" s="109" t="s">
        <v>144</v>
      </c>
      <c r="Q28" s="49" t="s">
        <v>145</v>
      </c>
      <c r="R28" s="54" t="s">
        <v>146</v>
      </c>
      <c r="S28" s="29"/>
      <c r="T28" s="50">
        <v>45876.0</v>
      </c>
      <c r="U28" s="51" t="s">
        <v>147</v>
      </c>
      <c r="V28" s="53"/>
      <c r="W28" s="52" t="s">
        <v>52</v>
      </c>
    </row>
    <row r="29">
      <c r="A29" s="31" t="s">
        <v>148</v>
      </c>
      <c r="B29" s="33" t="s">
        <v>149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150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151</v>
      </c>
      <c r="B30" s="110" t="s">
        <v>152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153</v>
      </c>
      <c r="J30" s="34" t="s">
        <v>31</v>
      </c>
      <c r="K30" s="37">
        <v>45825.0</v>
      </c>
      <c r="L30" s="33" t="s">
        <v>154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155</v>
      </c>
      <c r="B31" s="33" t="s">
        <v>156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157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158</v>
      </c>
      <c r="B32" s="33" t="s">
        <v>159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160</v>
      </c>
      <c r="J32" s="34" t="s">
        <v>31</v>
      </c>
      <c r="K32" s="37">
        <v>45839.0</v>
      </c>
      <c r="L32" s="33" t="s">
        <v>161</v>
      </c>
      <c r="M32" s="34" t="s">
        <v>49</v>
      </c>
      <c r="N32" s="38"/>
      <c r="O32" s="38"/>
      <c r="P32" s="48" t="s">
        <v>162</v>
      </c>
      <c r="Q32" s="49" t="s">
        <v>163</v>
      </c>
      <c r="R32" s="49" t="s">
        <v>164</v>
      </c>
      <c r="S32" s="29"/>
      <c r="T32" s="50">
        <v>45912.0</v>
      </c>
      <c r="U32" s="51" t="s">
        <v>165</v>
      </c>
      <c r="V32" s="53"/>
      <c r="W32" s="52" t="s">
        <v>52</v>
      </c>
    </row>
    <row r="33">
      <c r="A33" s="31" t="s">
        <v>166</v>
      </c>
      <c r="B33" s="33" t="s">
        <v>167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160</v>
      </c>
      <c r="J33" s="34" t="s">
        <v>31</v>
      </c>
      <c r="K33" s="37">
        <v>45839.0</v>
      </c>
      <c r="L33" s="33" t="s">
        <v>161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168</v>
      </c>
      <c r="B34" s="33" t="s">
        <v>169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170</v>
      </c>
      <c r="J34" s="34" t="s">
        <v>31</v>
      </c>
      <c r="K34" s="37">
        <v>45845.0</v>
      </c>
      <c r="L34" s="33" t="s">
        <v>171</v>
      </c>
      <c r="M34" s="34" t="s">
        <v>172</v>
      </c>
      <c r="N34" s="38"/>
      <c r="O34" s="38"/>
      <c r="P34" s="48" t="s">
        <v>169</v>
      </c>
      <c r="Q34" s="49" t="s">
        <v>173</v>
      </c>
      <c r="R34" s="49" t="s">
        <v>174</v>
      </c>
      <c r="S34" s="29"/>
      <c r="T34" s="50">
        <v>45912.0</v>
      </c>
      <c r="U34" s="51" t="s">
        <v>175</v>
      </c>
      <c r="V34" s="53"/>
      <c r="W34" s="52" t="s">
        <v>52</v>
      </c>
    </row>
    <row r="35">
      <c r="A35" s="31" t="s">
        <v>176</v>
      </c>
      <c r="B35" s="33" t="s">
        <v>177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178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179</v>
      </c>
      <c r="B36" s="33" t="s">
        <v>180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178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180</v>
      </c>
      <c r="Q36" s="49" t="s">
        <v>181</v>
      </c>
      <c r="R36" s="49" t="s">
        <v>182</v>
      </c>
      <c r="S36" s="29"/>
      <c r="T36" s="50">
        <v>45912.0</v>
      </c>
      <c r="U36" s="51" t="s">
        <v>183</v>
      </c>
      <c r="V36" s="53"/>
      <c r="W36" s="52" t="s">
        <v>52</v>
      </c>
    </row>
    <row r="37">
      <c r="A37" s="31" t="s">
        <v>184</v>
      </c>
      <c r="B37" s="33" t="s">
        <v>185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178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185</v>
      </c>
      <c r="Q37" s="49" t="s">
        <v>186</v>
      </c>
      <c r="R37" s="49" t="s">
        <v>182</v>
      </c>
      <c r="S37" s="29"/>
      <c r="T37" s="50">
        <v>45912.0</v>
      </c>
      <c r="U37" s="51" t="s">
        <v>183</v>
      </c>
      <c r="V37" s="53"/>
      <c r="W37" s="52" t="s">
        <v>52</v>
      </c>
    </row>
    <row r="38">
      <c r="A38" s="31" t="s">
        <v>187</v>
      </c>
      <c r="B38" s="33" t="s">
        <v>188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189</v>
      </c>
      <c r="G38" s="34">
        <v>3.0</v>
      </c>
      <c r="H38" s="34">
        <v>1.5062866E7</v>
      </c>
      <c r="I38" s="36" t="s">
        <v>178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188</v>
      </c>
      <c r="Q38" s="49" t="s">
        <v>190</v>
      </c>
      <c r="R38" s="49" t="s">
        <v>182</v>
      </c>
      <c r="S38" s="29"/>
      <c r="T38" s="50">
        <v>45912.0</v>
      </c>
      <c r="U38" s="51" t="s">
        <v>183</v>
      </c>
      <c r="V38" s="53"/>
      <c r="W38" s="52" t="s">
        <v>52</v>
      </c>
    </row>
    <row r="39">
      <c r="A39" s="31" t="s">
        <v>191</v>
      </c>
      <c r="B39" s="33" t="s">
        <v>192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193</v>
      </c>
      <c r="G39" s="34">
        <v>10.0</v>
      </c>
      <c r="H39" s="34" t="s">
        <v>194</v>
      </c>
      <c r="I39" s="36" t="s">
        <v>178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192</v>
      </c>
      <c r="Q39" s="49" t="s">
        <v>195</v>
      </c>
      <c r="R39" s="49" t="s">
        <v>182</v>
      </c>
      <c r="S39" s="29"/>
      <c r="T39" s="50">
        <v>45912.0</v>
      </c>
      <c r="U39" s="51" t="s">
        <v>183</v>
      </c>
      <c r="V39" s="53"/>
      <c r="W39" s="52" t="s">
        <v>52</v>
      </c>
    </row>
    <row r="40">
      <c r="A40" s="31" t="s">
        <v>196</v>
      </c>
      <c r="B40" s="33" t="s">
        <v>197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189</v>
      </c>
      <c r="G40" s="34">
        <v>3.0</v>
      </c>
      <c r="H40" s="34" t="s">
        <v>198</v>
      </c>
      <c r="I40" s="36" t="s">
        <v>178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197</v>
      </c>
      <c r="Q40" s="49" t="s">
        <v>181</v>
      </c>
      <c r="R40" s="49" t="s">
        <v>182</v>
      </c>
      <c r="S40" s="29"/>
      <c r="T40" s="50">
        <v>45912.0</v>
      </c>
      <c r="U40" s="51" t="s">
        <v>183</v>
      </c>
      <c r="V40" s="53"/>
      <c r="W40" s="52" t="s">
        <v>52</v>
      </c>
    </row>
    <row r="41">
      <c r="A41" s="31" t="s">
        <v>199</v>
      </c>
      <c r="B41" s="33" t="s">
        <v>200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193</v>
      </c>
      <c r="G41" s="34">
        <v>10.0</v>
      </c>
      <c r="H41" s="34" t="s">
        <v>201</v>
      </c>
      <c r="I41" s="36" t="s">
        <v>178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200</v>
      </c>
      <c r="Q41" s="49" t="s">
        <v>202</v>
      </c>
      <c r="R41" s="49" t="s">
        <v>203</v>
      </c>
      <c r="S41" s="29"/>
      <c r="T41" s="50">
        <v>45916.0</v>
      </c>
      <c r="U41" s="51" t="s">
        <v>204</v>
      </c>
      <c r="V41" s="53"/>
      <c r="W41" s="52" t="s">
        <v>52</v>
      </c>
    </row>
    <row r="42">
      <c r="A42" s="31" t="s">
        <v>205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206</v>
      </c>
      <c r="I42" s="36" t="s">
        <v>178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207</v>
      </c>
      <c r="B43" s="33" t="s">
        <v>197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208</v>
      </c>
      <c r="I43" s="36" t="s">
        <v>178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197</v>
      </c>
      <c r="Q43" s="49" t="s">
        <v>181</v>
      </c>
      <c r="R43" s="49" t="s">
        <v>182</v>
      </c>
      <c r="S43" s="29"/>
      <c r="T43" s="50">
        <v>45912.0</v>
      </c>
      <c r="U43" s="51" t="s">
        <v>209</v>
      </c>
      <c r="V43" s="53"/>
      <c r="W43" s="52" t="s">
        <v>52</v>
      </c>
    </row>
    <row r="44">
      <c r="A44" s="31" t="s">
        <v>210</v>
      </c>
      <c r="B44" s="33" t="s">
        <v>211</v>
      </c>
      <c r="C44" s="33" t="str">
        <f>IF(B44="","",(VLOOKUP(B44,'Dados de PN'!$A:$B,2,0)))</f>
        <v>CONTROL,DIRECTIONAL,AUTOMATIC PILOT</v>
      </c>
      <c r="D44" s="33" t="s">
        <v>212</v>
      </c>
      <c r="E44" s="34" t="s">
        <v>73</v>
      </c>
      <c r="F44" s="34" t="s">
        <v>29</v>
      </c>
      <c r="G44" s="34">
        <v>1.0</v>
      </c>
      <c r="H44" s="34" t="s">
        <v>213</v>
      </c>
      <c r="I44" s="36" t="s">
        <v>178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214</v>
      </c>
      <c r="B45" s="33" t="s">
        <v>215</v>
      </c>
      <c r="C45" s="33" t="str">
        <f>IF(B45="","",(VLOOKUP(B45,'Dados de PN'!$A:$B,2,0)))</f>
        <v>RECEPTOR</v>
      </c>
      <c r="D45" s="33" t="s">
        <v>216</v>
      </c>
      <c r="E45" s="34" t="s">
        <v>73</v>
      </c>
      <c r="F45" s="34" t="s">
        <v>29</v>
      </c>
      <c r="G45" s="34">
        <v>1.0</v>
      </c>
      <c r="H45" s="34" t="s">
        <v>217</v>
      </c>
      <c r="I45" s="36" t="s">
        <v>178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218</v>
      </c>
      <c r="Q45" s="49" t="s">
        <v>219</v>
      </c>
      <c r="R45" s="49" t="s">
        <v>220</v>
      </c>
      <c r="S45" s="29"/>
      <c r="T45" s="50">
        <v>46002.0</v>
      </c>
      <c r="U45" s="56" t="s">
        <v>221</v>
      </c>
      <c r="V45" s="53"/>
      <c r="W45" s="52" t="s">
        <v>52</v>
      </c>
    </row>
    <row r="46">
      <c r="A46" s="31" t="s">
        <v>222</v>
      </c>
      <c r="B46" s="33" t="s">
        <v>223</v>
      </c>
      <c r="C46" s="33" t="str">
        <f>IF(B46="","",(VLOOKUP(B46,'Dados de PN'!$A:$B,2,0)))</f>
        <v>AFCS MODE CONTROLLER GMC 710</v>
      </c>
      <c r="D46" s="33" t="s">
        <v>224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225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226</v>
      </c>
      <c r="B47" s="33" t="s">
        <v>227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137</v>
      </c>
      <c r="G47" s="34">
        <v>4.0</v>
      </c>
      <c r="H47" s="34">
        <v>1.5274927E7</v>
      </c>
      <c r="I47" s="36" t="s">
        <v>228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229</v>
      </c>
      <c r="B48" s="33" t="s">
        <v>230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231</v>
      </c>
      <c r="J48" s="34" t="s">
        <v>31</v>
      </c>
      <c r="K48" s="37">
        <v>45890.0</v>
      </c>
      <c r="L48" s="33" t="s">
        <v>232</v>
      </c>
      <c r="M48" s="34" t="s">
        <v>233</v>
      </c>
      <c r="N48" s="38"/>
      <c r="O48" s="38"/>
      <c r="P48" s="48" t="s">
        <v>234</v>
      </c>
      <c r="Q48" s="49" t="s">
        <v>121</v>
      </c>
      <c r="R48" s="49" t="s">
        <v>235</v>
      </c>
      <c r="S48" s="29"/>
      <c r="T48" s="50">
        <v>45944.0</v>
      </c>
      <c r="U48" s="51" t="s">
        <v>236</v>
      </c>
      <c r="V48" s="53"/>
      <c r="W48" s="52" t="s">
        <v>52</v>
      </c>
    </row>
    <row r="49">
      <c r="A49" s="31" t="s">
        <v>237</v>
      </c>
      <c r="B49" s="33" t="s">
        <v>238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239</v>
      </c>
      <c r="J49" s="34" t="s">
        <v>31</v>
      </c>
      <c r="K49" s="37">
        <v>45903.0</v>
      </c>
      <c r="L49" s="33" t="s">
        <v>240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241</v>
      </c>
      <c r="B50" s="33" t="s">
        <v>242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243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244</v>
      </c>
      <c r="B51" s="33" t="s">
        <v>245</v>
      </c>
      <c r="C51" s="33" t="str">
        <f>IF(B51="","",(VLOOKUP(B51,'Dados de PN'!$A:$B,2,0)))</f>
        <v>TRUNNION ASSY GEAR LH</v>
      </c>
      <c r="D51" s="33" t="s">
        <v>246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247</v>
      </c>
      <c r="J51" s="34" t="s">
        <v>31</v>
      </c>
      <c r="K51" s="37">
        <v>45912.0</v>
      </c>
      <c r="L51" s="33" t="s">
        <v>98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248</v>
      </c>
      <c r="B52" s="33" t="s">
        <v>249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193</v>
      </c>
      <c r="G52" s="34">
        <v>10.0</v>
      </c>
      <c r="H52" s="34">
        <v>3.86250012764E11</v>
      </c>
      <c r="I52" s="36" t="s">
        <v>250</v>
      </c>
      <c r="J52" s="34" t="s">
        <v>31</v>
      </c>
      <c r="K52" s="37">
        <v>45925.0</v>
      </c>
      <c r="L52" s="33" t="s">
        <v>251</v>
      </c>
      <c r="M52" s="34" t="s">
        <v>252</v>
      </c>
      <c r="N52" s="38"/>
      <c r="O52" s="38"/>
      <c r="P52" s="28"/>
      <c r="Q52" s="30"/>
      <c r="R52" s="28"/>
      <c r="S52" s="29"/>
      <c r="T52" s="29"/>
      <c r="U52" s="56" t="s">
        <v>253</v>
      </c>
      <c r="V52" s="52"/>
      <c r="W52" s="53"/>
    </row>
    <row r="53">
      <c r="A53" s="31" t="s">
        <v>254</v>
      </c>
      <c r="B53" s="33" t="s">
        <v>255</v>
      </c>
      <c r="C53" s="33" t="str">
        <f>IF(B53="","",(VLOOKUP(B53,'Dados de PN'!$A:$B,2,0)))</f>
        <v>SENSOR, FUEL LEVEL</v>
      </c>
      <c r="D53" s="33" t="s">
        <v>256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257</v>
      </c>
      <c r="J53" s="34" t="s">
        <v>31</v>
      </c>
      <c r="K53" s="37">
        <v>45924.0</v>
      </c>
      <c r="L53" s="33" t="s">
        <v>240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258</v>
      </c>
      <c r="B54" s="33" t="s">
        <v>259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250</v>
      </c>
      <c r="J54" s="34" t="s">
        <v>31</v>
      </c>
      <c r="K54" s="37">
        <v>45930.0</v>
      </c>
      <c r="L54" s="33" t="s">
        <v>260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261</v>
      </c>
      <c r="B55" s="33" t="s">
        <v>262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263</v>
      </c>
      <c r="J55" s="34" t="s">
        <v>31</v>
      </c>
      <c r="K55" s="37">
        <v>45930.0</v>
      </c>
      <c r="L55" s="33" t="s">
        <v>98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264</v>
      </c>
      <c r="B56" s="33" t="s">
        <v>265</v>
      </c>
      <c r="C56" s="33" t="str">
        <f>IF(B56="","",(VLOOKUP(B56,'Dados de PN'!$A:$B,2,0)))</f>
        <v>TRUNION ASSY-RH-MAIN GEAR</v>
      </c>
      <c r="D56" s="33" t="s">
        <v>266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267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268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269</v>
      </c>
      <c r="B57" s="33" t="s">
        <v>270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267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268</v>
      </c>
      <c r="P57" s="28"/>
      <c r="Q57" s="30"/>
      <c r="R57" s="28"/>
      <c r="S57" s="29"/>
      <c r="T57" s="29"/>
      <c r="U57" s="56" t="s">
        <v>271</v>
      </c>
      <c r="V57" s="52"/>
      <c r="W57" s="53"/>
    </row>
    <row r="58">
      <c r="A58" s="31" t="s">
        <v>272</v>
      </c>
      <c r="B58" s="33" t="s">
        <v>273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267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268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274</v>
      </c>
      <c r="B59" s="33" t="s">
        <v>275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276</v>
      </c>
      <c r="J59" s="34" t="s">
        <v>31</v>
      </c>
      <c r="K59" s="37">
        <v>45931.0</v>
      </c>
      <c r="L59" s="33" t="s">
        <v>232</v>
      </c>
      <c r="M59" s="34" t="s">
        <v>42</v>
      </c>
      <c r="N59" s="69">
        <v>2.02567113026365E14</v>
      </c>
      <c r="O59" s="69" t="s">
        <v>277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278</v>
      </c>
      <c r="B60" s="33" t="s">
        <v>279</v>
      </c>
      <c r="C60" s="33" t="str">
        <f>IF(B60="","",(VLOOKUP(B60,'Dados de PN'!$A:$B,2,0)))</f>
        <v>AIRSPEED INDICATOR</v>
      </c>
      <c r="D60" s="33" t="s">
        <v>280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281</v>
      </c>
      <c r="J60" s="34" t="s">
        <v>31</v>
      </c>
      <c r="K60" s="37">
        <v>45937.0</v>
      </c>
      <c r="L60" s="33" t="s">
        <v>98</v>
      </c>
      <c r="M60" s="34" t="s">
        <v>42</v>
      </c>
      <c r="N60" s="38"/>
      <c r="O60" s="38"/>
      <c r="P60" s="48" t="s">
        <v>279</v>
      </c>
      <c r="Q60" s="49" t="s">
        <v>282</v>
      </c>
      <c r="R60" s="49" t="s">
        <v>283</v>
      </c>
      <c r="S60" s="29"/>
      <c r="T60" s="50">
        <v>45965.0</v>
      </c>
      <c r="U60" s="56" t="s">
        <v>284</v>
      </c>
      <c r="V60" s="53"/>
      <c r="W60" s="52" t="s">
        <v>52</v>
      </c>
    </row>
    <row r="61">
      <c r="A61" s="31" t="s">
        <v>285</v>
      </c>
      <c r="B61" s="33" t="s">
        <v>286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287</v>
      </c>
      <c r="J61" s="34" t="s">
        <v>31</v>
      </c>
      <c r="K61" s="37">
        <v>45938.0</v>
      </c>
      <c r="L61" s="33" t="s">
        <v>240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288</v>
      </c>
      <c r="B62" s="33" t="s">
        <v>289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290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291</v>
      </c>
      <c r="B63" s="33" t="s">
        <v>292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290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293</v>
      </c>
      <c r="B64" s="33" t="s">
        <v>292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290</v>
      </c>
      <c r="J64" s="34" t="s">
        <v>31</v>
      </c>
      <c r="K64" s="37">
        <v>45939.0</v>
      </c>
      <c r="L64" s="33" t="s">
        <v>98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294</v>
      </c>
      <c r="B65" s="33" t="s">
        <v>295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105</v>
      </c>
      <c r="G65" s="34">
        <v>8.0</v>
      </c>
      <c r="H65" s="34">
        <v>1.5815693E7</v>
      </c>
      <c r="I65" s="36" t="s">
        <v>296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297</v>
      </c>
      <c r="B66" s="33" t="s">
        <v>298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299</v>
      </c>
      <c r="G66" s="111">
        <v>40.0</v>
      </c>
      <c r="H66" s="111">
        <v>3.86250012806E11</v>
      </c>
      <c r="I66" s="36" t="s">
        <v>250</v>
      </c>
      <c r="J66" s="34" t="s">
        <v>31</v>
      </c>
      <c r="K66" s="68">
        <v>45943.0</v>
      </c>
      <c r="L66" s="33" t="s">
        <v>251</v>
      </c>
      <c r="M66" s="34" t="s">
        <v>252</v>
      </c>
      <c r="N66" s="38"/>
      <c r="O66" s="38"/>
      <c r="P66" s="53"/>
      <c r="Q66" s="38"/>
      <c r="R66" s="53"/>
      <c r="S66" s="53"/>
      <c r="T66" s="53"/>
      <c r="U66" s="56" t="s">
        <v>300</v>
      </c>
      <c r="V66" s="52"/>
      <c r="W66" s="53"/>
    </row>
    <row r="67">
      <c r="A67" s="31" t="s">
        <v>301</v>
      </c>
      <c r="B67" s="33" t="s">
        <v>302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303</v>
      </c>
      <c r="J67" s="34" t="s">
        <v>31</v>
      </c>
      <c r="K67" s="68">
        <v>45943.0</v>
      </c>
      <c r="L67" s="33" t="s">
        <v>128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304</v>
      </c>
      <c r="B68" s="33" t="s">
        <v>305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306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307</v>
      </c>
      <c r="B69" s="33" t="s">
        <v>308</v>
      </c>
      <c r="C69" s="33" t="str">
        <f>IF(B69="","",(VLOOKUP(B69,'Dados de PN'!$A:$B,2,0)))</f>
        <v>CILINDRO DE FREIO</v>
      </c>
      <c r="D69" s="33" t="s">
        <v>309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310</v>
      </c>
      <c r="J69" s="34" t="s">
        <v>31</v>
      </c>
      <c r="K69" s="68">
        <v>45961.0</v>
      </c>
      <c r="L69" s="33" t="s">
        <v>75</v>
      </c>
      <c r="M69" s="34" t="s">
        <v>311</v>
      </c>
      <c r="N69" s="69">
        <v>2.02567113029541E14</v>
      </c>
      <c r="O69" s="69" t="s">
        <v>312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315</v>
      </c>
      <c r="B70" s="33" t="s">
        <v>316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317</v>
      </c>
      <c r="J70" s="34" t="s">
        <v>139</v>
      </c>
      <c r="K70" s="37">
        <v>45965.0</v>
      </c>
      <c r="L70" s="33" t="s">
        <v>318</v>
      </c>
      <c r="M70" s="34" t="s">
        <v>319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320</v>
      </c>
      <c r="B71" s="33" t="s">
        <v>321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322</v>
      </c>
      <c r="J71" s="34" t="s">
        <v>31</v>
      </c>
      <c r="K71" s="37">
        <v>45965.0</v>
      </c>
      <c r="L71" s="33" t="s">
        <v>318</v>
      </c>
      <c r="M71" s="34" t="s">
        <v>319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323</v>
      </c>
      <c r="B72" s="33" t="s">
        <v>324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322</v>
      </c>
      <c r="J72" s="34" t="s">
        <v>31</v>
      </c>
      <c r="K72" s="37">
        <v>45965.0</v>
      </c>
      <c r="L72" s="33" t="s">
        <v>251</v>
      </c>
      <c r="M72" s="34" t="s">
        <v>252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325</v>
      </c>
      <c r="B73" s="33" t="s">
        <v>326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327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328</v>
      </c>
      <c r="B74" s="33" t="s">
        <v>329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330</v>
      </c>
      <c r="J74" s="34" t="s">
        <v>31</v>
      </c>
      <c r="K74" s="37">
        <v>45967.0</v>
      </c>
      <c r="L74" s="33" t="s">
        <v>98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331</v>
      </c>
      <c r="B75" s="33" t="s">
        <v>332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330</v>
      </c>
      <c r="J75" s="34" t="s">
        <v>31</v>
      </c>
      <c r="K75" s="37">
        <v>45967.0</v>
      </c>
      <c r="L75" s="33" t="s">
        <v>98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333</v>
      </c>
      <c r="B76" s="33" t="s">
        <v>334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335</v>
      </c>
      <c r="J76" s="34" t="s">
        <v>31</v>
      </c>
      <c r="K76" s="37">
        <v>45967.0</v>
      </c>
      <c r="L76" s="33" t="s">
        <v>260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336</v>
      </c>
      <c r="B77" s="33" t="s">
        <v>337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338</v>
      </c>
      <c r="I77" s="36" t="s">
        <v>339</v>
      </c>
      <c r="J77" s="34" t="s">
        <v>31</v>
      </c>
      <c r="K77" s="37">
        <v>45968.0</v>
      </c>
      <c r="L77" s="33" t="s">
        <v>340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341</v>
      </c>
      <c r="B78" s="33" t="s">
        <v>342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189</v>
      </c>
      <c r="G78" s="34">
        <v>3.0</v>
      </c>
      <c r="H78" s="33" t="s">
        <v>343</v>
      </c>
      <c r="I78" s="36" t="s">
        <v>339</v>
      </c>
      <c r="J78" s="34" t="s">
        <v>31</v>
      </c>
      <c r="K78" s="37">
        <v>45968.0</v>
      </c>
      <c r="L78" s="33" t="s">
        <v>340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344</v>
      </c>
      <c r="B79" s="33" t="s">
        <v>345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346</v>
      </c>
      <c r="I79" s="36" t="s">
        <v>339</v>
      </c>
      <c r="J79" s="34" t="s">
        <v>31</v>
      </c>
      <c r="K79" s="37">
        <v>45968.0</v>
      </c>
      <c r="L79" s="33" t="s">
        <v>340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347</v>
      </c>
      <c r="B80" s="33" t="s">
        <v>348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349</v>
      </c>
      <c r="I80" s="36" t="s">
        <v>339</v>
      </c>
      <c r="J80" s="34" t="s">
        <v>31</v>
      </c>
      <c r="K80" s="37">
        <v>45968.0</v>
      </c>
      <c r="L80" s="33" t="s">
        <v>340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350</v>
      </c>
      <c r="B81" s="33" t="s">
        <v>351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352</v>
      </c>
      <c r="I81" s="36" t="s">
        <v>339</v>
      </c>
      <c r="J81" s="34" t="s">
        <v>31</v>
      </c>
      <c r="K81" s="37">
        <v>45968.0</v>
      </c>
      <c r="L81" s="33" t="s">
        <v>340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353</v>
      </c>
      <c r="B82" s="33" t="s">
        <v>354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355</v>
      </c>
      <c r="J82" s="34" t="s">
        <v>31</v>
      </c>
      <c r="K82" s="68">
        <v>45973.0</v>
      </c>
      <c r="L82" s="33" t="s">
        <v>356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357</v>
      </c>
      <c r="B83" s="33" t="s">
        <v>358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359</v>
      </c>
      <c r="J83" s="34" t="s">
        <v>31</v>
      </c>
      <c r="K83" s="68">
        <v>45974.0</v>
      </c>
      <c r="L83" s="33" t="s">
        <v>360</v>
      </c>
      <c r="M83" s="34" t="s">
        <v>361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362</v>
      </c>
      <c r="B84" s="33" t="s">
        <v>363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193</v>
      </c>
      <c r="G84" s="34">
        <v>10.0</v>
      </c>
      <c r="H84" s="34">
        <v>1.6026082E7</v>
      </c>
      <c r="I84" s="36" t="s">
        <v>364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365</v>
      </c>
      <c r="B85" s="33" t="s">
        <v>366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364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367</v>
      </c>
      <c r="B86" s="33" t="s">
        <v>368</v>
      </c>
      <c r="C86" s="33" t="str">
        <f>IF(B86="","",(VLOOKUP(B86,'Dados de PN'!$A:$B,2,0)))</f>
        <v>SLAVING ACCESS,SPEC</v>
      </c>
      <c r="D86" s="33" t="s">
        <v>369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370</v>
      </c>
      <c r="J86" s="34" t="s">
        <v>31</v>
      </c>
      <c r="K86" s="68">
        <v>45982.0</v>
      </c>
      <c r="L86" s="33" t="s">
        <v>232</v>
      </c>
      <c r="M86" s="34" t="s">
        <v>233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371</v>
      </c>
      <c r="B87" s="33" t="s">
        <v>372</v>
      </c>
      <c r="C87" s="33" t="str">
        <f>IF(B87="","",(VLOOKUP(B87,'Dados de PN'!$A:$B,2,0)))</f>
        <v>CONTROL INDICATOR</v>
      </c>
      <c r="D87" s="33" t="s">
        <v>373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370</v>
      </c>
      <c r="J87" s="34" t="s">
        <v>31</v>
      </c>
      <c r="K87" s="68">
        <v>45982.0</v>
      </c>
      <c r="L87" s="33" t="s">
        <v>232</v>
      </c>
      <c r="M87" s="34" t="s">
        <v>233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374</v>
      </c>
      <c r="B88" s="33" t="s">
        <v>375</v>
      </c>
      <c r="C88" s="33" t="str">
        <f>IF(B88="","",(VLOOKUP(B88,'Dados de PN'!$A:$B,2,0)))</f>
        <v>AIRSPEED INDICATOR</v>
      </c>
      <c r="D88" s="33" t="s">
        <v>376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377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378</v>
      </c>
      <c r="B89" s="33" t="s">
        <v>156</v>
      </c>
      <c r="C89" s="33" t="str">
        <f>IF(B89="","",(VLOOKUP(B89,'Dados de PN'!$A:$B,2,0)))</f>
        <v>SENSOR, FUEL LEVEL SHORT</v>
      </c>
      <c r="D89" s="33" t="s">
        <v>379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380</v>
      </c>
      <c r="J89" s="34" t="s">
        <v>31</v>
      </c>
      <c r="K89" s="68">
        <v>45985.0</v>
      </c>
      <c r="L89" s="33" t="s">
        <v>161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381</v>
      </c>
      <c r="B90" s="33" t="s">
        <v>368</v>
      </c>
      <c r="C90" s="33" t="str">
        <f>IF(B90="","",(VLOOKUP(B90,'Dados de PN'!$A:$B,2,0)))</f>
        <v>SLAVING ACCESS,SPEC</v>
      </c>
      <c r="D90" s="33" t="s">
        <v>382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377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383</v>
      </c>
      <c r="B91" s="67" t="s">
        <v>384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385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386</v>
      </c>
      <c r="B92" s="67" t="s">
        <v>387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385</v>
      </c>
      <c r="J92" s="52" t="s">
        <v>31</v>
      </c>
      <c r="K92" s="68">
        <v>45992.0</v>
      </c>
      <c r="L92" s="67" t="s">
        <v>318</v>
      </c>
      <c r="M92" s="52" t="s">
        <v>319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388</v>
      </c>
      <c r="B93" s="67" t="s">
        <v>389</v>
      </c>
      <c r="C93" s="33" t="str">
        <f>IF(B93="","",(VLOOKUP(B93,'Dados de PN'!$A:$B,2,0)))</f>
        <v>IND RDR 200 IN</v>
      </c>
      <c r="D93" s="67" t="s">
        <v>390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391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392</v>
      </c>
      <c r="P93" s="113" t="s">
        <v>389</v>
      </c>
      <c r="Q93" s="71" t="s">
        <v>393</v>
      </c>
      <c r="R93" s="71" t="s">
        <v>122</v>
      </c>
      <c r="S93" s="72"/>
      <c r="T93" s="73">
        <v>45979.0</v>
      </c>
      <c r="U93" s="56" t="s">
        <v>394</v>
      </c>
      <c r="V93" s="53"/>
      <c r="W93" s="52" t="s">
        <v>52</v>
      </c>
    </row>
    <row r="94">
      <c r="A94" s="31" t="s">
        <v>395</v>
      </c>
      <c r="B94" s="67" t="s">
        <v>396</v>
      </c>
      <c r="C94" s="33" t="str">
        <f>IF(B94="","",(VLOOKUP(B94,'Dados de PN'!$A:$B,2,0)))</f>
        <v>AIR COMPRESSOR</v>
      </c>
      <c r="D94" s="67" t="s">
        <v>397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398</v>
      </c>
      <c r="J94" s="34" t="s">
        <v>31</v>
      </c>
      <c r="K94" s="68">
        <v>46002.0</v>
      </c>
      <c r="L94" s="67" t="s">
        <v>360</v>
      </c>
      <c r="M94" s="52" t="s">
        <v>361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399</v>
      </c>
      <c r="B95" s="67" t="s">
        <v>400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401</v>
      </c>
      <c r="J95" s="34" t="s">
        <v>31</v>
      </c>
      <c r="K95" s="68">
        <v>46007.0</v>
      </c>
      <c r="L95" s="67" t="s">
        <v>251</v>
      </c>
      <c r="M95" s="52" t="s">
        <v>252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402</v>
      </c>
      <c r="B96" s="67" t="s">
        <v>403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404</v>
      </c>
      <c r="J96" s="34" t="s">
        <v>31</v>
      </c>
      <c r="K96" s="68">
        <v>46007.0</v>
      </c>
      <c r="L96" s="67" t="s">
        <v>251</v>
      </c>
      <c r="M96" s="52" t="s">
        <v>252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405</v>
      </c>
      <c r="B97" s="67" t="s">
        <v>406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407</v>
      </c>
      <c r="J97" s="34" t="s">
        <v>31</v>
      </c>
      <c r="K97" s="68">
        <v>46008.0</v>
      </c>
      <c r="L97" s="67" t="s">
        <v>154</v>
      </c>
      <c r="M97" s="52" t="s">
        <v>87</v>
      </c>
      <c r="N97" s="38"/>
      <c r="O97" s="69" t="s">
        <v>392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408</v>
      </c>
      <c r="B98" s="67" t="s">
        <v>409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410</v>
      </c>
      <c r="G98" s="34">
        <v>1.0</v>
      </c>
      <c r="H98" s="34">
        <v>3.13250017311E11</v>
      </c>
      <c r="I98" s="69" t="s">
        <v>411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409</v>
      </c>
      <c r="Q98" s="78"/>
      <c r="R98" s="71" t="s">
        <v>412</v>
      </c>
      <c r="S98" s="72"/>
      <c r="T98" s="73">
        <v>46030.0</v>
      </c>
      <c r="U98" s="56" t="s">
        <v>413</v>
      </c>
      <c r="V98" s="53"/>
      <c r="W98" s="52" t="s">
        <v>52</v>
      </c>
    </row>
    <row r="99">
      <c r="A99" s="31" t="s">
        <v>414</v>
      </c>
      <c r="B99" s="67" t="s">
        <v>415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416</v>
      </c>
      <c r="I99" s="69" t="s">
        <v>417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418</v>
      </c>
      <c r="B100" s="67" t="s">
        <v>419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420</v>
      </c>
      <c r="J100" s="34" t="s">
        <v>31</v>
      </c>
      <c r="K100" s="68">
        <v>46034.0</v>
      </c>
      <c r="L100" s="67" t="s">
        <v>154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421</v>
      </c>
      <c r="B101" s="67" t="s">
        <v>422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423</v>
      </c>
      <c r="G101" s="34">
        <v>1.0</v>
      </c>
      <c r="H101" s="34">
        <v>1.6428515E7</v>
      </c>
      <c r="I101" s="69" t="s">
        <v>424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425</v>
      </c>
      <c r="B102" s="67" t="s">
        <v>426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427</v>
      </c>
      <c r="J102" s="34" t="s">
        <v>31</v>
      </c>
      <c r="K102" s="68">
        <v>46035.0</v>
      </c>
      <c r="L102" s="67" t="s">
        <v>154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428</v>
      </c>
      <c r="B103" s="67" t="s">
        <v>429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430</v>
      </c>
      <c r="J103" s="34" t="s">
        <v>31</v>
      </c>
      <c r="K103" s="68">
        <v>46036.0</v>
      </c>
      <c r="L103" s="67">
        <v>2727.0</v>
      </c>
      <c r="M103" s="52" t="s">
        <v>319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431</v>
      </c>
      <c r="B104" s="67" t="s">
        <v>432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430</v>
      </c>
      <c r="J104" s="34" t="s">
        <v>31</v>
      </c>
      <c r="K104" s="68">
        <v>46036.0</v>
      </c>
      <c r="L104" s="67">
        <v>2727.0</v>
      </c>
      <c r="M104" s="52" t="s">
        <v>319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433</v>
      </c>
      <c r="B105" s="67" t="s">
        <v>434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435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436</v>
      </c>
      <c r="B106" s="67" t="s">
        <v>437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438</v>
      </c>
      <c r="I106" s="69" t="s">
        <v>439</v>
      </c>
      <c r="J106" s="34" t="s">
        <v>31</v>
      </c>
      <c r="K106" s="68">
        <v>46036.0</v>
      </c>
      <c r="L106" s="67" t="s">
        <v>356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440</v>
      </c>
      <c r="B107" s="67" t="s">
        <v>149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439</v>
      </c>
      <c r="J107" s="34" t="s">
        <v>31</v>
      </c>
      <c r="K107" s="68">
        <v>46036.0</v>
      </c>
      <c r="L107" s="67" t="s">
        <v>356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441</v>
      </c>
      <c r="B108" s="67" t="s">
        <v>442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407</v>
      </c>
      <c r="J108" s="34" t="s">
        <v>31</v>
      </c>
      <c r="K108" s="68">
        <v>46036.0</v>
      </c>
      <c r="L108" s="67" t="s">
        <v>154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443</v>
      </c>
      <c r="B109" s="67" t="s">
        <v>442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444</v>
      </c>
      <c r="J109" s="34" t="s">
        <v>31</v>
      </c>
      <c r="K109" s="68">
        <v>46043.0</v>
      </c>
      <c r="L109" s="67" t="s">
        <v>161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445</v>
      </c>
      <c r="B110" s="67" t="s">
        <v>446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423</v>
      </c>
      <c r="G110" s="34">
        <v>1.0</v>
      </c>
      <c r="H110" s="34">
        <v>3.29260018825E11</v>
      </c>
      <c r="I110" s="69" t="s">
        <v>447</v>
      </c>
      <c r="J110" s="34" t="s">
        <v>31</v>
      </c>
      <c r="K110" s="68">
        <v>46043.0</v>
      </c>
      <c r="L110" s="67" t="s">
        <v>154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448</v>
      </c>
      <c r="B111" s="67" t="s">
        <v>449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423</v>
      </c>
      <c r="G111" s="34">
        <v>1.0</v>
      </c>
      <c r="H111" s="34">
        <v>3.29260018826E11</v>
      </c>
      <c r="I111" s="69" t="s">
        <v>450</v>
      </c>
      <c r="J111" s="34" t="s">
        <v>31</v>
      </c>
      <c r="K111" s="68">
        <v>46043.0</v>
      </c>
      <c r="L111" s="67" t="s">
        <v>154</v>
      </c>
      <c r="M111" s="52" t="s">
        <v>87</v>
      </c>
      <c r="N111" s="38"/>
      <c r="O111" s="38"/>
      <c r="P111" s="77" t="s">
        <v>449</v>
      </c>
      <c r="Q111" s="71" t="s">
        <v>451</v>
      </c>
      <c r="R111" s="71" t="s">
        <v>452</v>
      </c>
      <c r="S111" s="72"/>
      <c r="T111" s="117">
        <v>45805.0</v>
      </c>
      <c r="U111" s="56" t="s">
        <v>453</v>
      </c>
      <c r="V111" s="52"/>
      <c r="W111" s="53"/>
    </row>
    <row r="112">
      <c r="A112" s="31" t="s">
        <v>454</v>
      </c>
      <c r="B112" s="67" t="s">
        <v>455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423</v>
      </c>
      <c r="G112" s="34">
        <v>1.0</v>
      </c>
      <c r="H112" s="34">
        <v>1.6494618E7</v>
      </c>
      <c r="I112" s="69" t="s">
        <v>456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387</v>
      </c>
      <c r="Q112" s="71" t="s">
        <v>457</v>
      </c>
      <c r="R112" s="77" t="s">
        <v>458</v>
      </c>
      <c r="S112" s="72"/>
      <c r="T112" s="73">
        <v>45959.0</v>
      </c>
      <c r="U112" s="56" t="s">
        <v>459</v>
      </c>
      <c r="V112" s="52"/>
      <c r="W112" s="52" t="s">
        <v>52</v>
      </c>
    </row>
    <row r="113">
      <c r="A113" s="31" t="s">
        <v>460</v>
      </c>
      <c r="B113" s="67" t="s">
        <v>461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462</v>
      </c>
      <c r="I113" s="69" t="s">
        <v>456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463</v>
      </c>
      <c r="Q113" s="71" t="s">
        <v>464</v>
      </c>
      <c r="R113" s="71" t="s">
        <v>465</v>
      </c>
      <c r="S113" s="72"/>
      <c r="T113" s="73">
        <v>46052.0</v>
      </c>
      <c r="U113" s="56" t="s">
        <v>466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467</v>
      </c>
      <c r="B114" s="67" t="s">
        <v>468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317</v>
      </c>
      <c r="J114" s="34" t="s">
        <v>31</v>
      </c>
      <c r="K114" s="68">
        <v>46049.0</v>
      </c>
      <c r="L114" s="67" t="s">
        <v>318</v>
      </c>
      <c r="M114" s="52" t="s">
        <v>319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469</v>
      </c>
      <c r="B115" s="67" t="s">
        <v>470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471</v>
      </c>
      <c r="J115" s="34" t="s">
        <v>31</v>
      </c>
      <c r="K115" s="68">
        <v>46049.0</v>
      </c>
      <c r="L115" s="33" t="s">
        <v>251</v>
      </c>
      <c r="M115" s="34" t="s">
        <v>252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472</v>
      </c>
      <c r="B116" s="67" t="s">
        <v>473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474</v>
      </c>
      <c r="I116" s="69" t="s">
        <v>475</v>
      </c>
      <c r="J116" s="34" t="s">
        <v>31</v>
      </c>
      <c r="K116" s="68">
        <v>46050.0</v>
      </c>
      <c r="L116" s="33" t="s">
        <v>251</v>
      </c>
      <c r="M116" s="34" t="s">
        <v>252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476</v>
      </c>
      <c r="B117" s="67" t="s">
        <v>477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478</v>
      </c>
      <c r="I117" s="69" t="s">
        <v>475</v>
      </c>
      <c r="J117" s="34" t="s">
        <v>31</v>
      </c>
      <c r="K117" s="68">
        <v>46050.0</v>
      </c>
      <c r="L117" s="33" t="s">
        <v>251</v>
      </c>
      <c r="M117" s="34" t="s">
        <v>252</v>
      </c>
      <c r="N117" s="38"/>
      <c r="O117" s="38"/>
      <c r="P117" s="77" t="s">
        <v>477</v>
      </c>
      <c r="Q117" s="71" t="s">
        <v>479</v>
      </c>
      <c r="R117" s="71" t="s">
        <v>480</v>
      </c>
      <c r="S117" s="72"/>
      <c r="T117" s="73">
        <v>46048.0</v>
      </c>
      <c r="U117" s="56" t="s">
        <v>481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482</v>
      </c>
      <c r="B118" s="67" t="s">
        <v>483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484</v>
      </c>
      <c r="I118" s="69" t="s">
        <v>475</v>
      </c>
      <c r="J118" s="34" t="s">
        <v>31</v>
      </c>
      <c r="K118" s="68">
        <v>46050.0</v>
      </c>
      <c r="L118" s="33" t="s">
        <v>251</v>
      </c>
      <c r="M118" s="34" t="s">
        <v>252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485</v>
      </c>
      <c r="B119" s="67" t="s">
        <v>486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193</v>
      </c>
      <c r="G119" s="34">
        <v>10.0</v>
      </c>
      <c r="H119" s="34">
        <v>3.86260013052E11</v>
      </c>
      <c r="I119" s="69" t="s">
        <v>487</v>
      </c>
      <c r="J119" s="52" t="s">
        <v>31</v>
      </c>
      <c r="K119" s="68">
        <v>46063.0</v>
      </c>
      <c r="L119" s="33" t="s">
        <v>251</v>
      </c>
      <c r="M119" s="34" t="s">
        <v>252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488</v>
      </c>
      <c r="B120" s="67" t="s">
        <v>489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490</v>
      </c>
      <c r="J120" s="52" t="s">
        <v>31</v>
      </c>
      <c r="K120" s="68">
        <v>46028.0</v>
      </c>
      <c r="L120" s="67" t="s">
        <v>143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491</v>
      </c>
      <c r="B121" s="67" t="s">
        <v>495</v>
      </c>
      <c r="C121" s="33" t="str">
        <f>IF(B121="","",(VLOOKUP(B121,'Dados de PN'!$A:$B,2,0)))</f>
        <v>OIL COOLER-LARGE</v>
      </c>
      <c r="D121" s="67" t="s">
        <v>496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497</v>
      </c>
      <c r="J121" s="52" t="s">
        <v>31</v>
      </c>
      <c r="K121" s="68">
        <v>46065.0</v>
      </c>
      <c r="L121" s="67" t="s">
        <v>98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494</v>
      </c>
      <c r="B122" s="118" t="s">
        <v>499</v>
      </c>
      <c r="C122" s="33" t="str">
        <f>IF(B122="","",(VLOOKUP(B122,'Dados de PN'!$A:$B,2,0)))</f>
        <v>GOVERNOR,OVERSPEED</v>
      </c>
      <c r="D122" s="67" t="s">
        <v>500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497</v>
      </c>
      <c r="J122" s="52" t="s">
        <v>31</v>
      </c>
      <c r="K122" s="68">
        <v>46065.0</v>
      </c>
      <c r="L122" s="67" t="s">
        <v>98</v>
      </c>
      <c r="M122" s="52" t="s">
        <v>42</v>
      </c>
      <c r="N122" s="38"/>
      <c r="O122" s="38"/>
      <c r="P122" s="53" t="s">
        <v>499</v>
      </c>
      <c r="Q122" s="38" t="s">
        <v>502</v>
      </c>
      <c r="R122" s="119" t="s">
        <v>1179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498</v>
      </c>
      <c r="B123" s="67" t="s">
        <v>504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505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503</v>
      </c>
      <c r="B124" s="67" t="s">
        <v>504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507</v>
      </c>
      <c r="J124" s="52" t="s">
        <v>31</v>
      </c>
      <c r="K124" s="68">
        <v>46065.0</v>
      </c>
      <c r="L124" s="67" t="s">
        <v>98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506</v>
      </c>
      <c r="B125" s="67" t="s">
        <v>509</v>
      </c>
      <c r="C125" s="33" t="str">
        <f>IF(B125="","",(VLOOKUP(B125,'Dados de PN'!$A:$B,2,0)))</f>
        <v>GYRO HORIZON</v>
      </c>
      <c r="D125" s="67" t="s">
        <v>510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511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508</v>
      </c>
      <c r="B126" s="67" t="s">
        <v>513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514</v>
      </c>
      <c r="J126" s="52" t="s">
        <v>31</v>
      </c>
      <c r="K126" s="37">
        <v>46073.0</v>
      </c>
      <c r="L126" s="67" t="s">
        <v>360</v>
      </c>
      <c r="M126" s="52" t="s">
        <v>361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512</v>
      </c>
      <c r="B127" s="33" t="s">
        <v>337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516</v>
      </c>
      <c r="I127" s="69" t="s">
        <v>517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337</v>
      </c>
      <c r="Q127" s="69" t="s">
        <v>518</v>
      </c>
      <c r="R127" s="52" t="s">
        <v>519</v>
      </c>
      <c r="S127" s="53"/>
      <c r="T127" s="122">
        <v>45889.0</v>
      </c>
      <c r="U127" s="56" t="s">
        <v>520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515</v>
      </c>
      <c r="B128" s="33" t="s">
        <v>342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522</v>
      </c>
      <c r="I128" s="69" t="s">
        <v>517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521</v>
      </c>
      <c r="B129" s="33" t="s">
        <v>234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524</v>
      </c>
      <c r="I129" s="69" t="s">
        <v>517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523</v>
      </c>
      <c r="B130" s="33" t="s">
        <v>526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527</v>
      </c>
      <c r="I130" s="69" t="s">
        <v>517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525</v>
      </c>
      <c r="B131" s="33" t="s">
        <v>529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530</v>
      </c>
      <c r="G131" s="34">
        <v>6.0</v>
      </c>
      <c r="H131" s="33" t="s">
        <v>531</v>
      </c>
      <c r="I131" s="69" t="s">
        <v>517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528</v>
      </c>
      <c r="B132" s="67" t="s">
        <v>533</v>
      </c>
      <c r="C132" s="33" t="str">
        <f>IF(B132="","",(VLOOKUP(B132,'Dados de PN'!$A:$B,2,0)))</f>
        <v>SUCTION GAGE</v>
      </c>
      <c r="D132" s="67" t="s">
        <v>534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535</v>
      </c>
      <c r="J132" s="52" t="s">
        <v>31</v>
      </c>
      <c r="K132" s="37">
        <v>46077.0</v>
      </c>
      <c r="L132" s="67" t="s">
        <v>536</v>
      </c>
      <c r="M132" s="52" t="s">
        <v>537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532</v>
      </c>
      <c r="B133" s="67" t="s">
        <v>539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540</v>
      </c>
      <c r="J133" s="52" t="s">
        <v>31</v>
      </c>
      <c r="K133" s="37">
        <v>46079.0</v>
      </c>
      <c r="L133" s="67" t="s">
        <v>541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538</v>
      </c>
      <c r="B134" s="67" t="s">
        <v>345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543</v>
      </c>
      <c r="I134" s="69" t="s">
        <v>544</v>
      </c>
      <c r="J134" s="52" t="s">
        <v>31</v>
      </c>
      <c r="K134" s="37">
        <v>46080.0</v>
      </c>
      <c r="L134" s="67" t="s">
        <v>360</v>
      </c>
      <c r="M134" s="52" t="s">
        <v>361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542</v>
      </c>
      <c r="B135" s="67" t="s">
        <v>348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544</v>
      </c>
      <c r="J135" s="119" t="s">
        <v>31</v>
      </c>
      <c r="K135" s="124">
        <v>46080.0</v>
      </c>
      <c r="L135" s="112" t="s">
        <v>360</v>
      </c>
      <c r="M135" s="53" t="s">
        <v>361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545</v>
      </c>
      <c r="B136" s="67" t="s">
        <v>547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548</v>
      </c>
      <c r="I136" s="123" t="s">
        <v>544</v>
      </c>
      <c r="J136" s="119" t="s">
        <v>31</v>
      </c>
      <c r="K136" s="124">
        <v>46080.0</v>
      </c>
      <c r="L136" s="112" t="s">
        <v>360</v>
      </c>
      <c r="M136" s="53" t="s">
        <v>361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546</v>
      </c>
      <c r="B137" s="67" t="s">
        <v>550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193</v>
      </c>
      <c r="G137" s="34">
        <v>10.0</v>
      </c>
      <c r="H137" s="34">
        <v>1.6844147E7</v>
      </c>
      <c r="I137" s="69" t="s">
        <v>551</v>
      </c>
      <c r="J137" s="119" t="s">
        <v>31</v>
      </c>
      <c r="K137" s="124">
        <v>46080.0</v>
      </c>
      <c r="L137" s="67" t="s">
        <v>552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549</v>
      </c>
      <c r="B138" s="67" t="s">
        <v>554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555</v>
      </c>
      <c r="I138" s="69" t="s">
        <v>551</v>
      </c>
      <c r="J138" s="119" t="s">
        <v>31</v>
      </c>
      <c r="K138" s="124">
        <v>46080.0</v>
      </c>
      <c r="L138" s="67" t="s">
        <v>552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553</v>
      </c>
      <c r="B139" s="67" t="s">
        <v>539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540</v>
      </c>
      <c r="J139" s="119" t="s">
        <v>31</v>
      </c>
      <c r="K139" s="37">
        <v>46078.0</v>
      </c>
      <c r="L139" s="67" t="s">
        <v>541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557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556</v>
      </c>
      <c r="B140" s="67" t="s">
        <v>559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560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558</v>
      </c>
      <c r="B141" s="67" t="s">
        <v>562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560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561</v>
      </c>
      <c r="B142" s="67" t="s">
        <v>564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560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614</v>
      </c>
      <c r="B143" s="67" t="s">
        <v>566</v>
      </c>
      <c r="C143" s="33" t="str">
        <f>IF(B143="","",(VLOOKUP(B143,'Dados de PN'!$A:$B,2,0)))</f>
        <v>RING AY-ENGINE MOUNT</v>
      </c>
      <c r="D143" s="67" t="s">
        <v>567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568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563</v>
      </c>
      <c r="B144" s="67" t="s">
        <v>97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570</v>
      </c>
      <c r="I144" s="69" t="s">
        <v>571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565</v>
      </c>
      <c r="B145" s="67" t="s">
        <v>345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573</v>
      </c>
      <c r="I145" s="69" t="s">
        <v>574</v>
      </c>
      <c r="J145" s="119" t="s">
        <v>31</v>
      </c>
      <c r="K145" s="37">
        <v>46094.0</v>
      </c>
      <c r="L145" s="67" t="s">
        <v>251</v>
      </c>
      <c r="M145" s="52" t="s">
        <v>252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569</v>
      </c>
      <c r="B146" s="67" t="s">
        <v>348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576</v>
      </c>
      <c r="I146" s="69" t="s">
        <v>574</v>
      </c>
      <c r="J146" s="119" t="s">
        <v>31</v>
      </c>
      <c r="K146" s="37">
        <v>46094.0</v>
      </c>
      <c r="L146" s="67" t="s">
        <v>251</v>
      </c>
      <c r="M146" s="52" t="s">
        <v>252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572</v>
      </c>
      <c r="B147" s="67" t="s">
        <v>578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579</v>
      </c>
      <c r="I147" s="69" t="s">
        <v>574</v>
      </c>
      <c r="J147" s="119" t="s">
        <v>31</v>
      </c>
      <c r="K147" s="37">
        <v>46094.0</v>
      </c>
      <c r="L147" s="67" t="s">
        <v>251</v>
      </c>
      <c r="M147" s="52" t="s">
        <v>252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575</v>
      </c>
      <c r="B148" s="67" t="s">
        <v>449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581</v>
      </c>
      <c r="J148" s="125" t="s">
        <v>31</v>
      </c>
      <c r="K148" s="37">
        <v>46097.0</v>
      </c>
      <c r="L148" s="67" t="s">
        <v>154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577</v>
      </c>
      <c r="B149" s="67" t="s">
        <v>455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583</v>
      </c>
      <c r="J149" s="125" t="s">
        <v>31</v>
      </c>
      <c r="K149" s="37">
        <v>46097.0</v>
      </c>
      <c r="L149" s="67" t="s">
        <v>154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580</v>
      </c>
      <c r="B150" s="67" t="s">
        <v>585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586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582</v>
      </c>
      <c r="B151" s="126" t="s">
        <v>345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588</v>
      </c>
      <c r="I151" s="69" t="s">
        <v>544</v>
      </c>
      <c r="J151" s="119" t="s">
        <v>31</v>
      </c>
      <c r="K151" s="37">
        <v>46100.0</v>
      </c>
      <c r="L151" s="67" t="s">
        <v>552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584</v>
      </c>
      <c r="B152" s="126" t="s">
        <v>348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590</v>
      </c>
      <c r="I152" s="69" t="s">
        <v>544</v>
      </c>
      <c r="J152" s="119" t="s">
        <v>31</v>
      </c>
      <c r="K152" s="37">
        <v>46100.0</v>
      </c>
      <c r="L152" s="67" t="s">
        <v>552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587</v>
      </c>
      <c r="B153" s="126" t="s">
        <v>592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593</v>
      </c>
      <c r="I153" s="69" t="s">
        <v>544</v>
      </c>
      <c r="J153" s="119" t="s">
        <v>31</v>
      </c>
      <c r="K153" s="37">
        <v>46100.0</v>
      </c>
      <c r="L153" s="112" t="s">
        <v>360</v>
      </c>
      <c r="M153" s="53" t="s">
        <v>361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589</v>
      </c>
      <c r="B154" s="67" t="s">
        <v>595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596</v>
      </c>
      <c r="I154" s="69" t="s">
        <v>597</v>
      </c>
      <c r="J154" s="119" t="s">
        <v>31</v>
      </c>
      <c r="K154" s="37">
        <v>46101.0</v>
      </c>
      <c r="L154" s="127" t="s">
        <v>232</v>
      </c>
      <c r="M154" s="52" t="s">
        <v>233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591</v>
      </c>
      <c r="B155" s="67" t="s">
        <v>599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600</v>
      </c>
      <c r="I155" s="128" t="s">
        <v>597</v>
      </c>
      <c r="J155" s="119" t="s">
        <v>31</v>
      </c>
      <c r="K155" s="37">
        <v>46101.0</v>
      </c>
      <c r="L155" s="127" t="s">
        <v>232</v>
      </c>
      <c r="M155" s="52" t="s">
        <v>233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594</v>
      </c>
      <c r="B156" s="67" t="s">
        <v>602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603</v>
      </c>
      <c r="I156" s="69" t="s">
        <v>597</v>
      </c>
      <c r="J156" s="119" t="s">
        <v>31</v>
      </c>
      <c r="K156" s="37">
        <v>46101.0</v>
      </c>
      <c r="L156" s="127" t="s">
        <v>232</v>
      </c>
      <c r="M156" s="52" t="s">
        <v>233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598</v>
      </c>
      <c r="B157" s="67" t="s">
        <v>437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605</v>
      </c>
      <c r="I157" s="69" t="s">
        <v>606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601</v>
      </c>
      <c r="B158" s="67" t="s">
        <v>608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609</v>
      </c>
      <c r="I158" s="69" t="s">
        <v>610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604</v>
      </c>
      <c r="B159" s="67" t="s">
        <v>612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613</v>
      </c>
      <c r="I159" s="69" t="s">
        <v>610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607</v>
      </c>
      <c r="B160" s="67" t="s">
        <v>615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616</v>
      </c>
      <c r="I160" s="69" t="s">
        <v>610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611</v>
      </c>
      <c r="B161" s="67" t="s">
        <v>618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619</v>
      </c>
      <c r="I161" s="69" t="s">
        <v>620</v>
      </c>
      <c r="J161" s="119" t="s">
        <v>31</v>
      </c>
      <c r="K161" s="37">
        <v>46101.0</v>
      </c>
      <c r="L161" s="67" t="s">
        <v>98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617</v>
      </c>
      <c r="B162" s="67" t="s">
        <v>566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622</v>
      </c>
      <c r="J162" s="119" t="s">
        <v>31</v>
      </c>
      <c r="K162" s="37">
        <v>46113.0</v>
      </c>
      <c r="L162" s="67" t="s">
        <v>161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621</v>
      </c>
      <c r="B163" s="67" t="s">
        <v>368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624</v>
      </c>
      <c r="J163" s="119" t="s">
        <v>31</v>
      </c>
      <c r="K163" s="37">
        <v>46119.0</v>
      </c>
      <c r="L163" s="67" t="s">
        <v>98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623</v>
      </c>
      <c r="B164" s="67" t="s">
        <v>626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624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625</v>
      </c>
      <c r="B165" s="67" t="s">
        <v>628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624</v>
      </c>
      <c r="J165" s="119" t="s">
        <v>31</v>
      </c>
      <c r="K165" s="37">
        <v>46119.0</v>
      </c>
      <c r="L165" s="67" t="s">
        <v>98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627</v>
      </c>
      <c r="B166" s="67" t="s">
        <v>368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624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629</v>
      </c>
      <c r="B167" s="67" t="s">
        <v>631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624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630</v>
      </c>
      <c r="B168" s="67" t="s">
        <v>633</v>
      </c>
      <c r="C168" s="33" t="str">
        <f>IF(B168="","",(VLOOKUP(B168,'Dados de PN'!$A:$B,2,0)))</f>
        <v>ENGINE MOUNT WELD ASSEMBLY</v>
      </c>
      <c r="D168" s="67" t="s">
        <v>634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635</v>
      </c>
      <c r="J168" s="119" t="s">
        <v>31</v>
      </c>
      <c r="K168" s="37">
        <v>46120.0</v>
      </c>
      <c r="L168" s="67" t="s">
        <v>536</v>
      </c>
      <c r="M168" s="52" t="s">
        <v>537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632</v>
      </c>
      <c r="B169" s="67" t="s">
        <v>566</v>
      </c>
      <c r="C169" s="33" t="str">
        <f>IF(B169="","",(VLOOKUP(B169,'Dados de PN'!$A:$B,2,0)))</f>
        <v>RING AY-ENGINE MOUNT</v>
      </c>
      <c r="D169" s="67" t="s">
        <v>637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635</v>
      </c>
      <c r="J169" s="119" t="s">
        <v>31</v>
      </c>
      <c r="K169" s="37">
        <v>46120.0</v>
      </c>
      <c r="L169" s="67" t="s">
        <v>536</v>
      </c>
      <c r="M169" s="52" t="s">
        <v>537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636</v>
      </c>
      <c r="B170" s="67" t="s">
        <v>162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635</v>
      </c>
      <c r="J170" s="119" t="s">
        <v>31</v>
      </c>
      <c r="K170" s="37">
        <v>46120.0</v>
      </c>
      <c r="L170" s="67" t="s">
        <v>536</v>
      </c>
      <c r="M170" s="52" t="s">
        <v>537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638</v>
      </c>
      <c r="B171" s="67" t="s">
        <v>640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635</v>
      </c>
      <c r="J171" s="119" t="s">
        <v>31</v>
      </c>
      <c r="K171" s="37">
        <v>46120.0</v>
      </c>
      <c r="L171" s="67" t="s">
        <v>536</v>
      </c>
      <c r="M171" s="52" t="s">
        <v>537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639</v>
      </c>
      <c r="B172" s="67" t="s">
        <v>642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635</v>
      </c>
      <c r="J172" s="119" t="s">
        <v>31</v>
      </c>
      <c r="K172" s="37">
        <v>46120.0</v>
      </c>
      <c r="L172" s="67" t="s">
        <v>536</v>
      </c>
      <c r="M172" s="52" t="s">
        <v>537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641</v>
      </c>
      <c r="B173" s="67" t="s">
        <v>644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137</v>
      </c>
      <c r="G173" s="34">
        <v>4.0</v>
      </c>
      <c r="H173" s="34">
        <v>1.715475E7</v>
      </c>
      <c r="I173" s="69" t="s">
        <v>635</v>
      </c>
      <c r="J173" s="119" t="s">
        <v>31</v>
      </c>
      <c r="K173" s="37">
        <v>46120.0</v>
      </c>
      <c r="L173" s="67" t="s">
        <v>536</v>
      </c>
      <c r="M173" s="52" t="s">
        <v>537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643</v>
      </c>
      <c r="B174" s="67" t="s">
        <v>646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635</v>
      </c>
      <c r="J174" s="119" t="s">
        <v>31</v>
      </c>
      <c r="K174" s="37">
        <v>46120.0</v>
      </c>
      <c r="L174" s="67" t="s">
        <v>536</v>
      </c>
      <c r="M174" s="52" t="s">
        <v>537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645</v>
      </c>
      <c r="B175" s="67" t="s">
        <v>648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635</v>
      </c>
      <c r="J175" s="119" t="s">
        <v>31</v>
      </c>
      <c r="K175" s="37">
        <v>46120.0</v>
      </c>
      <c r="L175" s="67" t="s">
        <v>536</v>
      </c>
      <c r="M175" s="52" t="s">
        <v>537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647</v>
      </c>
      <c r="B176" s="67" t="s">
        <v>650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635</v>
      </c>
      <c r="J176" s="119" t="s">
        <v>31</v>
      </c>
      <c r="K176" s="37">
        <v>46120.0</v>
      </c>
      <c r="L176" s="67" t="s">
        <v>536</v>
      </c>
      <c r="M176" s="52" t="s">
        <v>537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649</v>
      </c>
      <c r="B177" s="67" t="s">
        <v>652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635</v>
      </c>
      <c r="J177" s="119" t="s">
        <v>31</v>
      </c>
      <c r="K177" s="37">
        <v>46120.0</v>
      </c>
      <c r="L177" s="67" t="s">
        <v>536</v>
      </c>
      <c r="M177" s="52" t="s">
        <v>537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651</v>
      </c>
      <c r="B178" s="67" t="s">
        <v>167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635</v>
      </c>
      <c r="J178" s="119" t="s">
        <v>31</v>
      </c>
      <c r="K178" s="37">
        <v>46120.0</v>
      </c>
      <c r="L178" s="67" t="s">
        <v>536</v>
      </c>
      <c r="M178" s="52" t="s">
        <v>537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653</v>
      </c>
      <c r="B179" s="67" t="s">
        <v>592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544</v>
      </c>
      <c r="J179" s="52" t="s">
        <v>31</v>
      </c>
      <c r="K179" s="37">
        <v>46121.0</v>
      </c>
      <c r="L179" s="67" t="s">
        <v>251</v>
      </c>
      <c r="M179" s="52" t="s">
        <v>252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654</v>
      </c>
      <c r="B180" s="33" t="s">
        <v>211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656</v>
      </c>
      <c r="I180" s="69" t="s">
        <v>657</v>
      </c>
      <c r="J180" s="52" t="s">
        <v>31</v>
      </c>
      <c r="K180" s="37">
        <v>46121.0</v>
      </c>
      <c r="L180" s="67" t="s">
        <v>658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655</v>
      </c>
      <c r="B181" s="33" t="s">
        <v>660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661</v>
      </c>
      <c r="I181" s="69" t="s">
        <v>657</v>
      </c>
      <c r="J181" s="52" t="s">
        <v>31</v>
      </c>
      <c r="K181" s="37">
        <v>46121.0</v>
      </c>
      <c r="L181" s="67" t="s">
        <v>98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659</v>
      </c>
      <c r="B182" s="33" t="s">
        <v>663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664</v>
      </c>
      <c r="I182" s="69" t="s">
        <v>657</v>
      </c>
      <c r="J182" s="52" t="s">
        <v>31</v>
      </c>
      <c r="K182" s="37">
        <v>46121.0</v>
      </c>
      <c r="L182" s="67" t="s">
        <v>665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662</v>
      </c>
      <c r="B183" s="33" t="s">
        <v>667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668</v>
      </c>
      <c r="I183" s="69" t="s">
        <v>657</v>
      </c>
      <c r="J183" s="52" t="s">
        <v>31</v>
      </c>
      <c r="K183" s="37">
        <v>46121.0</v>
      </c>
      <c r="L183" s="67" t="s">
        <v>98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666</v>
      </c>
      <c r="B184" s="67" t="s">
        <v>670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671</v>
      </c>
      <c r="I184" s="69" t="s">
        <v>672</v>
      </c>
      <c r="J184" s="52" t="s">
        <v>31</v>
      </c>
      <c r="K184" s="37">
        <v>46122.0</v>
      </c>
      <c r="L184" s="67" t="s">
        <v>154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669</v>
      </c>
      <c r="B185" s="67" t="s">
        <v>670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674</v>
      </c>
      <c r="I185" s="69" t="s">
        <v>672</v>
      </c>
      <c r="J185" s="52" t="s">
        <v>31</v>
      </c>
      <c r="K185" s="37">
        <v>46122.0</v>
      </c>
      <c r="L185" s="67" t="s">
        <v>154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673</v>
      </c>
      <c r="B186" s="67" t="s">
        <v>676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677</v>
      </c>
      <c r="I186" s="69" t="s">
        <v>672</v>
      </c>
      <c r="J186" s="52" t="s">
        <v>31</v>
      </c>
      <c r="K186" s="37">
        <v>46122.0</v>
      </c>
      <c r="L186" s="67" t="s">
        <v>154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675</v>
      </c>
      <c r="B187" s="67" t="s">
        <v>679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672</v>
      </c>
      <c r="J187" s="52" t="s">
        <v>31</v>
      </c>
      <c r="K187" s="37">
        <v>46122.0</v>
      </c>
      <c r="L187" s="67" t="s">
        <v>536</v>
      </c>
      <c r="M187" s="52" t="s">
        <v>537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678</v>
      </c>
      <c r="B188" s="67" t="s">
        <v>681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672</v>
      </c>
      <c r="J188" s="52" t="s">
        <v>31</v>
      </c>
      <c r="K188" s="37">
        <v>46122.0</v>
      </c>
      <c r="L188" s="67" t="s">
        <v>536</v>
      </c>
      <c r="M188" s="52" t="s">
        <v>537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680</v>
      </c>
      <c r="B189" s="67" t="s">
        <v>683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137</v>
      </c>
      <c r="G189" s="34">
        <v>4.0</v>
      </c>
      <c r="H189" s="34">
        <v>1.7187148E7</v>
      </c>
      <c r="I189" s="69" t="s">
        <v>672</v>
      </c>
      <c r="J189" s="52" t="s">
        <v>31</v>
      </c>
      <c r="K189" s="37">
        <v>46122.0</v>
      </c>
      <c r="L189" s="67" t="s">
        <v>536</v>
      </c>
      <c r="M189" s="52" t="s">
        <v>537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682</v>
      </c>
      <c r="B190" s="67" t="s">
        <v>685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672</v>
      </c>
      <c r="J190" s="52" t="s">
        <v>31</v>
      </c>
      <c r="K190" s="37">
        <v>46122.0</v>
      </c>
      <c r="L190" s="67" t="s">
        <v>536</v>
      </c>
      <c r="M190" s="52" t="s">
        <v>537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684</v>
      </c>
      <c r="B191" s="67" t="s">
        <v>687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530</v>
      </c>
      <c r="G191" s="34">
        <v>6.0</v>
      </c>
      <c r="H191" s="34">
        <v>1.7187163E7</v>
      </c>
      <c r="I191" s="69" t="s">
        <v>672</v>
      </c>
      <c r="J191" s="52" t="s">
        <v>31</v>
      </c>
      <c r="K191" s="37">
        <v>46122.0</v>
      </c>
      <c r="L191" s="67" t="s">
        <v>536</v>
      </c>
      <c r="M191" s="52" t="s">
        <v>537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686</v>
      </c>
      <c r="B192" s="67" t="s">
        <v>689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672</v>
      </c>
      <c r="J192" s="52" t="s">
        <v>31</v>
      </c>
      <c r="K192" s="37">
        <v>46122.0</v>
      </c>
      <c r="L192" s="67" t="s">
        <v>536</v>
      </c>
      <c r="M192" s="52" t="s">
        <v>537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688</v>
      </c>
      <c r="B193" s="67" t="s">
        <v>691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189</v>
      </c>
      <c r="G193" s="34">
        <v>3.0</v>
      </c>
      <c r="H193" s="34">
        <v>1.7187179E7</v>
      </c>
      <c r="I193" s="69" t="s">
        <v>672</v>
      </c>
      <c r="J193" s="52" t="s">
        <v>31</v>
      </c>
      <c r="K193" s="37">
        <v>46122.0</v>
      </c>
      <c r="L193" s="67" t="s">
        <v>536</v>
      </c>
      <c r="M193" s="52" t="s">
        <v>537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690</v>
      </c>
      <c r="B194" s="67" t="s">
        <v>691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189</v>
      </c>
      <c r="G194" s="34">
        <v>3.0</v>
      </c>
      <c r="H194" s="34">
        <v>1.7191995E7</v>
      </c>
      <c r="I194" s="69" t="s">
        <v>672</v>
      </c>
      <c r="J194" s="52" t="s">
        <v>31</v>
      </c>
      <c r="K194" s="37">
        <v>46122.0</v>
      </c>
      <c r="L194" s="67" t="s">
        <v>536</v>
      </c>
      <c r="M194" s="52" t="s">
        <v>537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692</v>
      </c>
      <c r="B195" s="67" t="s">
        <v>694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624</v>
      </c>
      <c r="J195" s="52" t="s">
        <v>31</v>
      </c>
      <c r="K195" s="37">
        <v>46126.0</v>
      </c>
      <c r="L195" s="67" t="s">
        <v>240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693</v>
      </c>
      <c r="B196" s="67" t="s">
        <v>387</v>
      </c>
      <c r="C196" s="33" t="str">
        <f>IF(B196="","",(VLOOKUP(B196,'Dados de PN'!$A:$B,2,0)))</f>
        <v>RECEIVER TRANSMITTER</v>
      </c>
      <c r="D196" s="67" t="s">
        <v>696</v>
      </c>
      <c r="E196" s="52" t="s">
        <v>73</v>
      </c>
      <c r="F196" s="52" t="s">
        <v>29</v>
      </c>
      <c r="G196" s="34"/>
      <c r="H196" s="34">
        <v>1.7244405E7</v>
      </c>
      <c r="I196" s="69" t="s">
        <v>697</v>
      </c>
      <c r="J196" s="52" t="s">
        <v>31</v>
      </c>
      <c r="K196" s="37">
        <v>46128.0</v>
      </c>
      <c r="L196" s="67" t="s">
        <v>232</v>
      </c>
      <c r="M196" s="52" t="s">
        <v>233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695</v>
      </c>
      <c r="B197" s="67" t="s">
        <v>455</v>
      </c>
      <c r="C197" s="33" t="str">
        <f>IF(B197="","",(VLOOKUP(B197,'Dados de PN'!$A:$B,2,0)))</f>
        <v>TRANSCEIVER</v>
      </c>
      <c r="D197" s="67" t="s">
        <v>699</v>
      </c>
      <c r="E197" s="52" t="s">
        <v>73</v>
      </c>
      <c r="F197" s="52" t="s">
        <v>29</v>
      </c>
      <c r="G197" s="35"/>
      <c r="H197" s="34">
        <v>3.29260019063E11</v>
      </c>
      <c r="I197" s="69" t="s">
        <v>700</v>
      </c>
      <c r="J197" s="52" t="s">
        <v>31</v>
      </c>
      <c r="K197" s="37">
        <v>46128.0</v>
      </c>
      <c r="L197" s="67" t="s">
        <v>154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698</v>
      </c>
      <c r="B198" s="67" t="s">
        <v>702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703</v>
      </c>
      <c r="G198" s="35"/>
      <c r="H198" s="34">
        <v>1.7261012E7</v>
      </c>
      <c r="I198" s="69" t="s">
        <v>704</v>
      </c>
      <c r="J198" s="52" t="s">
        <v>139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701</v>
      </c>
      <c r="B199" s="67" t="s">
        <v>706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707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705</v>
      </c>
      <c r="B200" s="67" t="s">
        <v>275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657</v>
      </c>
      <c r="J200" s="52" t="s">
        <v>31</v>
      </c>
      <c r="K200" s="37">
        <v>46135.0</v>
      </c>
      <c r="L200" s="67" t="s">
        <v>171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708</v>
      </c>
      <c r="B201" s="67" t="s">
        <v>710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137</v>
      </c>
      <c r="G201" s="35"/>
      <c r="H201" s="34">
        <v>1.7331826E7</v>
      </c>
      <c r="I201" s="69" t="s">
        <v>711</v>
      </c>
      <c r="J201" s="52" t="s">
        <v>31</v>
      </c>
      <c r="K201" s="37">
        <v>46139.0</v>
      </c>
      <c r="L201" s="67" t="s">
        <v>318</v>
      </c>
      <c r="M201" s="52" t="s">
        <v>319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709</v>
      </c>
      <c r="B202" s="67" t="s">
        <v>713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711</v>
      </c>
      <c r="J202" s="52" t="s">
        <v>31</v>
      </c>
      <c r="K202" s="37">
        <v>46139.0</v>
      </c>
      <c r="L202" s="67" t="s">
        <v>318</v>
      </c>
      <c r="M202" s="52" t="s">
        <v>319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712</v>
      </c>
      <c r="B203" s="67" t="s">
        <v>626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715</v>
      </c>
      <c r="I203" s="69" t="s">
        <v>700</v>
      </c>
      <c r="J203" s="52" t="s">
        <v>31</v>
      </c>
      <c r="K203" s="37">
        <v>46139.0</v>
      </c>
      <c r="L203" s="67" t="s">
        <v>658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714</v>
      </c>
      <c r="B204" s="67" t="s">
        <v>717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718</v>
      </c>
      <c r="I204" s="69" t="s">
        <v>700</v>
      </c>
      <c r="J204" s="52" t="s">
        <v>31</v>
      </c>
      <c r="K204" s="37">
        <v>46139.0</v>
      </c>
      <c r="L204" s="67" t="s">
        <v>658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716</v>
      </c>
      <c r="B205" s="67" t="s">
        <v>720</v>
      </c>
      <c r="C205" s="33" t="str">
        <f>IF(B205="","",(VLOOKUP(B205,'Dados de PN'!$A:$B,2,0)))</f>
        <v>NOSE GEAR STRUT ASSY - TALL FORK</v>
      </c>
      <c r="D205" s="67" t="s">
        <v>721</v>
      </c>
      <c r="E205" s="52" t="s">
        <v>73</v>
      </c>
      <c r="F205" s="52" t="s">
        <v>29</v>
      </c>
      <c r="G205" s="35"/>
      <c r="H205" s="34">
        <v>1.7354192E7</v>
      </c>
      <c r="I205" s="69" t="s">
        <v>722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719</v>
      </c>
      <c r="B206" s="67" t="s">
        <v>628</v>
      </c>
      <c r="C206" s="33" t="str">
        <f>IF(B206="","",(VLOOKUP(B206,'Dados de PN'!$A:$B,2,0)))</f>
        <v>ALTERNATOR CONTROL UNIT ASSY</v>
      </c>
      <c r="D206" s="67" t="s">
        <v>724</v>
      </c>
      <c r="E206" s="52" t="s">
        <v>39</v>
      </c>
      <c r="F206" s="67" t="s">
        <v>725</v>
      </c>
      <c r="G206" s="35"/>
      <c r="H206" s="33" t="s">
        <v>726</v>
      </c>
      <c r="I206" s="69" t="s">
        <v>727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723</v>
      </c>
      <c r="B207" s="67" t="s">
        <v>389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725</v>
      </c>
      <c r="G207" s="35"/>
      <c r="H207" s="33" t="s">
        <v>729</v>
      </c>
      <c r="I207" s="69" t="s">
        <v>730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728</v>
      </c>
      <c r="B208" s="67" t="s">
        <v>732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725</v>
      </c>
      <c r="G208" s="35"/>
      <c r="H208" s="33" t="s">
        <v>733</v>
      </c>
      <c r="I208" s="69" t="s">
        <v>730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731</v>
      </c>
      <c r="B209" s="67" t="s">
        <v>735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736</v>
      </c>
      <c r="G209" s="35"/>
      <c r="H209" s="33" t="s">
        <v>737</v>
      </c>
      <c r="I209" s="69" t="s">
        <v>730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734</v>
      </c>
      <c r="B210" s="67" t="s">
        <v>739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736</v>
      </c>
      <c r="G210" s="35"/>
      <c r="H210" s="33" t="s">
        <v>740</v>
      </c>
      <c r="I210" s="69" t="s">
        <v>730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738</v>
      </c>
      <c r="B211" s="67" t="s">
        <v>742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743</v>
      </c>
      <c r="G211" s="35"/>
      <c r="H211" s="33" t="s">
        <v>744</v>
      </c>
      <c r="I211" s="69" t="s">
        <v>730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741</v>
      </c>
      <c r="B212" s="67" t="s">
        <v>746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736</v>
      </c>
      <c r="G212" s="35"/>
      <c r="H212" s="33" t="s">
        <v>747</v>
      </c>
      <c r="I212" s="69" t="s">
        <v>748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745</v>
      </c>
      <c r="B213" s="67" t="s">
        <v>746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423</v>
      </c>
      <c r="G213" s="35"/>
      <c r="H213" s="33" t="s">
        <v>750</v>
      </c>
      <c r="I213" s="69" t="s">
        <v>751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749</v>
      </c>
      <c r="B214" s="67" t="s">
        <v>746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423</v>
      </c>
      <c r="G214" s="35"/>
      <c r="H214" s="33" t="s">
        <v>753</v>
      </c>
      <c r="I214" s="69" t="s">
        <v>754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752</v>
      </c>
      <c r="B215" s="67" t="s">
        <v>113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423</v>
      </c>
      <c r="G215" s="35"/>
      <c r="H215" s="34">
        <v>1.7377917E7</v>
      </c>
      <c r="I215" s="69" t="s">
        <v>756</v>
      </c>
      <c r="J215" s="52" t="s">
        <v>31</v>
      </c>
      <c r="K215" s="37">
        <v>46142.0</v>
      </c>
      <c r="L215" s="67" t="s">
        <v>143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755</v>
      </c>
      <c r="B216" s="67" t="s">
        <v>758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759</v>
      </c>
      <c r="G216" s="35"/>
      <c r="H216" s="34">
        <v>1.7401193E7</v>
      </c>
      <c r="I216" s="69" t="s">
        <v>760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757</v>
      </c>
      <c r="B217" s="67" t="s">
        <v>762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763</v>
      </c>
      <c r="J217" s="52" t="s">
        <v>31</v>
      </c>
      <c r="K217" s="37">
        <v>46148.0</v>
      </c>
      <c r="L217" s="67" t="s">
        <v>658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761</v>
      </c>
      <c r="B218" s="67" t="s">
        <v>765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137</v>
      </c>
      <c r="G218" s="35"/>
      <c r="H218" s="34">
        <v>1.742819E7</v>
      </c>
      <c r="I218" s="69" t="s">
        <v>763</v>
      </c>
      <c r="J218" s="52" t="s">
        <v>31</v>
      </c>
      <c r="K218" s="37">
        <v>46148.0</v>
      </c>
      <c r="L218" s="67" t="s">
        <v>658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764</v>
      </c>
      <c r="B219" s="67" t="s">
        <v>767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137</v>
      </c>
      <c r="G219" s="35"/>
      <c r="H219" s="34">
        <v>1.7384283E7</v>
      </c>
      <c r="I219" s="69" t="s">
        <v>763</v>
      </c>
      <c r="J219" s="52" t="s">
        <v>31</v>
      </c>
      <c r="K219" s="37">
        <v>46148.0</v>
      </c>
      <c r="L219" s="67" t="s">
        <v>658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766</v>
      </c>
      <c r="B220" s="52" t="s">
        <v>769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423</v>
      </c>
      <c r="G220" s="35"/>
      <c r="H220" s="33" t="s">
        <v>770</v>
      </c>
      <c r="I220" s="69" t="s">
        <v>771</v>
      </c>
      <c r="J220" s="52" t="s">
        <v>31</v>
      </c>
      <c r="K220" s="37">
        <v>46148.0</v>
      </c>
      <c r="L220" s="67" t="s">
        <v>360</v>
      </c>
      <c r="M220" s="52" t="s">
        <v>252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768</v>
      </c>
      <c r="B221" s="52" t="s">
        <v>108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773</v>
      </c>
      <c r="G221" s="35"/>
      <c r="H221" s="33" t="s">
        <v>774</v>
      </c>
      <c r="I221" s="69" t="s">
        <v>771</v>
      </c>
      <c r="J221" s="52" t="s">
        <v>31</v>
      </c>
      <c r="K221" s="37">
        <v>46148.0</v>
      </c>
      <c r="L221" s="67" t="s">
        <v>360</v>
      </c>
      <c r="M221" s="52" t="s">
        <v>252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772</v>
      </c>
      <c r="B222" s="52" t="s">
        <v>683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776</v>
      </c>
      <c r="G222" s="35"/>
      <c r="H222" s="33" t="s">
        <v>777</v>
      </c>
      <c r="I222" s="69" t="s">
        <v>771</v>
      </c>
      <c r="J222" s="52" t="s">
        <v>31</v>
      </c>
      <c r="K222" s="37">
        <v>46148.0</v>
      </c>
      <c r="L222" s="67" t="s">
        <v>360</v>
      </c>
      <c r="M222" s="52" t="s">
        <v>252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775</v>
      </c>
      <c r="B223" s="52" t="s">
        <v>779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423</v>
      </c>
      <c r="G223" s="35"/>
      <c r="H223" s="33" t="s">
        <v>780</v>
      </c>
      <c r="I223" s="69" t="s">
        <v>771</v>
      </c>
      <c r="J223" s="52" t="s">
        <v>31</v>
      </c>
      <c r="K223" s="37">
        <v>46148.0</v>
      </c>
      <c r="L223" s="67" t="s">
        <v>360</v>
      </c>
      <c r="M223" s="52" t="s">
        <v>252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778</v>
      </c>
      <c r="B224" s="52" t="s">
        <v>782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423</v>
      </c>
      <c r="G224" s="35"/>
      <c r="H224" s="33" t="s">
        <v>783</v>
      </c>
      <c r="I224" s="69" t="s">
        <v>771</v>
      </c>
      <c r="J224" s="52" t="s">
        <v>31</v>
      </c>
      <c r="K224" s="37">
        <v>46148.0</v>
      </c>
      <c r="L224" s="67" t="s">
        <v>360</v>
      </c>
      <c r="M224" s="52" t="s">
        <v>252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781</v>
      </c>
      <c r="B225" s="52" t="s">
        <v>644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776</v>
      </c>
      <c r="G225" s="35"/>
      <c r="H225" s="33" t="s">
        <v>785</v>
      </c>
      <c r="I225" s="69" t="s">
        <v>771</v>
      </c>
      <c r="J225" s="52" t="s">
        <v>31</v>
      </c>
      <c r="K225" s="37">
        <v>46148.0</v>
      </c>
      <c r="L225" s="67" t="s">
        <v>360</v>
      </c>
      <c r="M225" s="52" t="s">
        <v>252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784</v>
      </c>
      <c r="B226" s="52" t="s">
        <v>685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423</v>
      </c>
      <c r="G226" s="35"/>
      <c r="H226" s="33" t="s">
        <v>787</v>
      </c>
      <c r="I226" s="69" t="s">
        <v>771</v>
      </c>
      <c r="J226" s="52" t="s">
        <v>31</v>
      </c>
      <c r="K226" s="37">
        <v>46148.0</v>
      </c>
      <c r="L226" s="67" t="s">
        <v>360</v>
      </c>
      <c r="M226" s="52" t="s">
        <v>252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786</v>
      </c>
      <c r="B227" s="52" t="s">
        <v>442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423</v>
      </c>
      <c r="G227" s="35"/>
      <c r="H227" s="33" t="s">
        <v>789</v>
      </c>
      <c r="I227" s="69" t="s">
        <v>771</v>
      </c>
      <c r="J227" s="52" t="s">
        <v>31</v>
      </c>
      <c r="K227" s="37">
        <v>46148.0</v>
      </c>
      <c r="L227" s="67" t="s">
        <v>360</v>
      </c>
      <c r="M227" s="52" t="s">
        <v>252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788</v>
      </c>
      <c r="B228" s="52" t="s">
        <v>790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423</v>
      </c>
      <c r="G228" s="35"/>
      <c r="H228" s="33" t="s">
        <v>791</v>
      </c>
      <c r="I228" s="69" t="s">
        <v>771</v>
      </c>
      <c r="J228" s="52" t="s">
        <v>31</v>
      </c>
      <c r="K228" s="37">
        <v>46148.0</v>
      </c>
      <c r="L228" s="67" t="s">
        <v>360</v>
      </c>
      <c r="M228" s="52" t="s">
        <v>252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724</v>
      </c>
      <c r="B229" s="52" t="s">
        <v>793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423</v>
      </c>
      <c r="G229" s="35"/>
      <c r="H229" s="33" t="s">
        <v>794</v>
      </c>
      <c r="I229" s="69" t="s">
        <v>771</v>
      </c>
      <c r="J229" s="52" t="s">
        <v>31</v>
      </c>
      <c r="K229" s="37">
        <v>46148.0</v>
      </c>
      <c r="L229" s="67" t="s">
        <v>360</v>
      </c>
      <c r="M229" s="52" t="s">
        <v>252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792</v>
      </c>
      <c r="B230" s="52" t="s">
        <v>796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423</v>
      </c>
      <c r="G230" s="35"/>
      <c r="H230" s="33" t="s">
        <v>797</v>
      </c>
      <c r="I230" s="69" t="s">
        <v>771</v>
      </c>
      <c r="J230" s="52" t="s">
        <v>31</v>
      </c>
      <c r="K230" s="37">
        <v>46148.0</v>
      </c>
      <c r="L230" s="67" t="s">
        <v>360</v>
      </c>
      <c r="M230" s="52" t="s">
        <v>252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795</v>
      </c>
      <c r="B231" s="52" t="s">
        <v>799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776</v>
      </c>
      <c r="G231" s="35"/>
      <c r="H231" s="33" t="s">
        <v>800</v>
      </c>
      <c r="I231" s="69" t="s">
        <v>771</v>
      </c>
      <c r="J231" s="52" t="s">
        <v>31</v>
      </c>
      <c r="K231" s="37">
        <v>46148.0</v>
      </c>
      <c r="L231" s="67" t="s">
        <v>360</v>
      </c>
      <c r="M231" s="52" t="s">
        <v>252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798</v>
      </c>
      <c r="B232" s="52" t="s">
        <v>681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802</v>
      </c>
      <c r="G232" s="35"/>
      <c r="H232" s="33" t="s">
        <v>803</v>
      </c>
      <c r="I232" s="69" t="s">
        <v>771</v>
      </c>
      <c r="J232" s="52" t="s">
        <v>31</v>
      </c>
      <c r="K232" s="37">
        <v>46148.0</v>
      </c>
      <c r="L232" s="67" t="s">
        <v>360</v>
      </c>
      <c r="M232" s="52" t="s">
        <v>252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801</v>
      </c>
      <c r="B233" s="52" t="s">
        <v>679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423</v>
      </c>
      <c r="G233" s="35"/>
      <c r="H233" s="33" t="s">
        <v>805</v>
      </c>
      <c r="I233" s="69" t="s">
        <v>771</v>
      </c>
      <c r="J233" s="52" t="s">
        <v>31</v>
      </c>
      <c r="K233" s="37">
        <v>46148.0</v>
      </c>
      <c r="L233" s="67" t="s">
        <v>360</v>
      </c>
      <c r="M233" s="52" t="s">
        <v>252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804</v>
      </c>
      <c r="B234" s="52" t="s">
        <v>807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725</v>
      </c>
      <c r="G234" s="35"/>
      <c r="H234" s="34">
        <v>1.7439905E7</v>
      </c>
      <c r="I234" s="69" t="s">
        <v>808</v>
      </c>
      <c r="J234" s="52" t="s">
        <v>31</v>
      </c>
      <c r="K234" s="37">
        <v>46149.0</v>
      </c>
      <c r="L234" s="67" t="s">
        <v>809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806</v>
      </c>
      <c r="B235" s="52" t="s">
        <v>807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725</v>
      </c>
      <c r="G235" s="35"/>
      <c r="H235" s="34">
        <v>1.7440211E7</v>
      </c>
      <c r="I235" s="69" t="s">
        <v>808</v>
      </c>
      <c r="J235" s="52" t="s">
        <v>31</v>
      </c>
      <c r="K235" s="37">
        <v>46149.0</v>
      </c>
      <c r="L235" s="67" t="s">
        <v>809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810</v>
      </c>
      <c r="B236" s="52" t="s">
        <v>667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736</v>
      </c>
      <c r="G236" s="35"/>
      <c r="H236" s="34">
        <v>1.7440365E7</v>
      </c>
      <c r="I236" s="69" t="s">
        <v>808</v>
      </c>
      <c r="J236" s="52" t="s">
        <v>31</v>
      </c>
      <c r="K236" s="37">
        <v>46149.0</v>
      </c>
      <c r="L236" s="67" t="s">
        <v>809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811</v>
      </c>
      <c r="B237" s="52" t="s">
        <v>667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725</v>
      </c>
      <c r="G237" s="35"/>
      <c r="H237" s="34">
        <v>1.7440621E7</v>
      </c>
      <c r="I237" s="69" t="s">
        <v>808</v>
      </c>
      <c r="J237" s="52" t="s">
        <v>31</v>
      </c>
      <c r="K237" s="37">
        <v>46149.0</v>
      </c>
      <c r="L237" s="67" t="s">
        <v>809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812</v>
      </c>
      <c r="B238" s="52" t="s">
        <v>814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736</v>
      </c>
      <c r="G238" s="35"/>
      <c r="H238" s="34">
        <v>1.7440604E7</v>
      </c>
      <c r="I238" s="69" t="s">
        <v>808</v>
      </c>
      <c r="J238" s="52" t="s">
        <v>31</v>
      </c>
      <c r="K238" s="37">
        <v>46149.0</v>
      </c>
      <c r="L238" s="67" t="s">
        <v>809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813</v>
      </c>
      <c r="B239" s="52" t="s">
        <v>814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736</v>
      </c>
      <c r="G239" s="35"/>
      <c r="H239" s="34">
        <v>1.7440771E7</v>
      </c>
      <c r="I239" s="69" t="s">
        <v>808</v>
      </c>
      <c r="J239" s="52" t="s">
        <v>31</v>
      </c>
      <c r="K239" s="37">
        <v>46149.0</v>
      </c>
      <c r="L239" s="67" t="s">
        <v>809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815</v>
      </c>
      <c r="B240" s="52" t="s">
        <v>817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725</v>
      </c>
      <c r="G240" s="34"/>
      <c r="H240" s="34">
        <v>1.7441308E7</v>
      </c>
      <c r="I240" s="69" t="s">
        <v>808</v>
      </c>
      <c r="J240" s="52" t="s">
        <v>31</v>
      </c>
      <c r="K240" s="37">
        <v>46149.0</v>
      </c>
      <c r="L240" s="67" t="s">
        <v>809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816</v>
      </c>
      <c r="B241" s="52" t="s">
        <v>819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820</v>
      </c>
      <c r="G241" s="34"/>
      <c r="H241" s="34">
        <v>1.7440912E7</v>
      </c>
      <c r="I241" s="69" t="s">
        <v>808</v>
      </c>
      <c r="J241" s="52" t="s">
        <v>31</v>
      </c>
      <c r="K241" s="37">
        <v>46149.0</v>
      </c>
      <c r="L241" s="67" t="s">
        <v>809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818</v>
      </c>
      <c r="B242" s="52" t="s">
        <v>125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725</v>
      </c>
      <c r="G242" s="34"/>
      <c r="H242" s="34">
        <v>1.6069857E7</v>
      </c>
      <c r="I242" s="69" t="s">
        <v>808</v>
      </c>
      <c r="J242" s="52" t="s">
        <v>31</v>
      </c>
      <c r="K242" s="37">
        <v>46149.0</v>
      </c>
      <c r="L242" s="67" t="s">
        <v>809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821</v>
      </c>
      <c r="B243" s="52" t="s">
        <v>449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725</v>
      </c>
      <c r="G243" s="34"/>
      <c r="H243" s="34">
        <v>1.6126104E7</v>
      </c>
      <c r="I243" s="69" t="s">
        <v>808</v>
      </c>
      <c r="J243" s="52" t="s">
        <v>31</v>
      </c>
      <c r="K243" s="37">
        <v>46149.0</v>
      </c>
      <c r="L243" s="67" t="s">
        <v>809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822</v>
      </c>
      <c r="B244" s="52" t="s">
        <v>824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725</v>
      </c>
      <c r="G244" s="34"/>
      <c r="H244" s="34">
        <v>1.6393897E7</v>
      </c>
      <c r="I244" s="69" t="s">
        <v>808</v>
      </c>
      <c r="J244" s="52" t="s">
        <v>31</v>
      </c>
      <c r="K244" s="37">
        <v>46149.0</v>
      </c>
      <c r="L244" s="67" t="s">
        <v>809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823</v>
      </c>
      <c r="B245" s="67" t="s">
        <v>826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725</v>
      </c>
      <c r="G245" s="34"/>
      <c r="H245" s="34">
        <v>1.7435536E7</v>
      </c>
      <c r="I245" s="69" t="s">
        <v>808</v>
      </c>
      <c r="J245" s="52" t="s">
        <v>31</v>
      </c>
      <c r="K245" s="37">
        <v>46149.0</v>
      </c>
      <c r="L245" s="67" t="s">
        <v>809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825</v>
      </c>
      <c r="B246" s="52" t="s">
        <v>769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725</v>
      </c>
      <c r="G246" s="34"/>
      <c r="H246" s="34">
        <v>1.7435646E7</v>
      </c>
      <c r="I246" s="69" t="s">
        <v>808</v>
      </c>
      <c r="J246" s="52" t="s">
        <v>31</v>
      </c>
      <c r="K246" s="37">
        <v>46149.0</v>
      </c>
      <c r="L246" s="67" t="s">
        <v>809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827</v>
      </c>
      <c r="B247" s="52" t="s">
        <v>389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725</v>
      </c>
      <c r="G247" s="34"/>
      <c r="H247" s="34">
        <v>1.7354649E7</v>
      </c>
      <c r="I247" s="69" t="s">
        <v>808</v>
      </c>
      <c r="J247" s="52" t="s">
        <v>31</v>
      </c>
      <c r="K247" s="37">
        <v>46149.0</v>
      </c>
      <c r="L247" s="67" t="s">
        <v>809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828</v>
      </c>
      <c r="B248" s="52" t="s">
        <v>830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831</v>
      </c>
      <c r="G248" s="34"/>
      <c r="H248" s="34">
        <v>1.7425684E7</v>
      </c>
      <c r="I248" s="69" t="s">
        <v>808</v>
      </c>
      <c r="J248" s="52" t="s">
        <v>31</v>
      </c>
      <c r="K248" s="37">
        <v>46149.0</v>
      </c>
      <c r="L248" s="67" t="s">
        <v>809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829</v>
      </c>
      <c r="B249" s="67" t="s">
        <v>833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834</v>
      </c>
      <c r="J249" s="52" t="s">
        <v>31</v>
      </c>
      <c r="K249" s="37">
        <v>46150.0</v>
      </c>
      <c r="L249" s="67" t="s">
        <v>318</v>
      </c>
      <c r="M249" s="52" t="s">
        <v>319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832</v>
      </c>
      <c r="B250" s="52" t="s">
        <v>836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837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835</v>
      </c>
      <c r="B251" s="67" t="s">
        <v>839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840</v>
      </c>
      <c r="J251" s="52" t="s">
        <v>31</v>
      </c>
      <c r="K251" s="37">
        <v>46161.0</v>
      </c>
      <c r="L251" s="67" t="s">
        <v>658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838</v>
      </c>
      <c r="B252" s="67" t="s">
        <v>265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842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841</v>
      </c>
      <c r="B253" s="67" t="s">
        <v>844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845</v>
      </c>
      <c r="J253" s="52" t="s">
        <v>31</v>
      </c>
      <c r="K253" s="37">
        <v>46162.0</v>
      </c>
      <c r="L253" s="67" t="s">
        <v>318</v>
      </c>
      <c r="M253" s="52" t="s">
        <v>319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843</v>
      </c>
      <c r="B254" s="67" t="s">
        <v>847</v>
      </c>
      <c r="C254" s="33" t="str">
        <f>IF(B254="","",(VLOOKUP(B254,'Dados de PN'!$A:$B,2,0)))</f>
        <v>SPRING ASSY-MAIN GEAR CENTER</v>
      </c>
      <c r="D254" s="67" t="s">
        <v>848</v>
      </c>
      <c r="E254" s="52" t="s">
        <v>39</v>
      </c>
      <c r="F254" s="52" t="s">
        <v>29</v>
      </c>
      <c r="G254" s="34"/>
      <c r="H254" s="34">
        <v>1.7537154E7</v>
      </c>
      <c r="I254" s="69" t="s">
        <v>849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846</v>
      </c>
      <c r="B255" s="67" t="s">
        <v>851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852</v>
      </c>
      <c r="J255" s="52" t="s">
        <v>31</v>
      </c>
      <c r="K255" s="37">
        <v>46163.0</v>
      </c>
      <c r="L255" s="67" t="s">
        <v>232</v>
      </c>
      <c r="M255" s="52" t="s">
        <v>233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850</v>
      </c>
      <c r="B256" s="67" t="s">
        <v>851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852</v>
      </c>
      <c r="J256" s="52" t="s">
        <v>31</v>
      </c>
      <c r="K256" s="37">
        <v>46163.0</v>
      </c>
      <c r="L256" s="67" t="s">
        <v>232</v>
      </c>
      <c r="M256" s="52" t="s">
        <v>233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853</v>
      </c>
      <c r="B257" s="67" t="s">
        <v>855</v>
      </c>
      <c r="C257" s="33" t="str">
        <f>IF(B257="","",(VLOOKUP(B257,'Dados de PN'!$A:$B,2,0)))</f>
        <v>STARTER-GENERATOR</v>
      </c>
      <c r="D257" s="67" t="s">
        <v>856</v>
      </c>
      <c r="E257" s="52" t="s">
        <v>73</v>
      </c>
      <c r="F257" s="52" t="s">
        <v>29</v>
      </c>
      <c r="G257" s="34"/>
      <c r="H257" s="34">
        <v>1.761209E7</v>
      </c>
      <c r="I257" s="69" t="s">
        <v>857</v>
      </c>
      <c r="J257" s="52" t="s">
        <v>31</v>
      </c>
      <c r="K257" s="37">
        <v>46170.0</v>
      </c>
      <c r="L257" s="67" t="s">
        <v>251</v>
      </c>
      <c r="M257" s="52" t="s">
        <v>252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854</v>
      </c>
      <c r="B258" s="67" t="s">
        <v>859</v>
      </c>
      <c r="C258" s="33" t="str">
        <f>IF(B258="","",(VLOOKUP(B258,'Dados de PN'!$A:$B,2,0)))</f>
        <v>IND FUEL FLOW</v>
      </c>
      <c r="D258" s="67" t="s">
        <v>860</v>
      </c>
      <c r="E258" s="52" t="s">
        <v>73</v>
      </c>
      <c r="F258" s="52" t="s">
        <v>861</v>
      </c>
      <c r="G258" s="34"/>
      <c r="H258" s="34">
        <v>3.29260019124E11</v>
      </c>
      <c r="I258" s="69" t="s">
        <v>862</v>
      </c>
      <c r="J258" s="52" t="s">
        <v>31</v>
      </c>
      <c r="K258" s="37">
        <v>46170.0</v>
      </c>
      <c r="L258" s="67" t="s">
        <v>658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858</v>
      </c>
      <c r="B259" s="69" t="s">
        <v>342</v>
      </c>
      <c r="C259" s="33" t="str">
        <f>IF(B259="","",(VLOOKUP(B259,'Dados de PN'!$A:$B,2,0)))</f>
        <v>WHEEL HALF ASSY</v>
      </c>
      <c r="D259" s="67" t="s">
        <v>864</v>
      </c>
      <c r="E259" s="52" t="s">
        <v>73</v>
      </c>
      <c r="F259" s="52" t="s">
        <v>84</v>
      </c>
      <c r="G259" s="34"/>
      <c r="H259" s="34">
        <v>1.7617015E7</v>
      </c>
      <c r="I259" s="69" t="s">
        <v>1180</v>
      </c>
      <c r="J259" s="52" t="s">
        <v>31</v>
      </c>
      <c r="K259" s="37">
        <v>46171.0</v>
      </c>
      <c r="L259" s="67" t="s">
        <v>171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863</v>
      </c>
      <c r="B260" s="69" t="s">
        <v>867</v>
      </c>
      <c r="C260" s="33" t="str">
        <f>IF(B260="","",(VLOOKUP(B260,'Dados de PN'!$A:$B,2,0)))</f>
        <v>STARTER GENERATOR</v>
      </c>
      <c r="D260" s="67" t="s">
        <v>868</v>
      </c>
      <c r="E260" s="52" t="s">
        <v>73</v>
      </c>
      <c r="F260" s="52" t="s">
        <v>29</v>
      </c>
      <c r="G260" s="34"/>
      <c r="H260" s="34">
        <v>1.7617016E7</v>
      </c>
      <c r="I260" s="69" t="s">
        <v>1180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866</v>
      </c>
      <c r="B261" s="69" t="s">
        <v>578</v>
      </c>
      <c r="C261" s="33" t="str">
        <f>IF(B261="","",(VLOOKUP(B261,'Dados de PN'!$A:$B,2,0)))</f>
        <v>AXLE-MAIN GEAR</v>
      </c>
      <c r="D261" s="67" t="s">
        <v>870</v>
      </c>
      <c r="E261" s="52" t="s">
        <v>39</v>
      </c>
      <c r="F261" s="52" t="s">
        <v>29</v>
      </c>
      <c r="G261" s="34"/>
      <c r="H261" s="34">
        <v>1.7617017E7</v>
      </c>
      <c r="I261" s="69" t="s">
        <v>1180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869</v>
      </c>
      <c r="B262" s="69" t="s">
        <v>872</v>
      </c>
      <c r="C262" s="33" t="str">
        <f>IF(B262="","",(VLOOKUP(B262,'Dados de PN'!$A:$B,2,0)))</f>
        <v>BATTERY</v>
      </c>
      <c r="D262" s="67" t="s">
        <v>873</v>
      </c>
      <c r="E262" s="52" t="s">
        <v>39</v>
      </c>
      <c r="F262" s="52" t="s">
        <v>29</v>
      </c>
      <c r="G262" s="34"/>
      <c r="H262" s="34">
        <v>1.7617018E7</v>
      </c>
      <c r="I262" s="69" t="s">
        <v>1180</v>
      </c>
      <c r="J262" s="52" t="s">
        <v>31</v>
      </c>
      <c r="K262" s="37">
        <v>46171.0</v>
      </c>
      <c r="L262" s="67" t="s">
        <v>98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871</v>
      </c>
      <c r="B263" s="69" t="s">
        <v>592</v>
      </c>
      <c r="C263" s="33" t="str">
        <f>IF(B263="","",(VLOOKUP(B263,'Dados de PN'!$A:$B,2,0)))</f>
        <v>EXTINGUISHER,FIRE</v>
      </c>
      <c r="D263" s="67" t="s">
        <v>875</v>
      </c>
      <c r="E263" s="52" t="s">
        <v>73</v>
      </c>
      <c r="F263" s="52" t="s">
        <v>29</v>
      </c>
      <c r="G263" s="34"/>
      <c r="H263" s="34">
        <v>1.7617019E7</v>
      </c>
      <c r="I263" s="69" t="s">
        <v>1180</v>
      </c>
      <c r="J263" s="52" t="s">
        <v>31</v>
      </c>
      <c r="K263" s="37">
        <v>46171.0</v>
      </c>
      <c r="L263" s="67" t="s">
        <v>98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874</v>
      </c>
      <c r="B264" s="52" t="s">
        <v>131</v>
      </c>
      <c r="C264" s="33" t="str">
        <f>IF(B264="","",(VLOOKUP(B264,'Dados de PN'!$A:$B,2,0)))</f>
        <v>INDICATOR,HORIZONTAL SITUATION</v>
      </c>
      <c r="D264" s="67" t="s">
        <v>877</v>
      </c>
      <c r="E264" s="52" t="s">
        <v>73</v>
      </c>
      <c r="F264" s="52" t="s">
        <v>29</v>
      </c>
      <c r="G264" s="34"/>
      <c r="H264" s="34">
        <v>3.96260016501E11</v>
      </c>
      <c r="I264" s="69" t="s">
        <v>1181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876</v>
      </c>
      <c r="B265" s="52" t="s">
        <v>880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1181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879</v>
      </c>
      <c r="B266" s="52" t="s">
        <v>562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1181</v>
      </c>
      <c r="J266" s="52" t="s">
        <v>31</v>
      </c>
      <c r="K266" s="37">
        <v>46174.0</v>
      </c>
      <c r="L266" s="67" t="s">
        <v>161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881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882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886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891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893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895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898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901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905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909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912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915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918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921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924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927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929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932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935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938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941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944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948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951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953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955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957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958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961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963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965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967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972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1182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1183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1184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1185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1186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1187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1188</v>
      </c>
      <c r="I6" s="159" t="s">
        <v>1189</v>
      </c>
      <c r="J6" s="159" t="s">
        <v>17</v>
      </c>
      <c r="K6" s="159" t="s">
        <v>1190</v>
      </c>
      <c r="L6" s="159" t="s">
        <v>15</v>
      </c>
      <c r="M6" s="159" t="s">
        <v>18</v>
      </c>
      <c r="N6" s="159" t="s">
        <v>19</v>
      </c>
      <c r="O6" s="160" t="s">
        <v>1191</v>
      </c>
      <c r="P6" s="160" t="s">
        <v>1192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1193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1193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1194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1195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1196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1197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1198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1198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1198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1198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1197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1199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1200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1200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1201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1202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1203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1204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97</v>
      </c>
      <c r="C24" s="164" t="s">
        <v>1205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100</v>
      </c>
      <c r="C25" s="164" t="s">
        <v>1206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103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100</v>
      </c>
      <c r="C26" s="164" t="s">
        <v>1206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108</v>
      </c>
      <c r="M26" s="162" t="s">
        <v>109</v>
      </c>
      <c r="N26" s="163" t="s">
        <v>110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113</v>
      </c>
      <c r="C27" s="164" t="s">
        <v>1207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113</v>
      </c>
      <c r="M27" s="162" t="s">
        <v>1208</v>
      </c>
      <c r="N27" s="163" t="s">
        <v>116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119</v>
      </c>
      <c r="C28" s="164" t="s">
        <v>1209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119</v>
      </c>
      <c r="M28" s="162" t="s">
        <v>121</v>
      </c>
      <c r="N28" s="163" t="s">
        <v>1210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125</v>
      </c>
      <c r="C29" s="164" t="s">
        <v>1211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131</v>
      </c>
      <c r="C30" s="164" t="s">
        <v>1212</v>
      </c>
      <c r="D30" s="162" t="s">
        <v>132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134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136</v>
      </c>
      <c r="C31" s="164" t="s">
        <v>1213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141</v>
      </c>
      <c r="C32" s="164" t="s">
        <v>1214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144</v>
      </c>
      <c r="M32" s="162" t="s">
        <v>145</v>
      </c>
      <c r="N32" s="163" t="s">
        <v>1215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149</v>
      </c>
      <c r="C33" s="164" t="s">
        <v>1216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152</v>
      </c>
      <c r="C34" s="164" t="s">
        <v>1217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156</v>
      </c>
      <c r="C35" s="172" t="s">
        <v>1218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159</v>
      </c>
      <c r="C36" s="164" t="s">
        <v>1219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162</v>
      </c>
      <c r="M36" s="162" t="s">
        <v>163</v>
      </c>
      <c r="N36" s="163" t="s">
        <v>1220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167</v>
      </c>
      <c r="C37" s="164" t="s">
        <v>1219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169</v>
      </c>
      <c r="C38" s="164" t="s">
        <v>1221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169</v>
      </c>
      <c r="M38" s="162" t="s">
        <v>173</v>
      </c>
      <c r="N38" s="163" t="s">
        <v>174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177</v>
      </c>
      <c r="C39" s="164" t="s">
        <v>1222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180</v>
      </c>
      <c r="C40" s="164" t="s">
        <v>1223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180</v>
      </c>
      <c r="M40" s="162" t="s">
        <v>181</v>
      </c>
      <c r="N40" s="163" t="s">
        <v>182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185</v>
      </c>
      <c r="C41" s="164" t="s">
        <v>1224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185</v>
      </c>
      <c r="M41" s="162" t="s">
        <v>186</v>
      </c>
      <c r="N41" s="163" t="s">
        <v>182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188</v>
      </c>
      <c r="C42" s="164" t="s">
        <v>1224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188</v>
      </c>
      <c r="M42" s="162" t="s">
        <v>190</v>
      </c>
      <c r="N42" s="163" t="s">
        <v>182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192</v>
      </c>
      <c r="C43" s="164" t="s">
        <v>1225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192</v>
      </c>
      <c r="M43" s="162" t="s">
        <v>195</v>
      </c>
      <c r="N43" s="163" t="s">
        <v>182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197</v>
      </c>
      <c r="C44" s="164" t="s">
        <v>1226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197</v>
      </c>
      <c r="M44" s="162" t="s">
        <v>181</v>
      </c>
      <c r="N44" s="163" t="s">
        <v>182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200</v>
      </c>
      <c r="C45" s="164" t="s">
        <v>1227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200</v>
      </c>
      <c r="M45" s="162" t="s">
        <v>202</v>
      </c>
      <c r="N45" s="163" t="s">
        <v>203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1200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197</v>
      </c>
      <c r="C47" s="164" t="s">
        <v>1226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197</v>
      </c>
      <c r="M47" s="162" t="s">
        <v>181</v>
      </c>
      <c r="N47" s="163" t="s">
        <v>182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211</v>
      </c>
      <c r="C48" s="164" t="s">
        <v>1228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215</v>
      </c>
      <c r="C49" s="164" t="s">
        <v>1229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218</v>
      </c>
      <c r="M49" s="162" t="s">
        <v>219</v>
      </c>
      <c r="N49" s="163" t="s">
        <v>220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223</v>
      </c>
      <c r="C50" s="164" t="s">
        <v>1230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227</v>
      </c>
      <c r="C51" s="164" t="s">
        <v>1231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230</v>
      </c>
      <c r="C52" s="164" t="s">
        <v>1232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234</v>
      </c>
      <c r="M52" s="162" t="s">
        <v>121</v>
      </c>
      <c r="N52" s="163" t="s">
        <v>235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238</v>
      </c>
      <c r="C53" s="164" t="s">
        <v>1233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242</v>
      </c>
      <c r="C54" s="164" t="s">
        <v>1234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245</v>
      </c>
      <c r="C55" s="164" t="s">
        <v>1235</v>
      </c>
      <c r="D55" s="162" t="s">
        <v>246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249</v>
      </c>
      <c r="C56" s="164" t="s">
        <v>1236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255</v>
      </c>
      <c r="C57" s="164" t="s">
        <v>1237</v>
      </c>
      <c r="D57" s="162" t="s">
        <v>256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259</v>
      </c>
      <c r="C58" s="164" t="s">
        <v>1238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262</v>
      </c>
      <c r="C59" s="164" t="s">
        <v>1239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265</v>
      </c>
      <c r="C60" s="164" t="s">
        <v>1240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270</v>
      </c>
      <c r="C61" s="164" t="s">
        <v>1241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1242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275</v>
      </c>
      <c r="C63" s="164" t="s">
        <v>1243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279</v>
      </c>
      <c r="C64" s="164" t="s">
        <v>1244</v>
      </c>
      <c r="D64" s="162" t="s">
        <v>280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279</v>
      </c>
      <c r="M64" s="162" t="s">
        <v>282</v>
      </c>
      <c r="N64" s="163" t="s">
        <v>283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286</v>
      </c>
      <c r="C65" s="164" t="s">
        <v>1237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289</v>
      </c>
      <c r="C66" s="164" t="s">
        <v>1245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292</v>
      </c>
      <c r="C67" s="164" t="s">
        <v>1246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292</v>
      </c>
      <c r="C68" s="164" t="s">
        <v>1246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295</v>
      </c>
      <c r="C69" s="164" t="s">
        <v>1247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298</v>
      </c>
      <c r="C70" s="164" t="s">
        <v>1248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302</v>
      </c>
      <c r="C71" s="164" t="s">
        <v>1249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305</v>
      </c>
      <c r="C72" s="164" t="s">
        <v>1250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308</v>
      </c>
      <c r="C73" s="164" t="s">
        <v>1251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316</v>
      </c>
      <c r="C74" s="164" t="s">
        <v>1252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321</v>
      </c>
      <c r="C75" s="164" t="s">
        <v>1253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324</v>
      </c>
      <c r="C76" s="164" t="s">
        <v>1254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326</v>
      </c>
      <c r="C77" s="164" t="s">
        <v>1255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329</v>
      </c>
      <c r="C78" s="164" t="s">
        <v>1256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332</v>
      </c>
      <c r="C79" s="164" t="s">
        <v>1256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334</v>
      </c>
      <c r="C80" s="164" t="s">
        <v>1257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337</v>
      </c>
      <c r="C81" s="164" t="s">
        <v>1258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340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342</v>
      </c>
      <c r="C82" s="164" t="s">
        <v>1258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340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345</v>
      </c>
      <c r="C83" s="164" t="s">
        <v>1258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340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348</v>
      </c>
      <c r="C84" s="164" t="s">
        <v>1258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340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351</v>
      </c>
      <c r="C85" s="164" t="s">
        <v>1259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340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354</v>
      </c>
      <c r="C86" s="164" t="s">
        <v>1260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358</v>
      </c>
      <c r="C87" s="164" t="s">
        <v>1261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363</v>
      </c>
      <c r="C88" s="164" t="s">
        <v>1262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366</v>
      </c>
      <c r="C89" s="164" t="s">
        <v>1263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368</v>
      </c>
      <c r="C90" s="164" t="s">
        <v>1264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372</v>
      </c>
      <c r="C91" s="164" t="s">
        <v>1265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375</v>
      </c>
      <c r="C92" s="164" t="s">
        <v>1244</v>
      </c>
      <c r="D92" s="162" t="s">
        <v>376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156</v>
      </c>
      <c r="C93" s="164" t="s">
        <v>1218</v>
      </c>
      <c r="D93" s="162" t="s">
        <v>379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1266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1267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1267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1268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368</v>
      </c>
      <c r="C97" s="164" t="s">
        <v>1264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389</v>
      </c>
      <c r="C98" s="164" t="s">
        <v>1269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389</v>
      </c>
      <c r="M98" s="162" t="s">
        <v>393</v>
      </c>
      <c r="N98" s="163" t="s">
        <v>122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396</v>
      </c>
      <c r="C99" s="164" t="s">
        <v>1270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400</v>
      </c>
      <c r="C100" s="164" t="s">
        <v>1271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403</v>
      </c>
      <c r="C101" s="164" t="s">
        <v>1272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406</v>
      </c>
      <c r="C102" s="164" t="s">
        <v>1273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409</v>
      </c>
      <c r="C103" s="164" t="s">
        <v>1274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409</v>
      </c>
      <c r="M103" s="115"/>
      <c r="N103" s="163" t="s">
        <v>412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415</v>
      </c>
      <c r="C104" s="164" t="s">
        <v>1275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419</v>
      </c>
      <c r="C105" s="164" t="s">
        <v>1276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422</v>
      </c>
      <c r="C106" s="164" t="s">
        <v>1277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426</v>
      </c>
      <c r="C107" s="164" t="s">
        <v>1278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1279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432</v>
      </c>
      <c r="C109" s="164" t="s">
        <v>1280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434</v>
      </c>
      <c r="C110" s="164" t="s">
        <v>1281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437</v>
      </c>
      <c r="C111" s="164" t="s">
        <v>1257</v>
      </c>
      <c r="D111" s="115"/>
      <c r="E111" s="162">
        <v>1.0</v>
      </c>
      <c r="F111" s="162" t="s">
        <v>28</v>
      </c>
      <c r="G111" s="165" t="s">
        <v>438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149</v>
      </c>
      <c r="C112" s="164" t="s">
        <v>1216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442</v>
      </c>
      <c r="C113" s="164" t="s">
        <v>1282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442</v>
      </c>
      <c r="C114" s="164" t="s">
        <v>1282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446</v>
      </c>
      <c r="C115" s="164" t="s">
        <v>1283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449</v>
      </c>
      <c r="C116" s="164" t="s">
        <v>1284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449</v>
      </c>
      <c r="M116" s="162" t="s">
        <v>451</v>
      </c>
      <c r="N116" s="163" t="s">
        <v>452</v>
      </c>
      <c r="O116" s="115"/>
      <c r="P116" s="163" t="s">
        <v>1285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455</v>
      </c>
      <c r="C117" s="164" t="s">
        <v>1286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387</v>
      </c>
      <c r="M117" s="162" t="s">
        <v>457</v>
      </c>
      <c r="N117" s="163" t="s">
        <v>458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461</v>
      </c>
      <c r="C118" s="164" t="s">
        <v>1287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463</v>
      </c>
      <c r="M118" s="162" t="s">
        <v>464</v>
      </c>
      <c r="N118" s="163" t="s">
        <v>465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468</v>
      </c>
      <c r="C119" s="164" t="s">
        <v>1288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470</v>
      </c>
      <c r="C120" s="164" t="s">
        <v>1289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473</v>
      </c>
      <c r="C121" s="164" t="s">
        <v>1290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477</v>
      </c>
      <c r="C122" s="164" t="s">
        <v>1291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477</v>
      </c>
      <c r="M122" s="162" t="s">
        <v>479</v>
      </c>
      <c r="N122" s="163" t="s">
        <v>480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483</v>
      </c>
      <c r="C123" s="164" t="s">
        <v>1292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486</v>
      </c>
      <c r="C124" s="164" t="s">
        <v>1293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252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489</v>
      </c>
      <c r="C125" s="164" t="s">
        <v>1294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495</v>
      </c>
      <c r="C126" s="164" t="s">
        <v>1295</v>
      </c>
      <c r="D126" s="162">
        <v>2056.0</v>
      </c>
      <c r="E126" s="162">
        <v>1.0</v>
      </c>
      <c r="F126" s="162" t="s">
        <v>73</v>
      </c>
      <c r="G126" s="165" t="s">
        <v>1296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499</v>
      </c>
      <c r="C127" s="164" t="s">
        <v>1297</v>
      </c>
      <c r="D127" s="162" t="s">
        <v>500</v>
      </c>
      <c r="E127" s="162">
        <v>1.0</v>
      </c>
      <c r="F127" s="162" t="s">
        <v>73</v>
      </c>
      <c r="G127" s="165" t="s">
        <v>1298</v>
      </c>
      <c r="H127" s="166">
        <v>46065.0</v>
      </c>
      <c r="I127" s="115"/>
      <c r="J127" s="162">
        <v>2728.0</v>
      </c>
      <c r="K127" s="163" t="s">
        <v>42</v>
      </c>
      <c r="L127" s="163" t="s">
        <v>499</v>
      </c>
      <c r="M127" s="162" t="s">
        <v>502</v>
      </c>
      <c r="N127" s="163" t="s">
        <v>1179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504</v>
      </c>
      <c r="C128" s="164" t="s">
        <v>1299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504</v>
      </c>
      <c r="C129" s="164" t="s">
        <v>1299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1300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513</v>
      </c>
      <c r="C131" s="164" t="s">
        <v>1301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361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337</v>
      </c>
      <c r="C132" s="164" t="s">
        <v>1302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337</v>
      </c>
      <c r="M132" s="162" t="s">
        <v>1303</v>
      </c>
      <c r="N132" s="163" t="s">
        <v>519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342</v>
      </c>
      <c r="C133" s="164" t="s">
        <v>1304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234</v>
      </c>
      <c r="C134" s="164" t="s">
        <v>1305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526</v>
      </c>
      <c r="C135" s="164" t="s">
        <v>1306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529</v>
      </c>
      <c r="C136" s="164" t="s">
        <v>1307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533</v>
      </c>
      <c r="C137" s="164" t="s">
        <v>1308</v>
      </c>
      <c r="D137" s="162" t="s">
        <v>534</v>
      </c>
      <c r="E137" s="162">
        <v>1.0</v>
      </c>
      <c r="F137" s="162" t="s">
        <v>28</v>
      </c>
      <c r="G137" s="165" t="s">
        <v>1309</v>
      </c>
      <c r="H137" s="166">
        <v>46077.0</v>
      </c>
      <c r="I137" s="115"/>
      <c r="J137" s="162">
        <v>2702.0</v>
      </c>
      <c r="K137" s="163" t="s">
        <v>537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539</v>
      </c>
      <c r="C138" s="164" t="s">
        <v>1310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345</v>
      </c>
      <c r="C139" s="164" t="s">
        <v>1311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361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348</v>
      </c>
      <c r="C140" s="164" t="s">
        <v>1312</v>
      </c>
      <c r="D140" s="115"/>
      <c r="E140" s="162">
        <v>1.0</v>
      </c>
      <c r="F140" s="162" t="s">
        <v>73</v>
      </c>
      <c r="G140" s="165" t="s">
        <v>1313</v>
      </c>
      <c r="H140" s="166">
        <v>46080.0</v>
      </c>
      <c r="I140" s="115"/>
      <c r="J140" s="162">
        <v>2742.0</v>
      </c>
      <c r="K140" s="163" t="s">
        <v>361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547</v>
      </c>
      <c r="C141" s="164" t="s">
        <v>1205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361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550</v>
      </c>
      <c r="C142" s="164" t="s">
        <v>1314</v>
      </c>
      <c r="D142" s="115"/>
      <c r="E142" s="162">
        <v>10.0</v>
      </c>
      <c r="F142" s="162" t="s">
        <v>28</v>
      </c>
      <c r="G142" s="165" t="s">
        <v>1315</v>
      </c>
      <c r="H142" s="166">
        <v>46080.0</v>
      </c>
      <c r="I142" s="115"/>
      <c r="J142" s="162" t="s">
        <v>552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554</v>
      </c>
      <c r="C143" s="164" t="s">
        <v>1316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552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539</v>
      </c>
      <c r="C144" s="164" t="s">
        <v>1310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556</v>
      </c>
      <c r="B145" s="163" t="s">
        <v>559</v>
      </c>
      <c r="C145" s="164" t="s">
        <v>1317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560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558</v>
      </c>
      <c r="B146" s="163" t="s">
        <v>562</v>
      </c>
      <c r="C146" s="164" t="s">
        <v>1318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560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561</v>
      </c>
      <c r="B147" s="163" t="s">
        <v>564</v>
      </c>
      <c r="C147" s="164" t="s">
        <v>1319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560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614</v>
      </c>
      <c r="B148" s="163" t="s">
        <v>566</v>
      </c>
      <c r="C148" s="182" t="str">
        <f>IF(B148="","",(VLOOKUP(B148,'[3]Dados de PN'!$A:$B,2,0)))</f>
        <v>#REF!</v>
      </c>
      <c r="D148" s="162" t="s">
        <v>567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568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563</v>
      </c>
      <c r="B149" s="163" t="s">
        <v>97</v>
      </c>
      <c r="C149" s="164" t="s">
        <v>1205</v>
      </c>
      <c r="D149" s="115"/>
      <c r="E149" s="162">
        <v>1.0</v>
      </c>
      <c r="F149" s="162" t="s">
        <v>28</v>
      </c>
      <c r="G149" s="165" t="s">
        <v>570</v>
      </c>
      <c r="H149" s="166">
        <v>46090.0</v>
      </c>
      <c r="I149" s="163" t="s">
        <v>571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565</v>
      </c>
      <c r="B150" s="163" t="s">
        <v>345</v>
      </c>
      <c r="C150" s="164" t="s">
        <v>1320</v>
      </c>
      <c r="D150" s="115"/>
      <c r="E150" s="162">
        <v>1.0</v>
      </c>
      <c r="F150" s="162" t="s">
        <v>73</v>
      </c>
      <c r="G150" s="165" t="s">
        <v>573</v>
      </c>
      <c r="H150" s="166">
        <v>46094.0</v>
      </c>
      <c r="I150" s="163" t="s">
        <v>574</v>
      </c>
      <c r="J150" s="162" t="s">
        <v>251</v>
      </c>
      <c r="K150" s="163" t="s">
        <v>252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569</v>
      </c>
      <c r="B151" s="163" t="s">
        <v>348</v>
      </c>
      <c r="C151" s="164" t="s">
        <v>1321</v>
      </c>
      <c r="D151" s="115"/>
      <c r="E151" s="162">
        <v>1.0</v>
      </c>
      <c r="F151" s="162" t="s">
        <v>73</v>
      </c>
      <c r="G151" s="165" t="s">
        <v>576</v>
      </c>
      <c r="H151" s="166">
        <v>46094.0</v>
      </c>
      <c r="I151" s="163" t="s">
        <v>574</v>
      </c>
      <c r="J151" s="162" t="s">
        <v>251</v>
      </c>
      <c r="K151" s="163" t="s">
        <v>252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572</v>
      </c>
      <c r="B152" s="163" t="s">
        <v>578</v>
      </c>
      <c r="C152" s="164" t="s">
        <v>1322</v>
      </c>
      <c r="D152" s="115"/>
      <c r="E152" s="162">
        <v>1.0</v>
      </c>
      <c r="F152" s="162" t="s">
        <v>73</v>
      </c>
      <c r="G152" s="165" t="s">
        <v>579</v>
      </c>
      <c r="H152" s="166">
        <v>46094.0</v>
      </c>
      <c r="I152" s="163" t="s">
        <v>574</v>
      </c>
      <c r="J152" s="162" t="s">
        <v>251</v>
      </c>
      <c r="K152" s="163" t="s">
        <v>252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575</v>
      </c>
      <c r="B153" s="163" t="s">
        <v>449</v>
      </c>
      <c r="C153" s="164" t="s">
        <v>1323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581</v>
      </c>
      <c r="J153" s="162" t="s">
        <v>154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577</v>
      </c>
      <c r="B154" s="163" t="s">
        <v>455</v>
      </c>
      <c r="C154" s="164" t="s">
        <v>1324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583</v>
      </c>
      <c r="J154" s="162" t="s">
        <v>154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580</v>
      </c>
      <c r="B155" s="163" t="s">
        <v>585</v>
      </c>
      <c r="C155" s="164" t="s">
        <v>1325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586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582</v>
      </c>
      <c r="B156" s="163" t="s">
        <v>345</v>
      </c>
      <c r="C156" s="164" t="s">
        <v>1311</v>
      </c>
      <c r="D156" s="115"/>
      <c r="E156" s="162">
        <v>2.0</v>
      </c>
      <c r="F156" s="162" t="s">
        <v>73</v>
      </c>
      <c r="G156" s="165" t="s">
        <v>588</v>
      </c>
      <c r="H156" s="166">
        <v>46100.0</v>
      </c>
      <c r="I156" s="163" t="s">
        <v>544</v>
      </c>
      <c r="J156" s="162" t="s">
        <v>552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584</v>
      </c>
      <c r="B157" s="163" t="s">
        <v>348</v>
      </c>
      <c r="C157" s="164" t="s">
        <v>1312</v>
      </c>
      <c r="D157" s="115"/>
      <c r="E157" s="162">
        <v>2.0</v>
      </c>
      <c r="F157" s="162" t="s">
        <v>73</v>
      </c>
      <c r="G157" s="165" t="s">
        <v>590</v>
      </c>
      <c r="H157" s="166">
        <v>46100.0</v>
      </c>
      <c r="I157" s="163" t="s">
        <v>544</v>
      </c>
      <c r="J157" s="162" t="s">
        <v>552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587</v>
      </c>
      <c r="B158" s="163" t="s">
        <v>592</v>
      </c>
      <c r="C158" s="164" t="s">
        <v>1326</v>
      </c>
      <c r="D158" s="115"/>
      <c r="E158" s="162">
        <v>1.0</v>
      </c>
      <c r="F158" s="162" t="s">
        <v>39</v>
      </c>
      <c r="G158" s="165" t="s">
        <v>593</v>
      </c>
      <c r="H158" s="166">
        <v>46100.0</v>
      </c>
      <c r="I158" s="163" t="s">
        <v>544</v>
      </c>
      <c r="J158" s="162" t="s">
        <v>360</v>
      </c>
      <c r="K158" s="163" t="s">
        <v>361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589</v>
      </c>
      <c r="B159" s="163" t="s">
        <v>595</v>
      </c>
      <c r="C159" s="164" t="s">
        <v>1327</v>
      </c>
      <c r="D159" s="115"/>
      <c r="E159" s="162">
        <v>1.0</v>
      </c>
      <c r="F159" s="162" t="s">
        <v>73</v>
      </c>
      <c r="G159" s="165" t="s">
        <v>596</v>
      </c>
      <c r="H159" s="166">
        <v>46101.0</v>
      </c>
      <c r="I159" s="163" t="s">
        <v>597</v>
      </c>
      <c r="J159" s="162" t="s">
        <v>232</v>
      </c>
      <c r="K159" s="163" t="s">
        <v>233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591</v>
      </c>
      <c r="B160" s="163" t="s">
        <v>599</v>
      </c>
      <c r="C160" s="164" t="s">
        <v>1328</v>
      </c>
      <c r="D160" s="115"/>
      <c r="E160" s="162">
        <v>1.0</v>
      </c>
      <c r="F160" s="162" t="s">
        <v>73</v>
      </c>
      <c r="G160" s="165" t="s">
        <v>600</v>
      </c>
      <c r="H160" s="166">
        <v>46101.0</v>
      </c>
      <c r="I160" s="163" t="s">
        <v>597</v>
      </c>
      <c r="J160" s="162" t="s">
        <v>232</v>
      </c>
      <c r="K160" s="163" t="s">
        <v>233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594</v>
      </c>
      <c r="B161" s="163" t="s">
        <v>602</v>
      </c>
      <c r="C161" s="164" t="s">
        <v>1329</v>
      </c>
      <c r="D161" s="115"/>
      <c r="E161" s="162">
        <v>1.0</v>
      </c>
      <c r="F161" s="162" t="s">
        <v>73</v>
      </c>
      <c r="G161" s="165" t="s">
        <v>603</v>
      </c>
      <c r="H161" s="166">
        <v>46101.0</v>
      </c>
      <c r="I161" s="163" t="s">
        <v>597</v>
      </c>
      <c r="J161" s="162" t="s">
        <v>232</v>
      </c>
      <c r="K161" s="163" t="s">
        <v>233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598</v>
      </c>
      <c r="B162" s="163" t="s">
        <v>437</v>
      </c>
      <c r="C162" s="164" t="s">
        <v>1257</v>
      </c>
      <c r="D162" s="115"/>
      <c r="E162" s="162">
        <v>1.0</v>
      </c>
      <c r="F162" s="162" t="s">
        <v>28</v>
      </c>
      <c r="G162" s="165" t="s">
        <v>605</v>
      </c>
      <c r="H162" s="166">
        <v>46101.0</v>
      </c>
      <c r="I162" s="163" t="s">
        <v>606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601</v>
      </c>
      <c r="B163" s="163" t="s">
        <v>608</v>
      </c>
      <c r="C163" s="164" t="s">
        <v>1307</v>
      </c>
      <c r="D163" s="115"/>
      <c r="E163" s="162">
        <v>2.0</v>
      </c>
      <c r="F163" s="162" t="s">
        <v>28</v>
      </c>
      <c r="G163" s="165" t="s">
        <v>609</v>
      </c>
      <c r="H163" s="166">
        <v>46101.0</v>
      </c>
      <c r="I163" s="163" t="s">
        <v>610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604</v>
      </c>
      <c r="B164" s="163" t="s">
        <v>612</v>
      </c>
      <c r="C164" s="164" t="s">
        <v>1330</v>
      </c>
      <c r="D164" s="115"/>
      <c r="E164" s="162">
        <v>2.0</v>
      </c>
      <c r="F164" s="162" t="s">
        <v>28</v>
      </c>
      <c r="G164" s="165" t="s">
        <v>613</v>
      </c>
      <c r="H164" s="166">
        <v>46101.0</v>
      </c>
      <c r="I164" s="163" t="s">
        <v>610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607</v>
      </c>
      <c r="B165" s="163" t="s">
        <v>615</v>
      </c>
      <c r="C165" s="164" t="s">
        <v>595</v>
      </c>
      <c r="D165" s="115"/>
      <c r="E165" s="162">
        <v>1.0</v>
      </c>
      <c r="F165" s="162" t="s">
        <v>28</v>
      </c>
      <c r="G165" s="165" t="s">
        <v>616</v>
      </c>
      <c r="H165" s="166">
        <v>46101.0</v>
      </c>
      <c r="I165" s="163" t="s">
        <v>610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611</v>
      </c>
      <c r="B166" s="163" t="s">
        <v>618</v>
      </c>
      <c r="C166" s="164" t="s">
        <v>1331</v>
      </c>
      <c r="D166" s="115"/>
      <c r="E166" s="162">
        <v>1.0</v>
      </c>
      <c r="F166" s="162" t="s">
        <v>73</v>
      </c>
      <c r="G166" s="165" t="s">
        <v>619</v>
      </c>
      <c r="H166" s="166">
        <v>46101.0</v>
      </c>
      <c r="I166" s="163" t="s">
        <v>620</v>
      </c>
      <c r="J166" s="162" t="s">
        <v>98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614</v>
      </c>
      <c r="B167" s="163" t="s">
        <v>566</v>
      </c>
      <c r="C167" s="164" t="s">
        <v>1332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622</v>
      </c>
      <c r="J167" s="162" t="s">
        <v>161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617</v>
      </c>
      <c r="B168" s="163" t="s">
        <v>162</v>
      </c>
      <c r="C168" s="164" t="s">
        <v>1333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635</v>
      </c>
      <c r="J168" s="162">
        <v>2702.0</v>
      </c>
      <c r="K168" s="163" t="s">
        <v>537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621</v>
      </c>
      <c r="B169" s="163" t="s">
        <v>640</v>
      </c>
      <c r="C169" s="164" t="s">
        <v>1334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635</v>
      </c>
      <c r="J169" s="162">
        <v>2702.0</v>
      </c>
      <c r="K169" s="163" t="s">
        <v>537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623</v>
      </c>
      <c r="B170" s="163" t="s">
        <v>642</v>
      </c>
      <c r="C170" s="164" t="s">
        <v>1335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635</v>
      </c>
      <c r="J170" s="162">
        <v>2702.0</v>
      </c>
      <c r="K170" s="163" t="s">
        <v>537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625</v>
      </c>
      <c r="B171" s="163" t="s">
        <v>644</v>
      </c>
      <c r="C171" s="164" t="s">
        <v>1336</v>
      </c>
      <c r="D171" s="115"/>
      <c r="E171" s="162" t="s">
        <v>137</v>
      </c>
      <c r="F171" s="162" t="s">
        <v>28</v>
      </c>
      <c r="G171" s="165">
        <v>1.715475E7</v>
      </c>
      <c r="H171" s="166">
        <v>46120.0</v>
      </c>
      <c r="I171" s="163" t="s">
        <v>635</v>
      </c>
      <c r="J171" s="162">
        <v>2702.0</v>
      </c>
      <c r="K171" s="163" t="s">
        <v>537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627</v>
      </c>
      <c r="B172" s="163" t="s">
        <v>646</v>
      </c>
      <c r="C172" s="164" t="s">
        <v>1271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635</v>
      </c>
      <c r="J172" s="162">
        <v>2702.0</v>
      </c>
      <c r="K172" s="163" t="s">
        <v>537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629</v>
      </c>
      <c r="B173" s="163" t="s">
        <v>648</v>
      </c>
      <c r="C173" s="164" t="s">
        <v>1335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635</v>
      </c>
      <c r="J173" s="162">
        <v>2702.0</v>
      </c>
      <c r="K173" s="163" t="s">
        <v>537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630</v>
      </c>
      <c r="B174" s="163" t="s">
        <v>650</v>
      </c>
      <c r="C174" s="164" t="s">
        <v>1337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635</v>
      </c>
      <c r="J174" s="162">
        <v>2702.0</v>
      </c>
      <c r="K174" s="163" t="s">
        <v>537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632</v>
      </c>
      <c r="B175" s="163" t="s">
        <v>652</v>
      </c>
      <c r="C175" s="164" t="s">
        <v>1338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635</v>
      </c>
      <c r="J175" s="162">
        <v>2702.0</v>
      </c>
      <c r="K175" s="163" t="s">
        <v>537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636</v>
      </c>
      <c r="B176" s="163" t="s">
        <v>167</v>
      </c>
      <c r="C176" s="164" t="s">
        <v>1219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635</v>
      </c>
      <c r="J176" s="162">
        <v>2702.0</v>
      </c>
      <c r="K176" s="163" t="s">
        <v>537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638</v>
      </c>
      <c r="B177" s="163" t="s">
        <v>592</v>
      </c>
      <c r="C177" s="164" t="s">
        <v>1326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544</v>
      </c>
      <c r="J177" s="162">
        <v>2743.0</v>
      </c>
      <c r="K177" s="163" t="s">
        <v>252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639</v>
      </c>
      <c r="B178" s="163" t="s">
        <v>211</v>
      </c>
      <c r="C178" s="164" t="s">
        <v>1228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657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641</v>
      </c>
      <c r="B179" s="163" t="s">
        <v>660</v>
      </c>
      <c r="C179" s="164" t="s">
        <v>1339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657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643</v>
      </c>
      <c r="B180" s="163" t="s">
        <v>663</v>
      </c>
      <c r="C180" s="164" t="s">
        <v>1340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657</v>
      </c>
      <c r="J180" s="162" t="s">
        <v>665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645</v>
      </c>
      <c r="B181" s="163" t="s">
        <v>667</v>
      </c>
      <c r="C181" s="164" t="s">
        <v>1341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657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647</v>
      </c>
      <c r="B182" s="163" t="s">
        <v>670</v>
      </c>
      <c r="C182" s="164" t="s">
        <v>1342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672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649</v>
      </c>
      <c r="B183" s="163" t="s">
        <v>670</v>
      </c>
      <c r="C183" s="164" t="s">
        <v>1342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672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651</v>
      </c>
      <c r="B184" s="163" t="s">
        <v>676</v>
      </c>
      <c r="C184" s="164" t="s">
        <v>1343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672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653</v>
      </c>
      <c r="B185" s="163" t="s">
        <v>679</v>
      </c>
      <c r="C185" s="164" t="s">
        <v>1333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672</v>
      </c>
      <c r="J185" s="162">
        <v>2702.0</v>
      </c>
      <c r="K185" s="163" t="s">
        <v>537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654</v>
      </c>
      <c r="B186" s="163" t="s">
        <v>681</v>
      </c>
      <c r="C186" s="164" t="s">
        <v>1219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672</v>
      </c>
      <c r="J186" s="162">
        <v>2702.0</v>
      </c>
      <c r="K186" s="163" t="s">
        <v>537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655</v>
      </c>
      <c r="B187" s="163" t="s">
        <v>683</v>
      </c>
      <c r="C187" s="164" t="s">
        <v>1206</v>
      </c>
      <c r="D187" s="115"/>
      <c r="E187" s="162" t="s">
        <v>137</v>
      </c>
      <c r="F187" s="162" t="s">
        <v>28</v>
      </c>
      <c r="G187" s="165">
        <v>1.7187148E7</v>
      </c>
      <c r="H187" s="166">
        <v>46122.0</v>
      </c>
      <c r="I187" s="163" t="s">
        <v>672</v>
      </c>
      <c r="J187" s="162">
        <v>2702.0</v>
      </c>
      <c r="K187" s="163" t="s">
        <v>537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659</v>
      </c>
      <c r="B188" s="163" t="s">
        <v>685</v>
      </c>
      <c r="C188" s="164" t="s">
        <v>1219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672</v>
      </c>
      <c r="J188" s="162">
        <v>2702.0</v>
      </c>
      <c r="K188" s="163" t="s">
        <v>537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662</v>
      </c>
      <c r="B189" s="163" t="s">
        <v>687</v>
      </c>
      <c r="C189" s="164" t="s">
        <v>1344</v>
      </c>
      <c r="D189" s="115"/>
      <c r="E189" s="162" t="s">
        <v>530</v>
      </c>
      <c r="F189" s="162" t="s">
        <v>28</v>
      </c>
      <c r="G189" s="165">
        <v>1.7187163E7</v>
      </c>
      <c r="H189" s="166">
        <v>46122.0</v>
      </c>
      <c r="I189" s="163" t="s">
        <v>672</v>
      </c>
      <c r="J189" s="162">
        <v>2702.0</v>
      </c>
      <c r="K189" s="163" t="s">
        <v>537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666</v>
      </c>
      <c r="B190" s="163" t="s">
        <v>689</v>
      </c>
      <c r="C190" s="164" t="s">
        <v>1333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672</v>
      </c>
      <c r="J190" s="162">
        <v>2702.0</v>
      </c>
      <c r="K190" s="163" t="s">
        <v>537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669</v>
      </c>
      <c r="B191" s="163" t="s">
        <v>691</v>
      </c>
      <c r="C191" s="164" t="s">
        <v>1345</v>
      </c>
      <c r="D191" s="115"/>
      <c r="E191" s="162" t="s">
        <v>189</v>
      </c>
      <c r="F191" s="162" t="s">
        <v>28</v>
      </c>
      <c r="G191" s="165">
        <v>1.7187179E7</v>
      </c>
      <c r="H191" s="166">
        <v>46122.0</v>
      </c>
      <c r="I191" s="163" t="s">
        <v>672</v>
      </c>
      <c r="J191" s="162">
        <v>2702.0</v>
      </c>
      <c r="K191" s="163" t="s">
        <v>537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673</v>
      </c>
      <c r="B192" s="163" t="s">
        <v>691</v>
      </c>
      <c r="C192" s="164" t="s">
        <v>1345</v>
      </c>
      <c r="D192" s="115"/>
      <c r="E192" s="162" t="s">
        <v>189</v>
      </c>
      <c r="F192" s="162" t="s">
        <v>28</v>
      </c>
      <c r="G192" s="165">
        <v>1.7191995E7</v>
      </c>
      <c r="H192" s="166">
        <v>46122.0</v>
      </c>
      <c r="I192" s="163" t="s">
        <v>672</v>
      </c>
      <c r="J192" s="162">
        <v>2702.0</v>
      </c>
      <c r="K192" s="163" t="s">
        <v>537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675</v>
      </c>
      <c r="B193" s="163" t="s">
        <v>694</v>
      </c>
      <c r="C193" s="164" t="s">
        <v>1346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624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678</v>
      </c>
      <c r="B194" s="163" t="s">
        <v>387</v>
      </c>
      <c r="C194" s="164" t="s">
        <v>1347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697</v>
      </c>
      <c r="J194" s="162">
        <v>2723.0</v>
      </c>
      <c r="K194" s="163" t="s">
        <v>233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680</v>
      </c>
      <c r="B195" s="163" t="s">
        <v>455</v>
      </c>
      <c r="C195" s="164" t="s">
        <v>1348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700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682</v>
      </c>
      <c r="B196" s="163" t="s">
        <v>702</v>
      </c>
      <c r="C196" s="164" t="s">
        <v>1349</v>
      </c>
      <c r="D196" s="115"/>
      <c r="E196" s="162" t="s">
        <v>703</v>
      </c>
      <c r="F196" s="162" t="s">
        <v>28</v>
      </c>
      <c r="G196" s="165">
        <v>1.7261012E7</v>
      </c>
      <c r="H196" s="166">
        <v>46128.0</v>
      </c>
      <c r="I196" s="163" t="s">
        <v>704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684</v>
      </c>
      <c r="B197" s="163">
        <v>3240572.0</v>
      </c>
      <c r="C197" s="164" t="s">
        <v>1246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707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686</v>
      </c>
      <c r="B198" s="163" t="s">
        <v>275</v>
      </c>
      <c r="C198" s="164" t="s">
        <v>1243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657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688</v>
      </c>
      <c r="B199" s="163" t="s">
        <v>710</v>
      </c>
      <c r="C199" s="164" t="s">
        <v>1307</v>
      </c>
      <c r="D199" s="115"/>
      <c r="E199" s="162" t="s">
        <v>137</v>
      </c>
      <c r="F199" s="162" t="s">
        <v>28</v>
      </c>
      <c r="G199" s="165">
        <v>1.7331826E7</v>
      </c>
      <c r="H199" s="166">
        <v>46139.0</v>
      </c>
      <c r="I199" s="163" t="s">
        <v>711</v>
      </c>
      <c r="J199" s="162">
        <v>2727.0</v>
      </c>
      <c r="K199" s="163" t="s">
        <v>319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690</v>
      </c>
      <c r="B200" s="163" t="s">
        <v>713</v>
      </c>
      <c r="C200" s="164" t="s">
        <v>1213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711</v>
      </c>
      <c r="J200" s="162">
        <v>2727.0</v>
      </c>
      <c r="K200" s="163" t="s">
        <v>319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692</v>
      </c>
      <c r="B201" s="163" t="s">
        <v>626</v>
      </c>
      <c r="C201" s="164" t="s">
        <v>1350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700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693</v>
      </c>
      <c r="B202" s="163" t="s">
        <v>717</v>
      </c>
      <c r="C202" s="164" t="s">
        <v>1351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700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695</v>
      </c>
      <c r="B203" s="163" t="s">
        <v>720</v>
      </c>
      <c r="C203" s="164" t="s">
        <v>1352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722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698</v>
      </c>
      <c r="B204" s="163" t="s">
        <v>628</v>
      </c>
      <c r="C204" s="164" t="s">
        <v>1353</v>
      </c>
      <c r="D204" s="162">
        <v>228.0</v>
      </c>
      <c r="E204" s="162" t="s">
        <v>725</v>
      </c>
      <c r="F204" s="162" t="s">
        <v>39</v>
      </c>
      <c r="G204" s="165">
        <v>6.85260011675E11</v>
      </c>
      <c r="H204" s="166">
        <v>46141.0</v>
      </c>
      <c r="I204" s="163" t="s">
        <v>727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701</v>
      </c>
      <c r="B205" s="163" t="s">
        <v>389</v>
      </c>
      <c r="C205" s="164" t="s">
        <v>1269</v>
      </c>
      <c r="D205" s="115"/>
      <c r="E205" s="162" t="s">
        <v>725</v>
      </c>
      <c r="F205" s="162" t="s">
        <v>73</v>
      </c>
      <c r="G205" s="165">
        <v>1.7354719E7</v>
      </c>
      <c r="H205" s="166">
        <v>46141.0</v>
      </c>
      <c r="I205" s="163" t="s">
        <v>730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705</v>
      </c>
      <c r="B206" s="163">
        <v>3014226.0</v>
      </c>
      <c r="C206" s="164" t="s">
        <v>1354</v>
      </c>
      <c r="D206" s="115"/>
      <c r="E206" s="162" t="s">
        <v>725</v>
      </c>
      <c r="F206" s="162" t="s">
        <v>28</v>
      </c>
      <c r="G206" s="165">
        <v>1.7355665E7</v>
      </c>
      <c r="H206" s="166">
        <v>46141.0</v>
      </c>
      <c r="I206" s="163" t="s">
        <v>730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708</v>
      </c>
      <c r="B207" s="163" t="s">
        <v>735</v>
      </c>
      <c r="C207" s="164" t="s">
        <v>1337</v>
      </c>
      <c r="D207" s="115"/>
      <c r="E207" s="162" t="s">
        <v>736</v>
      </c>
      <c r="F207" s="162" t="s">
        <v>28</v>
      </c>
      <c r="G207" s="165">
        <v>1.736211E7</v>
      </c>
      <c r="H207" s="166">
        <v>46141.0</v>
      </c>
      <c r="I207" s="163" t="s">
        <v>730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709</v>
      </c>
      <c r="B208" s="163" t="s">
        <v>739</v>
      </c>
      <c r="C208" s="164" t="s">
        <v>1355</v>
      </c>
      <c r="D208" s="115"/>
      <c r="E208" s="162" t="s">
        <v>736</v>
      </c>
      <c r="F208" s="162" t="s">
        <v>28</v>
      </c>
      <c r="G208" s="165">
        <v>1.7361676E7</v>
      </c>
      <c r="H208" s="166">
        <v>46141.0</v>
      </c>
      <c r="I208" s="163" t="s">
        <v>730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712</v>
      </c>
      <c r="B209" s="163" t="s">
        <v>742</v>
      </c>
      <c r="C209" s="164" t="s">
        <v>1356</v>
      </c>
      <c r="D209" s="115"/>
      <c r="E209" s="162" t="s">
        <v>743</v>
      </c>
      <c r="F209" s="162" t="s">
        <v>28</v>
      </c>
      <c r="G209" s="165">
        <v>1.7355571E7</v>
      </c>
      <c r="H209" s="166">
        <v>46141.0</v>
      </c>
      <c r="I209" s="163" t="s">
        <v>730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714</v>
      </c>
      <c r="B210" s="163" t="s">
        <v>746</v>
      </c>
      <c r="C210" s="164" t="s">
        <v>1357</v>
      </c>
      <c r="D210" s="115"/>
      <c r="E210" s="162" t="s">
        <v>736</v>
      </c>
      <c r="F210" s="162" t="s">
        <v>28</v>
      </c>
      <c r="G210" s="165">
        <v>1.7355562E7</v>
      </c>
      <c r="H210" s="166">
        <v>46141.0</v>
      </c>
      <c r="I210" s="163" t="s">
        <v>748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716</v>
      </c>
      <c r="B211" s="163" t="s">
        <v>746</v>
      </c>
      <c r="C211" s="164" t="s">
        <v>1357</v>
      </c>
      <c r="D211" s="115"/>
      <c r="E211" s="162" t="s">
        <v>423</v>
      </c>
      <c r="F211" s="162" t="s">
        <v>28</v>
      </c>
      <c r="G211" s="165">
        <v>1.7355553E7</v>
      </c>
      <c r="H211" s="166">
        <v>46141.0</v>
      </c>
      <c r="I211" s="163" t="s">
        <v>751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719</v>
      </c>
      <c r="B212" s="163" t="s">
        <v>746</v>
      </c>
      <c r="C212" s="164" t="s">
        <v>1357</v>
      </c>
      <c r="D212" s="115"/>
      <c r="E212" s="162" t="s">
        <v>423</v>
      </c>
      <c r="F212" s="162" t="s">
        <v>28</v>
      </c>
      <c r="G212" s="165">
        <v>1.7355563E7</v>
      </c>
      <c r="H212" s="166">
        <v>46141.0</v>
      </c>
      <c r="I212" s="163" t="s">
        <v>754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723</v>
      </c>
      <c r="B213" s="163" t="s">
        <v>113</v>
      </c>
      <c r="C213" s="164" t="s">
        <v>1207</v>
      </c>
      <c r="D213" s="115"/>
      <c r="E213" s="162" t="s">
        <v>423</v>
      </c>
      <c r="F213" s="162" t="s">
        <v>28</v>
      </c>
      <c r="G213" s="165">
        <v>1.7377917E7</v>
      </c>
      <c r="H213" s="166">
        <v>46142.0</v>
      </c>
      <c r="I213" s="163" t="s">
        <v>756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728</v>
      </c>
      <c r="B214" s="163" t="s">
        <v>758</v>
      </c>
      <c r="C214" s="164" t="s">
        <v>1358</v>
      </c>
      <c r="D214" s="115"/>
      <c r="E214" s="162" t="s">
        <v>759</v>
      </c>
      <c r="F214" s="162" t="s">
        <v>28</v>
      </c>
      <c r="G214" s="165">
        <v>1.7401193E7</v>
      </c>
      <c r="H214" s="166">
        <v>46146.0</v>
      </c>
      <c r="I214" s="163" t="s">
        <v>760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731</v>
      </c>
      <c r="B215" s="163" t="s">
        <v>762</v>
      </c>
      <c r="C215" s="164" t="s">
        <v>1359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763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734</v>
      </c>
      <c r="B216" s="163" t="s">
        <v>765</v>
      </c>
      <c r="C216" s="164" t="s">
        <v>1360</v>
      </c>
      <c r="D216" s="115"/>
      <c r="E216" s="162" t="s">
        <v>137</v>
      </c>
      <c r="F216" s="162" t="s">
        <v>28</v>
      </c>
      <c r="G216" s="165">
        <v>1.742819E7</v>
      </c>
      <c r="H216" s="166">
        <v>46148.0</v>
      </c>
      <c r="I216" s="163" t="s">
        <v>763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738</v>
      </c>
      <c r="B217" s="163" t="s">
        <v>767</v>
      </c>
      <c r="C217" s="164" t="s">
        <v>1361</v>
      </c>
      <c r="D217" s="115"/>
      <c r="E217" s="162" t="s">
        <v>137</v>
      </c>
      <c r="F217" s="162" t="s">
        <v>28</v>
      </c>
      <c r="G217" s="165">
        <v>1.7384283E7</v>
      </c>
      <c r="H217" s="166">
        <v>46148.0</v>
      </c>
      <c r="I217" s="163" t="s">
        <v>763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741</v>
      </c>
      <c r="B218" s="163" t="s">
        <v>769</v>
      </c>
      <c r="C218" s="164" t="s">
        <v>1213</v>
      </c>
      <c r="D218" s="115"/>
      <c r="E218" s="162" t="s">
        <v>423</v>
      </c>
      <c r="F218" s="162" t="s">
        <v>28</v>
      </c>
      <c r="G218" s="165">
        <v>1.7433843E7</v>
      </c>
      <c r="H218" s="166">
        <v>46148.0</v>
      </c>
      <c r="I218" s="163" t="s">
        <v>771</v>
      </c>
      <c r="J218" s="162">
        <v>2742.0</v>
      </c>
      <c r="K218" s="163" t="s">
        <v>252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745</v>
      </c>
      <c r="B219" s="163" t="s">
        <v>108</v>
      </c>
      <c r="C219" s="164" t="s">
        <v>1206</v>
      </c>
      <c r="D219" s="115"/>
      <c r="E219" s="162" t="s">
        <v>773</v>
      </c>
      <c r="F219" s="162" t="s">
        <v>28</v>
      </c>
      <c r="G219" s="165">
        <v>1.7433844E7</v>
      </c>
      <c r="H219" s="166">
        <v>46148.0</v>
      </c>
      <c r="I219" s="163" t="s">
        <v>771</v>
      </c>
      <c r="J219" s="162">
        <v>2742.0</v>
      </c>
      <c r="K219" s="163" t="s">
        <v>252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749</v>
      </c>
      <c r="B220" s="163" t="s">
        <v>683</v>
      </c>
      <c r="C220" s="164" t="s">
        <v>1206</v>
      </c>
      <c r="D220" s="115"/>
      <c r="E220" s="162" t="s">
        <v>776</v>
      </c>
      <c r="F220" s="162" t="s">
        <v>28</v>
      </c>
      <c r="G220" s="165">
        <v>1.7433845E7</v>
      </c>
      <c r="H220" s="166">
        <v>46148.0</v>
      </c>
      <c r="I220" s="163" t="s">
        <v>771</v>
      </c>
      <c r="J220" s="162">
        <v>2742.0</v>
      </c>
      <c r="K220" s="163" t="s">
        <v>252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752</v>
      </c>
      <c r="B221" s="163" t="s">
        <v>779</v>
      </c>
      <c r="C221" s="164" t="s">
        <v>1213</v>
      </c>
      <c r="D221" s="115"/>
      <c r="E221" s="162" t="s">
        <v>423</v>
      </c>
      <c r="F221" s="162" t="s">
        <v>28</v>
      </c>
      <c r="G221" s="165">
        <v>1.7433846E7</v>
      </c>
      <c r="H221" s="166">
        <v>46148.0</v>
      </c>
      <c r="I221" s="163" t="s">
        <v>771</v>
      </c>
      <c r="J221" s="162">
        <v>2742.0</v>
      </c>
      <c r="K221" s="163" t="s">
        <v>252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755</v>
      </c>
      <c r="B222" s="163" t="s">
        <v>782</v>
      </c>
      <c r="C222" s="164" t="s">
        <v>1362</v>
      </c>
      <c r="D222" s="115"/>
      <c r="E222" s="162" t="s">
        <v>423</v>
      </c>
      <c r="F222" s="162" t="s">
        <v>28</v>
      </c>
      <c r="G222" s="165">
        <v>1.7433847E7</v>
      </c>
      <c r="H222" s="166">
        <v>46148.0</v>
      </c>
      <c r="I222" s="163" t="s">
        <v>771</v>
      </c>
      <c r="J222" s="162">
        <v>2742.0</v>
      </c>
      <c r="K222" s="163" t="s">
        <v>252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757</v>
      </c>
      <c r="B223" s="163" t="s">
        <v>644</v>
      </c>
      <c r="C223" s="164" t="s">
        <v>1336</v>
      </c>
      <c r="D223" s="115"/>
      <c r="E223" s="162" t="s">
        <v>776</v>
      </c>
      <c r="F223" s="162" t="s">
        <v>28</v>
      </c>
      <c r="G223" s="165">
        <v>1.7433848E7</v>
      </c>
      <c r="H223" s="166">
        <v>46148.0</v>
      </c>
      <c r="I223" s="163" t="s">
        <v>771</v>
      </c>
      <c r="J223" s="162">
        <v>2742.0</v>
      </c>
      <c r="K223" s="163" t="s">
        <v>252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761</v>
      </c>
      <c r="B224" s="163" t="s">
        <v>685</v>
      </c>
      <c r="C224" s="164" t="s">
        <v>1219</v>
      </c>
      <c r="D224" s="115"/>
      <c r="E224" s="162" t="s">
        <v>423</v>
      </c>
      <c r="F224" s="162" t="s">
        <v>28</v>
      </c>
      <c r="G224" s="165">
        <v>1.7433849E7</v>
      </c>
      <c r="H224" s="166">
        <v>46148.0</v>
      </c>
      <c r="I224" s="163" t="s">
        <v>771</v>
      </c>
      <c r="J224" s="162">
        <v>2742.0</v>
      </c>
      <c r="K224" s="163" t="s">
        <v>252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764</v>
      </c>
      <c r="B225" s="163" t="s">
        <v>442</v>
      </c>
      <c r="C225" s="164" t="s">
        <v>1282</v>
      </c>
      <c r="D225" s="115"/>
      <c r="E225" s="162" t="s">
        <v>423</v>
      </c>
      <c r="F225" s="162" t="s">
        <v>28</v>
      </c>
      <c r="G225" s="165">
        <v>1.743385E7</v>
      </c>
      <c r="H225" s="166">
        <v>46148.0</v>
      </c>
      <c r="I225" s="163" t="s">
        <v>771</v>
      </c>
      <c r="J225" s="162">
        <v>2742.0</v>
      </c>
      <c r="K225" s="163" t="s">
        <v>252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766</v>
      </c>
      <c r="B226" s="163" t="s">
        <v>790</v>
      </c>
      <c r="C226" s="164" t="s">
        <v>1213</v>
      </c>
      <c r="D226" s="115"/>
      <c r="E226" s="162" t="s">
        <v>423</v>
      </c>
      <c r="F226" s="162" t="s">
        <v>28</v>
      </c>
      <c r="G226" s="165">
        <v>1.7433851E7</v>
      </c>
      <c r="H226" s="166">
        <v>46148.0</v>
      </c>
      <c r="I226" s="163" t="s">
        <v>771</v>
      </c>
      <c r="J226" s="162">
        <v>2742.0</v>
      </c>
      <c r="K226" s="163" t="s">
        <v>252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768</v>
      </c>
      <c r="B227" s="163" t="s">
        <v>793</v>
      </c>
      <c r="C227" s="164" t="s">
        <v>1363</v>
      </c>
      <c r="D227" s="115"/>
      <c r="E227" s="162" t="s">
        <v>423</v>
      </c>
      <c r="F227" s="162" t="s">
        <v>28</v>
      </c>
      <c r="G227" s="165">
        <v>1.7433852E7</v>
      </c>
      <c r="H227" s="166">
        <v>46148.0</v>
      </c>
      <c r="I227" s="163" t="s">
        <v>771</v>
      </c>
      <c r="J227" s="162">
        <v>2742.0</v>
      </c>
      <c r="K227" s="163" t="s">
        <v>252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772</v>
      </c>
      <c r="B228" s="163" t="s">
        <v>796</v>
      </c>
      <c r="C228" s="164" t="s">
        <v>1213</v>
      </c>
      <c r="D228" s="115"/>
      <c r="E228" s="162" t="s">
        <v>423</v>
      </c>
      <c r="F228" s="162" t="s">
        <v>28</v>
      </c>
      <c r="G228" s="165">
        <v>1.7433853E7</v>
      </c>
      <c r="H228" s="166">
        <v>46148.0</v>
      </c>
      <c r="I228" s="163" t="s">
        <v>771</v>
      </c>
      <c r="J228" s="162">
        <v>2742.0</v>
      </c>
      <c r="K228" s="163" t="s">
        <v>252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775</v>
      </c>
      <c r="B229" s="163" t="s">
        <v>799</v>
      </c>
      <c r="C229" s="164" t="s">
        <v>1242</v>
      </c>
      <c r="D229" s="115"/>
      <c r="E229" s="162" t="s">
        <v>776</v>
      </c>
      <c r="F229" s="162" t="s">
        <v>28</v>
      </c>
      <c r="G229" s="165">
        <v>1.7433854E7</v>
      </c>
      <c r="H229" s="166">
        <v>46148.0</v>
      </c>
      <c r="I229" s="163" t="s">
        <v>771</v>
      </c>
      <c r="J229" s="162">
        <v>2742.0</v>
      </c>
      <c r="K229" s="163" t="s">
        <v>252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778</v>
      </c>
      <c r="B230" s="163" t="s">
        <v>681</v>
      </c>
      <c r="C230" s="164" t="s">
        <v>1219</v>
      </c>
      <c r="D230" s="115"/>
      <c r="E230" s="162" t="s">
        <v>802</v>
      </c>
      <c r="F230" s="162" t="s">
        <v>28</v>
      </c>
      <c r="G230" s="165">
        <v>1.7433855E7</v>
      </c>
      <c r="H230" s="166">
        <v>46148.0</v>
      </c>
      <c r="I230" s="163" t="s">
        <v>771</v>
      </c>
      <c r="J230" s="162">
        <v>2742.0</v>
      </c>
      <c r="K230" s="163" t="s">
        <v>252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781</v>
      </c>
      <c r="B231" s="163" t="s">
        <v>679</v>
      </c>
      <c r="C231" s="164" t="s">
        <v>1333</v>
      </c>
      <c r="D231" s="115"/>
      <c r="E231" s="162" t="s">
        <v>423</v>
      </c>
      <c r="F231" s="162" t="s">
        <v>28</v>
      </c>
      <c r="G231" s="165">
        <v>1.7433856E7</v>
      </c>
      <c r="H231" s="166">
        <v>46148.0</v>
      </c>
      <c r="I231" s="163" t="s">
        <v>771</v>
      </c>
      <c r="J231" s="162">
        <v>2742.0</v>
      </c>
      <c r="K231" s="163" t="s">
        <v>252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1364</v>
      </c>
      <c r="B236" s="152"/>
      <c r="C236" s="152"/>
      <c r="D236" s="152"/>
      <c r="E236" s="152"/>
      <c r="F236" s="152"/>
      <c r="G236" s="150"/>
      <c r="H236" s="184" t="s">
        <v>1365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1367</v>
      </c>
      <c r="D1" s="187" t="s">
        <v>1368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1369</v>
      </c>
      <c r="D6" s="188">
        <f>SUM(B3:B6)</f>
        <v>11</v>
      </c>
    </row>
    <row r="7">
      <c r="C7" s="188"/>
      <c r="D7" s="188"/>
    </row>
    <row r="8">
      <c r="C8" s="187" t="s">
        <v>1370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1371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1372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1373</v>
      </c>
      <c r="D22" s="188">
        <f>SUM(B19:B22)</f>
        <v>14</v>
      </c>
    </row>
    <row r="23">
      <c r="C23" s="188"/>
      <c r="D23" s="188"/>
    </row>
    <row r="24">
      <c r="C24" s="187" t="s">
        <v>1374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1375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1376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1377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1378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1380</v>
      </c>
      <c r="B2" s="195" t="s">
        <v>1381</v>
      </c>
      <c r="C2" s="195" t="s">
        <v>1382</v>
      </c>
      <c r="D2" s="196" t="s">
        <v>8</v>
      </c>
      <c r="E2" s="196" t="s">
        <v>1383</v>
      </c>
      <c r="F2" s="193"/>
      <c r="G2" s="26"/>
      <c r="H2" s="197" t="s">
        <v>1380</v>
      </c>
      <c r="I2" s="195" t="s">
        <v>1381</v>
      </c>
      <c r="J2" s="195" t="s">
        <v>1382</v>
      </c>
      <c r="K2" s="196" t="s">
        <v>8</v>
      </c>
      <c r="L2" s="196" t="s">
        <v>1383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526</v>
      </c>
      <c r="B3" s="199" t="s">
        <v>1384</v>
      </c>
      <c r="C3" s="200">
        <v>5.1780222E7</v>
      </c>
      <c r="D3" s="200">
        <v>1.0</v>
      </c>
      <c r="E3" s="201" t="s">
        <v>1385</v>
      </c>
      <c r="F3" s="193"/>
      <c r="G3" s="26"/>
      <c r="H3" s="202" t="s">
        <v>526</v>
      </c>
      <c r="I3" s="199" t="s">
        <v>1384</v>
      </c>
      <c r="J3" s="200">
        <v>5.1770271E7</v>
      </c>
      <c r="K3" s="200">
        <v>1.0</v>
      </c>
      <c r="L3" s="201" t="s">
        <v>1385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526</v>
      </c>
      <c r="B4" s="199" t="s">
        <v>1384</v>
      </c>
      <c r="C4" s="200">
        <v>5.1780213E7</v>
      </c>
      <c r="D4" s="200">
        <v>1.0</v>
      </c>
      <c r="E4" s="201" t="s">
        <v>1385</v>
      </c>
      <c r="F4" s="193"/>
      <c r="G4" s="26"/>
      <c r="H4" s="202" t="s">
        <v>526</v>
      </c>
      <c r="I4" s="199" t="s">
        <v>1384</v>
      </c>
      <c r="J4" s="200">
        <v>5.1770267E7</v>
      </c>
      <c r="K4" s="200">
        <v>1.0</v>
      </c>
      <c r="L4" s="201" t="s">
        <v>1385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526</v>
      </c>
      <c r="B5" s="199" t="s">
        <v>1384</v>
      </c>
      <c r="C5" s="200">
        <v>5.1740102E7</v>
      </c>
      <c r="D5" s="200">
        <v>1.0</v>
      </c>
      <c r="E5" s="201" t="s">
        <v>1385</v>
      </c>
      <c r="F5" s="193"/>
      <c r="G5" s="26"/>
      <c r="H5" s="202" t="s">
        <v>526</v>
      </c>
      <c r="I5" s="199" t="s">
        <v>1384</v>
      </c>
      <c r="J5" s="200">
        <v>5.1740133E7</v>
      </c>
      <c r="K5" s="200">
        <v>1.0</v>
      </c>
      <c r="L5" s="201" t="s">
        <v>1385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526</v>
      </c>
      <c r="B6" s="199" t="s">
        <v>1384</v>
      </c>
      <c r="C6" s="200">
        <v>5.1700194E7</v>
      </c>
      <c r="D6" s="200">
        <v>1.0</v>
      </c>
      <c r="E6" s="201" t="s">
        <v>1385</v>
      </c>
      <c r="F6" s="193"/>
      <c r="G6" s="26"/>
      <c r="H6" s="202" t="s">
        <v>526</v>
      </c>
      <c r="I6" s="199" t="s">
        <v>1384</v>
      </c>
      <c r="J6" s="200">
        <v>5.1690177E7</v>
      </c>
      <c r="K6" s="200">
        <v>1.0</v>
      </c>
      <c r="L6" s="201" t="s">
        <v>1385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526</v>
      </c>
      <c r="B7" s="199" t="s">
        <v>1384</v>
      </c>
      <c r="C7" s="200">
        <v>5.1690187E7</v>
      </c>
      <c r="D7" s="200">
        <v>1.0</v>
      </c>
      <c r="E7" s="201" t="s">
        <v>1385</v>
      </c>
      <c r="F7" s="193"/>
      <c r="G7" s="26"/>
      <c r="H7" s="202" t="s">
        <v>526</v>
      </c>
      <c r="I7" s="199" t="s">
        <v>1384</v>
      </c>
      <c r="J7" s="200">
        <v>5.1690157E7</v>
      </c>
      <c r="K7" s="200">
        <v>1.0</v>
      </c>
      <c r="L7" s="201" t="s">
        <v>1385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526</v>
      </c>
      <c r="B8" s="199" t="s">
        <v>1384</v>
      </c>
      <c r="C8" s="200">
        <v>5.1680222E7</v>
      </c>
      <c r="D8" s="200">
        <v>1.0</v>
      </c>
      <c r="E8" s="201" t="s">
        <v>1385</v>
      </c>
      <c r="F8" s="193"/>
      <c r="G8" s="26"/>
      <c r="H8" s="202" t="s">
        <v>526</v>
      </c>
      <c r="I8" s="199" t="s">
        <v>1384</v>
      </c>
      <c r="J8" s="200">
        <v>5.1680218E7</v>
      </c>
      <c r="K8" s="200">
        <v>1.0</v>
      </c>
      <c r="L8" s="201" t="s">
        <v>1385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526</v>
      </c>
      <c r="B9" s="199" t="s">
        <v>1386</v>
      </c>
      <c r="C9" s="200">
        <v>5.1650167E7</v>
      </c>
      <c r="D9" s="200">
        <v>1.0</v>
      </c>
      <c r="E9" s="201" t="s">
        <v>1385</v>
      </c>
      <c r="F9" s="193"/>
      <c r="G9" s="26"/>
      <c r="H9" s="202" t="s">
        <v>1387</v>
      </c>
      <c r="I9" s="199" t="s">
        <v>1388</v>
      </c>
      <c r="J9" s="200">
        <v>5.1490314E7</v>
      </c>
      <c r="K9" s="200">
        <v>1.0</v>
      </c>
      <c r="L9" s="201" t="s">
        <v>1385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526</v>
      </c>
      <c r="B10" s="199" t="s">
        <v>1384</v>
      </c>
      <c r="C10" s="200">
        <v>5.1620366E7</v>
      </c>
      <c r="D10" s="200">
        <v>1.0</v>
      </c>
      <c r="E10" s="201" t="s">
        <v>1385</v>
      </c>
      <c r="F10" s="193"/>
      <c r="G10" s="26"/>
      <c r="H10" s="202" t="s">
        <v>1387</v>
      </c>
      <c r="I10" s="199" t="s">
        <v>1388</v>
      </c>
      <c r="J10" s="200">
        <v>5.1470312E7</v>
      </c>
      <c r="K10" s="200">
        <v>1.0</v>
      </c>
      <c r="L10" s="201" t="s">
        <v>1385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1389</v>
      </c>
      <c r="B11" s="199" t="s">
        <v>1390</v>
      </c>
      <c r="C11" s="200" t="s">
        <v>1391</v>
      </c>
      <c r="D11" s="200">
        <v>2.0</v>
      </c>
      <c r="E11" s="201" t="s">
        <v>1385</v>
      </c>
      <c r="F11" s="193"/>
      <c r="G11" s="26"/>
      <c r="H11" s="202" t="s">
        <v>1387</v>
      </c>
      <c r="I11" s="199" t="s">
        <v>1388</v>
      </c>
      <c r="J11" s="200">
        <v>5.1410316E7</v>
      </c>
      <c r="K11" s="200">
        <v>1.0</v>
      </c>
      <c r="L11" s="201" t="s">
        <v>1385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1387</v>
      </c>
      <c r="B12" s="199" t="s">
        <v>1388</v>
      </c>
      <c r="C12" s="200">
        <v>5.1410315E7</v>
      </c>
      <c r="D12" s="200">
        <v>1.0</v>
      </c>
      <c r="E12" s="201" t="s">
        <v>1385</v>
      </c>
      <c r="F12" s="193"/>
      <c r="G12" s="26"/>
      <c r="H12" s="202" t="s">
        <v>1392</v>
      </c>
      <c r="I12" s="199" t="s">
        <v>1393</v>
      </c>
      <c r="J12" s="200" t="s">
        <v>1391</v>
      </c>
      <c r="K12" s="200">
        <v>1.0</v>
      </c>
      <c r="L12" s="201" t="s">
        <v>1385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1387</v>
      </c>
      <c r="B13" s="199" t="s">
        <v>1388</v>
      </c>
      <c r="C13" s="200">
        <v>5.0930348E7</v>
      </c>
      <c r="D13" s="200">
        <v>1.0</v>
      </c>
      <c r="E13" s="201" t="s">
        <v>1385</v>
      </c>
      <c r="F13" s="193"/>
      <c r="G13" s="26"/>
      <c r="H13" s="202" t="s">
        <v>1392</v>
      </c>
      <c r="I13" s="199" t="s">
        <v>1393</v>
      </c>
      <c r="J13" s="200" t="s">
        <v>1391</v>
      </c>
      <c r="K13" s="200">
        <v>9.0</v>
      </c>
      <c r="L13" s="201" t="s">
        <v>1385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234</v>
      </c>
      <c r="B14" s="199" t="s">
        <v>1394</v>
      </c>
      <c r="C14" s="200" t="s">
        <v>1391</v>
      </c>
      <c r="D14" s="200">
        <v>8.0</v>
      </c>
      <c r="E14" s="201" t="s">
        <v>1385</v>
      </c>
      <c r="F14" s="193"/>
      <c r="G14" s="26"/>
      <c r="H14" s="202" t="s">
        <v>234</v>
      </c>
      <c r="I14" s="199" t="s">
        <v>1394</v>
      </c>
      <c r="J14" s="200" t="s">
        <v>1391</v>
      </c>
      <c r="K14" s="200">
        <v>6.0</v>
      </c>
      <c r="L14" s="201" t="s">
        <v>1385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1395</v>
      </c>
      <c r="B15" s="199" t="s">
        <v>1396</v>
      </c>
      <c r="C15" s="200" t="s">
        <v>1391</v>
      </c>
      <c r="D15" s="200">
        <v>80.0</v>
      </c>
      <c r="E15" s="201" t="s">
        <v>1385</v>
      </c>
      <c r="F15" s="193"/>
      <c r="G15" s="26"/>
      <c r="H15" s="202" t="s">
        <v>1389</v>
      </c>
      <c r="I15" s="199" t="s">
        <v>1390</v>
      </c>
      <c r="J15" s="200" t="s">
        <v>1391</v>
      </c>
      <c r="K15" s="200">
        <v>3.0</v>
      </c>
      <c r="L15" s="201" t="s">
        <v>1385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1395</v>
      </c>
      <c r="I16" s="199" t="s">
        <v>1396</v>
      </c>
      <c r="J16" s="200" t="s">
        <v>1391</v>
      </c>
      <c r="K16" s="200">
        <v>50.0</v>
      </c>
      <c r="L16" s="201" t="s">
        <v>1385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1397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1398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1399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86"/>
      <c r="B454" s="186"/>
    </row>
    <row r="455">
      <c r="A455" s="186"/>
      <c r="B455" s="186"/>
    </row>
    <row r="456">
      <c r="A456" s="186"/>
      <c r="B456" s="186"/>
    </row>
    <row r="457">
      <c r="A457" s="186"/>
      <c r="B457" s="186"/>
    </row>
    <row r="458">
      <c r="A458" s="186"/>
      <c r="B458" s="186"/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